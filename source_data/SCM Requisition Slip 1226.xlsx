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S" sheetId="1" r:id="rId5"/>
    <sheet state="visible" name="PS MC" sheetId="2" r:id="rId6"/>
    <sheet state="visible" name="Form Responses 1" sheetId="3" r:id="rId7"/>
    <sheet state="visible" name="RS for Spare" sheetId="4" r:id="rId8"/>
    <sheet state="visible" name="RS" sheetId="5" r:id="rId9"/>
    <sheet state="visible" name="Item Code  E88" sheetId="6" r:id="rId10"/>
    <sheet state="hidden" name="CO" sheetId="7" r:id="rId11"/>
    <sheet state="visible" name="Formula" sheetId="8" r:id="rId12"/>
  </sheets>
  <definedNames>
    <definedName hidden="1" localSheetId="2" name="_xlnm._FilterDatabase">'Form Responses 1'!$A$1:$AI$209</definedName>
  </definedNames>
  <calcPr/>
</workbook>
</file>

<file path=xl/sharedStrings.xml><?xml version="1.0" encoding="utf-8"?>
<sst xmlns="http://schemas.openxmlformats.org/spreadsheetml/2006/main" count="5436" uniqueCount="1874">
  <si>
    <t>s</t>
  </si>
  <si>
    <t>REQUISITION SLIP</t>
  </si>
  <si>
    <t>PICK SLIP</t>
  </si>
  <si>
    <t>REQUESTOR DETAILS:</t>
  </si>
  <si>
    <t>RS #:</t>
  </si>
  <si>
    <t>20260000203</t>
  </si>
  <si>
    <t>Date Requested:</t>
  </si>
  <si>
    <t>Requesting Dept:</t>
  </si>
  <si>
    <t>Requestor Name:</t>
  </si>
  <si>
    <t>Requestor Email:</t>
  </si>
  <si>
    <t>REQ NO.</t>
  </si>
  <si>
    <t>Purpose:</t>
  </si>
  <si>
    <t>Timestamp</t>
  </si>
  <si>
    <t>REQUEST(S):</t>
  </si>
  <si>
    <t>Email Address</t>
  </si>
  <si>
    <t>Purpose of request</t>
  </si>
  <si>
    <t xml:space="preserve">Fulfillment Method </t>
  </si>
  <si>
    <t>Company / Client Name</t>
  </si>
  <si>
    <t>No.</t>
  </si>
  <si>
    <t>Delivery Address</t>
  </si>
  <si>
    <t>UNIT</t>
  </si>
  <si>
    <t>Pickup/Delivery Date</t>
  </si>
  <si>
    <t>E88-SKU</t>
  </si>
  <si>
    <t>COLOR</t>
  </si>
  <si>
    <t>Description</t>
  </si>
  <si>
    <t>VIN / PLATE NO.</t>
  </si>
  <si>
    <t>Pickup/Delivery Time</t>
  </si>
  <si>
    <t>Qty</t>
  </si>
  <si>
    <t>BATTERY A</t>
  </si>
  <si>
    <t>UoM</t>
  </si>
  <si>
    <t>BATTERY B</t>
  </si>
  <si>
    <t>Recipient Name:</t>
  </si>
  <si>
    <t>Stock</t>
  </si>
  <si>
    <t>CHARGER</t>
  </si>
  <si>
    <t>Allocation</t>
  </si>
  <si>
    <t>Remarks</t>
  </si>
  <si>
    <t>Recipient Number:</t>
  </si>
  <si>
    <t>MC - R280 White</t>
  </si>
  <si>
    <t>MC - R280 Black</t>
  </si>
  <si>
    <t>MC - R280 Sport Red</t>
  </si>
  <si>
    <t>MC - R280 Sport Blue</t>
  </si>
  <si>
    <t>MC - D400 Red</t>
  </si>
  <si>
    <t>ITEM CODE</t>
  </si>
  <si>
    <t>MC - D400 Blue</t>
  </si>
  <si>
    <t>MC - D400 Black</t>
  </si>
  <si>
    <t>RideBox Battery</t>
  </si>
  <si>
    <t>ESP00005</t>
  </si>
  <si>
    <t>RideBox Charger</t>
  </si>
  <si>
    <t>Speedomoter Panel (R280/Sport)</t>
  </si>
  <si>
    <t>RideBox Locker</t>
  </si>
  <si>
    <t>RideBox Rack</t>
  </si>
  <si>
    <t>Battery &amp; Charger</t>
  </si>
  <si>
    <t>Available</t>
  </si>
  <si>
    <t>Qty per set</t>
  </si>
  <si>
    <t>Helmet</t>
  </si>
  <si>
    <t>Charging Kit f</t>
  </si>
  <si>
    <t>List of Spareparts/Qty</t>
  </si>
  <si>
    <t>Overall Remarks</t>
  </si>
  <si>
    <t>Department</t>
  </si>
  <si>
    <t>If others, please specify</t>
  </si>
  <si>
    <t>Charging Kit</t>
  </si>
  <si>
    <t xml:space="preserve">Other items (please specify) </t>
  </si>
  <si>
    <t>Column 33</t>
  </si>
  <si>
    <t>Status</t>
  </si>
  <si>
    <t>OTHER REQUEST(S):</t>
  </si>
  <si>
    <t>OVERALL REMARKS:</t>
  </si>
  <si>
    <t>judy@nrdev.ph</t>
  </si>
  <si>
    <t>Assignment to Employee</t>
  </si>
  <si>
    <t>Pickup</t>
  </si>
  <si>
    <t>PREPARED BY.</t>
  </si>
  <si>
    <t>JJ's Company</t>
  </si>
  <si>
    <t>APPROVED BY:</t>
  </si>
  <si>
    <t>Batangas</t>
  </si>
  <si>
    <t>Signature:</t>
  </si>
  <si>
    <t>JJ</t>
  </si>
  <si>
    <t>09123456789</t>
  </si>
  <si>
    <t>Name:</t>
  </si>
  <si>
    <t>Date:</t>
  </si>
  <si>
    <t>Supply Chain Management</t>
  </si>
  <si>
    <t>Test</t>
  </si>
  <si>
    <t>20260000002</t>
  </si>
  <si>
    <t>ijimenez@nrdev.ph</t>
  </si>
  <si>
    <t>REYNAN LLANETA</t>
  </si>
  <si>
    <t>Test / Demo Unit</t>
  </si>
  <si>
    <t>ARBY MOSTRALES</t>
  </si>
  <si>
    <t>Internal</t>
  </si>
  <si>
    <t>E88 Warehouse</t>
  </si>
  <si>
    <t>Emman Usi</t>
  </si>
  <si>
    <t>09083187665</t>
  </si>
  <si>
    <t>Ian Jimenez</t>
  </si>
  <si>
    <t>Tech</t>
  </si>
  <si>
    <t>Canalyst-II - 2 pieces</t>
  </si>
  <si>
    <t>Canalyst-II x 2 pieces</t>
  </si>
  <si>
    <t>Cancel</t>
  </si>
  <si>
    <t>20260000003</t>
  </si>
  <si>
    <t>DELIVERY DETAILS:</t>
  </si>
  <si>
    <t>Sale to Client</t>
  </si>
  <si>
    <t>ITEM DESCRIPTION</t>
  </si>
  <si>
    <t>REQUISITION</t>
  </si>
  <si>
    <t>Delivery</t>
  </si>
  <si>
    <t>UOM</t>
  </si>
  <si>
    <t>Delivery Address:</t>
  </si>
  <si>
    <t>as</t>
  </si>
  <si>
    <t>Employee</t>
  </si>
  <si>
    <t>Position</t>
  </si>
  <si>
    <t>Manager</t>
  </si>
  <si>
    <t>Delivery Date:</t>
  </si>
  <si>
    <t>a</t>
  </si>
  <si>
    <t>R280SPRED2500</t>
  </si>
  <si>
    <t>R280 Sport 2500W Red</t>
  </si>
  <si>
    <t>Delivery Time:</t>
  </si>
  <si>
    <t>unit</t>
  </si>
  <si>
    <t>Ian Gabrielle Jimenez</t>
  </si>
  <si>
    <t>Senior IoT Engineer</t>
  </si>
  <si>
    <t>Ferdinand Yanto III</t>
  </si>
  <si>
    <t>Chief Technology Officer</t>
  </si>
  <si>
    <t>jj</t>
  </si>
  <si>
    <t>20260000206</t>
  </si>
  <si>
    <t>R280SPBLU2500</t>
  </si>
  <si>
    <t>R280 Sport 2500W Blue</t>
  </si>
  <si>
    <t>-</t>
  </si>
  <si>
    <t>John Martin Ysaac</t>
  </si>
  <si>
    <t>ajdbhjdsbfjjnal</t>
  </si>
  <si>
    <t>IoT Engineer</t>
  </si>
  <si>
    <t>20260000004</t>
  </si>
  <si>
    <t>R280WHI2000</t>
  </si>
  <si>
    <t>R280 2000W White</t>
  </si>
  <si>
    <t>Recipient Email:</t>
  </si>
  <si>
    <t>rdelacruz@nrdev.ph</t>
  </si>
  <si>
    <t>Haide Garcia</t>
  </si>
  <si>
    <t>HR Manager</t>
  </si>
  <si>
    <t xml:space="preserve"> </t>
  </si>
  <si>
    <t>FLEXRIDE</t>
  </si>
  <si>
    <t>Marikina</t>
  </si>
  <si>
    <t>R280BLA2000</t>
  </si>
  <si>
    <t>R280 2000W Black</t>
  </si>
  <si>
    <t>REQUESTED BY:</t>
  </si>
  <si>
    <t>Samuel Kniazeff Jr</t>
  </si>
  <si>
    <t>Operations &amp; Product Director</t>
  </si>
  <si>
    <r>
      <rPr>
        <rFont val="Figtree"/>
        <b/>
        <color theme="1"/>
        <sz val="9.0"/>
      </rPr>
      <t xml:space="preserve">APPROVED BY:
</t>
    </r>
    <r>
      <rPr>
        <rFont val="Figtree"/>
        <b/>
        <color theme="1"/>
        <sz val="7.0"/>
      </rPr>
      <t>(REQUESTOR DEPT HEAD)</t>
    </r>
  </si>
  <si>
    <t>Jerick Limoanco</t>
  </si>
  <si>
    <r>
      <rPr>
        <rFont val="Figtree"/>
        <b/>
        <color theme="1"/>
        <sz val="9.0"/>
      </rPr>
      <t xml:space="preserve">APPROVED BY: 
</t>
    </r>
    <r>
      <rPr>
        <rFont val="Figtree"/>
        <b/>
        <color theme="1"/>
        <sz val="7.0"/>
      </rPr>
      <t>(SUPPLY CHAIN HEAD)</t>
    </r>
  </si>
  <si>
    <t>09175645545</t>
  </si>
  <si>
    <t>D400RED4000</t>
  </si>
  <si>
    <t>D400 4000W Red</t>
  </si>
  <si>
    <t>Christopher Mendoza</t>
  </si>
  <si>
    <t>Sr. Mechanic</t>
  </si>
  <si>
    <t>Ron Dela Cruz</t>
  </si>
  <si>
    <t>Mac Fernando Lubi</t>
  </si>
  <si>
    <t>After Sales Manager</t>
  </si>
  <si>
    <t>Sales</t>
  </si>
  <si>
    <t>N/A</t>
  </si>
  <si>
    <t>D400BLU4000</t>
  </si>
  <si>
    <t>D400 4000W Blue</t>
  </si>
  <si>
    <t>Done</t>
  </si>
  <si>
    <t>Judielle Guce</t>
  </si>
  <si>
    <t>Project Management Officer</t>
  </si>
  <si>
    <t>20260000005</t>
  </si>
  <si>
    <t>Judy Joy Rosare</t>
  </si>
  <si>
    <t>rdelacryz@nrdev.ph</t>
  </si>
  <si>
    <t>Position:</t>
  </si>
  <si>
    <t>D400BLK4000</t>
  </si>
  <si>
    <t>Lease</t>
  </si>
  <si>
    <t>D400 4000W Black</t>
  </si>
  <si>
    <t>Jhon Emmanuel Usi</t>
  </si>
  <si>
    <t>Dasma Village</t>
  </si>
  <si>
    <t>Dasma Village Makati</t>
  </si>
  <si>
    <t>R280V2WHI2000</t>
  </si>
  <si>
    <t>Logistics Expert</t>
  </si>
  <si>
    <t>R280 2000W White V2</t>
  </si>
  <si>
    <t>Crisanta Pagador</t>
  </si>
  <si>
    <t>Orlando Bueno</t>
  </si>
  <si>
    <t>Sales Admin</t>
  </si>
  <si>
    <t>09177005363</t>
  </si>
  <si>
    <t>ESP00291</t>
  </si>
  <si>
    <t>pc</t>
  </si>
  <si>
    <t>Arby Mostrales</t>
  </si>
  <si>
    <t>Warehouse Expert</t>
  </si>
  <si>
    <t>ESP00262</t>
  </si>
  <si>
    <t>DONE</t>
  </si>
  <si>
    <t>Erwin Javillonar</t>
  </si>
  <si>
    <t>CS Supervisor</t>
  </si>
  <si>
    <t>20260000006</t>
  </si>
  <si>
    <t>cmendoza@nrdev.ph</t>
  </si>
  <si>
    <t>Inventory Transfer</t>
  </si>
  <si>
    <t>ESP00263</t>
  </si>
  <si>
    <t>RideBox Battery (Ampace)</t>
  </si>
  <si>
    <t>NRD SERVICE CENTER</t>
  </si>
  <si>
    <t>Emmanuele Rapatan</t>
  </si>
  <si>
    <t>Unit 8 and 9 Ground Floor One Sta. Rosa Prime (Caltex) Brgy Dila City of Sta Rosa Laguna</t>
  </si>
  <si>
    <t>ESP00073</t>
  </si>
  <si>
    <t>Glove Box (R280/Sport)</t>
  </si>
  <si>
    <t>Anne Estadilla</t>
  </si>
  <si>
    <t>+63 917 128 6414</t>
  </si>
  <si>
    <t>ESP00104</t>
  </si>
  <si>
    <t>Rear Bottom cover (R280/Sport)</t>
  </si>
  <si>
    <t>2 pcs Front Tire 90/90-12 (R280/Sports) / 44701-ET01-A000
2 pcs Rear Tire 90/90-12 (R280/Sports) / 42701-ET01-A000
1 pc Rear Tire 110/80-14 (D400) / 42701-MX-A000
1 pc Front Tire 110-80-16 (D400) / 44701-MX-A000
3 pcs Head Light Guard (R280 Sports) /
1 pc Controller Assembly (D400) / 30100-MX-A001
2 pcs Speedometer (D400) / 37200-MX-A001
3 cans Brake cleaner</t>
  </si>
  <si>
    <t>CHANGE ORDER</t>
  </si>
  <si>
    <t>Sam Lim Jr.</t>
  </si>
  <si>
    <t>Sales &amp; Marketing Manager</t>
  </si>
  <si>
    <t>Product &amp; Quality Management</t>
  </si>
  <si>
    <t>CO #:</t>
  </si>
  <si>
    <t>ESP00120</t>
  </si>
  <si>
    <t>20260000007</t>
  </si>
  <si>
    <t>Central Cover (R280/Sport)</t>
  </si>
  <si>
    <t>Roy Patrick Nepomuceno</t>
  </si>
  <si>
    <t>RideBox Manager</t>
  </si>
  <si>
    <t>samuel@nrdev.ph</t>
  </si>
  <si>
    <t>Others</t>
  </si>
  <si>
    <t>Not applicable</t>
  </si>
  <si>
    <t>ESP00103</t>
  </si>
  <si>
    <t>Head Light (R280/Sport)</t>
  </si>
  <si>
    <t>E88V - Quality Management (c/o Criz)</t>
  </si>
  <si>
    <t>174 Acacia St</t>
  </si>
  <si>
    <t>Criz Mendoza</t>
  </si>
  <si>
    <t>ESP00124</t>
  </si>
  <si>
    <t>Front Panel (R280 Black)</t>
  </si>
  <si>
    <t>3 Long Seats (R280)</t>
  </si>
  <si>
    <t>samuel</t>
  </si>
  <si>
    <t>ESP00125</t>
  </si>
  <si>
    <t>Front Panel (R280 White)</t>
  </si>
  <si>
    <t>Swap with Regular Seat (R280)</t>
  </si>
  <si>
    <t>CHANGE REQUEST(S):</t>
  </si>
  <si>
    <t>20260000008</t>
  </si>
  <si>
    <t>ESP00123</t>
  </si>
  <si>
    <t>Front Panel (R280 Sport Blue)</t>
  </si>
  <si>
    <t>Original</t>
  </si>
  <si>
    <t>Proposed</t>
  </si>
  <si>
    <t>Change Item Code</t>
  </si>
  <si>
    <t>asgard</t>
  </si>
  <si>
    <t>ESP00122</t>
  </si>
  <si>
    <t>Front Panel (R280 Sport Red)</t>
  </si>
  <si>
    <t>174 acacia st</t>
  </si>
  <si>
    <t>Change Description</t>
  </si>
  <si>
    <t>Change Quantity</t>
  </si>
  <si>
    <t>jervy / gerald</t>
  </si>
  <si>
    <t>ESP00276</t>
  </si>
  <si>
    <t>Change Fulfillment Method</t>
  </si>
  <si>
    <t>Front Panel v2(R280 White)</t>
  </si>
  <si>
    <t>xxxx</t>
  </si>
  <si>
    <t>Change Fulfillment Date</t>
  </si>
  <si>
    <t>Change Address</t>
  </si>
  <si>
    <t>ESP00113</t>
  </si>
  <si>
    <t>Seat (R280/Sport)</t>
  </si>
  <si>
    <t>samuel kniazeff jr</t>
  </si>
  <si>
    <t>provide 2 helmets (not new)</t>
  </si>
  <si>
    <t>ESP00281</t>
  </si>
  <si>
    <t>20260000009</t>
  </si>
  <si>
    <t>Seat v2 (R280/Sports)</t>
  </si>
  <si>
    <t>ESP00178</t>
  </si>
  <si>
    <t>Front Panel (D400)</t>
  </si>
  <si>
    <t>e88 ventures</t>
  </si>
  <si>
    <t>ESP00167</t>
  </si>
  <si>
    <t>richard / jaycer</t>
  </si>
  <si>
    <t>Right Decorative Panel (D400 Blue)</t>
  </si>
  <si>
    <t>FULFILLMENT DETAILS:</t>
  </si>
  <si>
    <t>APPROVED BY (DEPT HEAD):</t>
  </si>
  <si>
    <t>ESP00169</t>
  </si>
  <si>
    <t>Fulfillment Method:</t>
  </si>
  <si>
    <t>Left Decorative Panel (D400 Blue)</t>
  </si>
  <si>
    <t>cancel</t>
  </si>
  <si>
    <t>20260000010</t>
  </si>
  <si>
    <t>ESP00173</t>
  </si>
  <si>
    <t>Left Front Protective Panel (D400 Blue)</t>
  </si>
  <si>
    <t>Company/Client:</t>
  </si>
  <si>
    <t>GREG RIVERA</t>
  </si>
  <si>
    <t>Replacemet for D400 Defective Speedometer</t>
  </si>
  <si>
    <t>CHIEF COMMERCIAL OFFICER</t>
  </si>
  <si>
    <t>Address:</t>
  </si>
  <si>
    <t>ESP00174</t>
  </si>
  <si>
    <t>Right Front Protective Panel (D400 Blue)</t>
  </si>
  <si>
    <t>Delivery/Pick up Date:</t>
  </si>
  <si>
    <t>christopher c mendoza</t>
  </si>
  <si>
    <t>ESP00177</t>
  </si>
  <si>
    <t>Front Wheel Fender (D400 Blue)</t>
  </si>
  <si>
    <t>09608978870</t>
  </si>
  <si>
    <t>Delivery/Pick up Time:</t>
  </si>
  <si>
    <t>ESP00168</t>
  </si>
  <si>
    <t>replacement for new unit to be released</t>
  </si>
  <si>
    <t>Right Decorative Panel (D400 Red)</t>
  </si>
  <si>
    <t>D400 speedometer replacement for new unit to be released</t>
  </si>
  <si>
    <t>20260000011</t>
  </si>
  <si>
    <t>ESP00170</t>
  </si>
  <si>
    <t>Left Decorative Panel (D400 Red)</t>
  </si>
  <si>
    <t>REQ ID</t>
  </si>
  <si>
    <t>ESP00172</t>
  </si>
  <si>
    <t>Forest Hill</t>
  </si>
  <si>
    <t>Left Front Protective Panel (D400 Red)</t>
  </si>
  <si>
    <t>Code</t>
  </si>
  <si>
    <t>Rizal</t>
  </si>
  <si>
    <t>REQUESTS</t>
  </si>
  <si>
    <t>Unit</t>
  </si>
  <si>
    <r>
      <rPr>
        <rFont val="Figtree"/>
        <b/>
        <color theme="1"/>
        <sz val="9.0"/>
      </rPr>
      <t xml:space="preserve">APPROVED BY:
</t>
    </r>
    <r>
      <rPr>
        <rFont val="Figtree"/>
        <b/>
        <color theme="1"/>
        <sz val="7.0"/>
      </rPr>
      <t>(REQUESTOR DEPT HEAD)</t>
    </r>
  </si>
  <si>
    <r>
      <rPr>
        <rFont val="Figtree"/>
        <b/>
        <color theme="1"/>
        <sz val="9.0"/>
      </rPr>
      <t xml:space="preserve">APPROVED BY: 
</t>
    </r>
    <r>
      <rPr>
        <rFont val="Figtree"/>
        <b/>
        <color theme="1"/>
        <sz val="7.0"/>
      </rPr>
      <t>(SUPPLY CHAIN HEAD)</t>
    </r>
  </si>
  <si>
    <t>ESP00175</t>
  </si>
  <si>
    <t>Martin Limgenco</t>
  </si>
  <si>
    <t>Right Front Protective Panel (D400 Red)</t>
  </si>
  <si>
    <t>Spareparts/Qty</t>
  </si>
  <si>
    <t>09173219779</t>
  </si>
  <si>
    <t>ESP00176</t>
  </si>
  <si>
    <t>Front Wheel Fender (D400 Red)</t>
  </si>
  <si>
    <t>ron dela cruz</t>
  </si>
  <si>
    <t>ESP00282</t>
  </si>
  <si>
    <t>Right Decorative Panel (D400 Black)</t>
  </si>
  <si>
    <t>20260000012</t>
  </si>
  <si>
    <t>ESP00283</t>
  </si>
  <si>
    <t>Left Decorative Panel (D400 Black)</t>
  </si>
  <si>
    <t>Forest Hill Golf &amp; Country Club Antipolo Rizal</t>
  </si>
  <si>
    <t>ESP00284</t>
  </si>
  <si>
    <t>Left Front Protective Panel (D400 Black)</t>
  </si>
  <si>
    <t>ESP00285</t>
  </si>
  <si>
    <t>Right Front Protective Panel (D400 Black)</t>
  </si>
  <si>
    <t>ESP00286</t>
  </si>
  <si>
    <t>Front Wheel Fender (D400 Black)</t>
  </si>
  <si>
    <t>20260000013</t>
  </si>
  <si>
    <t>ESP00164</t>
  </si>
  <si>
    <t>Right Rear Protective Side Panel (D400)</t>
  </si>
  <si>
    <t>174 acacia</t>
  </si>
  <si>
    <t>ESP00165</t>
  </si>
  <si>
    <t>Left Rear Protective Side Panel (D400)</t>
  </si>
  <si>
    <t>white front wings</t>
  </si>
  <si>
    <t>ESP00183</t>
  </si>
  <si>
    <t>Right Front Decorative Strip (D400)</t>
  </si>
  <si>
    <t>install to sample unit in TCI</t>
  </si>
  <si>
    <t>pair of front white wings</t>
  </si>
  <si>
    <t>ESP00184</t>
  </si>
  <si>
    <t>Left Front Decorative Strip (D400)</t>
  </si>
  <si>
    <t>20260000014</t>
  </si>
  <si>
    <t>ESP00185</t>
  </si>
  <si>
    <t>Head Light Frame (D400)</t>
  </si>
  <si>
    <t xml:space="preserve">E88 </t>
  </si>
  <si>
    <t>ESP00193</t>
  </si>
  <si>
    <t>Head Light (D400)</t>
  </si>
  <si>
    <t>Reynan Lllaneta</t>
  </si>
  <si>
    <t>+63 993 437 1465</t>
  </si>
  <si>
    <t>ESP00194</t>
  </si>
  <si>
    <t>Tail Light (D400)</t>
  </si>
  <si>
    <t>Back up Battery for Forest Hills Demo unit</t>
  </si>
  <si>
    <t>20260000015</t>
  </si>
  <si>
    <t>ESP00292</t>
  </si>
  <si>
    <t>Service Warranty Booklet</t>
  </si>
  <si>
    <t>Various</t>
  </si>
  <si>
    <t>EFS00012</t>
  </si>
  <si>
    <t>Service Manual Booklet (R280/Sports)</t>
  </si>
  <si>
    <t>09062924124</t>
  </si>
  <si>
    <t>EFS00013</t>
  </si>
  <si>
    <t>Service Manual Booklet (D400)</t>
  </si>
  <si>
    <t>Deployment</t>
  </si>
  <si>
    <t>ESP00067</t>
  </si>
  <si>
    <t>Hub Motor (R280/Sport)</t>
  </si>
  <si>
    <t>Booking 3 lockers and 12 batteries in advance for BSS Deploymeny</t>
  </si>
  <si>
    <t>20260000016</t>
  </si>
  <si>
    <t>ESP00246</t>
  </si>
  <si>
    <t>Hub Motor (R280 Sport) - 75KM/H</t>
  </si>
  <si>
    <t>jguce@nrdev.ph</t>
  </si>
  <si>
    <t>Lease to Client</t>
  </si>
  <si>
    <t>Wemove Technology Inc.</t>
  </si>
  <si>
    <t>BATCH8A</t>
  </si>
  <si>
    <t>Battery Charger 8A</t>
  </si>
  <si>
    <t>UNIT 205, 1409 PABLO OCAMPO SR. EXT, MAKATI CITY, 1203 METRO MANILA</t>
  </si>
  <si>
    <t>JJ Cabral</t>
  </si>
  <si>
    <t>EFS00009</t>
  </si>
  <si>
    <t>63 908 863 6620</t>
  </si>
  <si>
    <t>EFS00014</t>
  </si>
  <si>
    <t>2 Additional Battery</t>
  </si>
  <si>
    <t>Acrylic temporary plate -OKLA</t>
  </si>
  <si>
    <t>Project Management &amp; Compliance</t>
  </si>
  <si>
    <t>paid pilot for 1 month</t>
  </si>
  <si>
    <t>ESP00137</t>
  </si>
  <si>
    <t>Rear Tire 110/80-14 (D400)</t>
  </si>
  <si>
    <t>20260000017</t>
  </si>
  <si>
    <t>ESP00138</t>
  </si>
  <si>
    <t>Front Tire 110-80-16 (D400)</t>
  </si>
  <si>
    <t>ESP00149</t>
  </si>
  <si>
    <t>09177680944</t>
  </si>
  <si>
    <t>Front Wheel (D400)</t>
  </si>
  <si>
    <t>r280sport side wing</t>
  </si>
  <si>
    <t>ESP00150</t>
  </si>
  <si>
    <t>Rear Wheel (D400)</t>
  </si>
  <si>
    <t>for demo unit</t>
  </si>
  <si>
    <t>20260000018</t>
  </si>
  <si>
    <t>ESP00139</t>
  </si>
  <si>
    <t>Side Motor (D400)</t>
  </si>
  <si>
    <t>E88 - Samuel Kniazeff</t>
  </si>
  <si>
    <t>E88 Ventures, Inc.</t>
  </si>
  <si>
    <t>ESP00151</t>
  </si>
  <si>
    <t>Foot Pedal (D400)</t>
  </si>
  <si>
    <t>RJ Jardiniano</t>
  </si>
  <si>
    <t>+639171077992</t>
  </si>
  <si>
    <t>ESP00141</t>
  </si>
  <si>
    <t>Tool Box (D400)</t>
  </si>
  <si>
    <t>ESP00217	Left Combination Switch (D400) / 1</t>
  </si>
  <si>
    <t>Replacement of Left Combination Switch (D400)</t>
  </si>
  <si>
    <t>ESP00142</t>
  </si>
  <si>
    <t>Rear Luggage Carrier Protective Part (D400)</t>
  </si>
  <si>
    <t>20260000019</t>
  </si>
  <si>
    <t>tmasiglat@nrdev.ph</t>
  </si>
  <si>
    <t>ESP00145</t>
  </si>
  <si>
    <t>Right Side Body Protective Cover (D400)</t>
  </si>
  <si>
    <t>Phoenix Petroleum Philippines, Inc.</t>
  </si>
  <si>
    <t>The Atrium at Enderun, 1100 Campus Avenue, McKinley Hill, Taguig
City</t>
  </si>
  <si>
    <t>ESP00146</t>
  </si>
  <si>
    <t>Left Side Body Protective Cover (D400)</t>
  </si>
  <si>
    <t>ESP00192</t>
  </si>
  <si>
    <t>Central Cover (D400)</t>
  </si>
  <si>
    <t>Thea Masiglat</t>
  </si>
  <si>
    <t>09171022450</t>
  </si>
  <si>
    <t>ESP00180</t>
  </si>
  <si>
    <t>Left Front Protective Side (D400 Blue)</t>
  </si>
  <si>
    <t>Marketing</t>
  </si>
  <si>
    <t>ESP00181</t>
  </si>
  <si>
    <t>Right Front Protective Side (D400 Blue)</t>
  </si>
  <si>
    <t>Yung booth namen heheh if nakapack jan, pasabay heheheh</t>
  </si>
  <si>
    <t>20260000020</t>
  </si>
  <si>
    <t>ESP00179</t>
  </si>
  <si>
    <t>Left Front Protective Side (D400 Red)</t>
  </si>
  <si>
    <t>ESP00182</t>
  </si>
  <si>
    <t>Right Front Protective Side (D400 Red)</t>
  </si>
  <si>
    <t>ESP00287</t>
  </si>
  <si>
    <t>Left Front Protective Side Panel (D400 Black)</t>
  </si>
  <si>
    <t xml:space="preserve">SWITCH LOCK ASSY W/KEY       3PCS
CONTROLLER 65A                        1PC
SPEEDOMETER(R280)                 2PCS
CUSHION SEAT LOCK CABLE     2PCS
MAIN WIRING HARNESS             1PC
SPEEDOMETER(D400)                 1PC
POWER TRAIN/MOTOR                1PC
</t>
  </si>
  <si>
    <t>Christopher C. Mendoza</t>
  </si>
  <si>
    <t>ESP00288</t>
  </si>
  <si>
    <t>Right Front Protective Side Panel (D400 Black)</t>
  </si>
  <si>
    <t>FOR WH</t>
  </si>
  <si>
    <t>20260000021</t>
  </si>
  <si>
    <t>ESP00144</t>
  </si>
  <si>
    <t>Bottom Cover (D400)</t>
  </si>
  <si>
    <t>ESP00148</t>
  </si>
  <si>
    <t>NRD warehouse</t>
  </si>
  <si>
    <t>Rear Bottom cover (D400)</t>
  </si>
  <si>
    <t>174 Acacia st., octagogan vill. dela paz pasig</t>
  </si>
  <si>
    <t>Christopher C Mendoza</t>
  </si>
  <si>
    <t>ESP00152</t>
  </si>
  <si>
    <t>Rear Fender (D400)</t>
  </si>
  <si>
    <t>Speedometer (D400) ESP00224</t>
  </si>
  <si>
    <t>ESP00153</t>
  </si>
  <si>
    <t>Rear Part of Rear Inner Fender (D400)</t>
  </si>
  <si>
    <t>Replacement for the brandnew unit with faulty dashboard</t>
  </si>
  <si>
    <t>20260000022</t>
  </si>
  <si>
    <t>ESP00259</t>
  </si>
  <si>
    <t>Battery Lock (Batten) (D400)</t>
  </si>
  <si>
    <t>haide@nrdev.ph</t>
  </si>
  <si>
    <t>ESP00186</t>
  </si>
  <si>
    <t>Front Visor (D400)</t>
  </si>
  <si>
    <t>Pick up at Asgard</t>
  </si>
  <si>
    <t>ESP00208</t>
  </si>
  <si>
    <t>CBS Brake Sytem (D400)</t>
  </si>
  <si>
    <t>(0917) 768 0944</t>
  </si>
  <si>
    <t>ESP00211</t>
  </si>
  <si>
    <t>Battery Connector (D400)</t>
  </si>
  <si>
    <t>Human Resources</t>
  </si>
  <si>
    <t>20260000023</t>
  </si>
  <si>
    <t>ESP00213</t>
  </si>
  <si>
    <t>Side Mirror (D400)</t>
  </si>
  <si>
    <t>ESP00261</t>
  </si>
  <si>
    <t>Flange Plate (D400)</t>
  </si>
  <si>
    <t>Premiere Southern Petroleum Corp.</t>
  </si>
  <si>
    <t>ESP00021</t>
  </si>
  <si>
    <t>Ball Race (R280/Sport)</t>
  </si>
  <si>
    <t>Julius Aguas</t>
  </si>
  <si>
    <t>09178465183</t>
  </si>
  <si>
    <t>ESP00253</t>
  </si>
  <si>
    <t>Rear Brake Caliper Bracket (R280/Sports)</t>
  </si>
  <si>
    <t>For 2 weeks</t>
  </si>
  <si>
    <t>Not sure pa if Monday or Tuesday, but best prepared early for pilot testing. Thank you!</t>
  </si>
  <si>
    <t>ESP00255</t>
  </si>
  <si>
    <t>20260000024</t>
  </si>
  <si>
    <t>ESP00071</t>
  </si>
  <si>
    <t>Side Mirror (R280/Sport)</t>
  </si>
  <si>
    <t>ESP00078</t>
  </si>
  <si>
    <t>Bottom Cover (R280/Sport)</t>
  </si>
  <si>
    <t>QuadX</t>
  </si>
  <si>
    <t>Na</t>
  </si>
  <si>
    <t>ESP00079</t>
  </si>
  <si>
    <t>Front Bottom Cover (R280/Sport)</t>
  </si>
  <si>
    <t>Toni Nodalo</t>
  </si>
  <si>
    <t>09675019247</t>
  </si>
  <si>
    <t>4 total</t>
  </si>
  <si>
    <t>ESP00134</t>
  </si>
  <si>
    <t>CBS Brake Sytem (R280/Sport)</t>
  </si>
  <si>
    <t>ESP00086</t>
  </si>
  <si>
    <t>Controller Assembly 65A (R280 Sport)</t>
  </si>
  <si>
    <t>20260000025</t>
  </si>
  <si>
    <t>ESP00084</t>
  </si>
  <si>
    <t>Air Nozzle</t>
  </si>
  <si>
    <t>Hitchpro Southside HQ</t>
  </si>
  <si>
    <t>343 Poblete Compound (P7 warehouse) Sun Valley, Parañaque City</t>
  </si>
  <si>
    <t>ESP00247</t>
  </si>
  <si>
    <t>Foot Pegs (R280/Sport)</t>
  </si>
  <si>
    <t>Kim</t>
  </si>
  <si>
    <t>+63 947 890 8545</t>
  </si>
  <si>
    <t>ESP00249</t>
  </si>
  <si>
    <t>Side Stand power-off switch (R280/Sport)</t>
  </si>
  <si>
    <t>ESP00244</t>
  </si>
  <si>
    <t>Flasher (R280/Sport)</t>
  </si>
  <si>
    <t>prototypes for the rear top boxes</t>
  </si>
  <si>
    <t>20260000026</t>
  </si>
  <si>
    <t>ESP00115</t>
  </si>
  <si>
    <t>Battery Box (R280/Sport)</t>
  </si>
  <si>
    <t>ESP00117</t>
  </si>
  <si>
    <t>Main Steering Cover (R280/Sport)</t>
  </si>
  <si>
    <t>E88 Ventures, Inc. / Ronwaldo Dela Cruz</t>
  </si>
  <si>
    <t>E88 Asgard Warehouse</t>
  </si>
  <si>
    <t>Ronwaldo Dela Cruz</t>
  </si>
  <si>
    <t>ESP00135</t>
  </si>
  <si>
    <t>Driver Seat (D400)</t>
  </si>
  <si>
    <t>+639177680944</t>
  </si>
  <si>
    <t>ESP00147</t>
  </si>
  <si>
    <t>Front Bottom Cover (D400)</t>
  </si>
  <si>
    <t>For testing c/o Ron - will return same day</t>
  </si>
  <si>
    <t>20260000027</t>
  </si>
  <si>
    <t>ESP00143</t>
  </si>
  <si>
    <t>Round Charging Port (D400)</t>
  </si>
  <si>
    <t>jysaac@nrdev.ph</t>
  </si>
  <si>
    <t>E88 Ventures, Inc</t>
  </si>
  <si>
    <t>TBA</t>
  </si>
  <si>
    <t>ESP00154</t>
  </si>
  <si>
    <t>Right Armrest (D400)</t>
  </si>
  <si>
    <t>09062858290</t>
  </si>
  <si>
    <t>ESP00155</t>
  </si>
  <si>
    <t>Left Armrest (D400)</t>
  </si>
  <si>
    <t>Replacement for offline batteries</t>
  </si>
  <si>
    <t>This is only for back-up once on-stie so replacements will be available. Please make sure batteries are online and whitelisted thank you</t>
  </si>
  <si>
    <t>ESP00156</t>
  </si>
  <si>
    <t>Rear Carrier (D400)</t>
  </si>
  <si>
    <t>20260000028</t>
  </si>
  <si>
    <t>ESP00157</t>
  </si>
  <si>
    <t>Center Stand (D400)</t>
  </si>
  <si>
    <t xml:space="preserve">OKLA / </t>
  </si>
  <si>
    <t>OKLA - China</t>
  </si>
  <si>
    <t>ESP00158</t>
  </si>
  <si>
    <t>Steering Handle (D400)</t>
  </si>
  <si>
    <t>Okla - Kamal</t>
  </si>
  <si>
    <t>ESP00160</t>
  </si>
  <si>
    <t>PARTS-ESP00086-Controller Assembly 65A (R280 Sport) / 41	                                                        PARTS- ESP00097 / Left Rear Fork Cover (R280 White)	/ 2                                                                          PARTS-ESP00025 / Switch Lock Assy with Key (R280/Sport) / 2                                                                 	PARTS- ESP00225 / Speedometer bracket (D400)	/ 2                                                                             PARTS- ESP00224 / Speedometer (D400) / 1</t>
  </si>
  <si>
    <t>Front Panel bracket (D400)</t>
  </si>
  <si>
    <t>ESP00203</t>
  </si>
  <si>
    <t>Shock Front Absorber (Left) (D400)</t>
  </si>
  <si>
    <t>20260000029</t>
  </si>
  <si>
    <t>ESP00204</t>
  </si>
  <si>
    <t>Shock Front Absorber (Right) (D400)</t>
  </si>
  <si>
    <t>Cornerstone</t>
  </si>
  <si>
    <t>Cornerstone Building San Juan City https://share.google/tIUMZga7WRWKOCu96</t>
  </si>
  <si>
    <t>ESP00205</t>
  </si>
  <si>
    <t>Rear Shock (D400)</t>
  </si>
  <si>
    <t>Engr. Rey</t>
  </si>
  <si>
    <t>0925 716 3813</t>
  </si>
  <si>
    <t>ESP00206</t>
  </si>
  <si>
    <t>Steering column (D400)</t>
  </si>
  <si>
    <t>For cornerstone</t>
  </si>
  <si>
    <t>20260000030</t>
  </si>
  <si>
    <t>ESP00218</t>
  </si>
  <si>
    <t>Ball Race (D400)</t>
  </si>
  <si>
    <t>Corinthian Hills</t>
  </si>
  <si>
    <t>ESP00228</t>
  </si>
  <si>
    <t>Rear Fender Bracket (D400)</t>
  </si>
  <si>
    <t>Corinthian Hills Gate 1</t>
  </si>
  <si>
    <t>Engr. Murphy  Pobocan Cabalquinto</t>
  </si>
  <si>
    <t>0905 219 1125</t>
  </si>
  <si>
    <t>ESP00233</t>
  </si>
  <si>
    <t>Vin Cover (D400)</t>
  </si>
  <si>
    <t>Asset</t>
  </si>
  <si>
    <t>20260000031</t>
  </si>
  <si>
    <t>ESP00239</t>
  </si>
  <si>
    <t>Side Stand Censor (D400)</t>
  </si>
  <si>
    <t>Donation</t>
  </si>
  <si>
    <t>Barangay San Antonio</t>
  </si>
  <si>
    <t>ESP00240</t>
  </si>
  <si>
    <t>Center Stand Axle (D400)</t>
  </si>
  <si>
    <t>Gen. Malvar St., Barangay San Antonio, Pasig City</t>
  </si>
  <si>
    <t>ESP00241</t>
  </si>
  <si>
    <t>Rear Wheel Axle (D400)</t>
  </si>
  <si>
    <t>Raymond Lising</t>
  </si>
  <si>
    <t>n/a</t>
  </si>
  <si>
    <t>ESP00242</t>
  </si>
  <si>
    <t>Front Wheel Axle (D400)</t>
  </si>
  <si>
    <t>ESP00248</t>
  </si>
  <si>
    <t>Foot pedal cover (D400)</t>
  </si>
  <si>
    <t>1 D400 Red and R280 Sport Blue</t>
  </si>
  <si>
    <t>20260000032</t>
  </si>
  <si>
    <t>ESP00289</t>
  </si>
  <si>
    <t>Charging Port in Vehicle (D400)</t>
  </si>
  <si>
    <t>ESP00290</t>
  </si>
  <si>
    <t>Controller Wire Cover (D400)</t>
  </si>
  <si>
    <t>BF Homes Paranaque</t>
  </si>
  <si>
    <t>ESP00055</t>
  </si>
  <si>
    <t>Front Rim (R280/Sport)</t>
  </si>
  <si>
    <t xml:space="preserve">Check with Greg </t>
  </si>
  <si>
    <t>check with Greg</t>
  </si>
  <si>
    <t>ESP00058</t>
  </si>
  <si>
    <t>Front Wheel Axle (R280/Sport)</t>
  </si>
  <si>
    <t>5 D400 Red, and 5 R280 Sport Blue (whichever is higher in the inventory)</t>
  </si>
  <si>
    <t>ESP00062</t>
  </si>
  <si>
    <t>Center Stand Pin (R280/Sport)</t>
  </si>
  <si>
    <t>20260000033</t>
  </si>
  <si>
    <t>ESP00074</t>
  </si>
  <si>
    <t>Shock Front Absorber- Left (R280/Sport)</t>
  </si>
  <si>
    <t xml:space="preserve">Alfamart </t>
  </si>
  <si>
    <t>Alfamart Ibayo Tipaz Taguig</t>
  </si>
  <si>
    <t>ESP00075</t>
  </si>
  <si>
    <t>Shock Front Absorber- Right (R280/Sport)</t>
  </si>
  <si>
    <t>Dagz Cabangisan</t>
  </si>
  <si>
    <t>0977 716 4472</t>
  </si>
  <si>
    <t>ESP00080</t>
  </si>
  <si>
    <t>Passenger Left Grab Handle (R280/Sport)</t>
  </si>
  <si>
    <t>ESP00257</t>
  </si>
  <si>
    <t>Passenger Right Grab Handle (R280/Sports)</t>
  </si>
  <si>
    <t>20260000034</t>
  </si>
  <si>
    <t>ESP00082</t>
  </si>
  <si>
    <t>Steering column (R280/Sport)</t>
  </si>
  <si>
    <t>Fidel Suarez</t>
  </si>
  <si>
    <t>Warehouse</t>
  </si>
  <si>
    <t>ESP00116</t>
  </si>
  <si>
    <t>Rear Shock (R280/Sport)</t>
  </si>
  <si>
    <t>09176167757</t>
  </si>
  <si>
    <t>1pc R280 Controller 50A</t>
  </si>
  <si>
    <t>ESP00280</t>
  </si>
  <si>
    <t>Rear Wheel Axle (R280/Sport)</t>
  </si>
  <si>
    <t>Under warranty</t>
  </si>
  <si>
    <t>20260000035</t>
  </si>
  <si>
    <t>ESP00065</t>
  </si>
  <si>
    <t>Front Tire 90/90-12 (R280/Sport)</t>
  </si>
  <si>
    <t>eusi@nrdev.ph</t>
  </si>
  <si>
    <t>Power Fill Barangka</t>
  </si>
  <si>
    <t>ESP00066</t>
  </si>
  <si>
    <t>Rear Tire 90/90-12 (R280/Sport)</t>
  </si>
  <si>
    <t>349 Barangka Dr., Mandaluyong City, 1550 Kalakhang Maynila</t>
  </si>
  <si>
    <t>ESP00140</t>
  </si>
  <si>
    <t>Battery Box (D400)</t>
  </si>
  <si>
    <t>Battery replacement for PF Barangka</t>
  </si>
  <si>
    <t>20260000036</t>
  </si>
  <si>
    <t>ESP00056</t>
  </si>
  <si>
    <t>Main Steering Small Cover (R280/Sport)</t>
  </si>
  <si>
    <t>ESP00254</t>
  </si>
  <si>
    <t>Controller Wire Cover (R280/Sports)</t>
  </si>
  <si>
    <t>JRS</t>
  </si>
  <si>
    <t>19 Brixton St, Pasig, 1603 Metro Manila</t>
  </si>
  <si>
    <t>Joprang</t>
  </si>
  <si>
    <t>09771975432</t>
  </si>
  <si>
    <t>ESP00076</t>
  </si>
  <si>
    <t>Cushion Seat Lock Cable (R280/Sport)</t>
  </si>
  <si>
    <t>ESP00094</t>
  </si>
  <si>
    <t>Battery Lock (Batten) (R280/Sport)</t>
  </si>
  <si>
    <t>Eto po yung D400 unit with the JRS Topbox. Thankies!</t>
  </si>
  <si>
    <t>20260000037</t>
  </si>
  <si>
    <t>ESP00036</t>
  </si>
  <si>
    <t>Rear Head Cover (R280 Black)</t>
  </si>
  <si>
    <t>Corinthian Garden</t>
  </si>
  <si>
    <t>ESP00041</t>
  </si>
  <si>
    <t>Corinthian Garden - to follow exact location</t>
  </si>
  <si>
    <t>Front Head Cover (R280 Black)</t>
  </si>
  <si>
    <t>Engr. Murphy</t>
  </si>
  <si>
    <t>ESP00044</t>
  </si>
  <si>
    <t>09062191125</t>
  </si>
  <si>
    <t>Rear Central Cover (R280 Black)</t>
  </si>
  <si>
    <t>ESP00048</t>
  </si>
  <si>
    <t>Front Upper Head Cover (R280 Black)</t>
  </si>
  <si>
    <t>ESP00052</t>
  </si>
  <si>
    <t>Head light decoration cover (R280 Black)</t>
  </si>
  <si>
    <t>20260000038</t>
  </si>
  <si>
    <t>ESP00098</t>
  </si>
  <si>
    <t>Left Rear Fork Cover (R280 Black)</t>
  </si>
  <si>
    <t>Alfamart 1499 Jordan Planes QC</t>
  </si>
  <si>
    <t>1011 F. Salvador Ave., Jordan Plaines Subd., Barangay Sta. Monica, Novaliches, Quezon City, 1123</t>
  </si>
  <si>
    <t>ESP00102</t>
  </si>
  <si>
    <t>Right Rear Fork Cover (R280 Black)</t>
  </si>
  <si>
    <t>Eduard Pranada</t>
  </si>
  <si>
    <t>+63 917 954 9957</t>
  </si>
  <si>
    <t>ESP00106</t>
  </si>
  <si>
    <t>Left Side Panel (R280 Black)</t>
  </si>
  <si>
    <t>Ridebox Dployment at alfamart</t>
  </si>
  <si>
    <t>ESP00111</t>
  </si>
  <si>
    <t>Right Side Panel (R280 Black)</t>
  </si>
  <si>
    <t>20260000039</t>
  </si>
  <si>
    <t>ESP00035</t>
  </si>
  <si>
    <t>Rear Head Cover (R280 White)</t>
  </si>
  <si>
    <t>Pilipinas Messerve</t>
  </si>
  <si>
    <t>90 Congressional Ave., Brgy. Bahay Toro Project 8, Quezon City</t>
  </si>
  <si>
    <t>ESP00042</t>
  </si>
  <si>
    <t>Front Head Cover (R280 White)</t>
  </si>
  <si>
    <t>Jaylord Duhaylungsod</t>
  </si>
  <si>
    <t>+639392535263</t>
  </si>
  <si>
    <t>ESP00043</t>
  </si>
  <si>
    <t>Rear Central Cover (R280 White)</t>
  </si>
  <si>
    <t>ESP00047</t>
  </si>
  <si>
    <t>Front Upper Head Cover (R280 White)</t>
  </si>
  <si>
    <t>20260000040</t>
  </si>
  <si>
    <t>ESP00051</t>
  </si>
  <si>
    <t>Head light decoration cover (R280 White)</t>
  </si>
  <si>
    <t>Angkas</t>
  </si>
  <si>
    <t>2723 Sabio St., Chino Roces Ave., Bangkal, Makati City</t>
  </si>
  <si>
    <t>ESP00097</t>
  </si>
  <si>
    <t>Left Rear Fork Cover (R280 White)</t>
  </si>
  <si>
    <t>ESP00101</t>
  </si>
  <si>
    <t>Right Rear Fork Cover (R280 White)</t>
  </si>
  <si>
    <t>ESP00105</t>
  </si>
  <si>
    <t>Left Side Panel (R280 White)</t>
  </si>
  <si>
    <t>20260000041</t>
  </si>
  <si>
    <t>ESP00112</t>
  </si>
  <si>
    <t>Right Side Panel (R280 White)</t>
  </si>
  <si>
    <t>Philpower</t>
  </si>
  <si>
    <t>Unit 2B, 120 K-6th St., Brgy. East Kamias, Quezon City, Metro Manila</t>
  </si>
  <si>
    <t>ESP00037</t>
  </si>
  <si>
    <t>Rear Head Cover (R280 Sport Blue)</t>
  </si>
  <si>
    <t>Arnel Ceriaco</t>
  </si>
  <si>
    <t>ESP00039</t>
  </si>
  <si>
    <t>09563955610</t>
  </si>
  <si>
    <t>Front Head Cover (R280 Sport Blue)</t>
  </si>
  <si>
    <t>ESP00045</t>
  </si>
  <si>
    <t>Rear Central Cover (R280 Sport Blue)</t>
  </si>
  <si>
    <t>With Black Topbox</t>
  </si>
  <si>
    <t>ESP00049</t>
  </si>
  <si>
    <t>Front Upper Head Cover (R280 Sport Blue)</t>
  </si>
  <si>
    <t>20260000042</t>
  </si>
  <si>
    <t>ESP00053</t>
  </si>
  <si>
    <t>Head light decoration cover (R280 Sport Blue)</t>
  </si>
  <si>
    <t>Flexride</t>
  </si>
  <si>
    <t>ESP00096</t>
  </si>
  <si>
    <t>Left Rear Fork Cover (R280 Sport Blue)</t>
  </si>
  <si>
    <t>73 Marymount St., Provident Village, Marikina City, Metro Manila</t>
  </si>
  <si>
    <t>Jerrick Limoanco</t>
  </si>
  <si>
    <t>ESP00099</t>
  </si>
  <si>
    <t>Right Rear Fork Cover (R280 Sport Blue)</t>
  </si>
  <si>
    <t>ESP00108</t>
  </si>
  <si>
    <t>Left Side Panel (R280 Sport Blue)</t>
  </si>
  <si>
    <t>ESP00109</t>
  </si>
  <si>
    <t>Right Side Panel (R280 Sport Blue)</t>
  </si>
  <si>
    <t>20260000043</t>
  </si>
  <si>
    <t>ESP00038</t>
  </si>
  <si>
    <t>Rear Head Cover (R280 Sport Red)</t>
  </si>
  <si>
    <t>ESP00040</t>
  </si>
  <si>
    <t>ASGARD</t>
  </si>
  <si>
    <t>Front Head Cover (R280 Sport Red)</t>
  </si>
  <si>
    <t>ESP00046</t>
  </si>
  <si>
    <t>Rear Central Cover (R280 Sport Red)</t>
  </si>
  <si>
    <t>ESP00050</t>
  </si>
  <si>
    <t>Front Upper Head Cover (R280 Sport Red)</t>
  </si>
  <si>
    <t>change of unit assigned to prioritize color allocation to client preference</t>
  </si>
  <si>
    <t>ESP00054</t>
  </si>
  <si>
    <t>Head light decoration cover (R280 Sport Red)</t>
  </si>
  <si>
    <t>This was approved by Francis as per advise of Ron</t>
  </si>
  <si>
    <t>20260000044</t>
  </si>
  <si>
    <t>ESP00095</t>
  </si>
  <si>
    <t>Left Rear Fork Cover (R280 Sport Red)</t>
  </si>
  <si>
    <t>Alfamart</t>
  </si>
  <si>
    <t>ESP00100</t>
  </si>
  <si>
    <t xml:space="preserve">ATP EVANGELISTA ST SANTOLAN
32 D. Santiago, Pasig, 1610 Metro Manila
https://maps.app.goo.gl/2DjBJFj7uCvduREZ7
</t>
  </si>
  <si>
    <t>Right Rear Fork Cover (R280 Sport Red)</t>
  </si>
  <si>
    <t>ESP00107</t>
  </si>
  <si>
    <t>Left Side Panel (R280 Sport Red)</t>
  </si>
  <si>
    <t>ESP00110</t>
  </si>
  <si>
    <t>Right Side Panel (R280 Sport Red)</t>
  </si>
  <si>
    <t>20260000045</t>
  </si>
  <si>
    <t>ESP00267</t>
  </si>
  <si>
    <t>Front Head Cover v2 (R280 White)</t>
  </si>
  <si>
    <t>ESP00268</t>
  </si>
  <si>
    <t>Rear Central Cover v2 (R280 White)</t>
  </si>
  <si>
    <t xml:space="preserve">ATP CARVILLE SUBD TANZA NAVOTAS
Lot 14, Carville Subdivision, Navotas, Metro Manila
https://maps.app.goo.gl/NCwv57ZhEzNF4yMHA
</t>
  </si>
  <si>
    <t>ESP00269</t>
  </si>
  <si>
    <t>Right Side Panel v2 (R280 White)</t>
  </si>
  <si>
    <t>ESP00270</t>
  </si>
  <si>
    <t>Left Side Panel v2 (R280 White)</t>
  </si>
  <si>
    <t>CANCELLED</t>
  </si>
  <si>
    <t>20260000046</t>
  </si>
  <si>
    <t>ESP00271</t>
  </si>
  <si>
    <t>Rear Head Cover v2 (R280 White)</t>
  </si>
  <si>
    <t>Alfamart Panghulo, Malabon</t>
  </si>
  <si>
    <t>ESP00272</t>
  </si>
  <si>
    <t>Head light decoration cover v2 (R280 White)</t>
  </si>
  <si>
    <t>ATP Macanas St. – Panghulo, Malabon</t>
  </si>
  <si>
    <t>ESP00273</t>
  </si>
  <si>
    <t>Front Upper Head Cover v2 (R280 White)</t>
  </si>
  <si>
    <t>ESP00274</t>
  </si>
  <si>
    <t>Right rear fork cover v2 (R280 White)</t>
  </si>
  <si>
    <t>ESP00275</t>
  </si>
  <si>
    <t>Left rear fork cover v2 (R280 White)</t>
  </si>
  <si>
    <t>ESP00059</t>
  </si>
  <si>
    <t>Center Stand (R280/Sport)</t>
  </si>
  <si>
    <t>ESP00068</t>
  </si>
  <si>
    <t>Steering handle (R280/Sport)</t>
  </si>
  <si>
    <t>ESP00083</t>
  </si>
  <si>
    <t>Main Wiring (R280/Sport)</t>
  </si>
  <si>
    <t>ESP00085</t>
  </si>
  <si>
    <t>Battery Connector (R280/Sport)</t>
  </si>
  <si>
    <t>ESP00114</t>
  </si>
  <si>
    <t>Rear Fork (R280/Sport)</t>
  </si>
  <si>
    <t>20260000047</t>
  </si>
  <si>
    <t>ESP00126</t>
  </si>
  <si>
    <t>Left Side Protection Panel (R280 Black)</t>
  </si>
  <si>
    <t>ESP00130</t>
  </si>
  <si>
    <t>RIght Side Protection Panel (R280 Black)</t>
  </si>
  <si>
    <t>ESP00127</t>
  </si>
  <si>
    <t>Left Side Protection Panel (R280 White)</t>
  </si>
  <si>
    <t>ESP00131</t>
  </si>
  <si>
    <t>RIght Side Protection Panel (R280 White)</t>
  </si>
  <si>
    <t>4th Estate 2 Paranaque</t>
  </si>
  <si>
    <t>ESP00128</t>
  </si>
  <si>
    <t>Left Side Protection Panel (R280 Sports Red)</t>
  </si>
  <si>
    <t>ESP00132</t>
  </si>
  <si>
    <t>RIght Side Protection Panel (R280 Sports Red)</t>
  </si>
  <si>
    <t>ESP00277</t>
  </si>
  <si>
    <t>RIght Side Protection Panel v2 (R280 White)</t>
  </si>
  <si>
    <t>DAGZ CABANGISAN (ThingsPH</t>
  </si>
  <si>
    <t>ESP00278</t>
  </si>
  <si>
    <t>Left Side Protection Panel v2 (R280 White)</t>
  </si>
  <si>
    <t>ESP00136</t>
  </si>
  <si>
    <t>Passenger Seat (D400)</t>
  </si>
  <si>
    <t>ESP00159</t>
  </si>
  <si>
    <t>Side Stand (D400)</t>
  </si>
  <si>
    <t>ESP00161</t>
  </si>
  <si>
    <t>Handle Bar Base (D400)</t>
  </si>
  <si>
    <t>20260000048</t>
  </si>
  <si>
    <t>ESP00162</t>
  </si>
  <si>
    <t>License bracket (D400)</t>
  </si>
  <si>
    <t>ESP00163</t>
  </si>
  <si>
    <t>Front Wheel Fender Bracket (D400)</t>
  </si>
  <si>
    <t>ESP00171</t>
  </si>
  <si>
    <t>Rear Seat Cushion Bracket (D400)</t>
  </si>
  <si>
    <t>E88/Warehouse</t>
  </si>
  <si>
    <t>Asgard</t>
  </si>
  <si>
    <t>ESP00187</t>
  </si>
  <si>
    <t>Hook (D400)</t>
  </si>
  <si>
    <t>ESP00188</t>
  </si>
  <si>
    <t>Left Front Guard Plate Adapter (D400)</t>
  </si>
  <si>
    <t>ESP00189</t>
  </si>
  <si>
    <t>Right Front Guard Plate Adapter (D400)</t>
  </si>
  <si>
    <t>ESP00012 - Left Combination Switch (R280/Sport) 2pcs</t>
  </si>
  <si>
    <t>ESP00190</t>
  </si>
  <si>
    <t>Charging Station Cover (D400)</t>
  </si>
  <si>
    <t>ESP00191</t>
  </si>
  <si>
    <t>Fast Charge Cover (D400)</t>
  </si>
  <si>
    <t>replacement for new unit</t>
  </si>
  <si>
    <t>ESP00195</t>
  </si>
  <si>
    <t>Front Right Signal Indicator Light (D400)</t>
  </si>
  <si>
    <t>20260000049</t>
  </si>
  <si>
    <t>ESP00196</t>
  </si>
  <si>
    <t>Front LeftSignal Indicator Light (D400)</t>
  </si>
  <si>
    <t>ESP00197</t>
  </si>
  <si>
    <t>Main Wiring (D400)</t>
  </si>
  <si>
    <t>ESP00198</t>
  </si>
  <si>
    <t>Cushion Lock Wire (D400)</t>
  </si>
  <si>
    <t xml:space="preserve">Power Fill </t>
  </si>
  <si>
    <t>Sandoval Pasig</t>
  </si>
  <si>
    <t>ESP00199</t>
  </si>
  <si>
    <t>Converter (8A) (D400)</t>
  </si>
  <si>
    <t>ESP00200</t>
  </si>
  <si>
    <t>Flasher (D400)</t>
  </si>
  <si>
    <t>ESP00201</t>
  </si>
  <si>
    <t>Horn (D400)</t>
  </si>
  <si>
    <t>ESP00202</t>
  </si>
  <si>
    <t>Handle Grip (D400)</t>
  </si>
  <si>
    <t>ESP00207</t>
  </si>
  <si>
    <t>Switch Lock Assy with Key (D400)</t>
  </si>
  <si>
    <t>Replacement</t>
  </si>
  <si>
    <t>ESP00209</t>
  </si>
  <si>
    <t>Rear Disc Brake (220mm) (D400)</t>
  </si>
  <si>
    <t>20260000050</t>
  </si>
  <si>
    <t>ESP00210</t>
  </si>
  <si>
    <t>Front Disc Brake (240mm) (D400)</t>
  </si>
  <si>
    <t>ESP00212</t>
  </si>
  <si>
    <t>Controller Assembly (D400)</t>
  </si>
  <si>
    <t>ESP00214</t>
  </si>
  <si>
    <t>Side (Left and Right) Reflector (D400)</t>
  </si>
  <si>
    <t>JAMO CORP</t>
  </si>
  <si>
    <t>ESP00215</t>
  </si>
  <si>
    <t>126 Simoun St., Sto. Domingo, QC</t>
  </si>
  <si>
    <t>Rear Reflector (D400)</t>
  </si>
  <si>
    <t>ESP00216</t>
  </si>
  <si>
    <t>Right throttle Combination (D400)</t>
  </si>
  <si>
    <t>ANN (VIBER)</t>
  </si>
  <si>
    <t>ESP00217</t>
  </si>
  <si>
    <t>Left Combination Switch (D400)</t>
  </si>
  <si>
    <t>+639665892036</t>
  </si>
  <si>
    <t>ESP00260</t>
  </si>
  <si>
    <t>Upper Fixing Block (Handle Bar) (D400)</t>
  </si>
  <si>
    <t>ESP00220</t>
  </si>
  <si>
    <t>LowerFixing Block (Handle Bar) (D400)</t>
  </si>
  <si>
    <t>Deliver 20 batteries, Recover 20 batteries</t>
  </si>
  <si>
    <t>Deliver 20 batteries; Get 20 batteries; Get 1 locker</t>
  </si>
  <si>
    <t>ESP00221</t>
  </si>
  <si>
    <t>Left Passenger Foot Rest (D400)</t>
  </si>
  <si>
    <t>20260000051</t>
  </si>
  <si>
    <t>ESP00222</t>
  </si>
  <si>
    <t>Right Passenger Foot Rest (D400)</t>
  </si>
  <si>
    <t>ESP00223</t>
  </si>
  <si>
    <t>MCB (Circuit Breaker) (D400)</t>
  </si>
  <si>
    <t>ESP00224</t>
  </si>
  <si>
    <t>Speedometer (D400)</t>
  </si>
  <si>
    <t>E88 Ventures</t>
  </si>
  <si>
    <t>Pick Up</t>
  </si>
  <si>
    <t>ESP00225</t>
  </si>
  <si>
    <t>Speedometer bracket (D400)</t>
  </si>
  <si>
    <t>ESP00226</t>
  </si>
  <si>
    <t>MCB Bracket (D400)</t>
  </si>
  <si>
    <t>ESP00227</t>
  </si>
  <si>
    <t>USB Port (D400)</t>
  </si>
  <si>
    <t>ESP00229</t>
  </si>
  <si>
    <t>Fast Charge Bracket (D400)</t>
  </si>
  <si>
    <t>ESP00230</t>
  </si>
  <si>
    <t>Cushion Lock (D400)</t>
  </si>
  <si>
    <t>20260000052</t>
  </si>
  <si>
    <t>ESP00231</t>
  </si>
  <si>
    <t>Rear Oil Pipe Bracket (D400)</t>
  </si>
  <si>
    <t>ESP00232</t>
  </si>
  <si>
    <t>Front Oil Pipe Bracket (D400)</t>
  </si>
  <si>
    <t>3rd Floor, TCI Building, West Capitol, Kapitolyo, Pasig</t>
  </si>
  <si>
    <t>ESP00237</t>
  </si>
  <si>
    <t>Steering Balancer (D400)</t>
  </si>
  <si>
    <t>ESP00238</t>
  </si>
  <si>
    <t>Rubber Strap (D400)</t>
  </si>
  <si>
    <t>ESP00001</t>
  </si>
  <si>
    <t>Rear Carrier (R280/Sport)</t>
  </si>
  <si>
    <t>ESP00002</t>
  </si>
  <si>
    <t>Controller Bracket (R280/Sport)</t>
  </si>
  <si>
    <t>20260000053</t>
  </si>
  <si>
    <t>ESP00003</t>
  </si>
  <si>
    <t>Rear License Bracket (R280/Sport)</t>
  </si>
  <si>
    <t>ESP00004</t>
  </si>
  <si>
    <t>Speedometer Bracket (R280/Sport)</t>
  </si>
  <si>
    <t>JAMO / Asgard</t>
  </si>
  <si>
    <t>ESP00008</t>
  </si>
  <si>
    <t>Horn (R280/Sport)</t>
  </si>
  <si>
    <t>ESP00009</t>
  </si>
  <si>
    <t>Side (Left and Right) Reflector (R280/Sport)</t>
  </si>
  <si>
    <t>ESP00010</t>
  </si>
  <si>
    <t>Right throttle Combination (R280/Sport)</t>
  </si>
  <si>
    <t>ESP00251</t>
  </si>
  <si>
    <t>Left Grip (R280/Sports)</t>
  </si>
  <si>
    <t>ESP00224        Speedometer (D400)                                  -   4pcs.
ESP00196        Front LeftSignal Indicator Light (D400)   -   2pcs.
ESP00222        Right Passenger Foot Rest (D400)           -   1 pc.
ESP00212        Controller Assembly (D400)                      -   1pc</t>
  </si>
  <si>
    <t>ESP00012</t>
  </si>
  <si>
    <t>Left Combination Switch (R280/Sport)</t>
  </si>
  <si>
    <t>ESP00013</t>
  </si>
  <si>
    <t>Rear Reflector (R280/Sport)</t>
  </si>
  <si>
    <t>ESP00014</t>
  </si>
  <si>
    <t>DC Converter (R280/Sport)</t>
  </si>
  <si>
    <t>For Jamo and asgard units</t>
  </si>
  <si>
    <t xml:space="preserve">replacement for lease and asset units (JAMO nad asgard) </t>
  </si>
  <si>
    <t>ESP00015</t>
  </si>
  <si>
    <t>Front Hook (R280/Sport)</t>
  </si>
  <si>
    <t>ESP00016</t>
  </si>
  <si>
    <t>MCB (Circuit Breaker) (R280/Sport)</t>
  </si>
  <si>
    <t>20260000054</t>
  </si>
  <si>
    <t>ESP00017</t>
  </si>
  <si>
    <t>Vin Cover (R280/Sport)</t>
  </si>
  <si>
    <t>ESP00018</t>
  </si>
  <si>
    <t>Tail Light (R280/Sport)</t>
  </si>
  <si>
    <t>E88 Ventures Inc</t>
  </si>
  <si>
    <t>ESP00019</t>
  </si>
  <si>
    <t>TCI Building</t>
  </si>
  <si>
    <t>Foot Pedal Cover (R280/Sport)</t>
  </si>
  <si>
    <t>ESP00020</t>
  </si>
  <si>
    <t>Cushion Lock (R280/Sport)</t>
  </si>
  <si>
    <t>ESP00243</t>
  </si>
  <si>
    <t>Rear License Light (R280/Sport)</t>
  </si>
  <si>
    <t>519110002370AAXXXJJK0068</t>
  </si>
  <si>
    <t>ESP00023</t>
  </si>
  <si>
    <t>Front Right Signal Indicator Light (R280/Sports)</t>
  </si>
  <si>
    <t>20260000055</t>
  </si>
  <si>
    <t>ESP00024</t>
  </si>
  <si>
    <t>Front Left Signal Indicator Light (R280/Sport)</t>
  </si>
  <si>
    <t>ESP00025</t>
  </si>
  <si>
    <t>Switch Lock Assy with Key (R280/Sport)</t>
  </si>
  <si>
    <t>JAMO</t>
  </si>
  <si>
    <t>Quezon Ave.</t>
  </si>
  <si>
    <t>ESP00026</t>
  </si>
  <si>
    <t>Side Stand with Spring (R280/Sport)</t>
  </si>
  <si>
    <t>Christopher C. Menoza</t>
  </si>
  <si>
    <t>ESP00064</t>
  </si>
  <si>
    <t>Front Visor (R280/Sport)</t>
  </si>
  <si>
    <t>3pcs. - ESP00224        Speedometer (D400)
1pc.   - ESP00222        Right Passenger Foot Rest (D400)
2pcs. - ESP00196        Front LeftSignal Indicator Light (D400)</t>
  </si>
  <si>
    <t>ESP00069</t>
  </si>
  <si>
    <t>Rear Disc Brake (R280/Sport)</t>
  </si>
  <si>
    <t>Parts replacement for Jamo units</t>
  </si>
  <si>
    <t>20260000056</t>
  </si>
  <si>
    <t>ESP00256</t>
  </si>
  <si>
    <t>Front Disc Brake (R280/Sports)</t>
  </si>
  <si>
    <t>ESP00092</t>
  </si>
  <si>
    <t>Rear Left Signal Light (R280/Sport)</t>
  </si>
  <si>
    <t>ESP00093</t>
  </si>
  <si>
    <t>Rear Right Signal Light (R280/Sport)</t>
  </si>
  <si>
    <t>To be issued to Jomari Inhaynes</t>
  </si>
  <si>
    <t>Pick Up Asgard</t>
  </si>
  <si>
    <t>ESP00027</t>
  </si>
  <si>
    <t>Left Side Panel Decoration Plate (R280 Black)</t>
  </si>
  <si>
    <t>ESP00028</t>
  </si>
  <si>
    <t>Right Side Panel Decoration Plate (R280 Black)</t>
  </si>
  <si>
    <t>Jomari Inhaynes</t>
  </si>
  <si>
    <t>0975 431 2241</t>
  </si>
  <si>
    <t>ESP00029</t>
  </si>
  <si>
    <t>Left Side Panel Decoration Plate (R280 White)</t>
  </si>
  <si>
    <t>ESP00258</t>
  </si>
  <si>
    <t>Right side panel decoration plate (R280 White)</t>
  </si>
  <si>
    <t>ESP00033</t>
  </si>
  <si>
    <t>Left side panel decoration plate (R280 Sports Blue)</t>
  </si>
  <si>
    <t>20260000057</t>
  </si>
  <si>
    <t>ESP00034</t>
  </si>
  <si>
    <t>Right side panel decoration plate (R280 Sports Blue)</t>
  </si>
  <si>
    <t>ESP00031</t>
  </si>
  <si>
    <t>Left Side Panel Decoration Plate (R280 Sport Red)</t>
  </si>
  <si>
    <t>Teko</t>
  </si>
  <si>
    <t>7/F Common Goal Tower Suite 705 Finance, Cor Industry St, New Alabang Village, Muntinlupa, 1780 Metro Manila</t>
  </si>
  <si>
    <t>ESP00032</t>
  </si>
  <si>
    <t>Right Side Panel Decoration Plate (R280 Sport Red)</t>
  </si>
  <si>
    <t>ESP00077</t>
  </si>
  <si>
    <t xml:space="preserve">Christopher Michael Teodoro </t>
  </si>
  <si>
    <t>Head Light Guard (R280 Sport)</t>
  </si>
  <si>
    <t>09175440007</t>
  </si>
  <si>
    <t>ESP00087</t>
  </si>
  <si>
    <t>Controller Assembly 50A (R280)</t>
  </si>
  <si>
    <t>ESP00006</t>
  </si>
  <si>
    <t>Anti-Theft Alarm</t>
  </si>
  <si>
    <t>ESP00007</t>
  </si>
  <si>
    <t>USB Port (R280/Sport)</t>
  </si>
  <si>
    <t>20260000058</t>
  </si>
  <si>
    <t>ESP00264</t>
  </si>
  <si>
    <t>Charging Port in Vehicle (R280/Sport)</t>
  </si>
  <si>
    <t>ESP00265</t>
  </si>
  <si>
    <t>Left side panel decoration plate v2 (R280 White)</t>
  </si>
  <si>
    <t>SAMUEL KNIAZEFF JR</t>
  </si>
  <si>
    <t>ESP00266</t>
  </si>
  <si>
    <t>TCI TOWER</t>
  </si>
  <si>
    <t>Right side panel decoration plate v2 (R280 White)</t>
  </si>
  <si>
    <t>ESP00072</t>
  </si>
  <si>
    <t>Rear Fender (R280/Sport)</t>
  </si>
  <si>
    <t>09171086482</t>
  </si>
  <si>
    <t>ESP00121</t>
  </si>
  <si>
    <t>Foot Pedal (R280/Sport)</t>
  </si>
  <si>
    <t>ESP00091</t>
  </si>
  <si>
    <t>Front Fender (R280 Black)</t>
  </si>
  <si>
    <t>MYTHOS; Mobile BSS</t>
  </si>
  <si>
    <t>These units will serve as mobile BSS for a duration of 2–4 weeks.</t>
  </si>
  <si>
    <t>ESP00090</t>
  </si>
  <si>
    <t>Front Fender (R280 White)</t>
  </si>
  <si>
    <t>20260000059</t>
  </si>
  <si>
    <t>ESP00089</t>
  </si>
  <si>
    <t>Front Fender (R280 Sport Blue)</t>
  </si>
  <si>
    <t>Phoenix Madrigal Gasoline Station</t>
  </si>
  <si>
    <t>ESP00129</t>
  </si>
  <si>
    <t>Alabang Zapote Road, Madrigal Business Park Ayala Alabang Muntinlupa City</t>
  </si>
  <si>
    <t>Left Side Protection Panel (R280 Sport Blue)</t>
  </si>
  <si>
    <t>ESP00133</t>
  </si>
  <si>
    <t>RIght Side Protection Panel (R280 Sports Blue)</t>
  </si>
  <si>
    <t>Vincent Leo B. Reyes</t>
  </si>
  <si>
    <t>09088697164</t>
  </si>
  <si>
    <t>ESP00088</t>
  </si>
  <si>
    <t>Front Fender (R280 Sport Red)</t>
  </si>
  <si>
    <t>BATCH15A</t>
  </si>
  <si>
    <t>Battery Charger 15A (Fast Charger)</t>
  </si>
  <si>
    <t>The motorcycle is equipped with a gas cage.</t>
  </si>
  <si>
    <t xml:space="preserve">Hi JJ and Arby,
Option 1 is to deliver and pick up the unit via courier.
Option 2 is to bring an extra battery so we can proceed with the delivery (RJ) and also use the previously deployed unit. However, the unit we deployed earlier is still wrapped, so we’re unsure for its condition.
Given this, I think Option 1 is the safer choice, while Option 2 would be more cost-efficient.
lemme know your thoughts. Thank you po! </t>
  </si>
  <si>
    <t>ESP00279</t>
  </si>
  <si>
    <t>Front fender v2 (R280 White)</t>
  </si>
  <si>
    <t>Left Side Protection Panel (R280 Sports Blue)</t>
  </si>
  <si>
    <t>20260000060</t>
  </si>
  <si>
    <t>BATCH10A</t>
  </si>
  <si>
    <t>Battery Charger 10A (Fast Charger)</t>
  </si>
  <si>
    <t>Move It</t>
  </si>
  <si>
    <t>ESP00250</t>
  </si>
  <si>
    <t>Plug-In Sim</t>
  </si>
  <si>
    <t>PARTS0001</t>
  </si>
  <si>
    <t>Brake disx fixing screw 8*25</t>
  </si>
  <si>
    <t>1pc. - ESP00284        Left Front Protective Panel (D400 Black)
2pcs. - ESP00165        Left Rear Protective Side Panel (D400)</t>
  </si>
  <si>
    <t>PARTS0002</t>
  </si>
  <si>
    <t>Cross countersunk screws M6*12</t>
  </si>
  <si>
    <t>20260000061</t>
  </si>
  <si>
    <t>PARTS0003</t>
  </si>
  <si>
    <t>Cross recessed screws 5X12</t>
  </si>
  <si>
    <t>PARTS0004</t>
  </si>
  <si>
    <t>Cross self-tapping screw 4*12</t>
  </si>
  <si>
    <t>STM Builders /ATP P GOMEZ POBLACION MANDALUYONG</t>
  </si>
  <si>
    <t>ATP P GOMEZ POBLACION MANDALUYONG</t>
  </si>
  <si>
    <t>PARTS0005</t>
  </si>
  <si>
    <t>Cross self-tapping screw M4*16</t>
  </si>
  <si>
    <t>PARTS0006</t>
  </si>
  <si>
    <t xml:space="preserve">Eduard Pranada </t>
  </si>
  <si>
    <t>Cross self-tapping screw M4.8*16</t>
  </si>
  <si>
    <t>PARTS0007</t>
  </si>
  <si>
    <t>Cross small screw 3*12</t>
  </si>
  <si>
    <t>PARTS0008</t>
  </si>
  <si>
    <t>Cross small screw 3*15</t>
  </si>
  <si>
    <t>PARTS0009</t>
  </si>
  <si>
    <t>For locker installation</t>
  </si>
  <si>
    <t>Flange bolt 6*12</t>
  </si>
  <si>
    <t>20260000062</t>
  </si>
  <si>
    <t>PARTS0010</t>
  </si>
  <si>
    <t>Flange bolt 6*16</t>
  </si>
  <si>
    <t>PARTS0011</t>
  </si>
  <si>
    <t>Creative Parking/ Robinsons Supermarket Blue Wave Marikina</t>
  </si>
  <si>
    <t>Flange bolt 6*20(Black)</t>
  </si>
  <si>
    <t xml:space="preserve">Robinsons Supermarket Bluewave Marikina
 2 Sumulong Highway cor. Gil Fernando St., Brgy. Sto. Niño,, Marikina, 1800 Metro Manila
https://maps.app.goo.gl/uV8U9pku2ABBwMP48
</t>
  </si>
  <si>
    <t>PARTS0012</t>
  </si>
  <si>
    <t>Flange bolt 6X25</t>
  </si>
  <si>
    <t>Arch. Noel Ganotisi</t>
  </si>
  <si>
    <t>09451849354</t>
  </si>
  <si>
    <t>PARTS0013</t>
  </si>
  <si>
    <t>Flange bolt 8X20</t>
  </si>
  <si>
    <t>PARTS0014</t>
  </si>
  <si>
    <t>Flange bolt M10*45</t>
  </si>
  <si>
    <t>PARTS0015</t>
  </si>
  <si>
    <t>Flange bolt M10X40</t>
  </si>
  <si>
    <t>Locker Installation</t>
  </si>
  <si>
    <t>PARTS0016</t>
  </si>
  <si>
    <t>Flange bolt M6*16</t>
  </si>
  <si>
    <t>20260000063</t>
  </si>
  <si>
    <t>PARTS0017</t>
  </si>
  <si>
    <t>Flange bolt M6*16 (with gasket)</t>
  </si>
  <si>
    <t>PARTS0018</t>
  </si>
  <si>
    <t>Flange bolt M6*30</t>
  </si>
  <si>
    <t>Creative Parking Pearl Drive CBP1</t>
  </si>
  <si>
    <t>PARTS0019</t>
  </si>
  <si>
    <t>Flange bolt M8*12</t>
  </si>
  <si>
    <t>PARTS0020</t>
  </si>
  <si>
    <t>Flange bolt M8*30(Black)</t>
  </si>
  <si>
    <t>Arch Jem U.</t>
  </si>
  <si>
    <t>+6395 6745 1776</t>
  </si>
  <si>
    <t>PARTS0021</t>
  </si>
  <si>
    <t>Flange locking nut M12</t>
  </si>
  <si>
    <t>PARTS0022</t>
  </si>
  <si>
    <t>Flange Hexagonal screw M3</t>
  </si>
  <si>
    <t>PARTS0023</t>
  </si>
  <si>
    <t>Flange nut M5</t>
  </si>
  <si>
    <t>20260000064</t>
  </si>
  <si>
    <t>PARTS0024</t>
  </si>
  <si>
    <t>Flange Nut M6</t>
  </si>
  <si>
    <t>PARTS0025</t>
  </si>
  <si>
    <t>Flat washer M10</t>
  </si>
  <si>
    <t>PARTS0026</t>
  </si>
  <si>
    <t>Flower shaped bolt 6*12</t>
  </si>
  <si>
    <t>1X D400 DASHBOARD</t>
  </si>
  <si>
    <t>PARTS0027</t>
  </si>
  <si>
    <t>Flower shaped bolt M8*35</t>
  </si>
  <si>
    <t>PARTS0028</t>
  </si>
  <si>
    <t>Front wheel axle bushing</t>
  </si>
  <si>
    <t>20260000065</t>
  </si>
  <si>
    <t>Deployment of Locker &amp; Batteries</t>
  </si>
  <si>
    <t>PARTS0029</t>
  </si>
  <si>
    <t>Gasket M8</t>
  </si>
  <si>
    <t>Digicore / Energizer Battery Automotive</t>
  </si>
  <si>
    <t>PARTS0030</t>
  </si>
  <si>
    <t>Hexagon socket bolt 6X20</t>
  </si>
  <si>
    <t>Energizer Battery Automotive
Kalayaan Ave, Guadalupe Nuevo, Makati, 1212 Metro Manila</t>
  </si>
  <si>
    <t>PARTS0031</t>
  </si>
  <si>
    <t>Locking nut M10</t>
  </si>
  <si>
    <t>Nelson Yuvilla</t>
  </si>
  <si>
    <t>0917 524 1200</t>
  </si>
  <si>
    <t>PARTS0032</t>
  </si>
  <si>
    <t>Hexagon socket bolt M6*16</t>
  </si>
  <si>
    <t>PARTS0033</t>
  </si>
  <si>
    <t>M4 clip</t>
  </si>
  <si>
    <t>PARTS0034</t>
  </si>
  <si>
    <t>Main support spring</t>
  </si>
  <si>
    <t>Locker installation</t>
  </si>
  <si>
    <t>20260000066</t>
  </si>
  <si>
    <t>PARTS0035</t>
  </si>
  <si>
    <t>Main support and auxiliary spring</t>
  </si>
  <si>
    <t>PARTS0036</t>
  </si>
  <si>
    <t>Round buffer rubber</t>
  </si>
  <si>
    <t>DIGICORE / Pateros Municipal Hall</t>
  </si>
  <si>
    <t>Pateros Municipal Hall G. de Borja Street 1620 Pateros National Capital Region</t>
  </si>
  <si>
    <t>PARTS0037</t>
  </si>
  <si>
    <t>Side support spring</t>
  </si>
  <si>
    <t>PARTS0038</t>
  </si>
  <si>
    <t>Steering handle locking block</t>
  </si>
  <si>
    <t>PARTS0039</t>
  </si>
  <si>
    <t>Step bolt M10*25</t>
  </si>
  <si>
    <t>John Jerusalem</t>
  </si>
  <si>
    <t>PARTS0040</t>
  </si>
  <si>
    <t>Side support main spring</t>
  </si>
  <si>
    <t>+6399 8560 7809</t>
  </si>
  <si>
    <t>PARTS0041</t>
  </si>
  <si>
    <t>Cotter Pin</t>
  </si>
  <si>
    <t>PARTS0105</t>
  </si>
  <si>
    <t>LH front pedal (OP)</t>
  </si>
  <si>
    <t>PARTS0106</t>
  </si>
  <si>
    <t>RH front pedal (OP)</t>
  </si>
  <si>
    <t>20260000067</t>
  </si>
  <si>
    <t>PARTS0042</t>
  </si>
  <si>
    <t>Bolt M3*12</t>
  </si>
  <si>
    <t>PARTS0043</t>
  </si>
  <si>
    <t>Bushing M14</t>
  </si>
  <si>
    <t>MoveIt</t>
  </si>
  <si>
    <t>Move It Training Facilities  # 66 A Bonifacio Avenue  Marikina</t>
  </si>
  <si>
    <t>PARTS0044</t>
  </si>
  <si>
    <t>Bushing M17</t>
  </si>
  <si>
    <t>PARTS0045</t>
  </si>
  <si>
    <t>Clip ST4.8</t>
  </si>
  <si>
    <t>Ace Vergel Dela Cruz</t>
  </si>
  <si>
    <t>09190083175</t>
  </si>
  <si>
    <t>PARTS0046</t>
  </si>
  <si>
    <t>Clip ST4.8(Plastic)</t>
  </si>
  <si>
    <t>PARTS0047</t>
  </si>
  <si>
    <t>Cross round head screw M3*60</t>
  </si>
  <si>
    <t>20260000068</t>
  </si>
  <si>
    <t>PARTS0048</t>
  </si>
  <si>
    <t>Cross screw M5*10</t>
  </si>
  <si>
    <t>PARTS0049</t>
  </si>
  <si>
    <t>Flange</t>
  </si>
  <si>
    <t>PARTS0050</t>
  </si>
  <si>
    <t>Flange M10*45</t>
  </si>
  <si>
    <t>PARTS0051</t>
  </si>
  <si>
    <t>Flange M20</t>
  </si>
  <si>
    <t>PARTS0052</t>
  </si>
  <si>
    <t>Flange M6</t>
  </si>
  <si>
    <t>PARTS0053</t>
  </si>
  <si>
    <t>Flange M6*12</t>
  </si>
  <si>
    <t>20260000069</t>
  </si>
  <si>
    <t>PARTS0054</t>
  </si>
  <si>
    <t>Flange M6*25</t>
  </si>
  <si>
    <t>TCI</t>
  </si>
  <si>
    <t>PARTS0055</t>
  </si>
  <si>
    <t>Flange M6*35</t>
  </si>
  <si>
    <t>PARTS0056</t>
  </si>
  <si>
    <t>Flange M6*50</t>
  </si>
  <si>
    <t>PARTS0057</t>
  </si>
  <si>
    <t>Flange M8*12</t>
  </si>
  <si>
    <t>20260000070</t>
  </si>
  <si>
    <t>PARTS0058</t>
  </si>
  <si>
    <t>Flange M8*30 (Black)</t>
  </si>
  <si>
    <t>PARTS0059</t>
  </si>
  <si>
    <t>Flange nut M3</t>
  </si>
  <si>
    <t>Pateros Municipal - MDRRMO</t>
  </si>
  <si>
    <t>841 G. de Borja, Pateros, Metro Manila</t>
  </si>
  <si>
    <t>PARTS0060</t>
  </si>
  <si>
    <t>Flange self-locking nut M10</t>
  </si>
  <si>
    <t>Marko S. Pielago</t>
  </si>
  <si>
    <t>09283425636</t>
  </si>
  <si>
    <t>PARTS0061</t>
  </si>
  <si>
    <t>Flower shaped bolt M10*45</t>
  </si>
  <si>
    <t>PARTS0062</t>
  </si>
  <si>
    <t>Flower shaped bolt M6*12</t>
  </si>
  <si>
    <t>PARTS0063</t>
  </si>
  <si>
    <t>Flower shaped bolt M6*35</t>
  </si>
  <si>
    <t>20260000071</t>
  </si>
  <si>
    <t>SAMUEL@NRDEV.PH</t>
  </si>
  <si>
    <t>PARTS0064</t>
  </si>
  <si>
    <t>Flower shaped bolt M8*16</t>
  </si>
  <si>
    <t>SAMUEL KNAIZEFF JR</t>
  </si>
  <si>
    <t>PARTS0065</t>
  </si>
  <si>
    <t>Flower shaped bolt M8*25</t>
  </si>
  <si>
    <t>PARTS0066</t>
  </si>
  <si>
    <t>Flower shaped bolt M8*30</t>
  </si>
  <si>
    <t>PARTS0067</t>
  </si>
  <si>
    <t>Flower shaped bolt M8*40</t>
  </si>
  <si>
    <t>1 Fast</t>
  </si>
  <si>
    <t>PARTS0068</t>
  </si>
  <si>
    <t>Flower shaped bolt M8*50</t>
  </si>
  <si>
    <t>PARTS0069</t>
  </si>
  <si>
    <t>Frame lower steel bowl</t>
  </si>
  <si>
    <t>MYTHOS MOBILE SWAPPING STATION</t>
  </si>
  <si>
    <t>THE TOTAL FOR MYTHOS NOW WOULD BE 2 R280 SPORT (JAYCER + RICHARD), 1 D400 (SAM), 8 BATTERIES (HELD BY JAYCER + RICHARD), 1 ADDTL FAST CHARGER (SAM)</t>
  </si>
  <si>
    <t>20260000072</t>
  </si>
  <si>
    <t>PARTS0070</t>
  </si>
  <si>
    <t>Front wheel bushing M12*18</t>
  </si>
  <si>
    <t>PARTS0071</t>
  </si>
  <si>
    <t>Gasket M12*24</t>
  </si>
  <si>
    <t>For Pull Out</t>
  </si>
  <si>
    <t>PARTS0072</t>
  </si>
  <si>
    <t>Handle bar base line card</t>
  </si>
  <si>
    <t>174 Acacia, Pasig, 1610 Metro Manila
https://maps.app.goo.gl/nNkYDnmRWmwPNMRJ7</t>
  </si>
  <si>
    <t>PARTS0073</t>
  </si>
  <si>
    <t>Hexagon socket M6*16</t>
  </si>
  <si>
    <t>PARTS0074</t>
  </si>
  <si>
    <t>Hexagon socket M6*30</t>
  </si>
  <si>
    <t>09214507612</t>
  </si>
  <si>
    <t>PARTS0075</t>
  </si>
  <si>
    <t>Hub Nut M12</t>
  </si>
  <si>
    <t>Pull out of locker at tandang sora
Contact Powerfill Tandang Sora: Charis Limao / 09705269738</t>
  </si>
  <si>
    <t xml:space="preserve">For return to warehouse. 
</t>
  </si>
  <si>
    <t>PARTS0076</t>
  </si>
  <si>
    <t>Intelligent button</t>
  </si>
  <si>
    <t>20260000073</t>
  </si>
  <si>
    <t>PARTS0077</t>
  </si>
  <si>
    <t>Lock buckle</t>
  </si>
  <si>
    <t>PARTS0078</t>
  </si>
  <si>
    <t>Lower lock nut</t>
  </si>
  <si>
    <t>PARTS0079</t>
  </si>
  <si>
    <t>Main stand spring 120</t>
  </si>
  <si>
    <t>Philpower Integrated Services Co.</t>
  </si>
  <si>
    <t>120 K-6th, East Kamias, Quezon City, Metro Manila, Philippines</t>
  </si>
  <si>
    <t>PARTS0080</t>
  </si>
  <si>
    <t>Making plate</t>
  </si>
  <si>
    <t>RJ Ardiniano</t>
  </si>
  <si>
    <t>PARTS0081</t>
  </si>
  <si>
    <t>Motor axle bushing M14</t>
  </si>
  <si>
    <t>09067425649</t>
  </si>
  <si>
    <t>PARTS0082</t>
  </si>
  <si>
    <t>Motor axle bushing M17</t>
  </si>
  <si>
    <t>PARTS0083</t>
  </si>
  <si>
    <t>Nut M6</t>
  </si>
  <si>
    <t>PARTS0084</t>
  </si>
  <si>
    <t>Position axle 2.5*43</t>
  </si>
  <si>
    <t>PARTS0085</t>
  </si>
  <si>
    <t>Round buffer block</t>
  </si>
  <si>
    <t>20260000074</t>
  </si>
  <si>
    <t>PARTS0086</t>
  </si>
  <si>
    <t>Rebits</t>
  </si>
  <si>
    <t>PARTS0087</t>
  </si>
  <si>
    <t>Self lock nut M10</t>
  </si>
  <si>
    <t>PARTS0088</t>
  </si>
  <si>
    <t>Self lock nut M12</t>
  </si>
  <si>
    <t>JAMO, Phoenix, Asgard</t>
  </si>
  <si>
    <t>PARTS0089</t>
  </si>
  <si>
    <t>Self-locking Nut M6</t>
  </si>
  <si>
    <t>PARTS0090</t>
  </si>
  <si>
    <t>Self-tapping ST4.2*12</t>
  </si>
  <si>
    <t>PARTS0091</t>
  </si>
  <si>
    <t>Self-tapping ST4.8*16</t>
  </si>
  <si>
    <t>1pc.    ESP00212        Controller Assembly (D400)                             Asgard
1pc.    ESP00224        Speedometer (D400)                                         Asgard
3pcs.  ESP00224        Speedometer (D400)                                        JAMO
3pcs.  ESP00196        Front LeftSignal Indicator Light (D400)         JAMO
1pc.    ESP00222        Right Passenger Foot Rest (D400)                 JAMO
1pc.    ESP00195        Front Right Signal Indicator Light (D400)      Phoenix
1pc.    ESP00196        Front LeftSignal Indicator Light (D400)         Phoenix</t>
  </si>
  <si>
    <t>PARTS0092</t>
  </si>
  <si>
    <t>Self-tapping ST4.8*16 (Black)</t>
  </si>
  <si>
    <t>For jamo units, warehouse, and phoenix unit</t>
  </si>
  <si>
    <t>20260000075</t>
  </si>
  <si>
    <t>PARTS0093</t>
  </si>
  <si>
    <t>Shim</t>
  </si>
  <si>
    <t>PARTS0094</t>
  </si>
  <si>
    <t>Side stand spring</t>
  </si>
  <si>
    <t>PHOENIX MADRIGAL GASOLINE STATION</t>
  </si>
  <si>
    <t>PARTS0095</t>
  </si>
  <si>
    <t>Stainless steel hexagon socket M6*40</t>
  </si>
  <si>
    <t>PARTS0096</t>
  </si>
  <si>
    <t>Step bolt M10*23</t>
  </si>
  <si>
    <t>Vincent Leo Reyes</t>
  </si>
  <si>
    <t>PARTS0097</t>
  </si>
  <si>
    <t>Step bolt m8*20</t>
  </si>
  <si>
    <t>PARTS0098</t>
  </si>
  <si>
    <t>With Gas Cage</t>
  </si>
  <si>
    <t>Step bolt M8*25</t>
  </si>
  <si>
    <t>20260000076</t>
  </si>
  <si>
    <t>PARTS0099</t>
  </si>
  <si>
    <t>Upper lock nut</t>
  </si>
  <si>
    <t>PARTS0100</t>
  </si>
  <si>
    <t>Upper steel bowl</t>
  </si>
  <si>
    <t>PARTS0101</t>
  </si>
  <si>
    <t>Cap of air nozzle</t>
  </si>
  <si>
    <t>Back up battery for RJ</t>
  </si>
  <si>
    <t>Backup battery for RJ for his delivery to Phoenix.</t>
  </si>
  <si>
    <t>20260000077</t>
  </si>
  <si>
    <t>PARTS0102</t>
  </si>
  <si>
    <t>Charging cover bracket</t>
  </si>
  <si>
    <t>Others - Service unit</t>
  </si>
  <si>
    <t>PARTS0103</t>
  </si>
  <si>
    <t>Charging station circlip</t>
  </si>
  <si>
    <t>PARTS0104</t>
  </si>
  <si>
    <t>Flange M6*16 with basket</t>
  </si>
  <si>
    <t>PARTS0107</t>
  </si>
  <si>
    <t>Frame upper steel bowl</t>
  </si>
  <si>
    <t>PARTS0108</t>
  </si>
  <si>
    <t>Motor accessories bag</t>
  </si>
  <si>
    <t>Tech to borrow service unit for operational use. 
The duration is from March 23- 25, 2026</t>
  </si>
  <si>
    <t>PARTS0109</t>
  </si>
  <si>
    <t>20260000078</t>
  </si>
  <si>
    <t>Frame (R280/Sport)</t>
  </si>
  <si>
    <t xml:space="preserve">Others - MYTHOS </t>
  </si>
  <si>
    <t>PARTS0110</t>
  </si>
  <si>
    <t>Frame (D400)</t>
  </si>
  <si>
    <t>PARTS0111</t>
  </si>
  <si>
    <t>LH front wing</t>
  </si>
  <si>
    <t>PARTS0112</t>
  </si>
  <si>
    <t>RH front wing</t>
  </si>
  <si>
    <t>PARTS0113</t>
  </si>
  <si>
    <t>Brake Pad (R280 Rear, D400)</t>
  </si>
  <si>
    <t>PARTS0114</t>
  </si>
  <si>
    <t>Brake Pad (R280 Front)</t>
  </si>
  <si>
    <t>MYTHOS</t>
  </si>
  <si>
    <t>FULLY CHARGED BATTERIES</t>
  </si>
  <si>
    <t>20260000079</t>
  </si>
  <si>
    <t>Adrian Buan</t>
  </si>
  <si>
    <t>09985864615</t>
  </si>
  <si>
    <t>20260000080</t>
  </si>
  <si>
    <t>LIBRA TESTING</t>
  </si>
  <si>
    <t>YOOHOO UNITS WITH 1 BATTERY EACH FOR LIBRA TESTING (1 CHARGER INCLUDED)</t>
  </si>
  <si>
    <t>20260000081</t>
  </si>
  <si>
    <t>E88 Ventures/ Emman Usi</t>
  </si>
  <si>
    <t>E88 Ventures Acacia Pasig City</t>
  </si>
  <si>
    <t>20260000082</t>
  </si>
  <si>
    <t>cpagador@nrdev.ph</t>
  </si>
  <si>
    <t>Minerva Cainta Rizal</t>
  </si>
  <si>
    <t>AMCJ B1 L9 F.P. FELIX AVE. SAN ISIDRO 1900 CAINTA RIZAL</t>
  </si>
  <si>
    <t>LORINEL ADO</t>
  </si>
  <si>
    <t>09095017523</t>
  </si>
  <si>
    <t>20260000083</t>
  </si>
  <si>
    <t>Xpress</t>
  </si>
  <si>
    <t>Km 18, 5135 W Service Rd, Parañaque, Metro Manila</t>
  </si>
  <si>
    <t>Mark Joseph Pobre</t>
  </si>
  <si>
    <t>09919594075</t>
  </si>
  <si>
    <t>20260000084</t>
  </si>
  <si>
    <t>Tri Megaforce Security Services</t>
  </si>
  <si>
    <t>Ayala Heights Village, Barangay Matandandang Balara, QC</t>
  </si>
  <si>
    <t>Bernie Mahinay</t>
  </si>
  <si>
    <t>09458356318</t>
  </si>
  <si>
    <t>20260000085</t>
  </si>
  <si>
    <t>Asgard(Grab)</t>
  </si>
  <si>
    <t>1pc. ESP00227	USB Port (D400)</t>
  </si>
  <si>
    <t>For Grab Unit</t>
  </si>
  <si>
    <t>20260000086</t>
  </si>
  <si>
    <t>20260000087</t>
  </si>
  <si>
    <t>Ian Gabreille Jimenez</t>
  </si>
  <si>
    <t>Service unit - for Holy week</t>
  </si>
  <si>
    <t>20260000088</t>
  </si>
  <si>
    <t>09190006311</t>
  </si>
  <si>
    <t>Operations Batts</t>
  </si>
  <si>
    <t>20260000089</t>
  </si>
  <si>
    <t>E88</t>
  </si>
  <si>
    <t>For Ridebox Service Center</t>
  </si>
  <si>
    <t>24 Batteries, 12 New, 12 Old
The requested batteries will remain in the warehouse.</t>
  </si>
  <si>
    <t>20260000090</t>
  </si>
  <si>
    <t>Amico Innovations, Inc</t>
  </si>
  <si>
    <t>15 BRIXTON ST, PASIG, METRO MANILA</t>
  </si>
  <si>
    <t>Sheena Belmonte</t>
  </si>
  <si>
    <t>0917 314 9932 / 0968 883 6658</t>
  </si>
  <si>
    <t>20260000091</t>
  </si>
  <si>
    <t>SnapMart Inc</t>
  </si>
  <si>
    <t>10th Floor, West Tower, 8912 Aseana Ave., corner of Pres. Diosdado Macapagal Blvd., Aseana City, Metro Manila, Philippines</t>
  </si>
  <si>
    <t>Katrina Ongjuco</t>
  </si>
  <si>
    <t>09178808809</t>
  </si>
  <si>
    <t>20260000092</t>
  </si>
  <si>
    <t>Meralco</t>
  </si>
  <si>
    <t>Meralco Power Lab</t>
  </si>
  <si>
    <t>+639067425649</t>
  </si>
  <si>
    <t>20260000093</t>
  </si>
  <si>
    <t>amostrales@nrdev.ph</t>
  </si>
  <si>
    <t>Marikina Training Facility</t>
  </si>
  <si>
    <t>Move It / Ace Vergel Dela Cruz</t>
  </si>
  <si>
    <t>PARTS0133	Cellphone Holder 12</t>
  </si>
  <si>
    <t>20260000094</t>
  </si>
  <si>
    <t>NEXTRADE PHILIPPINES INC.</t>
  </si>
  <si>
    <t>Unit 801, Fort Legend Towers 3rd 
Avenue cor. 31st St. Bonifacio Global City, Taguig City, Metro Manila Philippines,</t>
  </si>
  <si>
    <t>Arlene Oliva</t>
  </si>
  <si>
    <t>09175913807</t>
  </si>
  <si>
    <t>20260000095</t>
  </si>
  <si>
    <t>erwin@nrdev.ph</t>
  </si>
  <si>
    <t>E88 Ventures, Inc.-Mythos</t>
  </si>
  <si>
    <t>174 Acacia, Pasig, 1610 Metro Manila</t>
  </si>
  <si>
    <t>09171174416</t>
  </si>
  <si>
    <t>Phone Holder/2
LH RH Front Wing / 1 set</t>
  </si>
  <si>
    <t>Phone Holder - Mythos (2)
LH RH Front Wing (Pink) - Richard</t>
  </si>
  <si>
    <t>Customer Success</t>
  </si>
  <si>
    <t>20260000096</t>
  </si>
  <si>
    <t>Asgard Warehouse / 174A Acacia St. Octagon Village Dela Paz, Pasig</t>
  </si>
  <si>
    <t>PARTS0133        Cellphone Holder / 1</t>
  </si>
  <si>
    <t>cancelled</t>
  </si>
  <si>
    <t>20260000097</t>
  </si>
  <si>
    <t>NRD Service Center, One Sta Rosa Prime, Sta. Rosa Laguna</t>
  </si>
  <si>
    <t>09171286414</t>
  </si>
  <si>
    <t>1pc. Front Left Signal Indicator Light (D400) / 33450-MX-A000         ESP00196      
1pc.  Front Right Signal Indicator Light (D400) / 33450-MX-A000      ESP00195
1pc. Left Front protective side panel (D400 BLUE)                               ESP00173  
1pc. Left Front protective panel (D400 BLUE)                                       ESP00180
1pc. Left Front Guard Plate Adapter (D400)                                          ESP00188
1pc. Flasher                                                                                               ESP00200
2pcs. Controller Assy 50A                                                                       ESP00087
2pcs. Rear Tire 90/90-12                                                                         ESP00066
11pcs. Side Reflector                                                                               ESP00214
3pcs. Head light Guard R280s                                                                ESP00077</t>
  </si>
  <si>
    <t>20260000098</t>
  </si>
  <si>
    <t>DASMA VILL</t>
  </si>
  <si>
    <t>Dasma Village, Taguig City</t>
  </si>
  <si>
    <t>ESP00200        Flasher (D400)            1pc
ESP00213        Side Mirror (D400)      1set</t>
  </si>
  <si>
    <t>20260000099</t>
  </si>
  <si>
    <t>Tri Megaforce Security Agency</t>
  </si>
  <si>
    <t>Tri Megaforce Security Agency 4 Albany St., Brgy. Silangan, QC</t>
  </si>
  <si>
    <t>Raul Manalo</t>
  </si>
  <si>
    <t>0917 8331370</t>
  </si>
  <si>
    <t xml:space="preserve">Hi JJ and Arby! For delivery po ito. Sagot daw po nila ang Delivery. </t>
  </si>
  <si>
    <t>20260000100</t>
  </si>
  <si>
    <t>20260000101</t>
  </si>
  <si>
    <t>20260000102</t>
  </si>
  <si>
    <t>Rafael Jose Jardiniano</t>
  </si>
  <si>
    <t>09171077992</t>
  </si>
  <si>
    <t>20260000103</t>
  </si>
  <si>
    <t xml:space="preserve"> LORINEL ADO</t>
  </si>
  <si>
    <t>One battery for one motorcycle is already with Minerva.</t>
  </si>
  <si>
    <t>CANCELED</t>
  </si>
  <si>
    <t>20260000104</t>
  </si>
  <si>
    <t>ANGKAS HQ Makati</t>
  </si>
  <si>
    <t>2723 Sabio St, Chino Roces Ave, Makati City, Makati, Philippines</t>
  </si>
  <si>
    <t>Sebastian Gio Aenlle</t>
  </si>
  <si>
    <t>+639451982085</t>
  </si>
  <si>
    <t>PARTS0133        Cellphone Holder / 8</t>
  </si>
  <si>
    <t>20260000105</t>
  </si>
  <si>
    <t>ESP00216        Right throttle Combination (D400)    1pc.
ESP00218        Ball Race (D400)                                  1pc</t>
  </si>
  <si>
    <t>20260000106</t>
  </si>
  <si>
    <t>2723 Sabio St, Chino Roces Ave, Bangkal, Makati City, Makati</t>
  </si>
  <si>
    <t>Jaycel</t>
  </si>
  <si>
    <t>09451193789</t>
  </si>
  <si>
    <t>One day Demo</t>
  </si>
  <si>
    <t>20260000107</t>
  </si>
  <si>
    <t>Angels Pizza</t>
  </si>
  <si>
    <t>33 Mayon St., Brgy. Malamig, Mandaluyong City, 1550 Metro Manila, Philippines</t>
  </si>
  <si>
    <t>John Lenard Jefferson Lim</t>
  </si>
  <si>
    <t>09369994890</t>
  </si>
  <si>
    <t>Please remove the back seat and the gray rear bracket from the unit. The client will be installing a custom-fabricated bracket to accommodate a cargo pizza box, so these parts are no longer required.</t>
  </si>
  <si>
    <t>20260000108</t>
  </si>
  <si>
    <t xml:space="preserve">For Monday use of RJ. </t>
  </si>
  <si>
    <t>20260000109</t>
  </si>
  <si>
    <t xml:space="preserve"> PILIPINAS MESSERVE, INC.</t>
  </si>
  <si>
    <t>90 Congressional Avenue, Barangay Bahay Toro, Project 8, Quezon City</t>
  </si>
  <si>
    <t>Christian Billano</t>
  </si>
  <si>
    <t>0917-815-8261</t>
  </si>
  <si>
    <t>20260000110</t>
  </si>
  <si>
    <t xml:space="preserve">Ian Jimenez </t>
  </si>
  <si>
    <t>ACCS00006/1</t>
  </si>
  <si>
    <t>20260000111</t>
  </si>
  <si>
    <t>crissypagador@gmail.com</t>
  </si>
  <si>
    <t>WeMove</t>
  </si>
  <si>
    <t>1409 Pablo Ocampo St., San Antonio Village, Makati City</t>
  </si>
  <si>
    <t>Alvin Kem Ing</t>
  </si>
  <si>
    <t>09563686408</t>
  </si>
  <si>
    <t>20260000112</t>
  </si>
  <si>
    <t>Inventory Transfer for Ridebox Service Center. and for Decommisioning.</t>
  </si>
  <si>
    <t>2 - Functional Locker
1 - Blue Yunku Locker (For Decommisioning, to be used as spare parts)</t>
  </si>
  <si>
    <t>20260000113</t>
  </si>
  <si>
    <t>SHAKEY’S PIZZA ASIA VENTURES INC</t>
  </si>
  <si>
    <t>WOW CENTER, 15KM. EAST SERVICE ROAD CORNER MARIAN ROAD 2, SAN MARTIN DE PORRES , PARANQUE CITY, 1713</t>
  </si>
  <si>
    <t>MILO M. MIRAFLOR</t>
  </si>
  <si>
    <t>09998365578</t>
  </si>
  <si>
    <t>20260000114</t>
  </si>
  <si>
    <t>Snap Mart, Inc.</t>
  </si>
  <si>
    <t>20260000115</t>
  </si>
  <si>
    <t>meralco</t>
  </si>
  <si>
    <t>20260000116</t>
  </si>
  <si>
    <t>Megaforce Security Service Corporation</t>
  </si>
  <si>
    <t>Acropolis Village 
Ayala Heights 
Greenmeadows
North Greenhills 
Valle Verde 1 Village 
Valle 2 
Valle 3 
Valle 4
Valle 5
Valle 6
Wack Wack Village</t>
  </si>
  <si>
    <t>+639178331370</t>
  </si>
  <si>
    <t>https://drive.google.com/drive/folders/1F_OFDfMbe5Zdd1SrN8mhBr_lJfYKm62i?usp=drive_link</t>
  </si>
  <si>
    <t>20260000117</t>
  </si>
  <si>
    <t>Go Sakay</t>
  </si>
  <si>
    <t>1E. GUTIERREZ PANGULO MALABON CITY 
1470</t>
  </si>
  <si>
    <t>ARGEL ANGELES VILLALUNA</t>
  </si>
  <si>
    <t>+639176714244</t>
  </si>
  <si>
    <t>20260000118</t>
  </si>
  <si>
    <t xml:space="preserve"> Minerva Cainta Rizal</t>
  </si>
  <si>
    <t>20260000119</t>
  </si>
  <si>
    <t>Amico Innovations, Inc.</t>
  </si>
  <si>
    <t xml:space="preserve"> 15 BRIXTON ST, PASIG, METRO MANILA</t>
  </si>
  <si>
    <t>Mica Velarde</t>
  </si>
  <si>
    <t>+63 961 271 8604</t>
  </si>
  <si>
    <t>20260000120</t>
  </si>
  <si>
    <t>ESP00203	Shock Front Absorber (Left) (D400)                1pc.
ESP00204	Shock Front Absorber (Right) (D400)              1pc.
ESP00165	Left Rear Protective Side Panel (D400)           1pc.
ESP00283	Left Decorative Panel (D400 Black)                 1pc.
ESP00087	Controller Assembly 50A (R280)                      1pc.</t>
  </si>
  <si>
    <t>20260000121</t>
  </si>
  <si>
    <t>ESP00203        Shock Front Absorber (Left) (D400)         1pc.
ESP00204        Shock Front Absorber (Right) (D400)       1pc.
ESP00283        Left Decorative Panel (D400 Black)          1pc.
ESP00165        Left Rear Protective Side Panel (D400)    1pc.</t>
  </si>
  <si>
    <t>20260000122</t>
  </si>
  <si>
    <t>Next Trade</t>
  </si>
  <si>
    <t>ESP00087        Controller Assembly 50A (R280)   1pc.</t>
  </si>
  <si>
    <t>For Nextrade unit</t>
  </si>
  <si>
    <t>20260000123</t>
  </si>
  <si>
    <t>HORWIN SK3</t>
  </si>
  <si>
    <t>20260000124</t>
  </si>
  <si>
    <t>Tri Mega Force</t>
  </si>
  <si>
    <t>Ayala Heights</t>
  </si>
  <si>
    <t>ESP00217        Left Combination Switch (D400)   1pc.</t>
  </si>
  <si>
    <t>20260000125</t>
  </si>
  <si>
    <t>PHOENIX MADRIGAL</t>
  </si>
  <si>
    <t>RJ JARDINIANO</t>
  </si>
  <si>
    <t>D400 PHOENIX CAGE</t>
  </si>
  <si>
    <t>20260000126</t>
  </si>
  <si>
    <t>MONDE BREAD</t>
  </si>
  <si>
    <t>1 (Prototype)</t>
  </si>
  <si>
    <t>MONDE</t>
  </si>
  <si>
    <t>PENDING</t>
  </si>
  <si>
    <t>20260000127</t>
  </si>
  <si>
    <t>IAN JIMENEZ</t>
  </si>
  <si>
    <t>10 Door Locker</t>
  </si>
  <si>
    <t>20260000128</t>
  </si>
  <si>
    <t>Meralco Power Lab Gardner St. Pasig, Metro Manila</t>
  </si>
  <si>
    <t>Andrew Jason B. Tan</t>
  </si>
  <si>
    <t>kkgtria@meralco.com.ph</t>
  </si>
  <si>
    <t>For D400 unit any color and with top box</t>
  </si>
  <si>
    <t>20260000129</t>
  </si>
  <si>
    <t>Phoenix</t>
  </si>
  <si>
    <t>Phoenix Alabang</t>
  </si>
  <si>
    <t>Rubin Cura</t>
  </si>
  <si>
    <t>RJ will deliver the helmet personally to Phoenix Alabang</t>
  </si>
  <si>
    <t>20260000130</t>
  </si>
  <si>
    <t>Mandaluyong Business Center - 285 Shaw Blvd, cor M. Yulo, St, Mandaluyong City, 1552 Metro Manila
https://maps.app.goo.gl/eZei9CCsTjEZw78E7
Espana Business Center - 2200 España Blvd, cor Josefina, Sampaloc, Manila, 1008 Metro Manila
https://maps.app.goo.gl/LnHit4UAnwSc96AU6
Malate Business Center - 957 Escoda St, Malate, Manila, 1000 Metro Manila
https://maps.app.goo.gl/Fbj1xDwHFHxdWugM9</t>
  </si>
  <si>
    <t xml:space="preserve">Tech Team, Emmanuel Usi </t>
  </si>
  <si>
    <t>0908 318 7665</t>
  </si>
  <si>
    <t xml:space="preserve">3 pieces 3.5 mm2, 2- wire, 5 meters and 
3 pieces AC Plug  
MUST BE ASSEMBLED </t>
  </si>
  <si>
    <t>20260000131</t>
  </si>
  <si>
    <t>Better Edge</t>
  </si>
  <si>
    <t>Textron Corporation, 168 Luna Mencias, St, San Juan City, 1500 Metro Manila</t>
  </si>
  <si>
    <t>Laurence Bahia</t>
  </si>
  <si>
    <t>09178720828</t>
  </si>
  <si>
    <t>for display</t>
  </si>
  <si>
    <t>20260000132</t>
  </si>
  <si>
    <t>GoSakay, MoveIt, Angkas</t>
  </si>
  <si>
    <t>TBD</t>
  </si>
  <si>
    <t>VELOCITY DIRECT</t>
  </si>
  <si>
    <t>20260000133</t>
  </si>
  <si>
    <t>ESP00224        Speedometer (D400)                                    2pcs
ESP00201        Horn (D400)                                                  1pc
ESP00195        Front Right Signal Indicator Light (D400)  1pc
ESP00217        Left Combination Switch (D400)                1pc</t>
  </si>
  <si>
    <t>sale to client and for service units</t>
  </si>
  <si>
    <t>20260000134</t>
  </si>
  <si>
    <t>ESP00165        Left Rear Protective Side Panel (D400)      1pc
ESP00164        Right Rear Protective Side Panel (D400)    1pc
ESP00135        Driver Seat (D400)                                         1pc
ESP00224        Speedometer (D400)                                     1pc</t>
  </si>
  <si>
    <t>20260000135</t>
  </si>
  <si>
    <t>Any color</t>
  </si>
  <si>
    <t>20260000136</t>
  </si>
  <si>
    <t>Service Center Sta Rosa</t>
  </si>
  <si>
    <t>Front wheel bearing (6201)                6pcs
Front fork oil seal (31 43 10.5)          10pcs
Brake pads                                           4pcs</t>
  </si>
  <si>
    <t>Consumable Parts transfer to SC Sta Rosa</t>
  </si>
  <si>
    <t>20260000137</t>
  </si>
  <si>
    <t xml:space="preserve">Textron Building </t>
  </si>
  <si>
    <t>Better Edge Contact person</t>
  </si>
  <si>
    <t>Better Edge Contact number</t>
  </si>
  <si>
    <t>Low Power Mode Locker</t>
  </si>
  <si>
    <t>20260000138</t>
  </si>
  <si>
    <t>AMICO</t>
  </si>
  <si>
    <t>CHRISTOPHER C MENDOZA</t>
  </si>
  <si>
    <t>ESP00123        Front Panel (R280 Sport Blue)      1PC
ESP00021        Ball Race (R280/Sport)                  1PC</t>
  </si>
  <si>
    <t>20260000139</t>
  </si>
  <si>
    <t>Monde Bread</t>
  </si>
  <si>
    <t>Pickup Asgard Warehouse - 174A Acacia Octagon Village Dela Pa, Pasig</t>
  </si>
  <si>
    <t>Ziggy</t>
  </si>
  <si>
    <t>09253092408</t>
  </si>
  <si>
    <t>any color naman for D400 unit.</t>
  </si>
  <si>
    <t>Delivery Date:
4 D400 Black and 1 Red - May 26, 2026
4 D400 Blue - May 28, 2026</t>
  </si>
  <si>
    <t>20260000140</t>
  </si>
  <si>
    <t xml:space="preserve">Betteredge </t>
  </si>
  <si>
    <t>5/26/2026, 5/28/2026 &amp; 5/29/2026</t>
  </si>
  <si>
    <t>E88 Ventures, Inc. c/o Sir Sam</t>
  </si>
  <si>
    <t xml:space="preserve">+63 919 000 6311 </t>
  </si>
  <si>
    <t>3 units per day at any color.
Following is the schedule:
Tuesday (May 26) - 3u
Thursday (May 28) - 3u
Friday (May 29) - 3u</t>
  </si>
  <si>
    <t>20260000141</t>
  </si>
  <si>
    <t>ESP00135        Driver Seat (D400)                                          4pcs
ESP00165        Left Rear Protective Side Panel (D400)       1pc
ESP00164        Right Rear Protective Side Panel (D400)     1pc    
ESP00180        Left Front Protective Side (D400 Blue)        1pc
ESP00173        Left Front Protective Panel (D400 Blue)      1pc
ESP00214        Side (Left and Right) Reflector (D400)        1pc
                        Rear Brake Pads                                             4pcs</t>
  </si>
  <si>
    <t>For release units</t>
  </si>
  <si>
    <t>20260000142</t>
  </si>
  <si>
    <t>Service Center Sta Rosa Laguna</t>
  </si>
  <si>
    <t>ESP00137        Rear Tire 110/80-14 (D400)                  2pcs
ESP00221        Left Passenger Foot Rest (D400)        3pcs
ESP00222        Right Passenger Foot Rest (D400)      3pcs
ESP00066        Rear Tire 90/90-12 (R280/Sport)         2pcs</t>
  </si>
  <si>
    <t>20260000143</t>
  </si>
  <si>
    <t>Cris Pagador</t>
  </si>
  <si>
    <t>Following is the schedule:
June 1-5, 3u per day any color</t>
  </si>
  <si>
    <t>20260000144</t>
  </si>
  <si>
    <t>Tri Mega Forcce</t>
  </si>
  <si>
    <t>Valle verde</t>
  </si>
  <si>
    <t>Christopher C. Mnedoza</t>
  </si>
  <si>
    <t>ESP00217        Left Combination Switch (D400)    1pc.</t>
  </si>
  <si>
    <t>20260000145</t>
  </si>
  <si>
    <t>ESP00173        Left Front Protective Panel (D400 Blue)         1pc
ESP00174        Right Front Protective Panel (D400 Blue)       1pc
ESP00180        Left Front Protective Side (D400 Blue)           1pc
ESP00165        Left Rear Protective Side Panel (D400)          1pc
ESP00164        Right Rear Protective Side Panel (D400)        1pc
ESP00177        Front Wheel Fender (D400 Blue)                      1pc
ESP00196        Front LeftSignal Indicator Light (D400)           1pcs
ESP00224        Speedometer (D400)                                          3pcs</t>
  </si>
  <si>
    <t>For Asgard units to be refurbish</t>
  </si>
  <si>
    <t>For the returned demo and JAMO units</t>
  </si>
  <si>
    <t>20260000146</t>
  </si>
  <si>
    <t>erapatan@nrdev.ph</t>
  </si>
  <si>
    <t>TCI TowerW Capitol Dr, Pasig, Metro Manila</t>
  </si>
  <si>
    <t>09063504970</t>
  </si>
  <si>
    <t xml:space="preserve">Demo for 2 weeks </t>
  </si>
  <si>
    <t>20260000147</t>
  </si>
  <si>
    <t>Alvin Biaca</t>
  </si>
  <si>
    <t>Project Velocity</t>
  </si>
  <si>
    <t xml:space="preserve">Project Velocity </t>
  </si>
  <si>
    <t>20260000148</t>
  </si>
  <si>
    <t xml:space="preserve">2105 Alfamart Apollo 3 </t>
  </si>
  <si>
    <t>ALFAMART LOT 5-A BLK 1 APOLLO 3 ST MOONWALK VILLAGE TALON SINGKO CITY OF LAS PINAS, FOURTH DISTRICT</t>
  </si>
  <si>
    <t>HANIDA A. LABUAN</t>
  </si>
  <si>
    <t>0999 990 6960</t>
  </si>
  <si>
    <t>20260000149</t>
  </si>
  <si>
    <t xml:space="preserve">2505 Alfamart Lalaine Bennet Las Pinas </t>
  </si>
  <si>
    <t>14.43902018        120.9850276
ALFAMART INC. L1 B18 L BENNET ST BFRV 1 TALON DOS NCR, FOURTH DISTRICT CITY OF LAS PINAS</t>
  </si>
  <si>
    <t>BA Garry</t>
  </si>
  <si>
    <t>09190648281 / 09657656529</t>
  </si>
  <si>
    <t>20260000150</t>
  </si>
  <si>
    <t>1769 ATP SEVERINA AVE PARANAQUE</t>
  </si>
  <si>
    <t>14.46611433,        121.0440003
ALFAMART L26 &amp; 28 B7 SEVERINA AVE. MARCELO GREEN VILLAGE NCR, FOURTH DISTRICT CITY OF PARANAQUE</t>
  </si>
  <si>
    <t xml:space="preserve">Store Number / BA Garry </t>
  </si>
  <si>
    <t>9178449762 / 09657656529</t>
  </si>
  <si>
    <t>20260000151</t>
  </si>
  <si>
    <t>1594 Alfamart NAGA ROAD LAS PINAS</t>
  </si>
  <si>
    <t>14.4678898        120.9812484
ALFAMART NAGA ROAD PULANG LUPA DOS CITY OF LAS PINAS NCR, FOURTH DISTRICT</t>
  </si>
  <si>
    <t xml:space="preserve">Store Number / BA Garry  </t>
  </si>
  <si>
    <t>09088957129 / 09657656529</t>
  </si>
  <si>
    <t>20260000152</t>
  </si>
  <si>
    <t>2578        Alfamart PERPETUAL VILLAGE TANYAG TAGUIG</t>
  </si>
  <si>
    <t>14.47721477        121.0479962
ALFAMART NO. 2, ST. THERESE ST TANYAG (BAGONG TANYAG) NCR, FOURTH DISTRICT TAGUIG CITY</t>
  </si>
  <si>
    <t xml:space="preserve">Store Number / BA Michael </t>
  </si>
  <si>
    <t>9190718673 /  09618158192</t>
  </si>
  <si>
    <t>20260000153</t>
  </si>
  <si>
    <t>1944	Alfamart SIXTO ANTONIO PASIG</t>
  </si>
  <si>
    <t>14.58362332,        121.0839121
ALFAMART SIXTO ANTONIO AVENUE CANIOGAN CITY OF PASIG NCR, SECOND DISTRICT</t>
  </si>
  <si>
    <t xml:space="preserve">Store number/ </t>
  </si>
  <si>
    <t>20260000154</t>
  </si>
  <si>
    <t>Pilipinas Messerve, Inc</t>
  </si>
  <si>
    <t>90 Congressional Ave., Brgy. Bahay Toro, Project 8, Quezon City</t>
  </si>
  <si>
    <t xml:space="preserve">Christian Billano </t>
  </si>
  <si>
    <t>09178158261</t>
  </si>
  <si>
    <t>20260000155</t>
  </si>
  <si>
    <t>BETTER EDGE SOLUTIONS INC</t>
  </si>
  <si>
    <t xml:space="preserve">Ms. Angel </t>
  </si>
  <si>
    <t>63 967 548 8168</t>
  </si>
  <si>
    <t>20260000156</t>
  </si>
  <si>
    <t>Monde Nissin Corporation</t>
  </si>
  <si>
    <t xml:space="preserve">To Follow </t>
  </si>
  <si>
    <t>Ziggy Ondevilla</t>
  </si>
  <si>
    <t>with Top Box</t>
  </si>
  <si>
    <t>20260000157</t>
  </si>
  <si>
    <t>Angel's Pizza, Inc.</t>
  </si>
  <si>
    <t>33 Brgy. Malamig, Mayon St., Mandaluyong City</t>
  </si>
  <si>
    <t>Staggered Delivery - 3 units per day June 16, 17 &amp; 18; 5 units - June 19</t>
  </si>
  <si>
    <t>20260000158</t>
  </si>
  <si>
    <t>Samson Lim Jr</t>
  </si>
  <si>
    <t>09175050211</t>
  </si>
  <si>
    <t>20260000159</t>
  </si>
  <si>
    <t>Jezalyn Sy</t>
  </si>
  <si>
    <t>JEZALYN SY</t>
  </si>
  <si>
    <t>09851641144</t>
  </si>
  <si>
    <t>20260000160</t>
  </si>
  <si>
    <t>Mac Lubi</t>
  </si>
  <si>
    <t>MAC LUBI</t>
  </si>
  <si>
    <t>09174231804</t>
  </si>
  <si>
    <t>20260000161</t>
  </si>
  <si>
    <t>Lohen Eslava</t>
  </si>
  <si>
    <t>LOHEN ESLAVA</t>
  </si>
  <si>
    <t>0950747574</t>
  </si>
  <si>
    <t>20260000162</t>
  </si>
  <si>
    <t>Franz Calanasan</t>
  </si>
  <si>
    <t>FRANZ CALANASAN</t>
  </si>
  <si>
    <t>+63 976 302 5578</t>
  </si>
  <si>
    <t>20260000163</t>
  </si>
  <si>
    <t>Megaforce Security Services, Corp</t>
  </si>
  <si>
    <t xml:space="preserve">Ateneo Schools - Kalayaan </t>
  </si>
  <si>
    <t xml:space="preserve">Raul Manalo </t>
  </si>
  <si>
    <t>20260000164</t>
  </si>
  <si>
    <t>+639171144614</t>
  </si>
  <si>
    <t>Loaner Units</t>
  </si>
  <si>
    <t>20260000165</t>
  </si>
  <si>
    <t>Ryam Bjy Torrijos</t>
  </si>
  <si>
    <t>RYAM BJY Y TORRIJOS</t>
  </si>
  <si>
    <t>09613115206</t>
  </si>
  <si>
    <t>20260000166</t>
  </si>
  <si>
    <t>Christian Kenneth B Castillo</t>
  </si>
  <si>
    <t>CHRISTIAN KENNETH B CASTILLO</t>
  </si>
  <si>
    <t>0956 1578495</t>
  </si>
  <si>
    <t>20260000167</t>
  </si>
  <si>
    <t>E88 Ventures Inc.</t>
  </si>
  <si>
    <r>
      <rPr>
        <rFont val="Arial"/>
        <color rgb="FFFF0000"/>
      </rPr>
      <t xml:space="preserve">ESP00165   </t>
    </r>
    <r>
      <rPr>
        <rFont val="Arial"/>
        <color theme="1"/>
      </rPr>
      <t xml:space="preserve">     Left Rear Protective Side Panel (D400)               4pcs          
</t>
    </r>
    <r>
      <rPr>
        <rFont val="Arial"/>
        <color rgb="FFFF0000"/>
      </rPr>
      <t>ESP00164</t>
    </r>
    <r>
      <rPr>
        <rFont val="Arial"/>
        <color theme="1"/>
      </rPr>
      <t xml:space="preserve">        Right Rear Protective Side Panel (D400)             3pcs
</t>
    </r>
    <r>
      <rPr>
        <rFont val="Arial"/>
        <color rgb="FFFF0000"/>
      </rPr>
      <t>ESP00177</t>
    </r>
    <r>
      <rPr>
        <rFont val="Arial"/>
        <color theme="1"/>
      </rPr>
      <t xml:space="preserve">        Front Wheel Fender (D400 Blue)                           2pcs
</t>
    </r>
    <r>
      <rPr>
        <rFont val="Arial"/>
        <color rgb="FFFF0000"/>
      </rPr>
      <t xml:space="preserve">ESP00151 </t>
    </r>
    <r>
      <rPr>
        <rFont val="Arial"/>
        <color theme="1"/>
      </rPr>
      <t xml:space="preserve">       Foot Pedal (D400)                                                   6pcs
</t>
    </r>
    <r>
      <rPr>
        <rFont val="Arial"/>
        <color rgb="FFFF0000"/>
      </rPr>
      <t>ESP00285</t>
    </r>
    <r>
      <rPr>
        <rFont val="Arial"/>
        <color theme="1"/>
      </rPr>
      <t xml:space="preserve">        Right Front Protective Panel (D400 Black)          1pc
</t>
    </r>
    <r>
      <rPr>
        <rFont val="Arial"/>
        <color rgb="FFFF0000"/>
      </rPr>
      <t>ESP00173</t>
    </r>
    <r>
      <rPr>
        <rFont val="Arial"/>
        <color theme="1"/>
      </rPr>
      <t xml:space="preserve">        Left Front Protective Panel (D400 Blue)              1pc
</t>
    </r>
    <r>
      <rPr>
        <rFont val="Arial"/>
        <color rgb="FFFF0000"/>
      </rPr>
      <t>ESP00287</t>
    </r>
    <r>
      <rPr>
        <rFont val="Arial"/>
        <color theme="1"/>
      </rPr>
      <t xml:space="preserve">        Left Front Protective Side (D400 Black)               1pc
</t>
    </r>
    <r>
      <rPr>
        <rFont val="Arial"/>
        <color rgb="FFFF0000"/>
      </rPr>
      <t>ESP00288</t>
    </r>
    <r>
      <rPr>
        <rFont val="Arial"/>
        <color theme="1"/>
      </rPr>
      <t xml:space="preserve">        Right Front Protective Side (D400 Black)             1pc
</t>
    </r>
    <r>
      <rPr>
        <rFont val="Arial"/>
        <color rgb="FFFF0000"/>
      </rPr>
      <t>ESP00181</t>
    </r>
    <r>
      <rPr>
        <rFont val="Arial"/>
        <color theme="1"/>
      </rPr>
      <t xml:space="preserve">        Right Front Protective Side (D400 Blue)               3pcs
</t>
    </r>
    <r>
      <rPr>
        <rFont val="Arial"/>
        <color rgb="FFFF0000"/>
      </rPr>
      <t xml:space="preserve">ESP00195 </t>
    </r>
    <r>
      <rPr>
        <rFont val="Arial"/>
        <color theme="1"/>
      </rPr>
      <t xml:space="preserve">       Front Right Signal Indicator Light (D400)             2pcs
</t>
    </r>
    <r>
      <rPr>
        <rFont val="Arial"/>
        <color rgb="FFFF0000"/>
      </rPr>
      <t>ESP00196</t>
    </r>
    <r>
      <rPr>
        <rFont val="Arial"/>
        <color theme="1"/>
      </rPr>
      <t xml:space="preserve">        Front LeftSignal Indicator Light (D400)                2pcs
</t>
    </r>
    <r>
      <rPr>
        <rFont val="Arial"/>
        <color rgb="FFFF0000"/>
      </rPr>
      <t>ESP00213</t>
    </r>
    <r>
      <rPr>
        <rFont val="Arial"/>
        <color theme="1"/>
      </rPr>
      <t xml:space="preserve">        Side Mirror (D400)                                                   1set
</t>
    </r>
    <r>
      <rPr>
        <rFont val="Arial"/>
        <color rgb="FFFF0000"/>
      </rPr>
      <t>ESP00212</t>
    </r>
    <r>
      <rPr>
        <rFont val="Arial"/>
        <color theme="1"/>
      </rPr>
      <t xml:space="preserve">        Controller Assembly (D400)                                   1pc
</t>
    </r>
    <r>
      <rPr>
        <rFont val="Arial"/>
        <color rgb="FFFF0000"/>
      </rPr>
      <t>ESP00224</t>
    </r>
    <r>
      <rPr>
        <rFont val="Arial"/>
        <color theme="1"/>
      </rPr>
      <t xml:space="preserve">        Speedometer (D400)                                               1pc
</t>
    </r>
    <r>
      <rPr>
        <rFont val="Arial"/>
        <color rgb="FFFF0000"/>
      </rPr>
      <t>ESP00208</t>
    </r>
    <r>
      <rPr>
        <rFont val="Arial"/>
        <color theme="1"/>
      </rPr>
      <t xml:space="preserve">        CBS Brake Sytem (D400)                                        1set
</t>
    </r>
    <r>
      <rPr>
        <rFont val="Arial"/>
        <color rgb="FFFF0000"/>
      </rPr>
      <t xml:space="preserve">ESP00134 </t>
    </r>
    <r>
      <rPr>
        <rFont val="Arial"/>
        <color theme="1"/>
      </rPr>
      <t xml:space="preserve">       CBS Brake Sytem (R280/Sport)                             1set
</t>
    </r>
  </si>
  <si>
    <t>Replacement for returned units from JAMO</t>
  </si>
  <si>
    <t>20260000168</t>
  </si>
  <si>
    <t>Francis Simisim</t>
  </si>
  <si>
    <t>Francis simisim</t>
  </si>
  <si>
    <t>Yoohoo gray</t>
  </si>
  <si>
    <t>20260000169</t>
  </si>
  <si>
    <t>Atome</t>
  </si>
  <si>
    <t>10F Rockwell Business Center Sheridan, Sheridan St, corner United St, Mandaluyong City, 1554 Metro Manila</t>
  </si>
  <si>
    <t>Mark Sid Nakayama / Leandro Carpio</t>
  </si>
  <si>
    <t>0917 123 0957 / 099 859 17317</t>
  </si>
  <si>
    <t>20260000170</t>
  </si>
  <si>
    <t>mlubi@nrdev.ph</t>
  </si>
  <si>
    <t>Asgard warehouse</t>
  </si>
  <si>
    <t>2x topbox, 2x raincoat</t>
  </si>
  <si>
    <t>20260000171</t>
  </si>
  <si>
    <t>ESP00212 / 1</t>
  </si>
  <si>
    <t>20260000172</t>
  </si>
  <si>
    <t>slim@nrdev.ph</t>
  </si>
  <si>
    <t>Asgard Warehouse - 174 A Acacia St. Octagon Village, Dela Paz,  Pasig, 1610</t>
  </si>
  <si>
    <t>Samson K. Lim Jr.</t>
  </si>
  <si>
    <t>1 Top Box only</t>
  </si>
  <si>
    <t>Top Box (Big)</t>
  </si>
  <si>
    <t>Requesting for 1 Big Topbox for my D400 issued motorcycle</t>
  </si>
  <si>
    <t>20260000173</t>
  </si>
  <si>
    <t>Asgard Warehouse - 174 A Acacia St. Octagon Village Dela Paz, Pasig</t>
  </si>
  <si>
    <t xml:space="preserve">Rafael Jose Jardiniano </t>
  </si>
  <si>
    <t>1 Topbox only</t>
  </si>
  <si>
    <t>Requesting for 1 Topbox assigned to Account Officer</t>
  </si>
  <si>
    <t>20260000174</t>
  </si>
  <si>
    <t>+639851641144</t>
  </si>
  <si>
    <t>1 Topbox Only</t>
  </si>
  <si>
    <t xml:space="preserve">Requesting 1 Topbox for Sales and Marketing Officer </t>
  </si>
  <si>
    <t>20260000175</t>
  </si>
  <si>
    <t>E88 After Sales</t>
  </si>
  <si>
    <t>For After Sales Loaner Unit</t>
  </si>
  <si>
    <t>20260000176</t>
  </si>
  <si>
    <t>20260000177</t>
  </si>
  <si>
    <t>ABC ALLIANCE GLOBAL CORP.</t>
  </si>
  <si>
    <t>3502 Honda St., Pinagkaisahan, 1213 Makati City</t>
  </si>
  <si>
    <t>Bianca Baranda</t>
  </si>
  <si>
    <t>09458500699</t>
  </si>
  <si>
    <t xml:space="preserve">Cellphone Bracket </t>
  </si>
  <si>
    <t xml:space="preserve">Other details to follow </t>
  </si>
  <si>
    <t>20260000178</t>
  </si>
  <si>
    <t>09763025578</t>
  </si>
  <si>
    <t>PARTS0111 LH front wing 1pc
PARTS0112 RH front wing 1pc
Topbox 1pc</t>
  </si>
  <si>
    <t>For compartment/For leg protection</t>
  </si>
  <si>
    <t>20260000179</t>
  </si>
  <si>
    <t>There is no BSS near his place.</t>
  </si>
  <si>
    <t>20260000180</t>
  </si>
  <si>
    <t>Christian Kenneth Castillo</t>
  </si>
  <si>
    <t>09561578495</t>
  </si>
  <si>
    <t>No BSS near his place.</t>
  </si>
  <si>
    <t>20260000181</t>
  </si>
  <si>
    <t>Pick Up from Asgard</t>
  </si>
  <si>
    <t>RJ &amp; Ron</t>
  </si>
  <si>
    <t>For ABC Express</t>
  </si>
  <si>
    <t>20260000182</t>
  </si>
  <si>
    <t>RJ &amp; RON</t>
  </si>
  <si>
    <t>20260000183</t>
  </si>
  <si>
    <t>Manila Golf and Tri Mega force</t>
  </si>
  <si>
    <t>ESP00212        Controller Assembly (D400)                              1pc.
ESP00196        Front LeftSignal Indicator Light (D400)           1pc.</t>
  </si>
  <si>
    <t>Replacement for lease units (Manila golf, Tri Mega Force)</t>
  </si>
  <si>
    <t>20260000184</t>
  </si>
  <si>
    <t xml:space="preserve">1 - Landers Alabang - Landers Superstore Alabang West, Daang Hari Road, Alabang West, Las Piñas, 1700 Metro Manila
1 - Landers Arca South  - Landers Superstore ARCA South, ARCA South, Lot 8-B 1630 ARCA Boulevard, cor E Union Dr, Western Bicutan, Taguig, 1630 Metro Manila
2 - Nuvali (For pickup &amp; Onboarding) - E88 Ventures, Inc. Warehouse </t>
  </si>
  <si>
    <t xml:space="preserve">Ms. Bianca </t>
  </si>
  <si>
    <t>+639458500699</t>
  </si>
  <si>
    <t>20260000185</t>
  </si>
  <si>
    <t>TCI Office</t>
  </si>
  <si>
    <t>20260000186</t>
  </si>
  <si>
    <t>Christopher C. Meendoza</t>
  </si>
  <si>
    <t>ESP00165	Left Rear Protective Side Panel (D400)         1pc
ESP00164	Right Rear Protective Side Panel (D400)       1pc
ESP00151	Foot Pedal (D400)                                            1pc
ESP00135	Driver Seat (D400)                                            1pc</t>
  </si>
  <si>
    <t>20260000187</t>
  </si>
  <si>
    <t>Atome Philippines</t>
  </si>
  <si>
    <t>Pick Up from E88 Ventures Inc Warehouse</t>
  </si>
  <si>
    <t>RJ</t>
  </si>
  <si>
    <t>Will be returned within the day</t>
  </si>
  <si>
    <t>20260000188</t>
  </si>
  <si>
    <t>E88 Ventures, Inc. warehouse</t>
  </si>
  <si>
    <t>+639178720828</t>
  </si>
  <si>
    <t>20260000189</t>
  </si>
  <si>
    <t>E88 Ventures warehouse 174 Acacia, Pasig, 1610 Metro Manila</t>
  </si>
  <si>
    <t>+639171086482</t>
  </si>
  <si>
    <t xml:space="preserve">OKG 1 Unit </t>
  </si>
  <si>
    <t>OKG 1 unit</t>
  </si>
  <si>
    <t>20260000190</t>
  </si>
  <si>
    <t>ABC ALLIANCE GLOBAL CORP</t>
  </si>
  <si>
    <t xml:space="preserve">3502 Honda St., Pinagkaisahan, 1213 Makati City </t>
  </si>
  <si>
    <t>20260000191</t>
  </si>
  <si>
    <t>Landers Nuvali</t>
  </si>
  <si>
    <t>Loaner unit</t>
  </si>
  <si>
    <t>20260000192</t>
  </si>
  <si>
    <t xml:space="preserve">E88 Ventures Inc Warehouse </t>
  </si>
  <si>
    <t>Cellphone Holder 2pcs
Bracket 2 pcs</t>
  </si>
  <si>
    <t>20260000193</t>
  </si>
  <si>
    <t>E88 Ventures inc.</t>
  </si>
  <si>
    <t>SC Sta. Rosa</t>
  </si>
  <si>
    <t>ESP00224	Speedometer (D400)                           1pc
Front Wheel Bearing 6201                                          4pcs
Brake pad (front rear D400 R280/S)                          6pcs
Brake pad (front R280/S)                                            5pcs</t>
  </si>
  <si>
    <t>20260000194</t>
  </si>
  <si>
    <t>ESP00174        Right Front Protective Panel (D400 Blue)      1pc
ESP00284        Left Front Protective Panel (D400 Black)       1pc
ESP00285        Right Front Protective Panel (D400 Black)     1pc
ESP00164        Right Rear Protective Side Panel (D400)        1pc
ESP00165        Left Rear Protective Side Panel (D400)          1pc
ESP00151        Foot Pedal (D400)                                             2pcs
ESP00213        Side Mirror (D400)                                             1pc
ESP00021        Ball Race (R280/Sport)                                     3pcs
ESP00247        Foot Pegs (R280/Sport)                                   2pcs
ESP00135        Driver Seat (D400)                                            1pc
ESP00218        Ball Race (D400)                                              4pcs
ESP00248        Foot pedal cover (D400)                                 5pcs
ESP00224        Speedometer (D400)                                       2pcs
ESP00227        USB Port (D400)                                               1pc
ESP00237        Steering Balancer (D400)                                 2pcs</t>
  </si>
  <si>
    <t>20260000195</t>
  </si>
  <si>
    <t>Angels Pizza HQ</t>
  </si>
  <si>
    <t>https://maps.app.goo.gl/QXfsVGJtHqkwx2wu8
H2FW+75V, 33 1550 Mayon St, Mandaluyong City, Metro Manila</t>
  </si>
  <si>
    <t>John Lenard Lim (Angels Pizza Manager)/  Jean (CAIO- Vendor)</t>
  </si>
  <si>
    <t>0947 899 0001 / 0917 165 9339</t>
  </si>
  <si>
    <t>ONE SMART IoT SIM for the locker
Make sure it is ACTIVATED</t>
  </si>
  <si>
    <t>20260000196</t>
  </si>
  <si>
    <t>BETTER EDGE SOLUTION, INC.</t>
  </si>
  <si>
    <t>J&amp;T Express - CP-VAL-PasoDeBlas</t>
  </si>
  <si>
    <t>20260000197</t>
  </si>
  <si>
    <t xml:space="preserve">Crave Club </t>
  </si>
  <si>
    <t xml:space="preserve">TCI, Kapitolyo, Pasig City </t>
  </si>
  <si>
    <t xml:space="preserve">Ms. Glyzel Sua </t>
  </si>
  <si>
    <t>+63 917 700 1879</t>
  </si>
  <si>
    <t>20260000198</t>
  </si>
  <si>
    <t>09985944190</t>
  </si>
  <si>
    <t>For Project Flash Testing</t>
  </si>
  <si>
    <t>Any available D400 unit. Already pre approved with sir Sam. Thank you</t>
  </si>
  <si>
    <t>20260000199</t>
  </si>
  <si>
    <t xml:space="preserve">Minerva Trading </t>
  </si>
  <si>
    <t>E88 Ventures Warehouse 174 Acacia, Pasig, 1610 Metro Manila</t>
  </si>
  <si>
    <t>Robert Kohtiao</t>
  </si>
  <si>
    <t xml:space="preserve">+639190049240 </t>
  </si>
  <si>
    <t xml:space="preserve">PO No. 5472 </t>
  </si>
  <si>
    <t>20260000200</t>
  </si>
  <si>
    <t>0969 6350696</t>
  </si>
  <si>
    <t>20260000201</t>
  </si>
  <si>
    <t xml:space="preserve">Landers Vermosa - Ayala Malls Vermosa, Daang Hari Road corner Vermosa Boulevard, Pasong Buaya, Imus City, Cavite </t>
  </si>
  <si>
    <t>20260000202</t>
  </si>
  <si>
    <t>ESP00213        Side Mirror (D400)         3pcs
ESP00201        Horn (D400)                    1pc</t>
  </si>
  <si>
    <t>inventory transfer and sale to clients</t>
  </si>
  <si>
    <t>Carlota Dapapac</t>
  </si>
  <si>
    <t>90 Congressional Ave. Brgy. Bahay Toro Proj8 QC</t>
  </si>
  <si>
    <t>ESP00005        Speedomoter Panel (R280/Sport)         1pc</t>
  </si>
  <si>
    <t>Replacement for Meserve unit</t>
  </si>
  <si>
    <t>20260000204</t>
  </si>
  <si>
    <t>E88 Ventures Asgard Warehouse</t>
  </si>
  <si>
    <t>For GOGO QuadX Roadshow</t>
  </si>
  <si>
    <t>20260000205</t>
  </si>
  <si>
    <t>rnepomuceno@nrdev.ph</t>
  </si>
  <si>
    <t>Phoenix MOA</t>
  </si>
  <si>
    <t>Phoenix Petroleum, EDSA Ext, Pasay City, Metro Manila
GPS Coordinates: 14.535568757681117, 120.98740685582172</t>
  </si>
  <si>
    <t>JL Torno</t>
  </si>
  <si>
    <t>09672574391</t>
  </si>
  <si>
    <t>RideBox</t>
  </si>
  <si>
    <t xml:space="preserve">Angkas </t>
  </si>
  <si>
    <t xml:space="preserve">Pick up at E88 Ventures Asgard Warehouse </t>
  </si>
  <si>
    <t>20260000207</t>
  </si>
  <si>
    <t>Rear Brake Pad (consumables)                                               4pcs
ESP00195	Front Right Signal Indicator Light (D400)       1pc
ESP00222	Right Passenger Foot Rest (D400)                  1pc
ESP00213	Side Mirror (D400)                                             1set</t>
  </si>
  <si>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</sst>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mmmm d, yyyy"/>
    <numFmt numFmtId="166" formatCode="h:mm am/pm"/>
    <numFmt numFmtId="167" formatCode="m/d"/>
  </numFmts>
  <fonts count="17">
    <font>
      <sz val="10.0"/>
      <color rgb="FF000000"/>
      <name val="Arial"/>
      <scheme val="minor"/>
    </font>
    <font>
      <sz val="9.0"/>
      <color theme="1"/>
      <name val="Figtree"/>
    </font>
    <font>
      <sz val="9.0"/>
      <color rgb="FFFFFFFF"/>
      <name val="Figtree"/>
    </font>
    <font/>
    <font>
      <b/>
      <sz val="24.0"/>
      <color rgb="FFFFFFFF"/>
      <name val="Figtree"/>
    </font>
    <font>
      <b/>
      <sz val="24.0"/>
      <color theme="1"/>
      <name val="Figtree"/>
    </font>
    <font>
      <b/>
      <sz val="9.0"/>
      <color theme="1"/>
      <name val="Figtree"/>
    </font>
    <font>
      <b/>
      <sz val="12.0"/>
      <color theme="1"/>
      <name val="Figtree"/>
    </font>
    <font>
      <color theme="1"/>
      <name val="Arial"/>
      <scheme val="minor"/>
    </font>
    <font>
      <sz val="8.0"/>
      <color theme="1"/>
      <name val="Figtree"/>
    </font>
    <font>
      <b/>
      <sz val="11.0"/>
      <color theme="1"/>
      <name val="Figtree"/>
    </font>
    <font>
      <b/>
      <color theme="1"/>
      <name val="Figtree"/>
    </font>
    <font>
      <color theme="1"/>
      <name val="Figtree"/>
    </font>
    <font>
      <sz val="11.0"/>
      <color theme="1"/>
      <name val="Figtree"/>
    </font>
    <font>
      <color rgb="FF222222"/>
      <name val="Arial"/>
    </font>
    <font>
      <sz val="10.0"/>
      <color rgb="FF434343"/>
      <name val="Roboto"/>
    </font>
    <font>
      <u/>
      <color rgb="FF0000FF"/>
      <name val="Roboto"/>
    </font>
  </fonts>
  <fills count="10">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FFF2CC"/>
        <bgColor rgb="FFFFF2CC"/>
      </patternFill>
    </fill>
    <fill>
      <patternFill patternType="solid">
        <fgColor rgb="FFD9D9D9"/>
        <bgColor rgb="FFD9D9D9"/>
      </patternFill>
    </fill>
    <fill>
      <patternFill patternType="solid">
        <fgColor rgb="FFF3F3F3"/>
        <bgColor rgb="FFF3F3F3"/>
      </patternFill>
    </fill>
    <fill>
      <patternFill patternType="solid">
        <fgColor rgb="FFFCE5CD"/>
        <bgColor rgb="FFFCE5CD"/>
      </patternFill>
    </fill>
    <fill>
      <patternFill patternType="solid">
        <fgColor rgb="FF00FFFF"/>
        <bgColor rgb="FF00FFFF"/>
      </patternFill>
    </fill>
    <fill>
      <patternFill patternType="solid">
        <fgColor rgb="FFF4CCCC"/>
        <bgColor rgb="FFF4CCCC"/>
      </patternFill>
    </fill>
  </fills>
  <borders count="4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ck">
        <color rgb="FF000000"/>
      </left>
      <top style="thick">
        <color rgb="FF000000"/>
      </top>
      <bottom style="thick">
        <color rgb="FF000000"/>
      </bottom>
    </border>
    <border>
      <right style="thin">
        <color rgb="FFFFFFFF"/>
      </right>
      <top style="thick">
        <color rgb="FF000000"/>
      </top>
      <bottom style="thick">
        <color rgb="FF000000"/>
      </bottom>
    </border>
    <border>
      <left style="thin">
        <color rgb="FFFFFFFF"/>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right style="thin">
        <color rgb="FFFFFFFF"/>
      </right>
      <top style="thin">
        <color rgb="FFFFFFFF"/>
      </top>
      <bottom style="thin">
        <color rgb="FFFFFFFF"/>
      </bottom>
    </border>
    <border>
      <left style="thin">
        <color rgb="FFFFFFFF"/>
      </left>
      <bottom style="thick">
        <color rgb="FF000000"/>
      </bottom>
    </border>
    <border>
      <left style="thin">
        <color rgb="FFFFFFFF"/>
      </left>
      <bottom style="medium">
        <color rgb="FF000000"/>
      </bottom>
    </border>
    <border>
      <bottom style="thick">
        <color rgb="FF000000"/>
      </bottom>
    </border>
    <border>
      <bottom style="medium">
        <color rgb="FF000000"/>
      </bottom>
    </border>
    <border>
      <left style="thin">
        <color rgb="FFFFFFFF"/>
      </left>
      <right style="thin">
        <color rgb="FFFFFFFF"/>
      </right>
      <bottom style="thick">
        <color rgb="FF000000"/>
      </bottom>
    </border>
    <border>
      <left style="thin">
        <color rgb="FFFFFFFF"/>
      </left>
      <right style="thin">
        <color rgb="FFFFFFFF"/>
      </right>
      <bottom style="medium">
        <color rgb="FF000000"/>
      </bottom>
    </border>
    <border>
      <left style="thin">
        <color rgb="FFFFFFFF"/>
      </left>
    </border>
    <border>
      <right style="thin">
        <color rgb="FFFFFFFF"/>
      </right>
    </border>
    <border>
      <left style="thin">
        <color rgb="FFFFFFFF"/>
      </left>
      <right style="thin">
        <color rgb="FFFFFFFF"/>
      </right>
    </border>
    <border>
      <left style="thin">
        <color rgb="FFEFEFEF"/>
      </left>
      <top style="thin">
        <color rgb="FFEFEFEF"/>
      </top>
      <bottom style="thin">
        <color rgb="FFEFEFEF"/>
      </bottom>
    </border>
    <border>
      <right style="thin">
        <color rgb="FFEFEFEF"/>
      </right>
      <top style="thin">
        <color rgb="FFEFEFEF"/>
      </top>
      <bottom style="thin">
        <color rgb="FFEFEFEF"/>
      </bottom>
    </border>
    <border>
      <top style="thin">
        <color rgb="FFEFEFEF"/>
      </top>
      <bottom style="thin">
        <color rgb="FFEFEFEF"/>
      </bottom>
    </border>
    <border>
      <right style="thin">
        <color rgb="FFFFFFFF"/>
      </right>
      <bottom style="thick">
        <color rgb="FF000000"/>
      </bottom>
    </border>
    <border>
      <left style="thin">
        <color rgb="FF000000"/>
      </left>
      <right style="thin">
        <color rgb="FF000000"/>
      </right>
      <top style="thin">
        <color rgb="FF000000"/>
      </top>
      <bottom style="thin">
        <color rgb="FF000000"/>
      </bottom>
    </border>
    <border>
      <left style="thin">
        <color rgb="FFEFEFEF"/>
      </left>
      <right style="thin">
        <color rgb="FFEFEFEF"/>
      </right>
      <top style="thin">
        <color rgb="FFEFEFEF"/>
      </top>
      <bottom style="thin">
        <color rgb="FFEFEFEF"/>
      </bottom>
    </border>
    <border>
      <left style="thick">
        <color rgb="FFFFFFFF"/>
      </left>
      <bottom style="thick">
        <color rgb="FF000000"/>
      </bottom>
    </border>
    <border>
      <right style="thick">
        <color rgb="FFFFFFFF"/>
      </right>
      <bottom style="thick">
        <color rgb="FF000000"/>
      </bottom>
    </border>
    <border>
      <left style="thin">
        <color rgb="FFEFEFEF"/>
      </left>
    </border>
    <border>
      <right style="thin">
        <color rgb="FFEFEFEF"/>
      </right>
    </border>
    <border>
      <left style="thin">
        <color rgb="FFEFEFEF"/>
      </left>
      <bottom style="thin">
        <color rgb="FFEFEFEF"/>
      </bottom>
    </border>
    <border>
      <bottom style="thin">
        <color rgb="FFEFEFEF"/>
      </bottom>
    </border>
    <border>
      <right style="thin">
        <color rgb="FFEFEFEF"/>
      </right>
      <bottom style="thin">
        <color rgb="FFEFEFEF"/>
      </bottom>
    </border>
    <border>
      <left style="thin">
        <color rgb="FFFFFFFF"/>
      </left>
      <top style="thin">
        <color rgb="FFFFFFFF"/>
      </top>
      <bottom style="thick">
        <color rgb="FF000000"/>
      </bottom>
    </border>
    <border>
      <top style="thin">
        <color rgb="FFFFFFFF"/>
      </top>
      <bottom style="thick">
        <color rgb="FF000000"/>
      </bottom>
    </border>
    <border>
      <right style="thin">
        <color rgb="FFFFFFFF"/>
      </right>
      <top style="thin">
        <color rgb="FFFFFFFF"/>
      </top>
      <bottom style="thick">
        <color rgb="FF000000"/>
      </bottom>
    </border>
    <border>
      <top style="thin">
        <color rgb="FFFFFFFF"/>
      </top>
      <bottom style="thin">
        <color rgb="FFFFFFFF"/>
      </bottom>
    </border>
    <border>
      <left style="thin">
        <color rgb="FFEFEFEF"/>
      </left>
      <top style="thin">
        <color rgb="FFEFEFEF"/>
      </top>
    </border>
    <border>
      <right style="thin">
        <color rgb="FFEFEFEF"/>
      </right>
      <top style="thin">
        <color rgb="FFEFEFEF"/>
      </top>
    </border>
    <border>
      <left style="thin">
        <color rgb="FFD9D9D9"/>
      </left>
      <top style="thin">
        <color rgb="FFD9D9D9"/>
      </top>
      <bottom style="thin">
        <color rgb="FFD9D9D9"/>
      </bottom>
    </border>
    <border>
      <right style="thin">
        <color rgb="FFD9D9D9"/>
      </right>
      <top style="thin">
        <color rgb="FFD9D9D9"/>
      </top>
      <bottom style="thin">
        <color rgb="FFD9D9D9"/>
      </bottom>
    </border>
    <border>
      <top style="thin">
        <color rgb="FFD9D9D9"/>
      </top>
      <bottom style="thin">
        <color rgb="FFD9D9D9"/>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2" fillId="0" fontId="1" numFmtId="0" xfId="0" applyAlignment="1" applyBorder="1" applyFont="1">
      <alignment shrinkToFit="0" vertical="center" wrapText="1"/>
    </xf>
    <xf borderId="0" fillId="0" fontId="1" numFmtId="0" xfId="0" applyAlignment="1" applyFont="1">
      <alignment shrinkToFit="0" vertical="center" wrapText="1"/>
    </xf>
    <xf borderId="3" fillId="0" fontId="1" numFmtId="0" xfId="0" applyAlignment="1" applyBorder="1" applyFont="1">
      <alignment shrinkToFit="0" vertical="center" wrapText="1"/>
    </xf>
    <xf borderId="4" fillId="2" fontId="2" numFmtId="0" xfId="0" applyAlignment="1" applyBorder="1" applyFill="1" applyFont="1">
      <alignment horizontal="center" shrinkToFit="0" vertical="center" wrapText="1"/>
    </xf>
    <xf borderId="5" fillId="0" fontId="3" numFmtId="0" xfId="0" applyBorder="1" applyFont="1"/>
    <xf borderId="4" fillId="2" fontId="1" numFmtId="0" xfId="0" applyAlignment="1" applyBorder="1" applyFont="1">
      <alignment horizontal="center" shrinkToFit="0" vertical="center" wrapText="1"/>
    </xf>
    <xf borderId="6" fillId="2" fontId="4" numFmtId="0" xfId="0" applyAlignment="1" applyBorder="1" applyFont="1">
      <alignment horizontal="center" readingOrder="0" shrinkToFit="0" vertical="center" wrapText="1"/>
    </xf>
    <xf borderId="7" fillId="0" fontId="3" numFmtId="0" xfId="0" applyBorder="1" applyFont="1"/>
    <xf borderId="6" fillId="3" fontId="5" numFmtId="0" xfId="0" applyAlignment="1" applyBorder="1" applyFill="1" applyFont="1">
      <alignment horizontal="center" readingOrder="0" shrinkToFit="0" vertical="center" wrapText="1"/>
    </xf>
    <xf borderId="8" fillId="0" fontId="3" numFmtId="0" xfId="0" applyBorder="1" applyFont="1"/>
    <xf borderId="9" fillId="0" fontId="1" numFmtId="0" xfId="0" applyAlignment="1" applyBorder="1" applyFont="1">
      <alignment shrinkToFit="0" vertical="center" wrapText="1"/>
    </xf>
    <xf borderId="10" fillId="3" fontId="6" numFmtId="0" xfId="0" applyAlignment="1" applyBorder="1" applyFont="1">
      <alignment shrinkToFit="0" vertical="bottom" wrapText="1"/>
    </xf>
    <xf borderId="11" fillId="3" fontId="6" numFmtId="0" xfId="0" applyAlignment="1" applyBorder="1" applyFont="1">
      <alignment shrinkToFit="0" vertical="bottom" wrapText="1"/>
    </xf>
    <xf borderId="12" fillId="0" fontId="3" numFmtId="0" xfId="0" applyBorder="1" applyFont="1"/>
    <xf borderId="13" fillId="0" fontId="3" numFmtId="0" xfId="0" applyBorder="1" applyFont="1"/>
    <xf borderId="14" fillId="3" fontId="6" numFmtId="0" xfId="0" applyAlignment="1" applyBorder="1" applyFont="1">
      <alignment horizontal="right" readingOrder="0" shrinkToFit="0" vertical="bottom" wrapText="1"/>
    </xf>
    <xf borderId="15" fillId="3" fontId="6" numFmtId="0" xfId="0" applyAlignment="1" applyBorder="1" applyFont="1">
      <alignment horizontal="right" readingOrder="0" shrinkToFit="0" vertical="bottom" wrapText="1"/>
    </xf>
    <xf borderId="16" fillId="3" fontId="1" numFmtId="0" xfId="0" applyAlignment="1" applyBorder="1" applyFont="1">
      <alignment shrinkToFit="0" vertical="center" wrapText="1"/>
    </xf>
    <xf borderId="17" fillId="0" fontId="3" numFmtId="0" xfId="0" applyBorder="1" applyFont="1"/>
    <xf borderId="18" fillId="0" fontId="1" numFmtId="0" xfId="0" applyAlignment="1" applyBorder="1" applyFont="1">
      <alignment shrinkToFit="0" vertical="center" wrapText="1"/>
    </xf>
    <xf borderId="14" fillId="4" fontId="7" numFmtId="49" xfId="0" applyAlignment="1" applyBorder="1" applyFill="1" applyFont="1" applyNumberFormat="1">
      <alignment horizontal="center" readingOrder="0" shrinkToFit="0" vertical="bottom" wrapText="1"/>
    </xf>
    <xf borderId="11" fillId="3" fontId="6" numFmtId="49" xfId="0" applyAlignment="1" applyBorder="1" applyFont="1" applyNumberFormat="1">
      <alignment horizontal="center" readingOrder="0" shrinkToFit="0" vertical="bottom" wrapText="1"/>
    </xf>
    <xf borderId="19" fillId="3" fontId="6" numFmtId="0" xfId="0" applyAlignment="1" applyBorder="1" applyFont="1">
      <alignment readingOrder="0" shrinkToFit="0" vertical="center" wrapText="1"/>
    </xf>
    <xf borderId="20" fillId="0" fontId="3" numFmtId="0" xfId="0" applyBorder="1" applyFont="1"/>
    <xf borderId="19" fillId="0" fontId="1" numFmtId="0" xfId="0" applyAlignment="1" applyBorder="1" applyFont="1">
      <alignment horizontal="left" shrinkToFit="0" vertical="center" wrapText="1"/>
    </xf>
    <xf borderId="21" fillId="0" fontId="3" numFmtId="0" xfId="0" applyBorder="1" applyFont="1"/>
    <xf borderId="19" fillId="0" fontId="1" numFmtId="14" xfId="0" applyAlignment="1" applyBorder="1" applyFont="1" applyNumberFormat="1">
      <alignment horizontal="left" shrinkToFit="0" vertical="center" wrapText="1"/>
    </xf>
    <xf borderId="19" fillId="3" fontId="6" numFmtId="0" xfId="0" applyAlignment="1" applyBorder="1" applyFont="1">
      <alignment shrinkToFit="0" vertical="center" wrapText="1"/>
    </xf>
    <xf borderId="19" fillId="0" fontId="1" numFmtId="164" xfId="0" applyAlignment="1" applyBorder="1" applyFont="1" applyNumberFormat="1">
      <alignment horizontal="left" shrinkToFit="0" vertical="center" wrapText="1"/>
    </xf>
    <xf borderId="0" fillId="0" fontId="8" numFmtId="0" xfId="0" applyAlignment="1" applyFont="1">
      <alignment horizontal="left" readingOrder="0" shrinkToFit="0" vertical="center" wrapText="0"/>
    </xf>
    <xf borderId="22" fillId="0" fontId="3" numFmtId="0" xfId="0" applyBorder="1" applyFont="1"/>
    <xf borderId="23" fillId="5" fontId="6" numFmtId="0" xfId="0" applyAlignment="1" applyBorder="1" applyFill="1" applyFont="1">
      <alignment horizontal="center" shrinkToFit="0" vertical="center" wrapText="1"/>
    </xf>
    <xf borderId="24" fillId="5" fontId="6" numFmtId="0" xfId="0" applyAlignment="1" applyBorder="1" applyFont="1">
      <alignment horizontal="center" shrinkToFit="0" vertical="center" wrapText="1"/>
    </xf>
    <xf borderId="23" fillId="5" fontId="6" numFmtId="0" xfId="0" applyAlignment="1" applyBorder="1" applyFont="1">
      <alignment horizontal="center" readingOrder="0" shrinkToFit="0" vertical="center" wrapText="1"/>
    </xf>
    <xf borderId="24" fillId="5" fontId="6" numFmtId="0" xfId="0" applyAlignment="1" applyBorder="1" applyFont="1">
      <alignment horizontal="center" readingOrder="0" shrinkToFit="0" vertical="center" wrapText="1"/>
    </xf>
    <xf borderId="23" fillId="3" fontId="1" numFmtId="0" xfId="0" applyAlignment="1" applyBorder="1" applyFont="1">
      <alignment horizontal="center" shrinkToFit="0" vertical="center" wrapText="1"/>
    </xf>
    <xf borderId="24" fillId="3" fontId="1" numFmtId="0" xfId="0" applyAlignment="1" applyBorder="1" applyFont="1">
      <alignment horizontal="center" shrinkToFit="0" vertical="center" wrapText="1"/>
    </xf>
    <xf borderId="23" fillId="0" fontId="9" numFmtId="0" xfId="0" applyAlignment="1" applyBorder="1" applyFont="1">
      <alignment horizontal="center" readingOrder="0" shrinkToFit="0" vertical="center" wrapText="1"/>
    </xf>
    <xf borderId="24" fillId="0" fontId="9" numFmtId="0" xfId="0" applyAlignment="1" applyBorder="1" applyFont="1">
      <alignment horizontal="center" readingOrder="0" shrinkToFit="0" vertical="center" wrapText="1"/>
    </xf>
    <xf borderId="23" fillId="0" fontId="9" numFmtId="0" xfId="0" applyAlignment="1" applyBorder="1" applyFont="1">
      <alignment horizontal="center" shrinkToFit="0" vertical="center" wrapText="1"/>
    </xf>
    <xf borderId="24" fillId="0" fontId="9" numFmtId="0" xfId="0" applyAlignment="1" applyBorder="1" applyFont="1">
      <alignment horizontal="center" shrinkToFit="0" vertical="center" wrapText="1"/>
    </xf>
    <xf borderId="19" fillId="5" fontId="6" numFmtId="0" xfId="0" applyAlignment="1" applyBorder="1" applyFont="1">
      <alignment horizontal="center" readingOrder="0" shrinkToFit="0" vertical="center" wrapText="1"/>
    </xf>
    <xf borderId="19" fillId="5" fontId="6" numFmtId="0" xfId="0" applyAlignment="1" applyBorder="1" applyFont="1">
      <alignment horizontal="center" shrinkToFit="0" vertical="center" wrapText="1"/>
    </xf>
    <xf borderId="19" fillId="0" fontId="9" numFmtId="0" xfId="0" applyAlignment="1" applyBorder="1" applyFont="1">
      <alignment horizontal="center" readingOrder="0" shrinkToFit="0" vertical="center" wrapText="1"/>
    </xf>
    <xf borderId="0" fillId="0" fontId="8" numFmtId="0" xfId="0" applyAlignment="1" applyFont="1">
      <alignment horizontal="left" readingOrder="0" shrinkToFit="0" vertical="center" wrapText="0"/>
    </xf>
    <xf borderId="0" fillId="0" fontId="8" numFmtId="0" xfId="0" applyAlignment="1" applyFont="1">
      <alignment horizontal="left" readingOrder="0" shrinkToFit="0" vertical="center" wrapText="0"/>
    </xf>
    <xf borderId="25" fillId="3" fontId="6" numFmtId="0" xfId="0" applyAlignment="1" applyBorder="1" applyFont="1">
      <alignment readingOrder="0" shrinkToFit="0" vertical="bottom" wrapText="1"/>
    </xf>
    <xf borderId="26" fillId="0" fontId="3" numFmtId="0" xfId="0" applyBorder="1" applyFont="1"/>
    <xf borderId="27" fillId="3" fontId="1" numFmtId="0" xfId="0" applyAlignment="1" applyBorder="1" applyFont="1">
      <alignment horizontal="left" shrinkToFit="0" vertical="center" wrapText="1"/>
    </xf>
    <xf borderId="28" fillId="0" fontId="3" numFmtId="0" xfId="0" applyBorder="1" applyFont="1"/>
    <xf borderId="29" fillId="0" fontId="3" numFmtId="0" xfId="0" applyBorder="1" applyFont="1"/>
    <xf borderId="30" fillId="0" fontId="3" numFmtId="0" xfId="0" applyBorder="1" applyFont="1"/>
    <xf borderId="31" fillId="0" fontId="3" numFmtId="0" xfId="0" applyBorder="1" applyFont="1"/>
    <xf borderId="0" fillId="0" fontId="8" numFmtId="0" xfId="0" applyAlignment="1" applyFont="1">
      <alignment shrinkToFit="0" vertical="center" wrapText="0"/>
    </xf>
    <xf borderId="0" fillId="0" fontId="8" numFmtId="164" xfId="0" applyAlignment="1" applyFont="1" applyNumberFormat="1">
      <alignment readingOrder="0" shrinkToFit="0" vertical="center" wrapText="0"/>
    </xf>
    <xf borderId="0" fillId="0" fontId="8" numFmtId="0" xfId="0" applyAlignment="1" applyFont="1">
      <alignment readingOrder="0" shrinkToFit="0" vertical="center" wrapText="0"/>
    </xf>
    <xf borderId="32" fillId="3" fontId="6" numFmtId="0" xfId="0" applyAlignment="1" applyBorder="1" applyFont="1">
      <alignment readingOrder="0" shrinkToFit="0" vertical="bottom" wrapText="1"/>
    </xf>
    <xf borderId="33" fillId="0" fontId="3" numFmtId="0" xfId="0" applyBorder="1" applyFont="1"/>
    <xf borderId="34" fillId="0" fontId="3" numFmtId="0" xfId="0" applyBorder="1" applyFont="1"/>
    <xf borderId="10" fillId="3" fontId="6" numFmtId="0" xfId="0" applyAlignment="1" applyBorder="1" applyFont="1">
      <alignment readingOrder="0" shrinkToFit="0" vertical="bottom" wrapText="1"/>
    </xf>
    <xf borderId="0" fillId="0" fontId="8" numFmtId="14" xfId="0" applyAlignment="1" applyFont="1" applyNumberFormat="1">
      <alignment readingOrder="0" shrinkToFit="0" vertical="center" wrapText="0"/>
    </xf>
    <xf borderId="3" fillId="3" fontId="6" numFmtId="0" xfId="0" applyAlignment="1" applyBorder="1" applyFont="1">
      <alignment shrinkToFit="0" vertical="bottom" wrapText="1"/>
    </xf>
    <xf borderId="24" fillId="3" fontId="1" numFmtId="0" xfId="0" applyAlignment="1" applyBorder="1" applyFont="1">
      <alignment horizontal="center" readingOrder="0" shrinkToFit="0" vertical="center" wrapText="1"/>
    </xf>
    <xf borderId="9" fillId="0" fontId="3" numFmtId="0" xfId="0" applyBorder="1" applyFont="1"/>
    <xf borderId="0" fillId="0" fontId="8" numFmtId="19" xfId="0" applyAlignment="1" applyFont="1" applyNumberFormat="1">
      <alignment readingOrder="0" shrinkToFit="0" vertical="center" wrapText="0"/>
    </xf>
    <xf borderId="1" fillId="0" fontId="1" numFmtId="0" xfId="0" applyAlignment="1" applyBorder="1" applyFont="1">
      <alignment horizontal="left" shrinkToFit="0" vertical="bottom" wrapText="1"/>
    </xf>
    <xf borderId="1" fillId="3" fontId="6" numFmtId="0" xfId="0" applyAlignment="1" applyBorder="1" applyFont="1">
      <alignment shrinkToFit="0" vertical="bottom" wrapText="1"/>
    </xf>
    <xf borderId="3" fillId="0" fontId="1" numFmtId="0" xfId="0" applyAlignment="1" applyBorder="1" applyFont="1">
      <alignment shrinkToFit="0" vertical="bottom" wrapText="1"/>
    </xf>
    <xf borderId="35" fillId="0" fontId="3" numFmtId="0" xfId="0" applyBorder="1" applyFont="1"/>
    <xf quotePrefix="1" borderId="0" fillId="0" fontId="8" numFmtId="0" xfId="0" applyAlignment="1" applyFont="1">
      <alignment readingOrder="0" shrinkToFit="0" vertical="center" wrapText="0"/>
    </xf>
    <xf borderId="3" fillId="3" fontId="6" numFmtId="0" xfId="0" applyAlignment="1" applyBorder="1" applyFont="1">
      <alignment shrinkToFit="0" vertical="center" wrapText="1"/>
    </xf>
    <xf borderId="3" fillId="0" fontId="1" numFmtId="14" xfId="0" applyAlignment="1" applyBorder="1" applyFont="1" applyNumberFormat="1">
      <alignment horizontal="left" shrinkToFit="0" vertical="center" wrapText="1"/>
    </xf>
    <xf borderId="1" fillId="3" fontId="6" numFmtId="0" xfId="0" applyAlignment="1" applyBorder="1" applyFont="1">
      <alignment shrinkToFit="0" vertical="center" wrapText="1"/>
    </xf>
    <xf borderId="3" fillId="0" fontId="1" numFmtId="0" xfId="0" applyAlignment="1" applyBorder="1" applyFont="1">
      <alignment readingOrder="0" shrinkToFit="0" vertical="center" wrapText="1"/>
    </xf>
    <xf borderId="0" fillId="3" fontId="1" numFmtId="0" xfId="0" applyAlignment="1" applyFont="1">
      <alignment horizontal="center" readingOrder="0" shrinkToFit="0" vertical="center" wrapText="1"/>
    </xf>
    <xf borderId="1" fillId="0" fontId="6" numFmtId="0" xfId="0" applyAlignment="1" applyBorder="1" applyFont="1">
      <alignment shrinkToFit="0" vertical="center" wrapText="1"/>
    </xf>
    <xf borderId="3" fillId="0" fontId="1" numFmtId="0" xfId="0" applyAlignment="1" applyBorder="1" applyFont="1">
      <alignment horizontal="left" shrinkToFit="0" vertical="center" wrapText="1"/>
    </xf>
    <xf borderId="0" fillId="0" fontId="9" numFmtId="0" xfId="0" applyAlignment="1" applyFont="1">
      <alignment horizontal="center" readingOrder="0" shrinkToFit="0" vertical="center" wrapText="1"/>
    </xf>
    <xf borderId="0" fillId="0" fontId="8" numFmtId="0" xfId="0" applyAlignment="1" applyFont="1">
      <alignment readingOrder="0" shrinkToFit="0" vertical="center" wrapText="0"/>
    </xf>
    <xf borderId="3" fillId="0" fontId="1" numFmtId="0" xfId="0" applyAlignment="1" applyBorder="1" applyFont="1">
      <alignment horizontal="left" readingOrder="0" shrinkToFit="0" vertical="center" wrapText="1"/>
    </xf>
    <xf borderId="0" fillId="0" fontId="9" numFmtId="0" xfId="0" applyAlignment="1" applyFont="1">
      <alignment horizontal="center" shrinkToFit="0" vertical="center" wrapText="1"/>
    </xf>
    <xf borderId="0" fillId="0" fontId="10" numFmtId="0" xfId="0" applyAlignment="1" applyFont="1">
      <alignment vertical="bottom"/>
    </xf>
    <xf borderId="0" fillId="0" fontId="11" numFmtId="0" xfId="0" applyAlignment="1" applyFont="1">
      <alignment readingOrder="0"/>
    </xf>
    <xf borderId="0" fillId="0" fontId="12" numFmtId="0" xfId="0" applyAlignment="1" applyFont="1">
      <alignment readingOrder="0"/>
    </xf>
    <xf borderId="0" fillId="0" fontId="12" numFmtId="0" xfId="0" applyFont="1"/>
    <xf borderId="29" fillId="3" fontId="1" numFmtId="0" xfId="0" applyAlignment="1" applyBorder="1" applyFont="1">
      <alignment horizontal="left" shrinkToFit="0" vertical="center" wrapText="1"/>
    </xf>
    <xf borderId="29" fillId="3" fontId="1" numFmtId="14" xfId="0" applyAlignment="1" applyBorder="1" applyFont="1" applyNumberFormat="1">
      <alignment horizontal="left" shrinkToFit="0" vertical="center" wrapText="1"/>
    </xf>
    <xf borderId="0" fillId="0" fontId="13" numFmtId="0" xfId="0" applyAlignment="1" applyFont="1">
      <alignment vertical="bottom"/>
    </xf>
    <xf borderId="35" fillId="0" fontId="1" numFmtId="0" xfId="0" applyAlignment="1" applyBorder="1" applyFont="1">
      <alignment shrinkToFit="0" vertical="center" wrapText="1"/>
    </xf>
    <xf borderId="0" fillId="0" fontId="12" numFmtId="0" xfId="0" applyAlignment="1" applyFont="1">
      <alignment readingOrder="0"/>
    </xf>
    <xf borderId="0" fillId="0" fontId="1" numFmtId="0" xfId="0" applyAlignment="1" applyFont="1">
      <alignment horizontal="left" readingOrder="0" shrinkToFit="0" vertical="center" wrapText="1"/>
    </xf>
    <xf borderId="29" fillId="3" fontId="1" numFmtId="19" xfId="0" applyAlignment="1" applyBorder="1" applyFont="1" applyNumberFormat="1">
      <alignment horizontal="left" shrinkToFit="0" vertical="center" wrapText="1"/>
    </xf>
    <xf borderId="36" fillId="3" fontId="6" numFmtId="0" xfId="0" applyAlignment="1" applyBorder="1" applyFont="1">
      <alignment shrinkToFit="0" vertical="center" wrapText="1"/>
    </xf>
    <xf borderId="37" fillId="0" fontId="3" numFmtId="0" xfId="0" applyBorder="1" applyFont="1"/>
    <xf borderId="1" fillId="3" fontId="6" numFmtId="0" xfId="0" applyAlignment="1" applyBorder="1" applyFont="1">
      <alignment readingOrder="0" shrinkToFit="0" vertical="bottom" wrapText="1"/>
    </xf>
    <xf borderId="1" fillId="0" fontId="6" numFmtId="0" xfId="0" applyAlignment="1" applyBorder="1" applyFont="1">
      <alignment horizontal="left" readingOrder="0" shrinkToFit="0" vertical="center" wrapText="1"/>
    </xf>
    <xf borderId="35" fillId="0" fontId="1" numFmtId="0" xfId="0" applyAlignment="1" applyBorder="1" applyFont="1">
      <alignment horizontal="left" readingOrder="0" shrinkToFit="0" vertical="center" wrapText="1"/>
    </xf>
    <xf borderId="3" fillId="0" fontId="6"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9" fillId="0" fontId="1" numFmtId="0" xfId="0" applyAlignment="1" applyBorder="1" applyFont="1">
      <alignment readingOrder="0" shrinkToFit="0" vertical="center" wrapText="1"/>
    </xf>
    <xf borderId="3" fillId="0" fontId="6" numFmtId="0" xfId="0" applyAlignment="1" applyBorder="1" applyFont="1">
      <alignment shrinkToFit="0" vertical="center" wrapText="1"/>
    </xf>
    <xf borderId="3" fillId="0" fontId="1" numFmtId="164" xfId="0" applyAlignment="1" applyBorder="1" applyFont="1" applyNumberFormat="1">
      <alignment horizontal="left" shrinkToFit="0" vertical="center" wrapText="1"/>
    </xf>
    <xf borderId="9" fillId="0" fontId="6" numFmtId="0" xfId="0" applyAlignment="1" applyBorder="1" applyFont="1">
      <alignment horizontal="left" readingOrder="0" shrinkToFit="0" vertical="center" wrapText="1"/>
    </xf>
    <xf borderId="19" fillId="0" fontId="9" numFmtId="0" xfId="0" applyAlignment="1" applyBorder="1" applyFont="1">
      <alignment horizontal="center" shrinkToFit="0" vertical="center" wrapText="1"/>
    </xf>
    <xf borderId="18" fillId="3" fontId="1" numFmtId="0" xfId="0" applyAlignment="1" applyBorder="1" applyFont="1">
      <alignment shrinkToFit="0" vertical="center" wrapText="1"/>
    </xf>
    <xf borderId="18" fillId="3" fontId="1" numFmtId="0" xfId="0" applyAlignment="1" applyBorder="1" applyFont="1">
      <alignment readingOrder="0" shrinkToFit="0" vertical="center" wrapText="1"/>
    </xf>
    <xf borderId="18" fillId="6" fontId="6" numFmtId="0" xfId="0" applyAlignment="1" applyBorder="1" applyFill="1" applyFont="1">
      <alignment horizontal="center" readingOrder="0" shrinkToFit="0" vertical="center" wrapText="1"/>
    </xf>
    <xf borderId="16" fillId="6" fontId="6" numFmtId="0" xfId="0" applyAlignment="1" applyBorder="1" applyFont="1">
      <alignment horizontal="center" readingOrder="0" shrinkToFit="0" vertical="center" wrapText="1"/>
    </xf>
    <xf borderId="16" fillId="3" fontId="6" numFmtId="0" xfId="0" applyAlignment="1" applyBorder="1" applyFont="1">
      <alignment readingOrder="0" shrinkToFit="0" vertical="center" wrapText="1"/>
    </xf>
    <xf borderId="34" fillId="3" fontId="6" numFmtId="0" xfId="0" applyAlignment="1" applyBorder="1" applyFont="1">
      <alignment readingOrder="0" shrinkToFit="0" vertical="bottom" wrapText="1"/>
    </xf>
    <xf borderId="22" fillId="3" fontId="6" numFmtId="0" xfId="0" applyAlignment="1" applyBorder="1" applyFont="1">
      <alignment readingOrder="0" shrinkToFit="0" vertical="bottom" wrapText="1"/>
    </xf>
    <xf borderId="38" fillId="3" fontId="6" numFmtId="0" xfId="0" applyAlignment="1" applyBorder="1" applyFont="1">
      <alignment readingOrder="0" shrinkToFit="0" vertical="center" wrapText="1"/>
    </xf>
    <xf borderId="39" fillId="0" fontId="3" numFmtId="0" xfId="0" applyBorder="1" applyFont="1"/>
    <xf borderId="38" fillId="3" fontId="1" numFmtId="0" xfId="0" applyAlignment="1" applyBorder="1" applyFont="1">
      <alignment horizontal="left" shrinkToFit="0" vertical="center" wrapText="1"/>
    </xf>
    <xf borderId="40" fillId="0" fontId="3" numFmtId="0" xfId="0" applyBorder="1" applyFont="1"/>
    <xf borderId="9" fillId="3" fontId="6" numFmtId="0" xfId="0" applyAlignment="1" applyBorder="1" applyFont="1">
      <alignment shrinkToFit="0" vertical="center" wrapText="1"/>
    </xf>
    <xf borderId="38" fillId="3" fontId="1" numFmtId="14" xfId="0" applyAlignment="1" applyBorder="1" applyFont="1" applyNumberFormat="1">
      <alignment horizontal="left" shrinkToFit="0" vertical="center" wrapText="1"/>
    </xf>
    <xf borderId="38" fillId="3" fontId="1" numFmtId="19" xfId="0" applyAlignment="1" applyBorder="1" applyFont="1" applyNumberFormat="1">
      <alignment horizontal="left" shrinkToFit="0" vertical="center" wrapText="1"/>
    </xf>
    <xf borderId="38" fillId="3" fontId="6" numFmtId="0" xfId="0" applyAlignment="1" applyBorder="1" applyFont="1">
      <alignment shrinkToFit="0" vertical="center" wrapText="1"/>
    </xf>
    <xf borderId="0" fillId="0" fontId="8" numFmtId="0" xfId="0" applyAlignment="1" applyFont="1">
      <alignment readingOrder="0"/>
    </xf>
    <xf borderId="0" fillId="0" fontId="8" numFmtId="49" xfId="0" applyFont="1" applyNumberFormat="1"/>
    <xf borderId="0" fillId="0" fontId="8" numFmtId="0" xfId="0" applyAlignment="1" applyFont="1">
      <alignment readingOrder="0"/>
    </xf>
    <xf borderId="0" fillId="0" fontId="8" numFmtId="0" xfId="0" applyFont="1"/>
    <xf borderId="0" fillId="0" fontId="8" numFmtId="165" xfId="0" applyFont="1" applyNumberFormat="1"/>
    <xf borderId="9" fillId="3" fontId="1" numFmtId="0" xfId="0" applyAlignment="1" applyBorder="1" applyFont="1">
      <alignment horizontal="left" shrinkToFit="0" vertical="center" wrapText="1"/>
    </xf>
    <xf borderId="0" fillId="0" fontId="8" numFmtId="166" xfId="0" applyAlignment="1" applyFont="1" applyNumberFormat="1">
      <alignment readingOrder="0" shrinkToFit="0" vertical="center" wrapText="0"/>
    </xf>
    <xf borderId="0" fillId="3" fontId="14" numFmtId="0" xfId="0" applyAlignment="1" applyFont="1">
      <alignment readingOrder="0" shrinkToFit="0" vertical="center" wrapText="0"/>
    </xf>
    <xf quotePrefix="1" borderId="0" fillId="3" fontId="14" numFmtId="0" xfId="0" applyAlignment="1" applyFont="1">
      <alignment readingOrder="0" shrinkToFit="0" vertical="center" wrapText="0"/>
    </xf>
    <xf quotePrefix="1" borderId="0" fillId="0" fontId="15" numFmtId="0" xfId="0" applyAlignment="1" applyFont="1">
      <alignment readingOrder="0" shrinkToFit="0" vertical="center" wrapText="0"/>
    </xf>
    <xf borderId="0" fillId="3" fontId="8" numFmtId="0" xfId="0" applyAlignment="1" applyFont="1">
      <alignment readingOrder="0" shrinkToFit="0" vertical="center" wrapText="0"/>
    </xf>
    <xf borderId="0" fillId="0" fontId="12" numFmtId="0" xfId="0" applyAlignment="1" applyFont="1">
      <alignment readingOrder="0" shrinkToFit="0" vertical="center" wrapText="0"/>
    </xf>
    <xf borderId="0" fillId="0" fontId="16" numFmtId="0" xfId="0" applyAlignment="1" applyFont="1">
      <alignment readingOrder="0" shrinkToFit="0" vertical="center" wrapText="0"/>
    </xf>
    <xf borderId="0" fillId="7" fontId="8" numFmtId="0" xfId="0" applyAlignment="1" applyFill="1" applyFont="1">
      <alignment shrinkToFit="0" vertical="center" wrapText="0"/>
    </xf>
    <xf borderId="0" fillId="8" fontId="8" numFmtId="0" xfId="0" applyAlignment="1" applyFill="1" applyFont="1">
      <alignment shrinkToFit="0" vertical="center" wrapText="0"/>
    </xf>
    <xf borderId="0" fillId="9" fontId="8" numFmtId="0" xfId="0" applyAlignment="1" applyFill="1" applyFont="1">
      <alignment shrinkToFit="0" vertical="center" wrapText="0"/>
    </xf>
    <xf borderId="0" fillId="0" fontId="8" numFmtId="167" xfId="0" applyAlignment="1" applyFont="1" applyNumberFormat="1">
      <alignment readingOrder="0" shrinkToFit="0" vertical="center" wrapText="0"/>
    </xf>
    <xf borderId="0" fillId="0" fontId="8" numFmtId="0" xfId="0" applyAlignment="1" applyFont="1">
      <alignment shrinkToFit="0" vertical="center" wrapText="0"/>
    </xf>
    <xf borderId="0" fillId="0" fontId="8" numFmtId="166" xfId="0" applyAlignment="1" applyFont="1" applyNumberFormat="1">
      <alignment readingOrder="0"/>
    </xf>
    <xf borderId="0" fillId="0" fontId="8" numFmtId="4" xfId="0" applyFont="1" applyNumberForma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61950" cy="1428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171450</xdr:colOff>
      <xdr:row>32</xdr:row>
      <xdr:rowOff>304800</xdr:rowOff>
    </xdr:from>
    <xdr:ext cx="2638425" cy="11811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361950" cy="1428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61950" cy="1428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152400</xdr:colOff>
      <xdr:row>1</xdr:row>
      <xdr:rowOff>85725</xdr:rowOff>
    </xdr:from>
    <xdr:ext cx="1428750" cy="428625"/>
    <xdr:sp>
      <xdr:nvSpPr>
        <xdr:cNvPr id="3" name="Shape 3"/>
        <xdr:cNvSpPr/>
      </xdr:nvSpPr>
      <xdr:spPr>
        <a:xfrm>
          <a:off x="854450" y="372600"/>
          <a:ext cx="1405800" cy="4116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Save as PDF</a:t>
          </a:r>
          <a:endParaRPr sz="1400"/>
        </a:p>
      </xdr:txBody>
    </xdr:sp>
    <xdr:clientData fLocksWithSheet="0"/>
  </xdr:oneCellAnchor>
  <xdr:oneCellAnchor>
    <xdr:from>
      <xdr:col>1</xdr:col>
      <xdr:colOff>0</xdr:colOff>
      <xdr:row>1</xdr:row>
      <xdr:rowOff>0</xdr:rowOff>
    </xdr:from>
    <xdr:ext cx="600075" cy="2381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600075" cy="2381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I209" displayName="Form_Responses" name="Form_Responses" id="1">
  <autoFilter ref="$A$1:$AI$209"/>
  <tableColumns count="35">
    <tableColumn name="REQ NO." id="1"/>
    <tableColumn name="Timestamp" id="2"/>
    <tableColumn name="Email Address" id="3"/>
    <tableColumn name="Purpose of request" id="4"/>
    <tableColumn name="Fulfillment Method " id="5"/>
    <tableColumn name="Company / Client Name" id="6"/>
    <tableColumn name="Delivery Address" id="7"/>
    <tableColumn name="Pickup/Delivery Date" id="8"/>
    <tableColumn name="Pickup/Delivery Time" id="9"/>
    <tableColumn name="Recipient Name:" id="10"/>
    <tableColumn name="Recipient Number:" id="11"/>
    <tableColumn name="MC - R280 White" id="12"/>
    <tableColumn name="MC - R280 Black" id="13"/>
    <tableColumn name="MC - R280 Sport Red" id="14"/>
    <tableColumn name="MC - R280 Sport Blue" id="15"/>
    <tableColumn name="MC - D400 Red" id="16"/>
    <tableColumn name="MC - D400 Blue" id="17"/>
    <tableColumn name="MC - D400 Black" id="18"/>
    <tableColumn name="RideBox Battery" id="19"/>
    <tableColumn name="RideBox Charger" id="20"/>
    <tableColumn name="RideBox Locker" id="21"/>
    <tableColumn name="RideBox Rack" id="22"/>
    <tableColumn name="Battery &amp; Charger" id="23"/>
    <tableColumn name="Qty per set" id="24"/>
    <tableColumn name="Helmet" id="25"/>
    <tableColumn name="Charging Kit f" id="26"/>
    <tableColumn name="List of Spareparts/Qty" id="27"/>
    <tableColumn name="Overall Remarks" id="28"/>
    <tableColumn name="Requestor Name:" id="29"/>
    <tableColumn name="Department" id="30"/>
    <tableColumn name="If others, please specify" id="31"/>
    <tableColumn name="Charging Kit" id="32"/>
    <tableColumn name="Other items (please specify) " id="33"/>
    <tableColumn name="Column 33" id="34"/>
    <tableColumn name="Status" id="3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F_OFDfMbe5Zdd1SrN8mhBr_lJfYKm62i?usp=drive_link" TargetMode="External"/><Relationship Id="rId2" Type="http://schemas.openxmlformats.org/officeDocument/2006/relationships/drawing" Target="../drawings/drawing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0.63"/>
    <col customWidth="1" min="2" max="2" width="4.75"/>
    <col customWidth="1" min="3" max="4" width="12.63"/>
    <col customWidth="1" min="5" max="5" width="20.63"/>
    <col customWidth="1" min="6" max="8" width="8.25"/>
    <col customWidth="1" min="9" max="9" width="32.0"/>
    <col customWidth="1" min="10" max="10" width="0.63"/>
  </cols>
  <sheetData>
    <row r="1">
      <c r="A1" s="2" t="s">
        <v>0</v>
      </c>
      <c r="B1" s="3"/>
      <c r="C1" s="3"/>
      <c r="D1" s="3"/>
      <c r="E1" s="3"/>
      <c r="F1" s="3"/>
      <c r="G1" s="3"/>
      <c r="H1" s="3"/>
      <c r="I1" s="3"/>
      <c r="J1" s="1"/>
    </row>
    <row r="2" ht="51.0" customHeight="1">
      <c r="A2" s="5"/>
      <c r="B2" s="8"/>
      <c r="C2" s="7"/>
      <c r="D2" s="11" t="s">
        <v>2</v>
      </c>
      <c r="E2" s="10"/>
      <c r="F2" s="10"/>
      <c r="G2" s="10"/>
      <c r="H2" s="10"/>
      <c r="I2" s="12"/>
      <c r="J2" s="13"/>
    </row>
    <row r="3" ht="26.25" customHeight="1">
      <c r="A3" s="1"/>
      <c r="B3" s="14" t="s">
        <v>3</v>
      </c>
      <c r="C3" s="16"/>
      <c r="D3" s="16"/>
      <c r="E3" s="16"/>
      <c r="F3" s="16"/>
      <c r="G3" s="16"/>
      <c r="H3" s="18" t="s">
        <v>4</v>
      </c>
      <c r="I3" s="23"/>
      <c r="J3" s="1"/>
    </row>
    <row r="4" ht="7.5" customHeight="1">
      <c r="A4" s="1"/>
      <c r="B4" s="20"/>
      <c r="F4" s="21"/>
      <c r="G4" s="22"/>
      <c r="H4" s="22"/>
      <c r="I4" s="22"/>
      <c r="J4" s="1"/>
    </row>
    <row r="5">
      <c r="A5" s="5"/>
      <c r="B5" s="25" t="s">
        <v>6</v>
      </c>
      <c r="C5" s="26"/>
      <c r="D5" s="27"/>
      <c r="E5" s="28"/>
      <c r="F5" s="28"/>
      <c r="G5" s="28"/>
      <c r="H5" s="28"/>
      <c r="I5" s="26"/>
      <c r="J5" s="13"/>
    </row>
    <row r="6">
      <c r="A6" s="5"/>
      <c r="B6" s="25" t="s">
        <v>7</v>
      </c>
      <c r="C6" s="26"/>
      <c r="D6" s="29"/>
      <c r="E6" s="28"/>
      <c r="F6" s="28"/>
      <c r="G6" s="28"/>
      <c r="H6" s="28"/>
      <c r="I6" s="26"/>
      <c r="J6" s="13"/>
    </row>
    <row r="7">
      <c r="A7" s="5"/>
      <c r="B7" s="30" t="s">
        <v>8</v>
      </c>
      <c r="C7" s="26"/>
      <c r="D7" s="29"/>
      <c r="E7" s="28"/>
      <c r="F7" s="28"/>
      <c r="G7" s="28"/>
      <c r="H7" s="28"/>
      <c r="I7" s="26"/>
      <c r="J7" s="13"/>
    </row>
    <row r="8">
      <c r="A8" s="5"/>
      <c r="B8" s="25" t="s">
        <v>9</v>
      </c>
      <c r="C8" s="26"/>
      <c r="D8" s="29"/>
      <c r="E8" s="28"/>
      <c r="F8" s="28"/>
      <c r="G8" s="28"/>
      <c r="H8" s="28"/>
      <c r="I8" s="26"/>
      <c r="J8" s="13"/>
    </row>
    <row r="9">
      <c r="A9" s="5"/>
      <c r="B9" s="30" t="s">
        <v>11</v>
      </c>
      <c r="C9" s="26"/>
      <c r="D9" s="29"/>
      <c r="E9" s="28"/>
      <c r="F9" s="28"/>
      <c r="G9" s="28"/>
      <c r="H9" s="28"/>
      <c r="I9" s="26"/>
      <c r="J9" s="13"/>
    </row>
    <row r="10" ht="26.25" customHeight="1">
      <c r="A10" s="1"/>
      <c r="B10" s="14" t="s">
        <v>13</v>
      </c>
      <c r="C10" s="16"/>
      <c r="D10" s="16"/>
      <c r="E10" s="16"/>
      <c r="F10" s="16"/>
      <c r="G10" s="16"/>
      <c r="H10" s="16"/>
      <c r="I10" s="33"/>
      <c r="J10" s="1"/>
    </row>
    <row r="11" ht="7.5" customHeight="1">
      <c r="A11" s="1"/>
      <c r="B11" s="20"/>
      <c r="F11" s="21"/>
      <c r="G11" s="22"/>
      <c r="H11" s="22"/>
      <c r="I11" s="22"/>
      <c r="J11" s="1"/>
    </row>
    <row r="12">
      <c r="A12" s="5"/>
      <c r="B12" s="35" t="s">
        <v>18</v>
      </c>
      <c r="C12" s="35" t="s">
        <v>22</v>
      </c>
      <c r="D12" s="35" t="s">
        <v>24</v>
      </c>
      <c r="E12" s="37" t="s">
        <v>27</v>
      </c>
      <c r="F12" s="35" t="s">
        <v>29</v>
      </c>
      <c r="G12" s="35" t="s">
        <v>32</v>
      </c>
      <c r="H12" s="37" t="s">
        <v>34</v>
      </c>
      <c r="I12" s="35" t="s">
        <v>35</v>
      </c>
      <c r="J12" s="13"/>
    </row>
    <row r="13" ht="37.5" customHeight="1">
      <c r="A13" s="5"/>
      <c r="B13" s="39">
        <v>1.0</v>
      </c>
      <c r="C13" s="41"/>
      <c r="D13" s="41"/>
      <c r="E13" s="41"/>
      <c r="F13" s="41"/>
      <c r="G13" s="43"/>
      <c r="H13" s="43"/>
      <c r="I13" s="41"/>
      <c r="J13" s="13"/>
    </row>
    <row r="14" ht="37.5" customHeight="1">
      <c r="A14" s="5"/>
      <c r="B14" s="39">
        <v>2.0</v>
      </c>
      <c r="C14" s="43"/>
      <c r="D14" s="43"/>
      <c r="E14" s="43"/>
      <c r="F14" s="43"/>
      <c r="G14" s="43"/>
      <c r="H14" s="43"/>
      <c r="I14" s="41"/>
      <c r="J14" s="13"/>
    </row>
    <row r="15" ht="37.5" customHeight="1">
      <c r="A15" s="5"/>
      <c r="B15" s="39">
        <v>3.0</v>
      </c>
      <c r="C15" s="43"/>
      <c r="D15" s="43"/>
      <c r="E15" s="43"/>
      <c r="F15" s="43"/>
      <c r="G15" s="43"/>
      <c r="H15" s="43"/>
      <c r="I15" s="41"/>
      <c r="J15" s="13"/>
    </row>
    <row r="16" ht="37.5" customHeight="1">
      <c r="A16" s="5"/>
      <c r="B16" s="39">
        <v>4.0</v>
      </c>
      <c r="C16" s="43"/>
      <c r="D16" s="43"/>
      <c r="E16" s="43"/>
      <c r="F16" s="43"/>
      <c r="G16" s="43"/>
      <c r="H16" s="43"/>
      <c r="I16" s="43"/>
      <c r="J16" s="13"/>
    </row>
    <row r="17" ht="37.5" customHeight="1">
      <c r="A17" s="5"/>
      <c r="B17" s="39">
        <v>5.0</v>
      </c>
      <c r="C17" s="43"/>
      <c r="D17" s="43"/>
      <c r="E17" s="43"/>
      <c r="F17" s="43"/>
      <c r="G17" s="43"/>
      <c r="H17" s="43"/>
      <c r="I17" s="43"/>
      <c r="J17" s="13"/>
    </row>
    <row r="18" ht="37.5" customHeight="1">
      <c r="A18" s="5"/>
      <c r="B18" s="39">
        <v>6.0</v>
      </c>
      <c r="C18" s="43"/>
      <c r="D18" s="43"/>
      <c r="E18" s="43"/>
      <c r="F18" s="43"/>
      <c r="G18" s="43"/>
      <c r="H18" s="43"/>
      <c r="I18" s="43"/>
      <c r="J18" s="13"/>
    </row>
    <row r="19" ht="37.5" customHeight="1">
      <c r="A19" s="5"/>
      <c r="B19" s="39">
        <v>7.0</v>
      </c>
      <c r="C19" s="43"/>
      <c r="D19" s="43"/>
      <c r="E19" s="43"/>
      <c r="F19" s="43"/>
      <c r="G19" s="43"/>
      <c r="H19" s="43"/>
      <c r="I19" s="43"/>
      <c r="J19" s="13"/>
    </row>
    <row r="20" ht="37.5" customHeight="1">
      <c r="A20" s="5"/>
      <c r="B20" s="39">
        <v>8.0</v>
      </c>
      <c r="C20" s="43"/>
      <c r="D20" s="43"/>
      <c r="E20" s="43"/>
      <c r="F20" s="43"/>
      <c r="G20" s="43"/>
      <c r="H20" s="43"/>
      <c r="I20" s="43"/>
      <c r="J20" s="13"/>
    </row>
    <row r="21" ht="37.5" customHeight="1">
      <c r="A21" s="5"/>
      <c r="B21" s="39">
        <v>9.0</v>
      </c>
      <c r="C21" s="43"/>
      <c r="D21" s="43"/>
      <c r="E21" s="43"/>
      <c r="F21" s="43"/>
      <c r="G21" s="43"/>
      <c r="H21" s="43"/>
      <c r="I21" s="43"/>
      <c r="J21" s="13"/>
    </row>
    <row r="22" ht="37.5" customHeight="1">
      <c r="A22" s="5"/>
      <c r="B22" s="39">
        <v>10.0</v>
      </c>
      <c r="C22" s="43"/>
      <c r="D22" s="43"/>
      <c r="E22" s="43"/>
      <c r="F22" s="43"/>
      <c r="G22" s="43"/>
      <c r="H22" s="43"/>
      <c r="I22" s="43"/>
      <c r="J22" s="13"/>
    </row>
    <row r="23" ht="37.5" customHeight="1">
      <c r="A23" s="5"/>
      <c r="B23" s="39">
        <v>11.0</v>
      </c>
      <c r="C23" s="43"/>
      <c r="D23" s="43"/>
      <c r="E23" s="43"/>
      <c r="F23" s="43"/>
      <c r="G23" s="43"/>
      <c r="H23" s="43"/>
      <c r="I23" s="43"/>
      <c r="J23" s="13"/>
    </row>
    <row r="24" ht="37.5" customHeight="1">
      <c r="A24" s="5"/>
      <c r="B24" s="39">
        <v>12.0</v>
      </c>
      <c r="C24" s="43"/>
      <c r="D24" s="43"/>
      <c r="E24" s="43"/>
      <c r="F24" s="43"/>
      <c r="G24" s="43"/>
      <c r="H24" s="43"/>
      <c r="I24" s="43"/>
      <c r="J24" s="13"/>
    </row>
    <row r="25" ht="26.25" customHeight="1">
      <c r="A25" s="5"/>
      <c r="B25" s="49" t="s">
        <v>64</v>
      </c>
      <c r="C25" s="16"/>
      <c r="D25" s="16"/>
      <c r="E25" s="16"/>
      <c r="F25" s="16"/>
      <c r="G25" s="16"/>
      <c r="H25" s="16"/>
      <c r="I25" s="50"/>
      <c r="J25" s="13"/>
    </row>
    <row r="26" ht="7.5" customHeight="1">
      <c r="A26" s="1"/>
      <c r="B26" s="20"/>
      <c r="F26" s="21"/>
      <c r="G26" s="22"/>
      <c r="H26" s="22"/>
      <c r="I26" s="22"/>
      <c r="J26" s="1"/>
    </row>
    <row r="27">
      <c r="A27" s="5"/>
      <c r="B27" s="51"/>
      <c r="I27" s="52"/>
      <c r="J27" s="13"/>
    </row>
    <row r="28">
      <c r="A28" s="5"/>
      <c r="B28" s="53"/>
      <c r="C28" s="54"/>
      <c r="D28" s="54"/>
      <c r="E28" s="54"/>
      <c r="F28" s="54"/>
      <c r="G28" s="54"/>
      <c r="H28" s="54"/>
      <c r="I28" s="55"/>
      <c r="J28" s="13"/>
    </row>
    <row r="29" ht="26.25" customHeight="1">
      <c r="A29" s="5"/>
      <c r="B29" s="49" t="s">
        <v>65</v>
      </c>
      <c r="C29" s="16"/>
      <c r="D29" s="16"/>
      <c r="E29" s="16"/>
      <c r="F29" s="16"/>
      <c r="G29" s="16"/>
      <c r="H29" s="16"/>
      <c r="I29" s="50"/>
      <c r="J29" s="13"/>
    </row>
    <row r="30" ht="7.5" customHeight="1">
      <c r="A30" s="1"/>
      <c r="B30" s="20"/>
      <c r="F30" s="21"/>
      <c r="G30" s="22"/>
      <c r="H30" s="22"/>
      <c r="I30" s="22"/>
      <c r="J30" s="1"/>
    </row>
    <row r="31" ht="83.25" customHeight="1">
      <c r="A31" s="5"/>
      <c r="B31" s="51"/>
      <c r="I31" s="52"/>
      <c r="J31" s="13"/>
    </row>
    <row r="32">
      <c r="A32" s="5"/>
      <c r="B32" s="53"/>
      <c r="C32" s="54"/>
      <c r="D32" s="54"/>
      <c r="E32" s="54"/>
      <c r="F32" s="54"/>
      <c r="G32" s="54"/>
      <c r="H32" s="54"/>
      <c r="I32" s="55"/>
      <c r="J32" s="13"/>
    </row>
    <row r="33" ht="26.25" customHeight="1">
      <c r="A33" s="1"/>
      <c r="B33" s="59" t="s">
        <v>69</v>
      </c>
      <c r="C33" s="60"/>
      <c r="D33" s="60"/>
      <c r="E33" s="61"/>
      <c r="F33" s="62" t="s">
        <v>71</v>
      </c>
      <c r="G33" s="16"/>
      <c r="H33" s="16"/>
      <c r="I33" s="33"/>
      <c r="J33" s="1"/>
    </row>
    <row r="34" ht="7.5" customHeight="1">
      <c r="A34" s="1"/>
      <c r="B34" s="20"/>
      <c r="F34" s="21"/>
      <c r="G34" s="22"/>
      <c r="H34" s="22"/>
      <c r="I34" s="22"/>
      <c r="J34" s="1"/>
    </row>
    <row r="35" ht="40.5" customHeight="1">
      <c r="A35" s="1"/>
      <c r="B35" s="64" t="s">
        <v>73</v>
      </c>
      <c r="C35" s="66"/>
      <c r="D35" s="68"/>
      <c r="E35" s="69"/>
      <c r="F35" s="69" t="s">
        <v>73</v>
      </c>
      <c r="G35" s="70"/>
      <c r="H35" s="71"/>
      <c r="I35" s="66"/>
      <c r="J35" s="1"/>
    </row>
    <row r="36">
      <c r="A36" s="1"/>
      <c r="B36" s="73" t="s">
        <v>76</v>
      </c>
      <c r="C36" s="66"/>
      <c r="D36" s="74" t="str">
        <f>D7</f>
        <v/>
      </c>
      <c r="E36" s="66"/>
      <c r="F36" s="75" t="s">
        <v>76</v>
      </c>
      <c r="G36" s="76"/>
      <c r="H36" s="71"/>
      <c r="I36" s="66"/>
      <c r="J36" s="1"/>
    </row>
    <row r="37">
      <c r="A37" s="1"/>
      <c r="B37" s="78" t="s">
        <v>77</v>
      </c>
      <c r="C37" s="1"/>
      <c r="D37" s="79"/>
      <c r="E37" s="66"/>
      <c r="F37" s="75" t="s">
        <v>77</v>
      </c>
      <c r="G37" s="5"/>
      <c r="H37" s="71"/>
      <c r="I37" s="66"/>
      <c r="J37" s="1"/>
    </row>
    <row r="38" ht="7.5" customHeight="1">
      <c r="A38" s="1"/>
      <c r="B38" s="20"/>
      <c r="F38" s="21"/>
      <c r="G38" s="22"/>
      <c r="H38" s="22"/>
      <c r="I38" s="22"/>
      <c r="J38" s="1"/>
    </row>
    <row r="39">
      <c r="A39" s="1"/>
      <c r="B39" s="1"/>
      <c r="C39" s="1"/>
      <c r="D39" s="1"/>
      <c r="E39" s="1"/>
      <c r="F39" s="1"/>
      <c r="G39" s="1"/>
      <c r="H39" s="1"/>
      <c r="I39" s="1"/>
      <c r="J39" s="1"/>
    </row>
  </sheetData>
  <mergeCells count="33">
    <mergeCell ref="B6:C6"/>
    <mergeCell ref="B7:C7"/>
    <mergeCell ref="B8:C8"/>
    <mergeCell ref="B9:C9"/>
    <mergeCell ref="B2:C2"/>
    <mergeCell ref="D2:I2"/>
    <mergeCell ref="B3:G3"/>
    <mergeCell ref="B4:F4"/>
    <mergeCell ref="B5:C5"/>
    <mergeCell ref="D5:I5"/>
    <mergeCell ref="D6:I6"/>
    <mergeCell ref="D7:I7"/>
    <mergeCell ref="D8:I8"/>
    <mergeCell ref="D9:I9"/>
    <mergeCell ref="B10:I10"/>
    <mergeCell ref="B11:F11"/>
    <mergeCell ref="B25:I25"/>
    <mergeCell ref="B26:F26"/>
    <mergeCell ref="B35:C35"/>
    <mergeCell ref="G35:I35"/>
    <mergeCell ref="B36:C36"/>
    <mergeCell ref="D36:E36"/>
    <mergeCell ref="G36:I36"/>
    <mergeCell ref="D37:E37"/>
    <mergeCell ref="G37:I37"/>
    <mergeCell ref="B38:F38"/>
    <mergeCell ref="B27:I28"/>
    <mergeCell ref="B29:I29"/>
    <mergeCell ref="B30:F30"/>
    <mergeCell ref="B31:I32"/>
    <mergeCell ref="B33:E33"/>
    <mergeCell ref="F33:I33"/>
    <mergeCell ref="B34:F34"/>
  </mergeCells>
  <dataValidations>
    <dataValidation type="list" allowBlank="1" showErrorMessage="1" sqref="I3">
      <formula1>'Form Responses 1'!$D39:$D$209</formula1>
    </dataValidation>
  </dataValidations>
  <printOptions gridLines="1" horizontalCentered="1"/>
  <pageMargins bottom="0.75" footer="0.0" header="0.0" left="0.25" right="0.25" top="0.75"/>
  <pageSetup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0.63"/>
    <col customWidth="1" min="2" max="2" width="4.75"/>
    <col customWidth="1" min="3" max="4" width="12.63"/>
    <col customWidth="1" min="5" max="5" width="24.63"/>
    <col customWidth="1" min="6" max="6" width="22.25"/>
    <col customWidth="1" min="7" max="7" width="21.88"/>
    <col customWidth="1" min="8" max="8" width="17.13"/>
    <col customWidth="1" min="9" max="9" width="0.63"/>
  </cols>
  <sheetData>
    <row r="1">
      <c r="A1" s="2" t="s">
        <v>0</v>
      </c>
      <c r="B1" s="3"/>
      <c r="C1" s="3"/>
      <c r="D1" s="3"/>
      <c r="E1" s="3"/>
      <c r="F1" s="3"/>
      <c r="G1" s="3"/>
      <c r="H1" s="3"/>
      <c r="I1" s="1"/>
    </row>
    <row r="2" ht="51.0" customHeight="1">
      <c r="A2" s="5"/>
      <c r="B2" s="8"/>
      <c r="C2" s="7"/>
      <c r="D2" s="11" t="s">
        <v>2</v>
      </c>
      <c r="E2" s="10"/>
      <c r="F2" s="10"/>
      <c r="G2" s="10"/>
      <c r="H2" s="12"/>
      <c r="I2" s="13"/>
    </row>
    <row r="3" ht="26.25" customHeight="1">
      <c r="A3" s="1"/>
      <c r="B3" s="14" t="s">
        <v>3</v>
      </c>
      <c r="C3" s="16"/>
      <c r="D3" s="16"/>
      <c r="E3" s="16"/>
      <c r="F3" s="16"/>
      <c r="G3" s="16"/>
      <c r="H3" s="18"/>
      <c r="I3" s="1"/>
    </row>
    <row r="4" ht="7.5" customHeight="1">
      <c r="A4" s="1"/>
      <c r="B4" s="20"/>
      <c r="F4" s="21"/>
      <c r="G4" s="22"/>
      <c r="H4" s="22"/>
      <c r="I4" s="1"/>
    </row>
    <row r="5">
      <c r="A5" s="5"/>
      <c r="B5" s="25" t="s">
        <v>6</v>
      </c>
      <c r="C5" s="26"/>
      <c r="D5" s="27"/>
      <c r="E5" s="28"/>
      <c r="F5" s="28"/>
      <c r="G5" s="28"/>
      <c r="H5" s="26"/>
      <c r="I5" s="13"/>
    </row>
    <row r="6">
      <c r="A6" s="5"/>
      <c r="B6" s="25" t="s">
        <v>7</v>
      </c>
      <c r="C6" s="26"/>
      <c r="D6" s="29"/>
      <c r="E6" s="28"/>
      <c r="F6" s="28"/>
      <c r="G6" s="28"/>
      <c r="H6" s="26"/>
      <c r="I6" s="13"/>
    </row>
    <row r="7">
      <c r="A7" s="5"/>
      <c r="B7" s="30" t="s">
        <v>8</v>
      </c>
      <c r="C7" s="26"/>
      <c r="D7" s="29"/>
      <c r="E7" s="28"/>
      <c r="F7" s="28"/>
      <c r="G7" s="28"/>
      <c r="H7" s="26"/>
      <c r="I7" s="13"/>
    </row>
    <row r="8">
      <c r="A8" s="5"/>
      <c r="B8" s="25" t="s">
        <v>9</v>
      </c>
      <c r="C8" s="26"/>
      <c r="D8" s="29"/>
      <c r="E8" s="28"/>
      <c r="F8" s="28"/>
      <c r="G8" s="28"/>
      <c r="H8" s="26"/>
      <c r="I8" s="13"/>
    </row>
    <row r="9">
      <c r="A9" s="5"/>
      <c r="B9" s="30" t="s">
        <v>11</v>
      </c>
      <c r="C9" s="26"/>
      <c r="D9" s="29"/>
      <c r="E9" s="28"/>
      <c r="F9" s="28"/>
      <c r="G9" s="28"/>
      <c r="H9" s="26"/>
      <c r="I9" s="13"/>
    </row>
    <row r="10" ht="26.25" customHeight="1">
      <c r="A10" s="1"/>
      <c r="B10" s="14" t="s">
        <v>13</v>
      </c>
      <c r="C10" s="16"/>
      <c r="D10" s="16"/>
      <c r="E10" s="16"/>
      <c r="F10" s="16"/>
      <c r="G10" s="16"/>
      <c r="H10" s="33"/>
      <c r="I10" s="1"/>
    </row>
    <row r="11" ht="7.5" customHeight="1">
      <c r="A11" s="1"/>
      <c r="B11" s="20"/>
      <c r="F11" s="21"/>
      <c r="G11" s="22"/>
      <c r="H11" s="22"/>
      <c r="I11" s="1"/>
    </row>
    <row r="12">
      <c r="A12" s="5"/>
      <c r="B12" s="34" t="s">
        <v>18</v>
      </c>
      <c r="C12" s="36" t="s">
        <v>20</v>
      </c>
      <c r="D12" s="36" t="s">
        <v>23</v>
      </c>
      <c r="E12" s="36" t="s">
        <v>25</v>
      </c>
      <c r="F12" s="36" t="s">
        <v>28</v>
      </c>
      <c r="G12" s="36" t="s">
        <v>30</v>
      </c>
      <c r="H12" s="36" t="s">
        <v>33</v>
      </c>
      <c r="I12" s="13"/>
    </row>
    <row r="13" ht="37.5" customHeight="1">
      <c r="A13" s="5"/>
      <c r="B13" s="38">
        <v>1.0</v>
      </c>
      <c r="C13" s="40"/>
      <c r="D13" s="40"/>
      <c r="E13" s="40"/>
      <c r="F13" s="40"/>
      <c r="G13" s="42"/>
      <c r="H13" s="42"/>
      <c r="I13" s="13"/>
    </row>
    <row r="14" ht="37.5" customHeight="1">
      <c r="A14" s="5"/>
      <c r="B14" s="38">
        <v>2.0</v>
      </c>
      <c r="C14" s="42"/>
      <c r="D14" s="42"/>
      <c r="E14" s="42"/>
      <c r="F14" s="42"/>
      <c r="G14" s="42"/>
      <c r="H14" s="42"/>
      <c r="I14" s="13"/>
    </row>
    <row r="15" ht="37.5" customHeight="1">
      <c r="A15" s="5"/>
      <c r="B15" s="38">
        <v>3.0</v>
      </c>
      <c r="C15" s="42"/>
      <c r="D15" s="42"/>
      <c r="E15" s="42"/>
      <c r="F15" s="42"/>
      <c r="G15" s="42"/>
      <c r="H15" s="42"/>
      <c r="I15" s="13"/>
    </row>
    <row r="16" ht="37.5" customHeight="1">
      <c r="A16" s="5"/>
      <c r="B16" s="38">
        <v>4.0</v>
      </c>
      <c r="C16" s="42"/>
      <c r="D16" s="42"/>
      <c r="E16" s="42"/>
      <c r="F16" s="42"/>
      <c r="G16" s="42"/>
      <c r="H16" s="42"/>
      <c r="I16" s="13"/>
    </row>
    <row r="17" ht="37.5" customHeight="1">
      <c r="A17" s="5"/>
      <c r="B17" s="38">
        <v>5.0</v>
      </c>
      <c r="C17" s="42"/>
      <c r="D17" s="42"/>
      <c r="E17" s="42"/>
      <c r="F17" s="42"/>
      <c r="G17" s="42"/>
      <c r="H17" s="42"/>
      <c r="I17" s="13"/>
    </row>
    <row r="18" ht="37.5" customHeight="1">
      <c r="A18" s="5"/>
      <c r="B18" s="38">
        <v>6.0</v>
      </c>
      <c r="C18" s="42"/>
      <c r="D18" s="42"/>
      <c r="E18" s="42"/>
      <c r="F18" s="42"/>
      <c r="G18" s="42"/>
      <c r="H18" s="42"/>
      <c r="I18" s="13"/>
    </row>
    <row r="19" ht="37.5" customHeight="1">
      <c r="A19" s="5"/>
      <c r="B19" s="38">
        <v>7.0</v>
      </c>
      <c r="C19" s="42"/>
      <c r="D19" s="42"/>
      <c r="E19" s="42"/>
      <c r="F19" s="42"/>
      <c r="G19" s="42"/>
      <c r="H19" s="42"/>
      <c r="I19" s="13"/>
    </row>
    <row r="20" ht="37.5" customHeight="1">
      <c r="A20" s="5"/>
      <c r="B20" s="38">
        <v>8.0</v>
      </c>
      <c r="C20" s="42"/>
      <c r="D20" s="42"/>
      <c r="E20" s="42"/>
      <c r="F20" s="42"/>
      <c r="G20" s="42"/>
      <c r="H20" s="42"/>
      <c r="I20" s="13"/>
    </row>
    <row r="21" ht="37.5" customHeight="1">
      <c r="A21" s="5"/>
      <c r="B21" s="38">
        <v>9.0</v>
      </c>
      <c r="C21" s="42"/>
      <c r="D21" s="42"/>
      <c r="E21" s="42"/>
      <c r="F21" s="42"/>
      <c r="G21" s="42"/>
      <c r="H21" s="42"/>
      <c r="I21" s="13"/>
    </row>
    <row r="22" ht="37.5" customHeight="1">
      <c r="A22" s="5"/>
      <c r="B22" s="38">
        <v>10.0</v>
      </c>
      <c r="C22" s="42"/>
      <c r="D22" s="42"/>
      <c r="E22" s="42"/>
      <c r="F22" s="42"/>
      <c r="G22" s="42"/>
      <c r="H22" s="42"/>
      <c r="I22" s="13"/>
    </row>
    <row r="23" ht="37.5" customHeight="1">
      <c r="A23" s="5"/>
      <c r="B23" s="38">
        <v>11.0</v>
      </c>
      <c r="C23" s="42"/>
      <c r="D23" s="42"/>
      <c r="E23" s="42"/>
      <c r="F23" s="42"/>
      <c r="G23" s="42"/>
      <c r="H23" s="42"/>
      <c r="I23" s="13"/>
    </row>
    <row r="24" ht="37.5" customHeight="1">
      <c r="A24" s="5"/>
      <c r="B24" s="38">
        <v>12.0</v>
      </c>
      <c r="C24" s="42"/>
      <c r="D24" s="42"/>
      <c r="E24" s="42"/>
      <c r="F24" s="42"/>
      <c r="G24" s="42"/>
      <c r="H24" s="42"/>
      <c r="I24" s="13"/>
    </row>
    <row r="25" ht="26.25" customHeight="1">
      <c r="A25" s="5"/>
      <c r="B25" s="49" t="s">
        <v>64</v>
      </c>
      <c r="C25" s="16"/>
      <c r="D25" s="16"/>
      <c r="E25" s="16"/>
      <c r="F25" s="16"/>
      <c r="G25" s="16"/>
      <c r="H25" s="50"/>
      <c r="I25" s="13"/>
    </row>
    <row r="26" ht="7.5" customHeight="1">
      <c r="A26" s="1"/>
      <c r="B26" s="20"/>
      <c r="F26" s="21"/>
      <c r="G26" s="22"/>
      <c r="H26" s="22"/>
      <c r="I26" s="1"/>
    </row>
    <row r="27">
      <c r="A27" s="5"/>
      <c r="B27" s="51"/>
      <c r="H27" s="52"/>
      <c r="I27" s="13"/>
    </row>
    <row r="28">
      <c r="A28" s="5"/>
      <c r="B28" s="53"/>
      <c r="C28" s="54"/>
      <c r="D28" s="54"/>
      <c r="E28" s="54"/>
      <c r="F28" s="54"/>
      <c r="G28" s="54"/>
      <c r="H28" s="55"/>
      <c r="I28" s="13"/>
    </row>
    <row r="29" ht="26.25" customHeight="1">
      <c r="A29" s="5"/>
      <c r="B29" s="49" t="s">
        <v>65</v>
      </c>
      <c r="C29" s="16"/>
      <c r="D29" s="16"/>
      <c r="E29" s="16"/>
      <c r="F29" s="16"/>
      <c r="G29" s="16"/>
      <c r="H29" s="50"/>
      <c r="I29" s="13"/>
    </row>
    <row r="30" ht="7.5" customHeight="1">
      <c r="A30" s="1"/>
      <c r="B30" s="20"/>
      <c r="F30" s="21"/>
      <c r="G30" s="22"/>
      <c r="H30" s="22"/>
      <c r="I30" s="1"/>
    </row>
    <row r="31" ht="83.25" customHeight="1">
      <c r="A31" s="5"/>
      <c r="B31" s="51"/>
      <c r="H31" s="52"/>
      <c r="I31" s="13"/>
    </row>
    <row r="32">
      <c r="A32" s="5"/>
      <c r="B32" s="53"/>
      <c r="C32" s="54"/>
      <c r="D32" s="54"/>
      <c r="E32" s="54"/>
      <c r="F32" s="54"/>
      <c r="G32" s="54"/>
      <c r="H32" s="55"/>
      <c r="I32" s="13"/>
    </row>
    <row r="33" ht="26.25" customHeight="1">
      <c r="A33" s="1"/>
      <c r="B33" s="59" t="s">
        <v>69</v>
      </c>
      <c r="C33" s="60"/>
      <c r="D33" s="60"/>
      <c r="E33" s="61"/>
      <c r="F33" s="62" t="s">
        <v>71</v>
      </c>
      <c r="G33" s="16"/>
      <c r="H33" s="33"/>
      <c r="I33" s="1"/>
    </row>
    <row r="34" ht="7.5" customHeight="1">
      <c r="A34" s="1"/>
      <c r="B34" s="20"/>
      <c r="F34" s="21"/>
      <c r="G34" s="22"/>
      <c r="H34" s="22"/>
      <c r="I34" s="1"/>
    </row>
    <row r="35" ht="40.5" customHeight="1">
      <c r="A35" s="1"/>
      <c r="B35" s="64" t="s">
        <v>73</v>
      </c>
      <c r="C35" s="66"/>
      <c r="D35" s="68"/>
      <c r="E35" s="69"/>
      <c r="F35" s="69" t="s">
        <v>73</v>
      </c>
      <c r="G35" s="70"/>
      <c r="H35" s="66"/>
      <c r="I35" s="1"/>
    </row>
    <row r="36">
      <c r="A36" s="1"/>
      <c r="B36" s="73" t="s">
        <v>76</v>
      </c>
      <c r="C36" s="66"/>
      <c r="D36" s="82" t="s">
        <v>82</v>
      </c>
      <c r="E36" s="66"/>
      <c r="F36" s="75" t="s">
        <v>76</v>
      </c>
      <c r="G36" s="76" t="s">
        <v>84</v>
      </c>
      <c r="H36" s="66"/>
      <c r="I36" s="1"/>
    </row>
    <row r="37">
      <c r="A37" s="1"/>
      <c r="B37" s="78" t="s">
        <v>77</v>
      </c>
      <c r="C37" s="1"/>
      <c r="D37" s="79"/>
      <c r="E37" s="66"/>
      <c r="F37" s="75" t="s">
        <v>77</v>
      </c>
      <c r="G37" s="5"/>
      <c r="H37" s="66"/>
      <c r="I37" s="1"/>
    </row>
    <row r="38" ht="7.5" customHeight="1">
      <c r="A38" s="1"/>
      <c r="B38" s="20"/>
      <c r="F38" s="21"/>
      <c r="G38" s="22"/>
      <c r="H38" s="22"/>
      <c r="I38" s="1"/>
    </row>
    <row r="39">
      <c r="A39" s="1"/>
      <c r="B39" s="1"/>
      <c r="C39" s="1"/>
      <c r="D39" s="1"/>
      <c r="E39" s="1"/>
      <c r="F39" s="1"/>
      <c r="G39" s="1"/>
      <c r="H39" s="1"/>
      <c r="I39" s="1"/>
    </row>
  </sheetData>
  <mergeCells count="33">
    <mergeCell ref="B6:C6"/>
    <mergeCell ref="B7:C7"/>
    <mergeCell ref="B8:C8"/>
    <mergeCell ref="B9:C9"/>
    <mergeCell ref="B2:C2"/>
    <mergeCell ref="D2:H2"/>
    <mergeCell ref="B3:G3"/>
    <mergeCell ref="B4:F4"/>
    <mergeCell ref="B5:C5"/>
    <mergeCell ref="D5:H5"/>
    <mergeCell ref="D6:H6"/>
    <mergeCell ref="D7:H7"/>
    <mergeCell ref="D8:H8"/>
    <mergeCell ref="D9:H9"/>
    <mergeCell ref="B10:H10"/>
    <mergeCell ref="B11:F11"/>
    <mergeCell ref="B25:H25"/>
    <mergeCell ref="B26:F26"/>
    <mergeCell ref="B35:C35"/>
    <mergeCell ref="G35:H35"/>
    <mergeCell ref="B36:C36"/>
    <mergeCell ref="D36:E36"/>
    <mergeCell ref="G36:H36"/>
    <mergeCell ref="D37:E37"/>
    <mergeCell ref="G37:H37"/>
    <mergeCell ref="B38:F38"/>
    <mergeCell ref="B27:H28"/>
    <mergeCell ref="B29:H29"/>
    <mergeCell ref="B30:F30"/>
    <mergeCell ref="B31:H32"/>
    <mergeCell ref="B33:E33"/>
    <mergeCell ref="F33:H33"/>
    <mergeCell ref="B34:F34"/>
  </mergeCells>
  <printOptions gridLines="1" horizontalCentered="1"/>
  <pageMargins bottom="0.75" footer="0.0" header="0.0" left="0.25" right="0.25" top="0.75"/>
  <pageSetup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5.0"/>
    <col customWidth="1" min="5" max="5" width="19.88"/>
    <col customWidth="1" min="6" max="6" width="34.25"/>
    <col customWidth="1" min="7" max="7" width="66.75"/>
    <col customWidth="1" min="8" max="8" width="20.5"/>
    <col customWidth="1" min="9" max="9" width="20.75"/>
    <col customWidth="1" min="10" max="13" width="18.88"/>
    <col customWidth="1" min="14" max="14" width="20.38"/>
    <col customWidth="1" min="15" max="15" width="20.75"/>
    <col customWidth="1" min="16" max="25" width="18.88"/>
    <col customWidth="1" min="26" max="26" width="21.38"/>
    <col customWidth="1" min="27" max="27" width="58.13"/>
    <col customWidth="1" min="28" max="33" width="18.88"/>
    <col customWidth="1" min="34" max="34" width="153.63"/>
    <col customWidth="1" min="35" max="40" width="18.88"/>
  </cols>
  <sheetData>
    <row r="1" ht="22.5" customHeight="1">
      <c r="A1" s="32" t="s">
        <v>10</v>
      </c>
      <c r="B1" s="32" t="s">
        <v>12</v>
      </c>
      <c r="C1" s="32" t="s">
        <v>14</v>
      </c>
      <c r="D1" s="32" t="s">
        <v>15</v>
      </c>
      <c r="E1" s="32" t="s">
        <v>16</v>
      </c>
      <c r="F1" s="32" t="s">
        <v>17</v>
      </c>
      <c r="G1" s="32" t="s">
        <v>19</v>
      </c>
      <c r="H1" s="32" t="s">
        <v>21</v>
      </c>
      <c r="I1" s="32" t="s">
        <v>26</v>
      </c>
      <c r="J1" s="32" t="s">
        <v>31</v>
      </c>
      <c r="K1" s="32" t="s">
        <v>36</v>
      </c>
      <c r="L1" s="32" t="s">
        <v>37</v>
      </c>
      <c r="M1" s="32" t="s">
        <v>38</v>
      </c>
      <c r="N1" s="32" t="s">
        <v>39</v>
      </c>
      <c r="O1" s="32" t="s">
        <v>40</v>
      </c>
      <c r="P1" s="32" t="s">
        <v>41</v>
      </c>
      <c r="Q1" s="32" t="s">
        <v>43</v>
      </c>
      <c r="R1" s="32" t="s">
        <v>44</v>
      </c>
      <c r="S1" s="32" t="s">
        <v>45</v>
      </c>
      <c r="T1" s="32" t="s">
        <v>47</v>
      </c>
      <c r="U1" s="32" t="s">
        <v>49</v>
      </c>
      <c r="V1" s="32" t="s">
        <v>50</v>
      </c>
      <c r="W1" s="32" t="s">
        <v>51</v>
      </c>
      <c r="X1" s="32" t="s">
        <v>53</v>
      </c>
      <c r="Y1" s="32" t="s">
        <v>54</v>
      </c>
      <c r="Z1" s="32" t="s">
        <v>55</v>
      </c>
      <c r="AA1" s="32" t="s">
        <v>56</v>
      </c>
      <c r="AB1" s="32" t="s">
        <v>57</v>
      </c>
      <c r="AC1" s="47" t="s">
        <v>8</v>
      </c>
      <c r="AD1" s="47" t="s">
        <v>58</v>
      </c>
      <c r="AE1" s="47" t="s">
        <v>59</v>
      </c>
      <c r="AF1" s="47" t="s">
        <v>60</v>
      </c>
      <c r="AG1" s="47" t="s">
        <v>61</v>
      </c>
      <c r="AH1" s="47" t="s">
        <v>62</v>
      </c>
      <c r="AI1" s="48" t="s">
        <v>63</v>
      </c>
    </row>
    <row r="2" ht="22.5" customHeight="1">
      <c r="A2" s="56" t="str">
        <f t="array" ref="A2:A1308">IF(LEN(B2:B1308),
     TEXT(YEAR(B2:B1308),"0000")&amp;TEXT(SEQUENCE(COUNTA(B2:B1308),1),"0000000"),
     ""
  )</f>
        <v>20250000001</v>
      </c>
      <c r="B2" s="57">
        <v>46017.80736289352</v>
      </c>
      <c r="C2" s="58" t="s">
        <v>66</v>
      </c>
      <c r="D2" s="58" t="s">
        <v>67</v>
      </c>
      <c r="E2" s="58" t="s">
        <v>68</v>
      </c>
      <c r="F2" s="58" t="s">
        <v>70</v>
      </c>
      <c r="G2" s="58" t="s">
        <v>72</v>
      </c>
      <c r="H2" s="63">
        <v>46036.0</v>
      </c>
      <c r="I2" s="67">
        <v>0.08472222222189885</v>
      </c>
      <c r="J2" s="58" t="s">
        <v>74</v>
      </c>
      <c r="K2" s="72" t="s">
        <v>75</v>
      </c>
      <c r="L2" s="58">
        <v>10.0</v>
      </c>
      <c r="S2" s="58">
        <v>20.0</v>
      </c>
      <c r="T2" s="58">
        <v>10.0</v>
      </c>
      <c r="Y2" s="58">
        <v>10.0</v>
      </c>
      <c r="Z2" s="56">
        <f t="shared" ref="Z2:Z4" si="1">AF2</f>
        <v>2</v>
      </c>
      <c r="AC2" s="58" t="s">
        <v>74</v>
      </c>
      <c r="AD2" s="58" t="s">
        <v>78</v>
      </c>
      <c r="AF2" s="58">
        <v>2.0</v>
      </c>
      <c r="AI2" s="81" t="s">
        <v>79</v>
      </c>
    </row>
    <row r="3" ht="22.5" customHeight="1">
      <c r="A3" s="56" t="s">
        <v>80</v>
      </c>
      <c r="B3" s="57">
        <v>46028.55068380787</v>
      </c>
      <c r="C3" s="58" t="s">
        <v>81</v>
      </c>
      <c r="D3" s="58" t="s">
        <v>83</v>
      </c>
      <c r="E3" s="58" t="s">
        <v>68</v>
      </c>
      <c r="F3" s="58" t="s">
        <v>85</v>
      </c>
      <c r="G3" s="58" t="s">
        <v>86</v>
      </c>
      <c r="H3" s="63">
        <v>46028.0</v>
      </c>
      <c r="I3" s="67">
        <v>0.625</v>
      </c>
      <c r="J3" s="58" t="s">
        <v>87</v>
      </c>
      <c r="K3" s="72" t="s">
        <v>88</v>
      </c>
      <c r="Z3" s="56" t="str">
        <f t="shared" si="1"/>
        <v/>
      </c>
      <c r="AC3" s="58" t="s">
        <v>89</v>
      </c>
      <c r="AD3" s="58" t="s">
        <v>90</v>
      </c>
      <c r="AG3" s="58" t="s">
        <v>91</v>
      </c>
      <c r="AH3" s="58" t="s">
        <v>92</v>
      </c>
      <c r="AI3" s="81" t="s">
        <v>93</v>
      </c>
    </row>
    <row r="4" ht="22.5" customHeight="1">
      <c r="A4" s="56" t="s">
        <v>94</v>
      </c>
      <c r="B4" s="57">
        <v>46030.47560853009</v>
      </c>
      <c r="C4" s="58" t="s">
        <v>66</v>
      </c>
      <c r="D4" s="58" t="s">
        <v>96</v>
      </c>
      <c r="E4" s="58" t="s">
        <v>99</v>
      </c>
      <c r="F4" s="58" t="s">
        <v>102</v>
      </c>
      <c r="G4" s="58" t="s">
        <v>102</v>
      </c>
      <c r="H4" s="63">
        <v>46037.0</v>
      </c>
      <c r="I4" s="67">
        <v>0.18055555555474712</v>
      </c>
      <c r="J4" s="58" t="s">
        <v>107</v>
      </c>
      <c r="K4" s="58" t="s">
        <v>107</v>
      </c>
      <c r="L4" s="58">
        <v>20.0</v>
      </c>
      <c r="S4" s="58">
        <v>40.0</v>
      </c>
      <c r="Z4" s="56" t="str">
        <f t="shared" si="1"/>
        <v/>
      </c>
      <c r="AC4" s="58" t="s">
        <v>116</v>
      </c>
      <c r="AD4" s="58" t="s">
        <v>78</v>
      </c>
      <c r="AE4" s="58" t="s">
        <v>120</v>
      </c>
      <c r="AH4" s="58" t="s">
        <v>122</v>
      </c>
      <c r="AI4" s="58" t="s">
        <v>79</v>
      </c>
    </row>
    <row r="5" ht="22.5" customHeight="1">
      <c r="A5" s="56" t="s">
        <v>124</v>
      </c>
      <c r="B5" s="57">
        <v>46031.72264450231</v>
      </c>
      <c r="C5" s="58" t="s">
        <v>128</v>
      </c>
      <c r="D5" s="58" t="s">
        <v>83</v>
      </c>
      <c r="E5" s="58" t="s">
        <v>68</v>
      </c>
      <c r="F5" s="58" t="s">
        <v>132</v>
      </c>
      <c r="G5" s="58" t="s">
        <v>133</v>
      </c>
      <c r="H5" s="63">
        <v>46035.0</v>
      </c>
      <c r="I5" s="67">
        <v>0.5416666666642413</v>
      </c>
      <c r="J5" s="58" t="s">
        <v>140</v>
      </c>
      <c r="K5" s="72" t="s">
        <v>142</v>
      </c>
      <c r="L5" s="58">
        <v>3.0</v>
      </c>
      <c r="S5" s="58">
        <v>6.0</v>
      </c>
      <c r="T5" s="58">
        <v>3.0</v>
      </c>
      <c r="AC5" s="58" t="s">
        <v>147</v>
      </c>
      <c r="AD5" s="58" t="s">
        <v>150</v>
      </c>
      <c r="AE5" s="58" t="s">
        <v>151</v>
      </c>
      <c r="AF5" s="58">
        <v>3.0</v>
      </c>
      <c r="AI5" s="58" t="s">
        <v>154</v>
      </c>
    </row>
    <row r="6" ht="22.5" customHeight="1">
      <c r="A6" s="56" t="s">
        <v>157</v>
      </c>
      <c r="B6" s="57">
        <v>46031.73071952546</v>
      </c>
      <c r="C6" s="58" t="s">
        <v>159</v>
      </c>
      <c r="D6" s="58" t="s">
        <v>162</v>
      </c>
      <c r="E6" s="58" t="s">
        <v>99</v>
      </c>
      <c r="F6" s="58" t="s">
        <v>165</v>
      </c>
      <c r="G6" s="58" t="s">
        <v>166</v>
      </c>
      <c r="H6" s="63">
        <v>46036.0</v>
      </c>
      <c r="I6" s="67">
        <v>0.5416666666642413</v>
      </c>
      <c r="J6" s="58" t="s">
        <v>171</v>
      </c>
      <c r="K6" s="72" t="s">
        <v>173</v>
      </c>
      <c r="Q6" s="58">
        <v>10.0</v>
      </c>
      <c r="S6" s="58">
        <v>20.0</v>
      </c>
      <c r="T6" s="58">
        <v>10.0</v>
      </c>
      <c r="AC6" s="58" t="s">
        <v>147</v>
      </c>
      <c r="AD6" s="58" t="s">
        <v>150</v>
      </c>
      <c r="AE6" s="58" t="s">
        <v>151</v>
      </c>
      <c r="AI6" s="58" t="s">
        <v>179</v>
      </c>
    </row>
    <row r="7" ht="22.5" customHeight="1">
      <c r="A7" s="56" t="s">
        <v>182</v>
      </c>
      <c r="B7" s="57">
        <v>46032.48213607639</v>
      </c>
      <c r="C7" s="58" t="s">
        <v>183</v>
      </c>
      <c r="D7" s="58" t="s">
        <v>184</v>
      </c>
      <c r="E7" s="58" t="s">
        <v>99</v>
      </c>
      <c r="F7" s="58" t="s">
        <v>187</v>
      </c>
      <c r="G7" s="58" t="s">
        <v>189</v>
      </c>
      <c r="H7" s="63">
        <v>46034.0</v>
      </c>
      <c r="I7" s="67">
        <v>0.45833333333575865</v>
      </c>
      <c r="J7" s="58" t="s">
        <v>192</v>
      </c>
      <c r="K7" s="58" t="s">
        <v>193</v>
      </c>
      <c r="Z7" s="56" t="str">
        <f t="shared" ref="Z7:Z11" si="2">AF7</f>
        <v/>
      </c>
      <c r="AA7" s="58" t="s">
        <v>196</v>
      </c>
      <c r="AC7" s="58" t="s">
        <v>145</v>
      </c>
      <c r="AD7" s="58" t="s">
        <v>200</v>
      </c>
      <c r="AI7" s="58" t="s">
        <v>154</v>
      </c>
    </row>
    <row r="8" ht="22.5" customHeight="1">
      <c r="A8" s="56" t="s">
        <v>203</v>
      </c>
      <c r="B8" s="57">
        <v>46034.43994512732</v>
      </c>
      <c r="C8" s="58" t="s">
        <v>207</v>
      </c>
      <c r="D8" s="58" t="s">
        <v>208</v>
      </c>
      <c r="E8" s="58" t="s">
        <v>209</v>
      </c>
      <c r="F8" s="58" t="s">
        <v>212</v>
      </c>
      <c r="G8" s="58" t="s">
        <v>213</v>
      </c>
      <c r="H8" s="63">
        <v>46034.0</v>
      </c>
      <c r="I8" s="67">
        <v>0.4375</v>
      </c>
      <c r="J8" s="58" t="s">
        <v>214</v>
      </c>
      <c r="K8" s="58" t="s">
        <v>183</v>
      </c>
      <c r="Z8" s="56" t="str">
        <f t="shared" si="2"/>
        <v/>
      </c>
      <c r="AA8" s="58" t="s">
        <v>217</v>
      </c>
      <c r="AC8" s="58" t="s">
        <v>218</v>
      </c>
      <c r="AD8" s="58" t="s">
        <v>200</v>
      </c>
      <c r="AE8" s="58" t="s">
        <v>221</v>
      </c>
      <c r="AI8" s="58" t="s">
        <v>154</v>
      </c>
    </row>
    <row r="9" ht="22.5" customHeight="1">
      <c r="A9" s="56" t="s">
        <v>223</v>
      </c>
      <c r="B9" s="57">
        <v>46035.44699936343</v>
      </c>
      <c r="C9" s="58" t="s">
        <v>207</v>
      </c>
      <c r="D9" s="58" t="s">
        <v>83</v>
      </c>
      <c r="E9" s="58" t="s">
        <v>68</v>
      </c>
      <c r="F9" s="58" t="s">
        <v>229</v>
      </c>
      <c r="G9" s="58" t="s">
        <v>232</v>
      </c>
      <c r="H9" s="63">
        <v>46036.0</v>
      </c>
      <c r="I9" s="67">
        <v>0.41666666666424135</v>
      </c>
      <c r="J9" s="58" t="s">
        <v>235</v>
      </c>
      <c r="K9" s="58" t="s">
        <v>239</v>
      </c>
      <c r="Q9" s="58">
        <v>1.0</v>
      </c>
      <c r="Y9" s="58">
        <v>2.0</v>
      </c>
      <c r="Z9" s="56" t="str">
        <f t="shared" si="2"/>
        <v/>
      </c>
      <c r="AC9" s="58" t="s">
        <v>244</v>
      </c>
      <c r="AD9" s="58" t="s">
        <v>200</v>
      </c>
      <c r="AH9" s="58" t="s">
        <v>245</v>
      </c>
      <c r="AI9" s="58" t="s">
        <v>179</v>
      </c>
    </row>
    <row r="10" ht="22.5" customHeight="1">
      <c r="A10" s="56" t="s">
        <v>247</v>
      </c>
      <c r="B10" s="57">
        <v>46035.44818346065</v>
      </c>
      <c r="C10" s="58" t="s">
        <v>207</v>
      </c>
      <c r="D10" s="58" t="s">
        <v>83</v>
      </c>
      <c r="E10" s="58" t="s">
        <v>68</v>
      </c>
      <c r="F10" s="58" t="s">
        <v>251</v>
      </c>
      <c r="G10" s="58" t="s">
        <v>232</v>
      </c>
      <c r="H10" s="63">
        <v>46037.0</v>
      </c>
      <c r="I10" s="67">
        <v>0.41666666666424135</v>
      </c>
      <c r="J10" s="58" t="s">
        <v>253</v>
      </c>
      <c r="K10" s="58" t="s">
        <v>239</v>
      </c>
      <c r="Q10" s="58">
        <v>1.0</v>
      </c>
      <c r="Y10" s="58">
        <v>2.0</v>
      </c>
      <c r="Z10" s="56" t="str">
        <f t="shared" si="2"/>
        <v/>
      </c>
      <c r="AC10" s="58" t="s">
        <v>244</v>
      </c>
      <c r="AD10" s="58" t="s">
        <v>200</v>
      </c>
      <c r="AI10" s="58" t="s">
        <v>260</v>
      </c>
    </row>
    <row r="11" ht="22.5" customHeight="1">
      <c r="A11" s="56" t="s">
        <v>261</v>
      </c>
      <c r="B11" s="57">
        <v>46035.67627780093</v>
      </c>
      <c r="C11" s="58" t="s">
        <v>183</v>
      </c>
      <c r="D11" s="58" t="s">
        <v>266</v>
      </c>
      <c r="E11" s="58" t="s">
        <v>209</v>
      </c>
      <c r="F11" s="58" t="s">
        <v>229</v>
      </c>
      <c r="G11" s="58" t="s">
        <v>229</v>
      </c>
      <c r="H11" s="63">
        <v>46035.0</v>
      </c>
      <c r="I11" s="67">
        <v>0.5416666666642413</v>
      </c>
      <c r="J11" s="58" t="s">
        <v>272</v>
      </c>
      <c r="K11" s="72" t="s">
        <v>275</v>
      </c>
      <c r="Z11" s="56" t="str">
        <f t="shared" si="2"/>
        <v/>
      </c>
      <c r="AC11" s="58" t="s">
        <v>272</v>
      </c>
      <c r="AD11" s="58" t="s">
        <v>200</v>
      </c>
      <c r="AE11" s="58" t="s">
        <v>278</v>
      </c>
      <c r="AH11" s="58" t="s">
        <v>280</v>
      </c>
      <c r="AI11" s="58" t="s">
        <v>179</v>
      </c>
    </row>
    <row r="12" ht="22.5" customHeight="1">
      <c r="A12" s="56" t="s">
        <v>281</v>
      </c>
      <c r="B12" s="57">
        <v>46036.33076336805</v>
      </c>
      <c r="C12" s="58" t="s">
        <v>128</v>
      </c>
      <c r="D12" s="58" t="s">
        <v>96</v>
      </c>
      <c r="E12" s="58" t="s">
        <v>68</v>
      </c>
      <c r="F12" s="58" t="s">
        <v>286</v>
      </c>
      <c r="G12" s="58" t="s">
        <v>289</v>
      </c>
      <c r="H12" s="63">
        <v>46037.0</v>
      </c>
      <c r="I12" s="67">
        <v>0.5416666666642413</v>
      </c>
      <c r="J12" s="58" t="s">
        <v>295</v>
      </c>
      <c r="K12" s="72" t="s">
        <v>298</v>
      </c>
      <c r="O12" s="58">
        <v>1.0</v>
      </c>
      <c r="S12" s="58">
        <v>2.0</v>
      </c>
      <c r="T12" s="58">
        <v>1.0</v>
      </c>
      <c r="Y12" s="58">
        <v>1.0</v>
      </c>
      <c r="AC12" s="58" t="s">
        <v>301</v>
      </c>
      <c r="AD12" s="58" t="s">
        <v>150</v>
      </c>
      <c r="AI12" s="58" t="s">
        <v>179</v>
      </c>
    </row>
    <row r="13" ht="22.5" customHeight="1">
      <c r="A13" s="56" t="s">
        <v>304</v>
      </c>
      <c r="B13" s="57">
        <v>46037.3523169213</v>
      </c>
      <c r="C13" s="58" t="s">
        <v>128</v>
      </c>
      <c r="D13" s="58" t="s">
        <v>83</v>
      </c>
      <c r="E13" s="58" t="s">
        <v>68</v>
      </c>
      <c r="F13" s="58" t="s">
        <v>286</v>
      </c>
      <c r="G13" s="58" t="s">
        <v>307</v>
      </c>
      <c r="H13" s="63">
        <v>46037.0</v>
      </c>
      <c r="I13" s="67">
        <v>0.5416666666642413</v>
      </c>
      <c r="J13" s="58" t="s">
        <v>295</v>
      </c>
      <c r="K13" s="72" t="s">
        <v>298</v>
      </c>
      <c r="Q13" s="58">
        <v>1.0</v>
      </c>
      <c r="S13" s="58">
        <v>2.0</v>
      </c>
      <c r="T13" s="58">
        <v>1.0</v>
      </c>
      <c r="AC13" s="58" t="s">
        <v>147</v>
      </c>
      <c r="AD13" s="58" t="s">
        <v>150</v>
      </c>
      <c r="AE13" s="58" t="s">
        <v>151</v>
      </c>
      <c r="AI13" s="58" t="s">
        <v>179</v>
      </c>
    </row>
    <row r="14" ht="22.5" customHeight="1">
      <c r="A14" s="56" t="s">
        <v>314</v>
      </c>
      <c r="B14" s="57">
        <v>46038.51337988426</v>
      </c>
      <c r="C14" s="58" t="s">
        <v>207</v>
      </c>
      <c r="D14" s="58" t="s">
        <v>184</v>
      </c>
      <c r="E14" s="58" t="s">
        <v>68</v>
      </c>
      <c r="F14" s="58" t="s">
        <v>218</v>
      </c>
      <c r="G14" s="58" t="s">
        <v>317</v>
      </c>
      <c r="H14" s="63">
        <v>46038.0</v>
      </c>
      <c r="I14" s="67">
        <v>0.47916666666424135</v>
      </c>
      <c r="J14" s="58" t="s">
        <v>218</v>
      </c>
      <c r="K14" s="58" t="s">
        <v>207</v>
      </c>
      <c r="AA14" s="58" t="s">
        <v>320</v>
      </c>
      <c r="AC14" s="58" t="s">
        <v>244</v>
      </c>
      <c r="AD14" s="58" t="s">
        <v>200</v>
      </c>
      <c r="AE14" s="58" t="s">
        <v>323</v>
      </c>
      <c r="AH14" s="58" t="s">
        <v>324</v>
      </c>
      <c r="AI14" s="58" t="s">
        <v>179</v>
      </c>
    </row>
    <row r="15" ht="22.5" customHeight="1">
      <c r="A15" s="56" t="s">
        <v>327</v>
      </c>
      <c r="B15" s="57">
        <v>46038.63866768518</v>
      </c>
      <c r="C15" s="58" t="s">
        <v>66</v>
      </c>
      <c r="D15" s="58" t="s">
        <v>83</v>
      </c>
      <c r="E15" s="58" t="s">
        <v>68</v>
      </c>
      <c r="F15" s="58" t="s">
        <v>330</v>
      </c>
      <c r="G15" s="58" t="s">
        <v>307</v>
      </c>
      <c r="H15" s="63">
        <v>46038.0</v>
      </c>
      <c r="I15" s="67">
        <v>0.25</v>
      </c>
      <c r="J15" s="58" t="s">
        <v>333</v>
      </c>
      <c r="K15" s="58" t="s">
        <v>334</v>
      </c>
      <c r="S15" s="58">
        <v>1.0</v>
      </c>
      <c r="AC15" s="58" t="s">
        <v>158</v>
      </c>
      <c r="AD15" s="58" t="s">
        <v>78</v>
      </c>
      <c r="AH15" s="58" t="s">
        <v>337</v>
      </c>
      <c r="AI15" s="58" t="s">
        <v>179</v>
      </c>
    </row>
    <row r="16" ht="22.5" customHeight="1">
      <c r="A16" s="56" t="s">
        <v>338</v>
      </c>
      <c r="B16" s="57">
        <v>46043.66589881944</v>
      </c>
      <c r="C16" s="58" t="s">
        <v>81</v>
      </c>
      <c r="D16" s="58" t="s">
        <v>208</v>
      </c>
      <c r="E16" s="58" t="s">
        <v>68</v>
      </c>
      <c r="F16" s="58" t="s">
        <v>341</v>
      </c>
      <c r="G16" s="58" t="s">
        <v>341</v>
      </c>
      <c r="H16" s="63">
        <v>46052.0</v>
      </c>
      <c r="I16" s="67">
        <v>0.41666666666424135</v>
      </c>
      <c r="J16" s="58" t="s">
        <v>89</v>
      </c>
      <c r="K16" s="72" t="s">
        <v>344</v>
      </c>
      <c r="S16" s="58">
        <v>12.0</v>
      </c>
      <c r="U16" s="58">
        <v>3.0</v>
      </c>
      <c r="AC16" s="58" t="s">
        <v>89</v>
      </c>
      <c r="AD16" s="58" t="s">
        <v>90</v>
      </c>
      <c r="AE16" s="58" t="s">
        <v>347</v>
      </c>
      <c r="AH16" s="58" t="s">
        <v>350</v>
      </c>
      <c r="AI16" s="58" t="s">
        <v>179</v>
      </c>
    </row>
    <row r="17" ht="22.5" customHeight="1">
      <c r="A17" s="56" t="s">
        <v>351</v>
      </c>
      <c r="B17" s="57">
        <v>46044.4488346412</v>
      </c>
      <c r="C17" s="58" t="s">
        <v>354</v>
      </c>
      <c r="D17" s="58" t="s">
        <v>355</v>
      </c>
      <c r="E17" s="58" t="s">
        <v>68</v>
      </c>
      <c r="F17" s="58" t="s">
        <v>356</v>
      </c>
      <c r="G17" s="58" t="s">
        <v>359</v>
      </c>
      <c r="H17" s="63">
        <v>46045.0</v>
      </c>
      <c r="I17" s="67">
        <v>0.45833333333575865</v>
      </c>
      <c r="J17" s="58" t="s">
        <v>360</v>
      </c>
      <c r="K17" s="58" t="s">
        <v>362</v>
      </c>
      <c r="Q17" s="58">
        <v>1.0</v>
      </c>
      <c r="S17" s="58">
        <v>2.0</v>
      </c>
      <c r="T17" s="58">
        <v>1.0</v>
      </c>
      <c r="AB17" s="58" t="s">
        <v>364</v>
      </c>
      <c r="AC17" s="58" t="s">
        <v>155</v>
      </c>
      <c r="AD17" s="58" t="s">
        <v>366</v>
      </c>
      <c r="AE17" s="58" t="s">
        <v>367</v>
      </c>
      <c r="AI17" s="58" t="s">
        <v>179</v>
      </c>
    </row>
    <row r="18" ht="22.5" customHeight="1">
      <c r="A18" s="56" t="s">
        <v>370</v>
      </c>
      <c r="B18" s="57">
        <v>46045.51819630787</v>
      </c>
      <c r="C18" s="58" t="s">
        <v>128</v>
      </c>
      <c r="D18" s="58" t="s">
        <v>208</v>
      </c>
      <c r="E18" s="58" t="s">
        <v>68</v>
      </c>
      <c r="F18" s="58" t="s">
        <v>151</v>
      </c>
      <c r="G18" s="58" t="s">
        <v>151</v>
      </c>
      <c r="H18" s="63">
        <v>46045.0</v>
      </c>
      <c r="I18" s="67">
        <v>0.5208333333357587</v>
      </c>
      <c r="J18" s="58" t="s">
        <v>147</v>
      </c>
      <c r="K18" s="72" t="s">
        <v>374</v>
      </c>
      <c r="AC18" s="58" t="s">
        <v>147</v>
      </c>
      <c r="AD18" s="58" t="s">
        <v>150</v>
      </c>
      <c r="AE18" s="58" t="s">
        <v>151</v>
      </c>
      <c r="AG18" s="58" t="s">
        <v>376</v>
      </c>
      <c r="AH18" s="58" t="s">
        <v>379</v>
      </c>
      <c r="AI18" s="58" t="s">
        <v>179</v>
      </c>
    </row>
    <row r="19" ht="22.5" customHeight="1">
      <c r="A19" s="56" t="s">
        <v>380</v>
      </c>
      <c r="B19" s="57">
        <v>46045.63175438657</v>
      </c>
      <c r="C19" s="58" t="s">
        <v>66</v>
      </c>
      <c r="D19" s="58" t="s">
        <v>208</v>
      </c>
      <c r="E19" s="58" t="s">
        <v>209</v>
      </c>
      <c r="F19" s="58" t="s">
        <v>383</v>
      </c>
      <c r="G19" s="58" t="s">
        <v>384</v>
      </c>
      <c r="H19" s="63">
        <v>46045.0</v>
      </c>
      <c r="I19" s="67">
        <v>0.5</v>
      </c>
      <c r="J19" s="58" t="s">
        <v>387</v>
      </c>
      <c r="K19" s="58" t="s">
        <v>388</v>
      </c>
      <c r="AA19" s="58" t="s">
        <v>391</v>
      </c>
      <c r="AC19" s="58" t="s">
        <v>158</v>
      </c>
      <c r="AD19" s="58" t="s">
        <v>78</v>
      </c>
      <c r="AE19" s="58" t="s">
        <v>392</v>
      </c>
      <c r="AI19" s="58" t="s">
        <v>179</v>
      </c>
    </row>
    <row r="20" ht="22.5" customHeight="1">
      <c r="A20" s="56" t="s">
        <v>395</v>
      </c>
      <c r="B20" s="57">
        <v>46048.72521207176</v>
      </c>
      <c r="C20" s="58" t="s">
        <v>396</v>
      </c>
      <c r="D20" s="58" t="s">
        <v>83</v>
      </c>
      <c r="E20" s="58" t="s">
        <v>99</v>
      </c>
      <c r="F20" s="58" t="s">
        <v>399</v>
      </c>
      <c r="G20" s="58" t="s">
        <v>400</v>
      </c>
      <c r="H20" s="63">
        <v>46049.0</v>
      </c>
      <c r="I20" s="67">
        <v>0.5416666666642413</v>
      </c>
      <c r="J20" s="58" t="s">
        <v>405</v>
      </c>
      <c r="K20" s="72" t="s">
        <v>406</v>
      </c>
      <c r="Q20" s="58">
        <v>1.0</v>
      </c>
      <c r="S20" s="58">
        <v>3.0</v>
      </c>
      <c r="U20" s="58">
        <v>1.0</v>
      </c>
      <c r="Y20" s="58">
        <v>1.0</v>
      </c>
      <c r="AC20" s="58" t="s">
        <v>405</v>
      </c>
      <c r="AD20" s="58" t="s">
        <v>409</v>
      </c>
      <c r="AG20" s="58" t="s">
        <v>412</v>
      </c>
      <c r="AI20" s="58" t="s">
        <v>179</v>
      </c>
    </row>
    <row r="21" ht="22.5" customHeight="1">
      <c r="A21" s="56" t="s">
        <v>413</v>
      </c>
      <c r="B21" s="57">
        <v>46049.43652664352</v>
      </c>
      <c r="C21" s="58" t="s">
        <v>183</v>
      </c>
      <c r="D21" s="58" t="s">
        <v>184</v>
      </c>
      <c r="E21" s="58" t="s">
        <v>99</v>
      </c>
      <c r="F21" s="58" t="s">
        <v>187</v>
      </c>
      <c r="G21" s="58" t="s">
        <v>189</v>
      </c>
      <c r="H21" s="63">
        <v>46050.0</v>
      </c>
      <c r="I21" s="67">
        <v>0.45833333333575865</v>
      </c>
      <c r="J21" s="58" t="s">
        <v>192</v>
      </c>
      <c r="K21" s="58" t="s">
        <v>193</v>
      </c>
      <c r="AA21" s="58" t="s">
        <v>420</v>
      </c>
      <c r="AC21" s="58" t="s">
        <v>421</v>
      </c>
      <c r="AD21" s="58" t="s">
        <v>200</v>
      </c>
      <c r="AI21" s="58" t="s">
        <v>424</v>
      </c>
    </row>
    <row r="22" ht="22.5" customHeight="1">
      <c r="A22" s="56" t="s">
        <v>425</v>
      </c>
      <c r="B22" s="57">
        <v>46049.711376990745</v>
      </c>
      <c r="C22" s="58" t="s">
        <v>183</v>
      </c>
      <c r="D22" s="58" t="s">
        <v>208</v>
      </c>
      <c r="E22" s="58" t="s">
        <v>209</v>
      </c>
      <c r="F22" s="58" t="s">
        <v>429</v>
      </c>
      <c r="G22" s="58" t="s">
        <v>431</v>
      </c>
      <c r="H22" s="63">
        <v>46049.0</v>
      </c>
      <c r="I22" s="67">
        <v>0.45833333333575865</v>
      </c>
      <c r="J22" s="58" t="s">
        <v>432</v>
      </c>
      <c r="K22" s="72" t="s">
        <v>275</v>
      </c>
      <c r="AA22" s="58" t="s">
        <v>435</v>
      </c>
      <c r="AC22" s="58" t="s">
        <v>421</v>
      </c>
      <c r="AD22" s="58" t="s">
        <v>200</v>
      </c>
      <c r="AE22" s="58" t="s">
        <v>438</v>
      </c>
      <c r="AI22" s="58" t="s">
        <v>424</v>
      </c>
    </row>
    <row r="23" ht="22.5" customHeight="1">
      <c r="A23" s="56" t="s">
        <v>439</v>
      </c>
      <c r="B23" s="57">
        <v>46051.54456836806</v>
      </c>
      <c r="C23" s="58" t="s">
        <v>442</v>
      </c>
      <c r="D23" s="58" t="s">
        <v>67</v>
      </c>
      <c r="E23" s="58" t="s">
        <v>68</v>
      </c>
      <c r="F23" s="58" t="s">
        <v>147</v>
      </c>
      <c r="G23" s="58" t="s">
        <v>445</v>
      </c>
      <c r="H23" s="63">
        <v>46051.0</v>
      </c>
      <c r="I23" s="67">
        <v>0.5416666666642413</v>
      </c>
      <c r="J23" s="58" t="s">
        <v>147</v>
      </c>
      <c r="K23" s="58" t="s">
        <v>448</v>
      </c>
      <c r="P23" s="58">
        <v>1.0</v>
      </c>
      <c r="S23" s="58">
        <v>2.0</v>
      </c>
      <c r="T23" s="58">
        <v>1.0</v>
      </c>
      <c r="AC23" s="58" t="s">
        <v>129</v>
      </c>
      <c r="AD23" s="58" t="s">
        <v>451</v>
      </c>
      <c r="AI23" s="58" t="s">
        <v>179</v>
      </c>
    </row>
    <row r="24" ht="22.5" customHeight="1">
      <c r="A24" s="56" t="s">
        <v>452</v>
      </c>
      <c r="B24" s="57">
        <v>46052.5334300463</v>
      </c>
      <c r="C24" s="58" t="s">
        <v>396</v>
      </c>
      <c r="D24" s="58" t="s">
        <v>83</v>
      </c>
      <c r="E24" s="58" t="s">
        <v>99</v>
      </c>
      <c r="F24" s="58" t="s">
        <v>457</v>
      </c>
      <c r="G24" s="58" t="s">
        <v>68</v>
      </c>
      <c r="H24" s="63">
        <v>46055.0</v>
      </c>
      <c r="I24" s="67">
        <v>0.41666666666424135</v>
      </c>
      <c r="J24" s="58" t="s">
        <v>460</v>
      </c>
      <c r="K24" s="72" t="s">
        <v>461</v>
      </c>
      <c r="P24" s="58">
        <v>1.0</v>
      </c>
      <c r="S24" s="58">
        <v>2.0</v>
      </c>
      <c r="T24" s="58">
        <v>1.0</v>
      </c>
      <c r="Y24" s="58">
        <v>1.0</v>
      </c>
      <c r="AC24" s="58" t="s">
        <v>405</v>
      </c>
      <c r="AD24" s="58" t="s">
        <v>409</v>
      </c>
      <c r="AE24" s="58" t="s">
        <v>464</v>
      </c>
      <c r="AH24" s="58" t="s">
        <v>465</v>
      </c>
      <c r="AI24" s="58" t="s">
        <v>179</v>
      </c>
    </row>
    <row r="25" ht="22.5" customHeight="1">
      <c r="A25" s="56" t="s">
        <v>467</v>
      </c>
      <c r="B25" s="57">
        <v>46052.91023774305</v>
      </c>
      <c r="C25" s="58" t="s">
        <v>354</v>
      </c>
      <c r="D25" s="58" t="s">
        <v>83</v>
      </c>
      <c r="E25" s="58" t="s">
        <v>68</v>
      </c>
      <c r="F25" s="58" t="s">
        <v>472</v>
      </c>
      <c r="G25" s="58" t="s">
        <v>473</v>
      </c>
      <c r="H25" s="63">
        <v>46053.0</v>
      </c>
      <c r="I25" s="67">
        <v>0.41666666666424135</v>
      </c>
      <c r="J25" s="58" t="s">
        <v>476</v>
      </c>
      <c r="K25" s="72" t="s">
        <v>477</v>
      </c>
      <c r="Q25" s="58">
        <v>2.0</v>
      </c>
      <c r="S25" s="58" t="s">
        <v>478</v>
      </c>
      <c r="T25" s="58">
        <v>2.0</v>
      </c>
      <c r="Y25" s="58" t="s">
        <v>473</v>
      </c>
      <c r="AC25" s="58" t="s">
        <v>155</v>
      </c>
      <c r="AD25" s="58" t="s">
        <v>366</v>
      </c>
      <c r="AI25" s="58" t="s">
        <v>179</v>
      </c>
    </row>
    <row r="26" ht="22.5" customHeight="1">
      <c r="A26" s="56" t="s">
        <v>483</v>
      </c>
      <c r="B26" s="57">
        <v>46053.503758611114</v>
      </c>
      <c r="C26" s="58" t="s">
        <v>354</v>
      </c>
      <c r="D26" s="58" t="s">
        <v>208</v>
      </c>
      <c r="E26" s="58" t="s">
        <v>99</v>
      </c>
      <c r="F26" s="58" t="s">
        <v>486</v>
      </c>
      <c r="G26" s="58" t="s">
        <v>487</v>
      </c>
      <c r="H26" s="63">
        <v>46055.0</v>
      </c>
      <c r="I26" s="67">
        <v>0.41666666666424135</v>
      </c>
      <c r="J26" s="58" t="s">
        <v>490</v>
      </c>
      <c r="K26" s="58" t="s">
        <v>491</v>
      </c>
      <c r="N26" s="58">
        <v>1.0</v>
      </c>
      <c r="Q26" s="58">
        <v>1.0</v>
      </c>
      <c r="S26" s="58">
        <v>4.0</v>
      </c>
      <c r="T26" s="58">
        <v>1.0</v>
      </c>
      <c r="AC26" s="58" t="s">
        <v>155</v>
      </c>
      <c r="AD26" s="58" t="s">
        <v>366</v>
      </c>
      <c r="AE26" s="58" t="s">
        <v>496</v>
      </c>
      <c r="AI26" s="58" t="s">
        <v>179</v>
      </c>
    </row>
    <row r="27" ht="22.5" customHeight="1">
      <c r="A27" s="56" t="s">
        <v>497</v>
      </c>
      <c r="B27" s="57">
        <v>46055.44426509259</v>
      </c>
      <c r="C27" s="58" t="s">
        <v>66</v>
      </c>
      <c r="D27" s="58" t="s">
        <v>83</v>
      </c>
      <c r="E27" s="58" t="s">
        <v>68</v>
      </c>
      <c r="F27" s="58" t="s">
        <v>502</v>
      </c>
      <c r="G27" s="58" t="s">
        <v>503</v>
      </c>
      <c r="H27" s="63">
        <v>46055.0</v>
      </c>
      <c r="I27" s="67">
        <v>0.5416666666642413</v>
      </c>
      <c r="J27" s="58" t="s">
        <v>504</v>
      </c>
      <c r="K27" s="58" t="s">
        <v>507</v>
      </c>
      <c r="O27" s="58">
        <v>1.0</v>
      </c>
      <c r="S27" s="58">
        <v>2.0</v>
      </c>
      <c r="T27" s="58">
        <v>1.0</v>
      </c>
      <c r="AC27" s="58" t="s">
        <v>158</v>
      </c>
      <c r="AD27" s="58" t="s">
        <v>78</v>
      </c>
      <c r="AH27" s="58" t="s">
        <v>510</v>
      </c>
      <c r="AI27" s="58" t="s">
        <v>179</v>
      </c>
    </row>
    <row r="28" ht="22.5" customHeight="1">
      <c r="A28" s="56" t="s">
        <v>511</v>
      </c>
      <c r="B28" s="57">
        <v>46057.395249849535</v>
      </c>
      <c r="C28" s="58" t="s">
        <v>514</v>
      </c>
      <c r="D28" s="58" t="s">
        <v>208</v>
      </c>
      <c r="E28" s="58" t="s">
        <v>68</v>
      </c>
      <c r="F28" s="58" t="s">
        <v>515</v>
      </c>
      <c r="G28" s="58" t="s">
        <v>516</v>
      </c>
      <c r="H28" s="63">
        <v>46057.0</v>
      </c>
      <c r="I28" s="67">
        <v>0.4375</v>
      </c>
      <c r="J28" s="58" t="s">
        <v>121</v>
      </c>
      <c r="K28" s="72" t="s">
        <v>519</v>
      </c>
      <c r="S28" s="58">
        <v>4.0</v>
      </c>
      <c r="AC28" s="58" t="s">
        <v>121</v>
      </c>
      <c r="AD28" s="58" t="s">
        <v>90</v>
      </c>
      <c r="AE28" s="58" t="s">
        <v>522</v>
      </c>
      <c r="AH28" s="58" t="s">
        <v>523</v>
      </c>
      <c r="AI28" s="58" t="s">
        <v>179</v>
      </c>
    </row>
    <row r="29" ht="22.5" customHeight="1">
      <c r="A29" s="56" t="s">
        <v>526</v>
      </c>
      <c r="B29" s="57">
        <v>46057.448396168984</v>
      </c>
      <c r="C29" s="58" t="s">
        <v>66</v>
      </c>
      <c r="D29" s="58" t="s">
        <v>184</v>
      </c>
      <c r="E29" s="58" t="s">
        <v>99</v>
      </c>
      <c r="F29" s="58" t="s">
        <v>529</v>
      </c>
      <c r="G29" s="58" t="s">
        <v>530</v>
      </c>
      <c r="H29" s="63">
        <v>46057.0</v>
      </c>
      <c r="I29" s="67">
        <v>0.45833333333575865</v>
      </c>
      <c r="J29" s="58" t="s">
        <v>533</v>
      </c>
      <c r="K29" s="58" t="s">
        <v>120</v>
      </c>
      <c r="AA29" s="58" t="s">
        <v>535</v>
      </c>
      <c r="AC29" s="58" t="s">
        <v>158</v>
      </c>
      <c r="AD29" s="58" t="s">
        <v>78</v>
      </c>
      <c r="AI29" s="58" t="s">
        <v>179</v>
      </c>
    </row>
    <row r="30" ht="22.5" customHeight="1">
      <c r="A30" s="56" t="s">
        <v>539</v>
      </c>
      <c r="B30" s="57">
        <v>46058.73445650463</v>
      </c>
      <c r="C30" s="58" t="s">
        <v>514</v>
      </c>
      <c r="D30" s="58" t="s">
        <v>208</v>
      </c>
      <c r="E30" s="58" t="s">
        <v>99</v>
      </c>
      <c r="F30" s="58" t="s">
        <v>542</v>
      </c>
      <c r="G30" s="58" t="s">
        <v>543</v>
      </c>
      <c r="H30" s="63">
        <v>46060.0</v>
      </c>
      <c r="I30" s="67">
        <v>0.5416666666642413</v>
      </c>
      <c r="J30" s="58" t="s">
        <v>546</v>
      </c>
      <c r="K30" s="58" t="s">
        <v>547</v>
      </c>
      <c r="S30" s="58">
        <v>4.0</v>
      </c>
      <c r="U30" s="58">
        <v>1.0</v>
      </c>
      <c r="AC30" s="58" t="s">
        <v>121</v>
      </c>
      <c r="AD30" s="58" t="s">
        <v>90</v>
      </c>
      <c r="AE30" s="58" t="s">
        <v>550</v>
      </c>
      <c r="AI30" s="58" t="s">
        <v>179</v>
      </c>
    </row>
    <row r="31" ht="22.5" customHeight="1">
      <c r="A31" s="56" t="s">
        <v>551</v>
      </c>
      <c r="B31" s="57">
        <v>46059.71973118055</v>
      </c>
      <c r="C31" s="58" t="s">
        <v>514</v>
      </c>
      <c r="D31" s="58" t="s">
        <v>208</v>
      </c>
      <c r="E31" s="58" t="s">
        <v>99</v>
      </c>
      <c r="F31" s="58" t="s">
        <v>554</v>
      </c>
      <c r="G31" s="58" t="s">
        <v>557</v>
      </c>
      <c r="H31" s="63">
        <v>46060.0</v>
      </c>
      <c r="I31" s="67">
        <v>0.45833333333575865</v>
      </c>
      <c r="J31" s="58" t="s">
        <v>558</v>
      </c>
      <c r="K31" s="58" t="s">
        <v>559</v>
      </c>
      <c r="S31" s="58">
        <v>4.0</v>
      </c>
      <c r="U31" s="58">
        <v>1.0</v>
      </c>
      <c r="AC31" s="58" t="s">
        <v>121</v>
      </c>
      <c r="AD31" s="58" t="s">
        <v>90</v>
      </c>
      <c r="AE31" s="58" t="s">
        <v>562</v>
      </c>
      <c r="AI31" s="58" t="s">
        <v>179</v>
      </c>
    </row>
    <row r="32" ht="22.5" customHeight="1">
      <c r="A32" s="56" t="s">
        <v>563</v>
      </c>
      <c r="B32" s="57">
        <v>46063.45700863426</v>
      </c>
      <c r="C32" s="58" t="s">
        <v>354</v>
      </c>
      <c r="D32" s="58" t="s">
        <v>566</v>
      </c>
      <c r="E32" s="58" t="s">
        <v>99</v>
      </c>
      <c r="F32" s="58" t="s">
        <v>567</v>
      </c>
      <c r="G32" s="58" t="s">
        <v>570</v>
      </c>
      <c r="H32" s="63">
        <v>46065.0</v>
      </c>
      <c r="I32" s="67">
        <v>0.5833333333357587</v>
      </c>
      <c r="J32" s="58" t="s">
        <v>573</v>
      </c>
      <c r="K32" s="58" t="s">
        <v>574</v>
      </c>
      <c r="O32" s="58">
        <v>1.0</v>
      </c>
      <c r="P32" s="58">
        <v>1.0</v>
      </c>
      <c r="S32" s="58">
        <v>4.0</v>
      </c>
      <c r="T32" s="58">
        <v>2.0</v>
      </c>
      <c r="AC32" s="58" t="s">
        <v>155</v>
      </c>
      <c r="AD32" s="58" t="s">
        <v>366</v>
      </c>
      <c r="AH32" s="58" t="s">
        <v>579</v>
      </c>
      <c r="AI32" s="58" t="s">
        <v>179</v>
      </c>
    </row>
    <row r="33" ht="22.5" customHeight="1">
      <c r="A33" s="56" t="s">
        <v>580</v>
      </c>
      <c r="B33" s="57">
        <v>46063.45910583333</v>
      </c>
      <c r="C33" s="58" t="s">
        <v>354</v>
      </c>
      <c r="D33" s="58" t="s">
        <v>566</v>
      </c>
      <c r="E33" s="58" t="s">
        <v>99</v>
      </c>
      <c r="F33" s="58" t="s">
        <v>585</v>
      </c>
      <c r="G33" s="58" t="s">
        <v>585</v>
      </c>
      <c r="H33" s="63">
        <v>46065.0</v>
      </c>
      <c r="I33" s="67">
        <v>0.41666666666424135</v>
      </c>
      <c r="J33" s="58" t="s">
        <v>588</v>
      </c>
      <c r="K33" s="58" t="s">
        <v>589</v>
      </c>
      <c r="O33" s="58">
        <v>5.0</v>
      </c>
      <c r="P33" s="58">
        <v>5.0</v>
      </c>
      <c r="S33" s="58">
        <v>20.0</v>
      </c>
      <c r="T33" s="58">
        <v>10.0</v>
      </c>
      <c r="AC33" s="58" t="s">
        <v>155</v>
      </c>
      <c r="AD33" s="58" t="s">
        <v>366</v>
      </c>
      <c r="AH33" s="58" t="s">
        <v>592</v>
      </c>
      <c r="AI33" s="58" t="s">
        <v>179</v>
      </c>
    </row>
    <row r="34" ht="22.5" customHeight="1">
      <c r="A34" s="56" t="s">
        <v>595</v>
      </c>
      <c r="B34" s="57">
        <v>46064.745201875005</v>
      </c>
      <c r="C34" s="58" t="s">
        <v>514</v>
      </c>
      <c r="D34" s="58" t="s">
        <v>355</v>
      </c>
      <c r="E34" s="58" t="s">
        <v>99</v>
      </c>
      <c r="F34" s="58" t="s">
        <v>598</v>
      </c>
      <c r="G34" s="58" t="s">
        <v>599</v>
      </c>
      <c r="H34" s="63">
        <v>46065.0</v>
      </c>
      <c r="I34" s="67">
        <v>0.6041666666642413</v>
      </c>
      <c r="J34" s="58" t="s">
        <v>602</v>
      </c>
      <c r="K34" s="58" t="s">
        <v>603</v>
      </c>
      <c r="S34" s="58">
        <v>4.0</v>
      </c>
      <c r="U34" s="58">
        <v>1.0</v>
      </c>
      <c r="AC34" s="58" t="s">
        <v>121</v>
      </c>
      <c r="AD34" s="58" t="s">
        <v>90</v>
      </c>
      <c r="AI34" s="58" t="s">
        <v>179</v>
      </c>
    </row>
    <row r="35" ht="22.5" customHeight="1">
      <c r="A35" s="56" t="s">
        <v>608</v>
      </c>
      <c r="B35" s="57">
        <v>46065.413176064816</v>
      </c>
      <c r="C35" s="58" t="s">
        <v>183</v>
      </c>
      <c r="D35" s="58" t="s">
        <v>208</v>
      </c>
      <c r="E35" s="58" t="s">
        <v>209</v>
      </c>
      <c r="F35" s="58" t="s">
        <v>611</v>
      </c>
      <c r="G35" s="58" t="s">
        <v>612</v>
      </c>
      <c r="H35" s="63">
        <v>46062.0</v>
      </c>
      <c r="I35" s="67">
        <v>0.45833333333575865</v>
      </c>
      <c r="J35" s="58" t="s">
        <v>611</v>
      </c>
      <c r="K35" s="72" t="s">
        <v>615</v>
      </c>
      <c r="AA35" s="58" t="s">
        <v>616</v>
      </c>
      <c r="AC35" s="58" t="s">
        <v>421</v>
      </c>
      <c r="AD35" s="58" t="s">
        <v>200</v>
      </c>
      <c r="AE35" s="58" t="s">
        <v>619</v>
      </c>
      <c r="AI35" s="58" t="s">
        <v>179</v>
      </c>
    </row>
    <row r="36" ht="22.5" customHeight="1">
      <c r="A36" s="56" t="s">
        <v>620</v>
      </c>
      <c r="B36" s="57">
        <v>46065.598225787035</v>
      </c>
      <c r="C36" s="58" t="s">
        <v>623</v>
      </c>
      <c r="D36" s="58" t="s">
        <v>208</v>
      </c>
      <c r="E36" s="58" t="s">
        <v>68</v>
      </c>
      <c r="F36" s="58" t="s">
        <v>624</v>
      </c>
      <c r="G36" s="58" t="s">
        <v>627</v>
      </c>
      <c r="H36" s="63">
        <v>46065.0</v>
      </c>
      <c r="I36" s="67">
        <v>0.6041666666642413</v>
      </c>
      <c r="J36" s="58" t="s">
        <v>87</v>
      </c>
      <c r="K36" s="72" t="s">
        <v>88</v>
      </c>
      <c r="AC36" s="58" t="s">
        <v>87</v>
      </c>
      <c r="AD36" s="58" t="s">
        <v>90</v>
      </c>
      <c r="AE36" s="58" t="s">
        <v>630</v>
      </c>
      <c r="AI36" s="58" t="s">
        <v>179</v>
      </c>
    </row>
    <row r="37" ht="22.5" customHeight="1">
      <c r="A37" s="56" t="s">
        <v>631</v>
      </c>
      <c r="B37" s="57">
        <v>46065.61006890047</v>
      </c>
      <c r="C37" s="58" t="s">
        <v>354</v>
      </c>
      <c r="D37" s="58" t="s">
        <v>83</v>
      </c>
      <c r="E37" s="58" t="s">
        <v>99</v>
      </c>
      <c r="F37" s="58" t="s">
        <v>636</v>
      </c>
      <c r="G37" s="58" t="s">
        <v>637</v>
      </c>
      <c r="H37" s="63">
        <v>46066.0</v>
      </c>
      <c r="I37" s="67">
        <v>0.41666666666424135</v>
      </c>
      <c r="J37" s="58" t="s">
        <v>638</v>
      </c>
      <c r="K37" s="72" t="s">
        <v>639</v>
      </c>
      <c r="Q37" s="58">
        <v>1.0</v>
      </c>
      <c r="S37" s="58">
        <v>2.0</v>
      </c>
      <c r="T37" s="58">
        <v>1.0</v>
      </c>
      <c r="AC37" s="58" t="s">
        <v>155</v>
      </c>
      <c r="AD37" s="58" t="s">
        <v>366</v>
      </c>
      <c r="AH37" s="58" t="s">
        <v>644</v>
      </c>
      <c r="AI37" s="58" t="s">
        <v>179</v>
      </c>
    </row>
    <row r="38" ht="22.5" customHeight="1">
      <c r="A38" s="56" t="s">
        <v>645</v>
      </c>
      <c r="B38" s="57">
        <v>46065.72483561342</v>
      </c>
      <c r="C38" s="58" t="s">
        <v>354</v>
      </c>
      <c r="D38" s="58" t="s">
        <v>566</v>
      </c>
      <c r="E38" s="58" t="s">
        <v>99</v>
      </c>
      <c r="F38" s="58" t="s">
        <v>648</v>
      </c>
      <c r="G38" s="58" t="s">
        <v>650</v>
      </c>
      <c r="H38" s="63">
        <v>46069.0</v>
      </c>
      <c r="I38" s="67">
        <v>0.5416666666642413</v>
      </c>
      <c r="J38" s="58" t="s">
        <v>652</v>
      </c>
      <c r="K38" s="72" t="s">
        <v>654</v>
      </c>
      <c r="O38" s="58">
        <v>3.0</v>
      </c>
      <c r="P38" s="58">
        <v>2.0</v>
      </c>
      <c r="S38" s="58">
        <v>10.0</v>
      </c>
      <c r="T38" s="58">
        <v>5.0</v>
      </c>
      <c r="AC38" s="58" t="s">
        <v>155</v>
      </c>
      <c r="AD38" s="58" t="s">
        <v>366</v>
      </c>
      <c r="AI38" s="58" t="s">
        <v>179</v>
      </c>
    </row>
    <row r="39" ht="22.5" customHeight="1">
      <c r="A39" s="56" t="s">
        <v>660</v>
      </c>
      <c r="B39" s="57">
        <v>46067.38517005787</v>
      </c>
      <c r="C39" s="58" t="s">
        <v>514</v>
      </c>
      <c r="D39" s="58" t="s">
        <v>208</v>
      </c>
      <c r="E39" s="58" t="s">
        <v>68</v>
      </c>
      <c r="F39" s="58" t="s">
        <v>663</v>
      </c>
      <c r="G39" s="58" t="s">
        <v>664</v>
      </c>
      <c r="H39" s="63">
        <v>46080.0</v>
      </c>
      <c r="I39" s="67">
        <v>0.4166666666666667</v>
      </c>
      <c r="J39" s="58" t="s">
        <v>667</v>
      </c>
      <c r="K39" s="58" t="s">
        <v>668</v>
      </c>
      <c r="S39" s="58">
        <v>4.0</v>
      </c>
      <c r="U39" s="58">
        <v>1.0</v>
      </c>
      <c r="AC39" s="58" t="s">
        <v>121</v>
      </c>
      <c r="AD39" s="58" t="s">
        <v>90</v>
      </c>
      <c r="AE39" s="58" t="s">
        <v>671</v>
      </c>
      <c r="AI39" s="58" t="s">
        <v>179</v>
      </c>
    </row>
    <row r="40" ht="22.5" customHeight="1">
      <c r="A40" s="56" t="s">
        <v>674</v>
      </c>
      <c r="B40" s="57">
        <v>46069.43540592593</v>
      </c>
      <c r="C40" s="58" t="s">
        <v>354</v>
      </c>
      <c r="D40" s="58" t="s">
        <v>83</v>
      </c>
      <c r="E40" s="58" t="s">
        <v>99</v>
      </c>
      <c r="F40" s="58" t="s">
        <v>677</v>
      </c>
      <c r="G40" s="58" t="s">
        <v>678</v>
      </c>
      <c r="H40" s="63">
        <v>46071.0</v>
      </c>
      <c r="I40" s="67">
        <v>0.625</v>
      </c>
      <c r="J40" s="58" t="s">
        <v>681</v>
      </c>
      <c r="K40" s="58" t="s">
        <v>682</v>
      </c>
      <c r="P40" s="58">
        <v>2.0</v>
      </c>
      <c r="S40" s="58">
        <v>4.0</v>
      </c>
      <c r="T40" s="58">
        <v>2.0</v>
      </c>
      <c r="AC40" s="58" t="s">
        <v>155</v>
      </c>
      <c r="AD40" s="58" t="s">
        <v>366</v>
      </c>
      <c r="AI40" s="58" t="s">
        <v>179</v>
      </c>
    </row>
    <row r="41" ht="22.5" customHeight="1">
      <c r="A41" s="56" t="s">
        <v>687</v>
      </c>
      <c r="B41" s="57">
        <v>46070.379390381946</v>
      </c>
      <c r="C41" s="58" t="s">
        <v>354</v>
      </c>
      <c r="D41" s="58" t="s">
        <v>83</v>
      </c>
      <c r="E41" s="58" t="s">
        <v>99</v>
      </c>
      <c r="F41" s="58" t="s">
        <v>690</v>
      </c>
      <c r="G41" s="58" t="s">
        <v>691</v>
      </c>
      <c r="H41" s="63">
        <v>46071.0</v>
      </c>
      <c r="I41" s="67">
        <v>0.5416666666642413</v>
      </c>
      <c r="J41" s="58" t="s">
        <v>147</v>
      </c>
      <c r="K41" s="72" t="s">
        <v>374</v>
      </c>
      <c r="Q41" s="58">
        <v>2.0</v>
      </c>
      <c r="S41" s="58">
        <v>4.0</v>
      </c>
      <c r="T41" s="58">
        <v>1.0</v>
      </c>
      <c r="AC41" s="58" t="s">
        <v>155</v>
      </c>
      <c r="AD41" s="58" t="s">
        <v>366</v>
      </c>
      <c r="AI41" s="58" t="s">
        <v>179</v>
      </c>
    </row>
    <row r="42" ht="22.5" customHeight="1">
      <c r="A42" s="56" t="s">
        <v>698</v>
      </c>
      <c r="B42" s="57">
        <v>46070.38070587963</v>
      </c>
      <c r="C42" s="58" t="s">
        <v>354</v>
      </c>
      <c r="D42" s="58" t="s">
        <v>83</v>
      </c>
      <c r="E42" s="58" t="s">
        <v>68</v>
      </c>
      <c r="F42" s="58" t="s">
        <v>701</v>
      </c>
      <c r="G42" s="58" t="s">
        <v>702</v>
      </c>
      <c r="H42" s="63">
        <v>46093.0</v>
      </c>
      <c r="I42" s="67">
        <v>0.5625</v>
      </c>
      <c r="J42" s="58" t="s">
        <v>705</v>
      </c>
      <c r="K42" s="72" t="s">
        <v>707</v>
      </c>
      <c r="Q42" s="58">
        <v>1.0</v>
      </c>
      <c r="S42" s="58">
        <v>2.0</v>
      </c>
      <c r="T42" s="58">
        <v>1.0</v>
      </c>
      <c r="AC42" s="58" t="s">
        <v>155</v>
      </c>
      <c r="AD42" s="58" t="s">
        <v>366</v>
      </c>
      <c r="AH42" s="58" t="s">
        <v>711</v>
      </c>
      <c r="AI42" s="58" t="s">
        <v>179</v>
      </c>
    </row>
    <row r="43" ht="22.5" customHeight="1">
      <c r="A43" s="56" t="s">
        <v>714</v>
      </c>
      <c r="B43" s="57">
        <v>46070.38220666666</v>
      </c>
      <c r="C43" s="58" t="s">
        <v>354</v>
      </c>
      <c r="D43" s="58" t="s">
        <v>355</v>
      </c>
      <c r="E43" s="58" t="s">
        <v>99</v>
      </c>
      <c r="F43" s="58" t="s">
        <v>717</v>
      </c>
      <c r="G43" s="58" t="s">
        <v>720</v>
      </c>
      <c r="H43" s="63">
        <v>46071.0</v>
      </c>
      <c r="I43" s="67">
        <v>0.625</v>
      </c>
      <c r="J43" s="58" t="s">
        <v>721</v>
      </c>
      <c r="K43" s="72" t="s">
        <v>142</v>
      </c>
      <c r="L43" s="58">
        <v>10.0</v>
      </c>
      <c r="S43" s="58">
        <v>20.0</v>
      </c>
      <c r="T43" s="58">
        <v>10.0</v>
      </c>
      <c r="AC43" s="58" t="s">
        <v>155</v>
      </c>
      <c r="AD43" s="58" t="s">
        <v>366</v>
      </c>
      <c r="AI43" s="58" t="s">
        <v>179</v>
      </c>
    </row>
    <row r="44" ht="22.5" customHeight="1">
      <c r="A44" s="56" t="s">
        <v>728</v>
      </c>
      <c r="B44" s="57">
        <v>46071.63057695601</v>
      </c>
      <c r="C44" s="58" t="s">
        <v>442</v>
      </c>
      <c r="D44" s="58" t="s">
        <v>67</v>
      </c>
      <c r="E44" s="58" t="s">
        <v>68</v>
      </c>
      <c r="F44" s="58" t="s">
        <v>147</v>
      </c>
      <c r="G44" s="58" t="s">
        <v>732</v>
      </c>
      <c r="H44" s="63">
        <v>46072.0</v>
      </c>
      <c r="I44" s="67">
        <v>0.375</v>
      </c>
      <c r="J44" s="58" t="s">
        <v>147</v>
      </c>
      <c r="K44" s="72" t="s">
        <v>374</v>
      </c>
      <c r="R44" s="58">
        <v>1.0</v>
      </c>
      <c r="S44" s="58">
        <v>2.0</v>
      </c>
      <c r="T44" s="58">
        <v>1.0</v>
      </c>
      <c r="AC44" s="58" t="s">
        <v>129</v>
      </c>
      <c r="AD44" s="58" t="s">
        <v>451</v>
      </c>
      <c r="AE44" s="58" t="s">
        <v>738</v>
      </c>
      <c r="AH44" s="58" t="s">
        <v>741</v>
      </c>
      <c r="AI44" s="58" t="s">
        <v>179</v>
      </c>
    </row>
    <row r="45" ht="22.5" customHeight="1">
      <c r="A45" s="56" t="s">
        <v>742</v>
      </c>
      <c r="B45" s="57">
        <v>46072.41310858796</v>
      </c>
      <c r="C45" s="58" t="s">
        <v>514</v>
      </c>
      <c r="D45" s="58" t="s">
        <v>208</v>
      </c>
      <c r="E45" s="58" t="s">
        <v>68</v>
      </c>
      <c r="F45" s="58" t="s">
        <v>745</v>
      </c>
      <c r="G45" s="58" t="s">
        <v>747</v>
      </c>
      <c r="H45" s="63">
        <v>46072.0</v>
      </c>
      <c r="I45" s="67">
        <v>0.45833333333575865</v>
      </c>
      <c r="J45" s="58" t="s">
        <v>667</v>
      </c>
      <c r="K45" s="58" t="s">
        <v>668</v>
      </c>
      <c r="S45" s="58">
        <v>4.0</v>
      </c>
      <c r="U45" s="58">
        <v>1.0</v>
      </c>
      <c r="AC45" s="58" t="s">
        <v>121</v>
      </c>
      <c r="AD45" s="58" t="s">
        <v>90</v>
      </c>
      <c r="AI45" s="58" t="s">
        <v>179</v>
      </c>
    </row>
    <row r="46" ht="22.5" customHeight="1">
      <c r="A46" s="56" t="s">
        <v>753</v>
      </c>
      <c r="B46" s="57">
        <v>46072.415651469906</v>
      </c>
      <c r="C46" s="58" t="s">
        <v>514</v>
      </c>
      <c r="D46" s="58" t="s">
        <v>208</v>
      </c>
      <c r="E46" s="58" t="s">
        <v>68</v>
      </c>
      <c r="F46" s="58" t="s">
        <v>598</v>
      </c>
      <c r="G46" s="58" t="s">
        <v>758</v>
      </c>
      <c r="H46" s="63">
        <v>46072.0</v>
      </c>
      <c r="I46" s="67">
        <v>0.45833333333575865</v>
      </c>
      <c r="J46" s="58" t="s">
        <v>667</v>
      </c>
      <c r="K46" s="58" t="s">
        <v>668</v>
      </c>
      <c r="S46" s="58">
        <v>4.0</v>
      </c>
      <c r="U46" s="58">
        <v>1.0</v>
      </c>
      <c r="AC46" s="58" t="s">
        <v>121</v>
      </c>
      <c r="AD46" s="58" t="s">
        <v>90</v>
      </c>
      <c r="AI46" s="58" t="s">
        <v>763</v>
      </c>
    </row>
    <row r="47" ht="22.5" customHeight="1">
      <c r="A47" s="56" t="s">
        <v>764</v>
      </c>
      <c r="B47" s="57">
        <v>46072.41675866898</v>
      </c>
      <c r="C47" s="58" t="s">
        <v>514</v>
      </c>
      <c r="D47" s="58" t="s">
        <v>208</v>
      </c>
      <c r="E47" s="58" t="s">
        <v>68</v>
      </c>
      <c r="F47" s="58" t="s">
        <v>767</v>
      </c>
      <c r="G47" s="58" t="s">
        <v>770</v>
      </c>
      <c r="H47" s="63">
        <v>46080.0</v>
      </c>
      <c r="I47" s="67">
        <v>0.4166666666666667</v>
      </c>
      <c r="J47" s="58" t="s">
        <v>667</v>
      </c>
      <c r="K47" s="58" t="s">
        <v>668</v>
      </c>
      <c r="S47" s="58">
        <v>4.0</v>
      </c>
      <c r="U47" s="58">
        <v>1.0</v>
      </c>
      <c r="AC47" s="58" t="s">
        <v>121</v>
      </c>
      <c r="AD47" s="58" t="s">
        <v>90</v>
      </c>
      <c r="AI47" s="58" t="s">
        <v>179</v>
      </c>
    </row>
    <row r="48" ht="22.5" customHeight="1">
      <c r="A48" s="56" t="s">
        <v>787</v>
      </c>
      <c r="B48" s="57">
        <v>46072.705683657405</v>
      </c>
      <c r="C48" s="58" t="s">
        <v>514</v>
      </c>
      <c r="D48" s="58" t="s">
        <v>208</v>
      </c>
      <c r="E48" s="58" t="s">
        <v>99</v>
      </c>
      <c r="F48" s="58" t="s">
        <v>745</v>
      </c>
      <c r="G48" s="58" t="s">
        <v>796</v>
      </c>
      <c r="H48" s="63">
        <v>46073.0</v>
      </c>
      <c r="I48" s="67">
        <v>0.4375</v>
      </c>
      <c r="J48" s="58" t="s">
        <v>803</v>
      </c>
      <c r="K48" s="58" t="s">
        <v>603</v>
      </c>
      <c r="S48" s="58">
        <v>4.0</v>
      </c>
      <c r="U48" s="58">
        <v>1.0</v>
      </c>
      <c r="AC48" s="58" t="s">
        <v>121</v>
      </c>
      <c r="AD48" s="58" t="s">
        <v>90</v>
      </c>
      <c r="AI48" s="58" t="s">
        <v>179</v>
      </c>
    </row>
    <row r="49" ht="22.5" customHeight="1">
      <c r="A49" s="56" t="s">
        <v>812</v>
      </c>
      <c r="B49" s="57">
        <v>46074.570437766204</v>
      </c>
      <c r="C49" s="58" t="s">
        <v>183</v>
      </c>
      <c r="D49" s="58" t="s">
        <v>208</v>
      </c>
      <c r="E49" s="58" t="s">
        <v>209</v>
      </c>
      <c r="F49" s="58" t="s">
        <v>819</v>
      </c>
      <c r="G49" s="58" t="s">
        <v>820</v>
      </c>
      <c r="H49" s="63">
        <v>46074.0</v>
      </c>
      <c r="I49" s="67">
        <v>0.45833333333575865</v>
      </c>
      <c r="J49" s="58" t="s">
        <v>421</v>
      </c>
      <c r="K49" s="72" t="s">
        <v>275</v>
      </c>
      <c r="AA49" s="58" t="s">
        <v>827</v>
      </c>
      <c r="AC49" s="58" t="s">
        <v>421</v>
      </c>
      <c r="AD49" s="58" t="s">
        <v>200</v>
      </c>
      <c r="AE49" s="58" t="s">
        <v>832</v>
      </c>
      <c r="AI49" s="58" t="s">
        <v>179</v>
      </c>
    </row>
    <row r="50" ht="22.5" customHeight="1">
      <c r="A50" s="56" t="s">
        <v>835</v>
      </c>
      <c r="B50" s="57">
        <v>46076.640491122685</v>
      </c>
      <c r="C50" s="58" t="s">
        <v>623</v>
      </c>
      <c r="D50" s="58" t="s">
        <v>208</v>
      </c>
      <c r="E50" s="58" t="s">
        <v>68</v>
      </c>
      <c r="F50" s="58" t="s">
        <v>842</v>
      </c>
      <c r="G50" s="58" t="s">
        <v>843</v>
      </c>
      <c r="H50" s="63">
        <v>46076.0</v>
      </c>
      <c r="I50" s="67">
        <v>0.6666666666642413</v>
      </c>
      <c r="J50" s="58" t="s">
        <v>87</v>
      </c>
      <c r="K50" s="72" t="s">
        <v>88</v>
      </c>
      <c r="S50" s="58">
        <v>1.0</v>
      </c>
      <c r="AC50" s="58" t="s">
        <v>87</v>
      </c>
      <c r="AD50" s="58" t="s">
        <v>90</v>
      </c>
      <c r="AE50" s="58" t="s">
        <v>854</v>
      </c>
      <c r="AI50" s="58" t="s">
        <v>179</v>
      </c>
    </row>
    <row r="51" ht="22.5" customHeight="1">
      <c r="A51" s="56" t="s">
        <v>857</v>
      </c>
      <c r="B51" s="57">
        <v>46077.626194247685</v>
      </c>
      <c r="C51" s="58" t="s">
        <v>207</v>
      </c>
      <c r="D51" s="58" t="s">
        <v>208</v>
      </c>
      <c r="E51" s="58" t="s">
        <v>99</v>
      </c>
      <c r="F51" s="58" t="s">
        <v>864</v>
      </c>
      <c r="G51" s="58" t="s">
        <v>866</v>
      </c>
      <c r="H51" s="63">
        <v>46078.0</v>
      </c>
      <c r="I51" s="67">
        <v>0.625</v>
      </c>
      <c r="J51" s="58" t="s">
        <v>870</v>
      </c>
      <c r="K51" s="58" t="s">
        <v>873</v>
      </c>
      <c r="S51" s="58">
        <v>20.0</v>
      </c>
      <c r="AC51" s="58" t="s">
        <v>137</v>
      </c>
      <c r="AD51" s="58" t="s">
        <v>200</v>
      </c>
      <c r="AE51" s="58" t="s">
        <v>878</v>
      </c>
      <c r="AH51" s="58" t="s">
        <v>879</v>
      </c>
      <c r="AI51" s="58" t="s">
        <v>179</v>
      </c>
    </row>
    <row r="52" ht="22.5" customHeight="1">
      <c r="A52" s="56" t="s">
        <v>882</v>
      </c>
      <c r="B52" s="57">
        <v>46077.62741494213</v>
      </c>
      <c r="C52" s="58" t="s">
        <v>623</v>
      </c>
      <c r="D52" s="58" t="s">
        <v>208</v>
      </c>
      <c r="E52" s="58" t="s">
        <v>68</v>
      </c>
      <c r="F52" s="58" t="s">
        <v>889</v>
      </c>
      <c r="G52" s="58" t="s">
        <v>890</v>
      </c>
      <c r="H52" s="63">
        <v>46077.0</v>
      </c>
      <c r="I52" s="67">
        <v>0.6458333333357587</v>
      </c>
      <c r="J52" s="58" t="s">
        <v>87</v>
      </c>
      <c r="K52" s="72" t="s">
        <v>88</v>
      </c>
      <c r="S52" s="58">
        <v>2.0</v>
      </c>
      <c r="AC52" s="58" t="s">
        <v>87</v>
      </c>
      <c r="AD52" s="58" t="s">
        <v>90</v>
      </c>
      <c r="AE52" s="58" t="s">
        <v>854</v>
      </c>
      <c r="AI52" s="58" t="s">
        <v>179</v>
      </c>
    </row>
    <row r="53" ht="22.5" customHeight="1">
      <c r="A53" s="56" t="s">
        <v>901</v>
      </c>
      <c r="B53" s="57">
        <v>46078.738235833334</v>
      </c>
      <c r="C53" s="58" t="s">
        <v>81</v>
      </c>
      <c r="D53" s="58" t="s">
        <v>184</v>
      </c>
      <c r="E53" s="58" t="s">
        <v>99</v>
      </c>
      <c r="F53" s="58" t="s">
        <v>889</v>
      </c>
      <c r="G53" s="58" t="s">
        <v>906</v>
      </c>
      <c r="H53" s="63">
        <v>46080.0</v>
      </c>
      <c r="I53" s="67">
        <v>0.5416666666642413</v>
      </c>
      <c r="J53" s="58" t="s">
        <v>112</v>
      </c>
      <c r="K53" s="72" t="s">
        <v>344</v>
      </c>
      <c r="U53" s="58">
        <v>1.0</v>
      </c>
      <c r="AC53" s="58" t="s">
        <v>112</v>
      </c>
      <c r="AD53" s="58" t="s">
        <v>90</v>
      </c>
      <c r="AE53" s="58" t="s">
        <v>120</v>
      </c>
      <c r="AI53" s="58" t="s">
        <v>179</v>
      </c>
    </row>
    <row r="54" ht="22.5" customHeight="1">
      <c r="A54" s="56" t="s">
        <v>915</v>
      </c>
      <c r="B54" s="57">
        <v>46079.41501306713</v>
      </c>
      <c r="C54" s="58" t="s">
        <v>183</v>
      </c>
      <c r="D54" s="58" t="s">
        <v>208</v>
      </c>
      <c r="E54" s="58" t="s">
        <v>209</v>
      </c>
      <c r="F54" s="58" t="s">
        <v>920</v>
      </c>
      <c r="G54" s="58" t="s">
        <v>820</v>
      </c>
      <c r="H54" s="63">
        <v>46079.0</v>
      </c>
      <c r="I54" s="67">
        <v>0.45833333333575865</v>
      </c>
      <c r="J54" s="58" t="s">
        <v>421</v>
      </c>
      <c r="K54" s="72" t="s">
        <v>275</v>
      </c>
      <c r="AA54" s="58" t="s">
        <v>929</v>
      </c>
      <c r="AC54" s="58" t="s">
        <v>421</v>
      </c>
      <c r="AD54" s="58" t="s">
        <v>200</v>
      </c>
      <c r="AE54" s="58" t="s">
        <v>936</v>
      </c>
      <c r="AH54" s="58" t="s">
        <v>937</v>
      </c>
      <c r="AI54" s="58" t="s">
        <v>179</v>
      </c>
    </row>
    <row r="55" ht="22.5" customHeight="1">
      <c r="A55" s="56" t="s">
        <v>942</v>
      </c>
      <c r="B55" s="57">
        <v>46079.61889791666</v>
      </c>
      <c r="C55" s="58" t="s">
        <v>81</v>
      </c>
      <c r="D55" s="58" t="s">
        <v>184</v>
      </c>
      <c r="E55" s="58" t="s">
        <v>99</v>
      </c>
      <c r="F55" s="58" t="s">
        <v>947</v>
      </c>
      <c r="G55" s="58" t="s">
        <v>949</v>
      </c>
      <c r="H55" s="63">
        <v>46080.0</v>
      </c>
      <c r="I55" s="67">
        <v>0.5416666666642413</v>
      </c>
      <c r="J55" s="58" t="s">
        <v>112</v>
      </c>
      <c r="K55" s="72" t="s">
        <v>344</v>
      </c>
      <c r="S55" s="58">
        <v>1.0</v>
      </c>
      <c r="AC55" s="58" t="s">
        <v>112</v>
      </c>
      <c r="AD55" s="58" t="s">
        <v>90</v>
      </c>
      <c r="AG55" s="58" t="s">
        <v>955</v>
      </c>
      <c r="AH55" s="58" t="s">
        <v>955</v>
      </c>
      <c r="AI55" s="58" t="s">
        <v>179</v>
      </c>
    </row>
    <row r="56" ht="22.5" customHeight="1">
      <c r="A56" s="56" t="s">
        <v>958</v>
      </c>
      <c r="B56" s="57">
        <v>46079.62283127315</v>
      </c>
      <c r="C56" s="58" t="s">
        <v>183</v>
      </c>
      <c r="D56" s="58" t="s">
        <v>96</v>
      </c>
      <c r="E56" s="58" t="s">
        <v>209</v>
      </c>
      <c r="F56" s="58" t="s">
        <v>963</v>
      </c>
      <c r="G56" s="58" t="s">
        <v>964</v>
      </c>
      <c r="H56" s="63">
        <v>46080.0</v>
      </c>
      <c r="I56" s="67">
        <v>0.39583333333575865</v>
      </c>
      <c r="J56" s="58" t="s">
        <v>967</v>
      </c>
      <c r="K56" s="72" t="s">
        <v>275</v>
      </c>
      <c r="AA56" s="58" t="s">
        <v>970</v>
      </c>
      <c r="AC56" s="58" t="s">
        <v>421</v>
      </c>
      <c r="AD56" s="58" t="s">
        <v>200</v>
      </c>
      <c r="AH56" s="58" t="s">
        <v>973</v>
      </c>
      <c r="AI56" s="58" t="s">
        <v>179</v>
      </c>
    </row>
    <row r="57" ht="22.5" customHeight="1">
      <c r="A57" s="56" t="s">
        <v>974</v>
      </c>
      <c r="B57" s="57">
        <v>46079.733322361106</v>
      </c>
      <c r="C57" s="58" t="s">
        <v>442</v>
      </c>
      <c r="D57" s="58" t="s">
        <v>67</v>
      </c>
      <c r="E57" s="58" t="s">
        <v>68</v>
      </c>
      <c r="F57" s="58" t="s">
        <v>981</v>
      </c>
      <c r="G57" s="58" t="s">
        <v>982</v>
      </c>
      <c r="H57" s="63">
        <v>46081.0</v>
      </c>
      <c r="I57" s="67">
        <v>0.375</v>
      </c>
      <c r="J57" s="58" t="s">
        <v>987</v>
      </c>
      <c r="K57" s="58" t="s">
        <v>988</v>
      </c>
      <c r="O57" s="58">
        <v>1.0</v>
      </c>
      <c r="S57" s="58">
        <v>2.0</v>
      </c>
      <c r="AC57" s="58" t="s">
        <v>129</v>
      </c>
      <c r="AD57" s="58" t="s">
        <v>451</v>
      </c>
      <c r="AI57" s="58" t="s">
        <v>179</v>
      </c>
    </row>
    <row r="58" ht="22.5" customHeight="1">
      <c r="A58" s="56" t="s">
        <v>995</v>
      </c>
      <c r="B58" s="57">
        <v>46083.592307534724</v>
      </c>
      <c r="C58" s="58" t="s">
        <v>354</v>
      </c>
      <c r="D58" s="58" t="s">
        <v>83</v>
      </c>
      <c r="E58" s="58" t="s">
        <v>68</v>
      </c>
      <c r="F58" s="58" t="s">
        <v>1000</v>
      </c>
      <c r="G58" s="58" t="s">
        <v>1001</v>
      </c>
      <c r="H58" s="63">
        <v>46105.0</v>
      </c>
      <c r="I58" s="67">
        <v>0.5833333333357587</v>
      </c>
      <c r="J58" s="58" t="s">
        <v>1005</v>
      </c>
      <c r="K58" s="72" t="s">
        <v>1007</v>
      </c>
      <c r="N58" s="58">
        <v>1.0</v>
      </c>
      <c r="S58" s="58">
        <v>2.0</v>
      </c>
      <c r="T58" s="58">
        <v>1.0</v>
      </c>
      <c r="AC58" s="58" t="s">
        <v>155</v>
      </c>
      <c r="AD58" s="58" t="s">
        <v>150</v>
      </c>
      <c r="AI58" s="58" t="s">
        <v>179</v>
      </c>
    </row>
    <row r="59" ht="22.5" customHeight="1">
      <c r="A59" s="56" t="s">
        <v>1014</v>
      </c>
      <c r="B59" s="57">
        <v>46084.51158203704</v>
      </c>
      <c r="C59" s="58" t="s">
        <v>207</v>
      </c>
      <c r="D59" s="58" t="s">
        <v>208</v>
      </c>
      <c r="E59" s="58" t="s">
        <v>68</v>
      </c>
      <c r="F59" s="58" t="s">
        <v>1019</v>
      </c>
      <c r="G59" s="58" t="s">
        <v>1021</v>
      </c>
      <c r="H59" s="63">
        <v>46108.0</v>
      </c>
      <c r="I59" s="67">
        <v>0.375</v>
      </c>
      <c r="J59" s="58" t="s">
        <v>1019</v>
      </c>
      <c r="K59" s="72" t="s">
        <v>1025</v>
      </c>
      <c r="O59" s="58">
        <v>2.0</v>
      </c>
      <c r="S59" s="58">
        <v>4.0</v>
      </c>
      <c r="Y59" s="58">
        <v>2.0</v>
      </c>
      <c r="AC59" s="58" t="s">
        <v>1019</v>
      </c>
      <c r="AD59" s="58" t="s">
        <v>200</v>
      </c>
      <c r="AE59" s="58" t="s">
        <v>1030</v>
      </c>
      <c r="AH59" s="58" t="s">
        <v>1031</v>
      </c>
      <c r="AI59" s="58" t="s">
        <v>179</v>
      </c>
    </row>
    <row r="60" ht="22.5" customHeight="1">
      <c r="A60" s="56" t="s">
        <v>1034</v>
      </c>
      <c r="B60" s="57">
        <v>46085.39224806713</v>
      </c>
      <c r="C60" s="58" t="s">
        <v>354</v>
      </c>
      <c r="D60" s="58" t="s">
        <v>83</v>
      </c>
      <c r="E60" s="58" t="s">
        <v>99</v>
      </c>
      <c r="F60" s="58" t="s">
        <v>1037</v>
      </c>
      <c r="G60" s="58" t="s">
        <v>1039</v>
      </c>
      <c r="H60" s="63">
        <v>46087.0</v>
      </c>
      <c r="I60" s="67">
        <v>0.5416666666666666</v>
      </c>
      <c r="J60" s="58" t="s">
        <v>1043</v>
      </c>
      <c r="K60" s="72" t="s">
        <v>1044</v>
      </c>
      <c r="Q60" s="58">
        <v>1.0</v>
      </c>
      <c r="S60" s="58">
        <v>2.0</v>
      </c>
      <c r="T60" s="58">
        <v>1.0</v>
      </c>
      <c r="AC60" s="58" t="s">
        <v>155</v>
      </c>
      <c r="AD60" s="58" t="s">
        <v>150</v>
      </c>
      <c r="AE60" s="58" t="s">
        <v>1049</v>
      </c>
      <c r="AG60" s="58" t="s">
        <v>1050</v>
      </c>
      <c r="AI60" s="58" t="s">
        <v>179</v>
      </c>
    </row>
    <row r="61" ht="22.5" customHeight="1">
      <c r="A61" s="56" t="s">
        <v>1054</v>
      </c>
      <c r="B61" s="57">
        <v>46085.46220013889</v>
      </c>
      <c r="C61" s="58" t="s">
        <v>183</v>
      </c>
      <c r="D61" s="58" t="s">
        <v>355</v>
      </c>
      <c r="E61" s="58" t="s">
        <v>209</v>
      </c>
      <c r="F61" s="58" t="s">
        <v>1057</v>
      </c>
      <c r="G61" s="58" t="s">
        <v>820</v>
      </c>
      <c r="H61" s="63">
        <v>46085.0</v>
      </c>
      <c r="I61" s="67">
        <v>0.45833333333575865</v>
      </c>
      <c r="J61" s="58" t="s">
        <v>421</v>
      </c>
      <c r="K61" s="72" t="s">
        <v>275</v>
      </c>
      <c r="AA61" s="58" t="s">
        <v>1062</v>
      </c>
      <c r="AC61" s="58" t="s">
        <v>145</v>
      </c>
      <c r="AD61" s="58" t="s">
        <v>200</v>
      </c>
      <c r="AI61" s="58" t="s">
        <v>179</v>
      </c>
    </row>
    <row r="62" ht="22.5" customHeight="1">
      <c r="A62" s="56" t="s">
        <v>1065</v>
      </c>
      <c r="B62" s="57">
        <v>46086.43693672454</v>
      </c>
      <c r="C62" s="58" t="s">
        <v>514</v>
      </c>
      <c r="D62" s="58" t="s">
        <v>208</v>
      </c>
      <c r="E62" s="58" t="s">
        <v>68</v>
      </c>
      <c r="F62" s="58" t="s">
        <v>1070</v>
      </c>
      <c r="G62" s="58" t="s">
        <v>1071</v>
      </c>
      <c r="H62" s="63">
        <v>46088.0</v>
      </c>
      <c r="I62" s="67">
        <v>0.39583333333575865</v>
      </c>
      <c r="J62" s="58" t="s">
        <v>1075</v>
      </c>
      <c r="K62" s="58" t="s">
        <v>668</v>
      </c>
      <c r="S62" s="58">
        <v>4.0</v>
      </c>
      <c r="U62" s="58">
        <v>1.0</v>
      </c>
      <c r="AC62" s="58" t="s">
        <v>121</v>
      </c>
      <c r="AD62" s="58" t="s">
        <v>90</v>
      </c>
      <c r="AE62" s="58" t="s">
        <v>1082</v>
      </c>
      <c r="AI62" s="58" t="s">
        <v>179</v>
      </c>
    </row>
    <row r="63" ht="22.5" customHeight="1">
      <c r="A63" s="56" t="s">
        <v>1084</v>
      </c>
      <c r="B63" s="57">
        <v>46086.46334736111</v>
      </c>
      <c r="C63" s="58" t="s">
        <v>514</v>
      </c>
      <c r="D63" s="58" t="s">
        <v>208</v>
      </c>
      <c r="E63" s="58" t="s">
        <v>99</v>
      </c>
      <c r="F63" s="58" t="s">
        <v>1088</v>
      </c>
      <c r="G63" s="58" t="s">
        <v>1090</v>
      </c>
      <c r="H63" s="63">
        <v>46088.0</v>
      </c>
      <c r="I63" s="67">
        <v>0.41666666666424135</v>
      </c>
      <c r="J63" s="58" t="s">
        <v>1093</v>
      </c>
      <c r="K63" s="72" t="s">
        <v>1094</v>
      </c>
      <c r="S63" s="58">
        <v>4.0</v>
      </c>
      <c r="U63" s="58">
        <v>1.0</v>
      </c>
      <c r="AC63" s="58" t="s">
        <v>121</v>
      </c>
      <c r="AD63" s="58" t="s">
        <v>90</v>
      </c>
      <c r="AE63" s="58" t="s">
        <v>1101</v>
      </c>
      <c r="AI63" s="58" t="s">
        <v>763</v>
      </c>
    </row>
    <row r="64" ht="22.5" customHeight="1">
      <c r="A64" s="56" t="s">
        <v>1104</v>
      </c>
      <c r="B64" s="57">
        <v>46086.49412682871</v>
      </c>
      <c r="C64" s="58" t="s">
        <v>514</v>
      </c>
      <c r="D64" s="58" t="s">
        <v>208</v>
      </c>
      <c r="E64" s="58" t="s">
        <v>99</v>
      </c>
      <c r="F64" s="58" t="s">
        <v>1109</v>
      </c>
      <c r="G64" s="58" t="s">
        <v>1109</v>
      </c>
      <c r="H64" s="63">
        <v>46088.0</v>
      </c>
      <c r="I64" s="67">
        <v>0.41666666666424135</v>
      </c>
      <c r="J64" s="58" t="s">
        <v>1114</v>
      </c>
      <c r="K64" s="58" t="s">
        <v>1115</v>
      </c>
      <c r="S64" s="58">
        <v>4.0</v>
      </c>
      <c r="U64" s="58">
        <v>1.0</v>
      </c>
      <c r="AC64" s="58" t="s">
        <v>121</v>
      </c>
      <c r="AD64" s="58" t="s">
        <v>90</v>
      </c>
      <c r="AE64" s="58" t="s">
        <v>1101</v>
      </c>
      <c r="AI64" s="58" t="s">
        <v>763</v>
      </c>
    </row>
    <row r="65" ht="22.5" customHeight="1">
      <c r="A65" s="56" t="s">
        <v>1122</v>
      </c>
      <c r="B65" s="57">
        <v>46086.73502950231</v>
      </c>
      <c r="C65" s="58" t="s">
        <v>207</v>
      </c>
      <c r="D65" s="58" t="s">
        <v>184</v>
      </c>
      <c r="E65" s="58" t="s">
        <v>68</v>
      </c>
      <c r="F65" s="58" t="s">
        <v>1019</v>
      </c>
      <c r="G65" s="58" t="s">
        <v>732</v>
      </c>
      <c r="H65" s="63">
        <v>46086.0</v>
      </c>
      <c r="I65" s="67">
        <v>0.734027777776646</v>
      </c>
      <c r="J65" s="58" t="s">
        <v>1019</v>
      </c>
      <c r="K65" s="72" t="s">
        <v>1025</v>
      </c>
      <c r="AA65" s="58" t="s">
        <v>1129</v>
      </c>
      <c r="AC65" s="58" t="s">
        <v>1019</v>
      </c>
      <c r="AD65" s="58" t="s">
        <v>200</v>
      </c>
      <c r="AE65" s="58" t="s">
        <v>1019</v>
      </c>
      <c r="AI65" s="58" t="s">
        <v>179</v>
      </c>
    </row>
    <row r="66" ht="22.5" customHeight="1">
      <c r="A66" s="56" t="s">
        <v>1134</v>
      </c>
      <c r="B66" s="57">
        <v>46087.50414943287</v>
      </c>
      <c r="C66" s="58" t="s">
        <v>514</v>
      </c>
      <c r="D66" s="58" t="s">
        <v>1135</v>
      </c>
      <c r="E66" s="58" t="s">
        <v>99</v>
      </c>
      <c r="F66" s="58" t="s">
        <v>1138</v>
      </c>
      <c r="G66" s="58" t="s">
        <v>1141</v>
      </c>
      <c r="H66" s="63">
        <v>46150.0</v>
      </c>
      <c r="I66" s="67">
        <v>0.41666666666424135</v>
      </c>
      <c r="J66" s="58" t="s">
        <v>1144</v>
      </c>
      <c r="K66" s="58" t="s">
        <v>1145</v>
      </c>
      <c r="S66" s="58">
        <v>4.0</v>
      </c>
      <c r="U66" s="58">
        <v>1.0</v>
      </c>
      <c r="AC66" s="58" t="s">
        <v>121</v>
      </c>
      <c r="AD66" s="58" t="s">
        <v>90</v>
      </c>
      <c r="AE66" s="58" t="s">
        <v>1152</v>
      </c>
      <c r="AI66" s="58" t="s">
        <v>179</v>
      </c>
    </row>
    <row r="67" ht="22.5" customHeight="1">
      <c r="A67" s="56" t="s">
        <v>1153</v>
      </c>
      <c r="B67" s="57">
        <v>46087.50629424768</v>
      </c>
      <c r="C67" s="58" t="s">
        <v>514</v>
      </c>
      <c r="D67" s="58" t="s">
        <v>1135</v>
      </c>
      <c r="E67" s="58" t="s">
        <v>99</v>
      </c>
      <c r="F67" s="58" t="s">
        <v>1158</v>
      </c>
      <c r="G67" s="58" t="s">
        <v>1159</v>
      </c>
      <c r="H67" s="63">
        <v>46136.0</v>
      </c>
      <c r="I67" s="128">
        <v>0.4166666666666667</v>
      </c>
      <c r="J67" s="58" t="s">
        <v>1166</v>
      </c>
      <c r="K67" s="58" t="s">
        <v>1169</v>
      </c>
      <c r="S67" s="58">
        <v>4.0</v>
      </c>
      <c r="U67" s="58">
        <v>1.0</v>
      </c>
      <c r="AC67" s="58" t="s">
        <v>121</v>
      </c>
      <c r="AD67" s="58" t="s">
        <v>90</v>
      </c>
      <c r="AE67" s="58" t="s">
        <v>1101</v>
      </c>
      <c r="AI67" s="58" t="s">
        <v>179</v>
      </c>
    </row>
    <row r="68" ht="22.5" customHeight="1">
      <c r="A68" s="56" t="s">
        <v>1176</v>
      </c>
      <c r="B68" s="57">
        <v>46087.56615252315</v>
      </c>
      <c r="C68" s="58" t="s">
        <v>354</v>
      </c>
      <c r="D68" s="58" t="s">
        <v>83</v>
      </c>
      <c r="E68" s="58" t="s">
        <v>99</v>
      </c>
      <c r="F68" s="58" t="s">
        <v>1181</v>
      </c>
      <c r="G68" s="58" t="s">
        <v>1182</v>
      </c>
      <c r="H68" s="63">
        <v>46107.0</v>
      </c>
      <c r="I68" s="67">
        <v>0.25</v>
      </c>
      <c r="J68" s="58" t="s">
        <v>1187</v>
      </c>
      <c r="K68" s="72" t="s">
        <v>1188</v>
      </c>
      <c r="S68" s="58">
        <v>4.0</v>
      </c>
      <c r="U68" s="58">
        <v>1.0</v>
      </c>
      <c r="AC68" s="58" t="s">
        <v>155</v>
      </c>
      <c r="AD68" s="58" t="s">
        <v>150</v>
      </c>
      <c r="AI68" s="58" t="s">
        <v>179</v>
      </c>
    </row>
    <row r="69" ht="22.5" customHeight="1">
      <c r="A69" s="56" t="s">
        <v>1193</v>
      </c>
      <c r="B69" s="57">
        <v>46087.56787347222</v>
      </c>
      <c r="C69" s="58" t="s">
        <v>354</v>
      </c>
      <c r="D69" s="58" t="s">
        <v>83</v>
      </c>
      <c r="E69" s="58" t="s">
        <v>99</v>
      </c>
      <c r="F69" s="58" t="s">
        <v>1181</v>
      </c>
      <c r="G69" s="58" t="s">
        <v>1182</v>
      </c>
      <c r="H69" s="63">
        <v>46106.0</v>
      </c>
      <c r="I69" s="67">
        <v>0.625</v>
      </c>
      <c r="J69" s="58" t="s">
        <v>1187</v>
      </c>
      <c r="K69" s="72" t="s">
        <v>1188</v>
      </c>
      <c r="L69" s="58">
        <v>3.0</v>
      </c>
      <c r="N69" s="58">
        <v>2.0</v>
      </c>
      <c r="R69" s="58">
        <v>7.0</v>
      </c>
      <c r="S69" s="58">
        <v>24.0</v>
      </c>
      <c r="T69" s="58">
        <v>12.0</v>
      </c>
      <c r="AC69" s="58" t="s">
        <v>155</v>
      </c>
      <c r="AD69" s="58" t="s">
        <v>150</v>
      </c>
      <c r="AI69" s="58" t="s">
        <v>179</v>
      </c>
    </row>
    <row r="70" ht="22.5" customHeight="1">
      <c r="A70" s="56" t="s">
        <v>1206</v>
      </c>
      <c r="B70" s="57">
        <v>46090.44906925926</v>
      </c>
      <c r="C70" s="58" t="s">
        <v>207</v>
      </c>
      <c r="D70" s="58" t="s">
        <v>184</v>
      </c>
      <c r="E70" s="58" t="s">
        <v>68</v>
      </c>
      <c r="F70" s="58" t="s">
        <v>1019</v>
      </c>
      <c r="G70" s="58" t="s">
        <v>1209</v>
      </c>
      <c r="H70" s="63">
        <v>46108.0</v>
      </c>
      <c r="I70" s="67">
        <v>0.375</v>
      </c>
      <c r="J70" s="58" t="s">
        <v>1019</v>
      </c>
      <c r="K70" s="72" t="s">
        <v>1025</v>
      </c>
      <c r="S70" s="58">
        <v>8.0</v>
      </c>
      <c r="AC70" s="58" t="s">
        <v>1019</v>
      </c>
      <c r="AD70" s="58" t="s">
        <v>200</v>
      </c>
      <c r="AI70" s="58" t="s">
        <v>179</v>
      </c>
    </row>
    <row r="71" ht="22.5" customHeight="1">
      <c r="A71" s="56" t="s">
        <v>1216</v>
      </c>
      <c r="B71" s="57">
        <v>46091.54528052083</v>
      </c>
      <c r="C71" s="58" t="s">
        <v>354</v>
      </c>
      <c r="D71" s="58" t="s">
        <v>566</v>
      </c>
      <c r="E71" s="58" t="s">
        <v>99</v>
      </c>
      <c r="F71" s="58" t="s">
        <v>1221</v>
      </c>
      <c r="G71" s="58" t="s">
        <v>1222</v>
      </c>
      <c r="H71" s="63">
        <v>46094.0</v>
      </c>
      <c r="I71" s="67">
        <v>0.41666666666424135</v>
      </c>
      <c r="J71" s="58" t="s">
        <v>1225</v>
      </c>
      <c r="K71" s="72" t="s">
        <v>1226</v>
      </c>
      <c r="O71" s="58">
        <v>1.0</v>
      </c>
      <c r="Q71" s="58">
        <v>1.0</v>
      </c>
      <c r="S71" s="58">
        <v>4.0</v>
      </c>
      <c r="T71" s="58">
        <v>2.0</v>
      </c>
      <c r="AC71" s="58" t="s">
        <v>155</v>
      </c>
      <c r="AD71" s="58" t="s">
        <v>366</v>
      </c>
      <c r="AI71" s="58" t="s">
        <v>179</v>
      </c>
    </row>
    <row r="72" ht="22.5" customHeight="1">
      <c r="A72" s="56" t="s">
        <v>1233</v>
      </c>
      <c r="B72" s="57">
        <v>46092.414786180554</v>
      </c>
      <c r="C72" s="58" t="s">
        <v>1234</v>
      </c>
      <c r="D72" s="58" t="s">
        <v>67</v>
      </c>
      <c r="E72" s="58" t="s">
        <v>68</v>
      </c>
      <c r="F72" s="58" t="s">
        <v>1237</v>
      </c>
      <c r="G72" s="58" t="s">
        <v>732</v>
      </c>
      <c r="H72" s="63">
        <v>46101.0</v>
      </c>
      <c r="I72" s="67">
        <v>0.5416666666666666</v>
      </c>
      <c r="J72" s="58" t="s">
        <v>1019</v>
      </c>
      <c r="K72" s="72" t="s">
        <v>1025</v>
      </c>
      <c r="Q72" s="58">
        <v>1.0</v>
      </c>
      <c r="S72" s="58">
        <v>2.0</v>
      </c>
      <c r="T72" s="58" t="s">
        <v>1244</v>
      </c>
      <c r="AC72" s="58" t="s">
        <v>1019</v>
      </c>
      <c r="AD72" s="58" t="s">
        <v>200</v>
      </c>
      <c r="AE72" s="58" t="s">
        <v>1249</v>
      </c>
      <c r="AH72" s="58" t="s">
        <v>1250</v>
      </c>
      <c r="AI72" s="58" t="s">
        <v>179</v>
      </c>
    </row>
    <row r="73" ht="22.5" customHeight="1">
      <c r="A73" s="56" t="s">
        <v>1251</v>
      </c>
      <c r="B73" s="57">
        <v>46093.470729340275</v>
      </c>
      <c r="C73" s="58" t="s">
        <v>514</v>
      </c>
      <c r="D73" s="58" t="s">
        <v>1256</v>
      </c>
      <c r="E73" s="58" t="s">
        <v>68</v>
      </c>
      <c r="F73" s="58" t="s">
        <v>947</v>
      </c>
      <c r="G73" s="58" t="s">
        <v>1259</v>
      </c>
      <c r="H73" s="63">
        <v>46094.0</v>
      </c>
      <c r="I73" s="67">
        <v>0.45833333333575865</v>
      </c>
      <c r="J73" s="58" t="s">
        <v>158</v>
      </c>
      <c r="K73" s="72" t="s">
        <v>1264</v>
      </c>
      <c r="U73" s="58">
        <v>1.0</v>
      </c>
      <c r="AC73" s="58" t="s">
        <v>121</v>
      </c>
      <c r="AD73" s="58" t="s">
        <v>90</v>
      </c>
      <c r="AE73" s="58" t="s">
        <v>1267</v>
      </c>
      <c r="AH73" s="58" t="s">
        <v>1268</v>
      </c>
      <c r="AI73" s="58" t="s">
        <v>179</v>
      </c>
    </row>
    <row r="74" ht="22.5" customHeight="1">
      <c r="A74" s="56" t="s">
        <v>1271</v>
      </c>
      <c r="B74" s="57">
        <v>46093.69199420139</v>
      </c>
      <c r="C74" s="58" t="s">
        <v>354</v>
      </c>
      <c r="D74" s="58" t="s">
        <v>83</v>
      </c>
      <c r="E74" s="58" t="s">
        <v>68</v>
      </c>
      <c r="F74" s="58" t="s">
        <v>1278</v>
      </c>
      <c r="G74" s="58" t="s">
        <v>1279</v>
      </c>
      <c r="H74" s="63">
        <v>46094.0</v>
      </c>
      <c r="I74" s="67">
        <v>0.6666666666666666</v>
      </c>
      <c r="J74" s="58" t="s">
        <v>1282</v>
      </c>
      <c r="K74" s="72" t="s">
        <v>1285</v>
      </c>
      <c r="S74" s="58">
        <v>2.0</v>
      </c>
      <c r="T74" s="58">
        <v>2.0</v>
      </c>
      <c r="AC74" s="58" t="s">
        <v>155</v>
      </c>
      <c r="AD74" s="58" t="s">
        <v>150</v>
      </c>
      <c r="AI74" s="58" t="s">
        <v>179</v>
      </c>
    </row>
    <row r="75" ht="22.5" customHeight="1">
      <c r="A75" s="56" t="s">
        <v>1294</v>
      </c>
      <c r="B75" s="57">
        <v>46095.50381980324</v>
      </c>
      <c r="C75" s="58" t="s">
        <v>183</v>
      </c>
      <c r="D75" s="58" t="s">
        <v>208</v>
      </c>
      <c r="E75" s="58" t="s">
        <v>209</v>
      </c>
      <c r="F75" s="58" t="s">
        <v>1301</v>
      </c>
      <c r="G75" s="58" t="s">
        <v>732</v>
      </c>
      <c r="H75" s="63">
        <v>46095.0</v>
      </c>
      <c r="I75" s="67">
        <v>0.45833333333575865</v>
      </c>
      <c r="J75" s="58" t="s">
        <v>421</v>
      </c>
      <c r="K75" s="72" t="s">
        <v>275</v>
      </c>
      <c r="AA75" s="58" t="s">
        <v>1308</v>
      </c>
      <c r="AC75" s="58" t="s">
        <v>145</v>
      </c>
      <c r="AD75" s="58" t="s">
        <v>200</v>
      </c>
      <c r="AE75" s="58" t="s">
        <v>1311</v>
      </c>
      <c r="AI75" s="58" t="s">
        <v>179</v>
      </c>
    </row>
    <row r="76" ht="22.5" customHeight="1">
      <c r="A76" s="56" t="s">
        <v>1312</v>
      </c>
      <c r="B76" s="57">
        <v>46098.37597826389</v>
      </c>
      <c r="C76" s="58" t="s">
        <v>354</v>
      </c>
      <c r="D76" s="58" t="s">
        <v>83</v>
      </c>
      <c r="E76" s="58" t="s">
        <v>99</v>
      </c>
      <c r="F76" s="58" t="s">
        <v>1317</v>
      </c>
      <c r="G76" s="58" t="s">
        <v>1039</v>
      </c>
      <c r="H76" s="63">
        <v>46100.0</v>
      </c>
      <c r="I76" s="67">
        <v>0.41666666666424135</v>
      </c>
      <c r="J76" s="58" t="s">
        <v>1322</v>
      </c>
      <c r="K76" s="72" t="s">
        <v>1044</v>
      </c>
      <c r="Q76" s="58">
        <v>1.0</v>
      </c>
      <c r="S76" s="58">
        <v>2.0</v>
      </c>
      <c r="T76" s="58">
        <v>1.0</v>
      </c>
      <c r="AC76" s="58" t="s">
        <v>155</v>
      </c>
      <c r="AD76" s="58" t="s">
        <v>150</v>
      </c>
      <c r="AE76" s="58" t="s">
        <v>1326</v>
      </c>
      <c r="AG76" s="58" t="s">
        <v>1326</v>
      </c>
      <c r="AI76" s="58" t="s">
        <v>179</v>
      </c>
    </row>
    <row r="77" ht="22.5" customHeight="1">
      <c r="A77" s="56" t="s">
        <v>1328</v>
      </c>
      <c r="B77" s="57">
        <v>46098.66886976852</v>
      </c>
      <c r="C77" s="58" t="s">
        <v>354</v>
      </c>
      <c r="D77" s="58" t="s">
        <v>208</v>
      </c>
      <c r="E77" s="58" t="s">
        <v>68</v>
      </c>
      <c r="F77" s="58" t="s">
        <v>889</v>
      </c>
      <c r="G77" s="58" t="s">
        <v>820</v>
      </c>
      <c r="H77" s="63">
        <v>46100.0</v>
      </c>
      <c r="I77" s="67">
        <v>0.41666666666424135</v>
      </c>
      <c r="J77" s="58" t="s">
        <v>1282</v>
      </c>
      <c r="K77" s="72" t="s">
        <v>1285</v>
      </c>
      <c r="S77" s="58">
        <v>1.0</v>
      </c>
      <c r="AC77" s="58" t="s">
        <v>155</v>
      </c>
      <c r="AD77" s="58" t="s">
        <v>150</v>
      </c>
      <c r="AE77" s="58" t="s">
        <v>1335</v>
      </c>
      <c r="AG77" s="58" t="s">
        <v>1336</v>
      </c>
      <c r="AH77" s="58" t="s">
        <v>1336</v>
      </c>
      <c r="AI77" s="58" t="s">
        <v>179</v>
      </c>
    </row>
    <row r="78" ht="22.5" customHeight="1">
      <c r="A78" s="56" t="s">
        <v>1337</v>
      </c>
      <c r="B78" s="57">
        <v>46100.54683150463</v>
      </c>
      <c r="C78" s="58" t="s">
        <v>442</v>
      </c>
      <c r="D78" s="58" t="s">
        <v>1340</v>
      </c>
      <c r="E78" s="58" t="s">
        <v>68</v>
      </c>
      <c r="F78" s="58" t="s">
        <v>89</v>
      </c>
      <c r="G78" s="58" t="s">
        <v>820</v>
      </c>
      <c r="H78" s="63">
        <v>46104.0</v>
      </c>
      <c r="I78" s="67">
        <v>0.5</v>
      </c>
      <c r="J78" s="58" t="s">
        <v>89</v>
      </c>
      <c r="K78" s="72" t="s">
        <v>344</v>
      </c>
      <c r="P78" s="58">
        <v>1.0</v>
      </c>
      <c r="S78" s="58">
        <v>2.0</v>
      </c>
      <c r="T78" s="58">
        <v>1.0</v>
      </c>
      <c r="AC78" s="58" t="s">
        <v>129</v>
      </c>
      <c r="AD78" s="58" t="s">
        <v>451</v>
      </c>
      <c r="AH78" s="58" t="s">
        <v>1349</v>
      </c>
      <c r="AI78" s="58" t="s">
        <v>179</v>
      </c>
    </row>
    <row r="79" ht="22.5" customHeight="1">
      <c r="A79" s="56" t="s">
        <v>1351</v>
      </c>
      <c r="B79" s="57">
        <v>46104.40612060185</v>
      </c>
      <c r="C79" s="58" t="s">
        <v>207</v>
      </c>
      <c r="D79" s="58" t="s">
        <v>1353</v>
      </c>
      <c r="E79" s="58" t="s">
        <v>68</v>
      </c>
      <c r="F79" s="58" t="s">
        <v>1019</v>
      </c>
      <c r="G79" s="58" t="s">
        <v>732</v>
      </c>
      <c r="H79" s="63">
        <v>46108.0</v>
      </c>
      <c r="I79" s="67">
        <v>0.375</v>
      </c>
      <c r="J79" s="58" t="s">
        <v>1019</v>
      </c>
      <c r="K79" s="58" t="s">
        <v>1019</v>
      </c>
      <c r="S79" s="58">
        <v>42.0</v>
      </c>
      <c r="AC79" s="58" t="s">
        <v>1019</v>
      </c>
      <c r="AD79" s="58" t="s">
        <v>200</v>
      </c>
      <c r="AE79" s="58" t="s">
        <v>1364</v>
      </c>
      <c r="AH79" s="58" t="s">
        <v>1365</v>
      </c>
      <c r="AI79" s="58" t="s">
        <v>179</v>
      </c>
    </row>
    <row r="80" ht="22.5" customHeight="1">
      <c r="A80" s="56" t="s">
        <v>1366</v>
      </c>
      <c r="B80" s="57">
        <v>46104.44372605324</v>
      </c>
      <c r="C80" s="58" t="s">
        <v>354</v>
      </c>
      <c r="D80" s="58" t="s">
        <v>83</v>
      </c>
      <c r="E80" s="58" t="s">
        <v>99</v>
      </c>
      <c r="F80" s="58" t="s">
        <v>636</v>
      </c>
      <c r="G80" s="58" t="s">
        <v>637</v>
      </c>
      <c r="H80" s="63">
        <v>46108.0</v>
      </c>
      <c r="I80" s="67">
        <v>0.41666666666424135</v>
      </c>
      <c r="J80" s="58" t="s">
        <v>1367</v>
      </c>
      <c r="K80" s="72" t="s">
        <v>1368</v>
      </c>
      <c r="Q80" s="58">
        <v>9.0</v>
      </c>
      <c r="S80" s="58">
        <v>18.0</v>
      </c>
      <c r="T80" s="58">
        <v>9.0</v>
      </c>
      <c r="AC80" s="58" t="s">
        <v>155</v>
      </c>
      <c r="AD80" s="58" t="s">
        <v>150</v>
      </c>
      <c r="AI80" s="58" t="s">
        <v>179</v>
      </c>
    </row>
    <row r="81" ht="22.5" customHeight="1">
      <c r="A81" s="56" t="s">
        <v>1369</v>
      </c>
      <c r="B81" s="57">
        <v>46104.6370781713</v>
      </c>
      <c r="C81" s="58" t="s">
        <v>1234</v>
      </c>
      <c r="D81" s="58" t="s">
        <v>67</v>
      </c>
      <c r="E81" s="58" t="s">
        <v>68</v>
      </c>
      <c r="F81" s="58" t="s">
        <v>1019</v>
      </c>
      <c r="G81" s="58" t="s">
        <v>732</v>
      </c>
      <c r="H81" s="63">
        <v>46105.0</v>
      </c>
      <c r="I81" s="67">
        <v>0.375</v>
      </c>
      <c r="J81" s="58" t="s">
        <v>1019</v>
      </c>
      <c r="K81" s="72" t="s">
        <v>1025</v>
      </c>
      <c r="S81" s="58">
        <v>2.0</v>
      </c>
      <c r="T81" s="58">
        <v>2.0</v>
      </c>
      <c r="AC81" s="58" t="s">
        <v>1019</v>
      </c>
      <c r="AD81" s="58" t="s">
        <v>200</v>
      </c>
      <c r="AE81" s="58" t="s">
        <v>1370</v>
      </c>
      <c r="AH81" s="58" t="s">
        <v>1371</v>
      </c>
      <c r="AI81" s="58" t="s">
        <v>179</v>
      </c>
    </row>
    <row r="82" ht="22.5" customHeight="1">
      <c r="A82" s="56" t="s">
        <v>1372</v>
      </c>
      <c r="B82" s="57">
        <v>46106.71993820602</v>
      </c>
      <c r="C82" s="58" t="s">
        <v>623</v>
      </c>
      <c r="D82" s="58" t="s">
        <v>67</v>
      </c>
      <c r="E82" s="58" t="s">
        <v>68</v>
      </c>
      <c r="F82" s="58" t="s">
        <v>1373</v>
      </c>
      <c r="G82" s="58" t="s">
        <v>1374</v>
      </c>
      <c r="H82" s="63">
        <v>46107.0</v>
      </c>
      <c r="I82" s="67">
        <v>0.71875</v>
      </c>
      <c r="J82" s="58" t="s">
        <v>164</v>
      </c>
      <c r="K82" s="72" t="s">
        <v>88</v>
      </c>
      <c r="S82" s="58">
        <v>1.0</v>
      </c>
      <c r="AC82" s="58" t="s">
        <v>164</v>
      </c>
      <c r="AD82" s="58" t="s">
        <v>90</v>
      </c>
      <c r="AI82" s="58" t="s">
        <v>179</v>
      </c>
    </row>
    <row r="83" ht="22.5" customHeight="1">
      <c r="A83" s="56" t="s">
        <v>1375</v>
      </c>
      <c r="B83" s="57">
        <v>46108.47332643518</v>
      </c>
      <c r="C83" s="58" t="s">
        <v>1376</v>
      </c>
      <c r="D83" s="58" t="s">
        <v>96</v>
      </c>
      <c r="E83" s="58" t="s">
        <v>68</v>
      </c>
      <c r="F83" s="58" t="s">
        <v>1377</v>
      </c>
      <c r="G83" s="58" t="s">
        <v>1378</v>
      </c>
      <c r="H83" s="63">
        <v>46119.0</v>
      </c>
      <c r="I83" s="67">
        <v>0.5833333333333334</v>
      </c>
      <c r="J83" s="129" t="s">
        <v>1379</v>
      </c>
      <c r="K83" s="130" t="s">
        <v>1380</v>
      </c>
      <c r="M83" s="58">
        <v>1.0</v>
      </c>
      <c r="P83" s="58">
        <v>1.0</v>
      </c>
      <c r="S83" s="58">
        <v>4.0</v>
      </c>
      <c r="T83" s="58">
        <v>2.0</v>
      </c>
      <c r="Y83" s="58">
        <v>2.0</v>
      </c>
      <c r="AC83" s="58" t="s">
        <v>170</v>
      </c>
      <c r="AD83" s="58" t="s">
        <v>150</v>
      </c>
      <c r="AI83" s="58" t="s">
        <v>179</v>
      </c>
    </row>
    <row r="84" ht="22.5" customHeight="1">
      <c r="A84" s="56" t="s">
        <v>1381</v>
      </c>
      <c r="B84" s="57">
        <v>46109.60929613426</v>
      </c>
      <c r="C84" s="58" t="s">
        <v>354</v>
      </c>
      <c r="D84" s="58" t="s">
        <v>83</v>
      </c>
      <c r="E84" s="58" t="s">
        <v>99</v>
      </c>
      <c r="F84" s="58" t="s">
        <v>1382</v>
      </c>
      <c r="G84" s="58" t="s">
        <v>1383</v>
      </c>
      <c r="H84" s="63">
        <v>46112.0</v>
      </c>
      <c r="I84" s="67">
        <v>0.45833333333575865</v>
      </c>
      <c r="J84" s="58" t="s">
        <v>1384</v>
      </c>
      <c r="K84" s="131" t="s">
        <v>1385</v>
      </c>
      <c r="P84" s="58">
        <v>2.0</v>
      </c>
      <c r="S84" s="58">
        <v>4.0</v>
      </c>
      <c r="T84" s="58">
        <v>2.0</v>
      </c>
      <c r="AC84" s="58" t="s">
        <v>155</v>
      </c>
      <c r="AD84" s="58" t="s">
        <v>150</v>
      </c>
      <c r="AI84" s="58" t="s">
        <v>179</v>
      </c>
    </row>
    <row r="85" ht="22.5" customHeight="1">
      <c r="A85" s="56" t="s">
        <v>1386</v>
      </c>
      <c r="B85" s="57">
        <v>46111.599478159726</v>
      </c>
      <c r="C85" s="58" t="s">
        <v>354</v>
      </c>
      <c r="D85" s="58" t="s">
        <v>83</v>
      </c>
      <c r="E85" s="58" t="s">
        <v>99</v>
      </c>
      <c r="F85" s="58" t="s">
        <v>1387</v>
      </c>
      <c r="G85" s="58" t="s">
        <v>1388</v>
      </c>
      <c r="H85" s="63">
        <v>46118.0</v>
      </c>
      <c r="I85" s="67">
        <v>0.5416666666642413</v>
      </c>
      <c r="J85" s="58" t="s">
        <v>1389</v>
      </c>
      <c r="K85" s="72" t="s">
        <v>1390</v>
      </c>
      <c r="M85" s="58">
        <v>2.0</v>
      </c>
      <c r="S85" s="58">
        <v>4.0</v>
      </c>
      <c r="T85" s="58">
        <v>2.0</v>
      </c>
      <c r="AC85" s="58" t="s">
        <v>155</v>
      </c>
      <c r="AD85" s="58" t="s">
        <v>150</v>
      </c>
      <c r="AI85" s="58" t="s">
        <v>179</v>
      </c>
    </row>
    <row r="86" ht="22.5" customHeight="1">
      <c r="A86" s="56" t="s">
        <v>1391</v>
      </c>
      <c r="B86" s="57">
        <v>46111.68844017361</v>
      </c>
      <c r="C86" s="58" t="s">
        <v>183</v>
      </c>
      <c r="D86" s="58" t="s">
        <v>208</v>
      </c>
      <c r="E86" s="58" t="s">
        <v>209</v>
      </c>
      <c r="F86" s="58" t="s">
        <v>1392</v>
      </c>
      <c r="G86" s="58" t="s">
        <v>820</v>
      </c>
      <c r="H86" s="63">
        <v>46111.0</v>
      </c>
      <c r="I86" s="67">
        <v>0.5416666666642413</v>
      </c>
      <c r="J86" s="58" t="s">
        <v>145</v>
      </c>
      <c r="K86" s="72" t="s">
        <v>275</v>
      </c>
      <c r="AA86" s="58" t="s">
        <v>1393</v>
      </c>
      <c r="AC86" s="58" t="s">
        <v>145</v>
      </c>
      <c r="AD86" s="58" t="s">
        <v>200</v>
      </c>
      <c r="AE86" s="58" t="s">
        <v>1394</v>
      </c>
      <c r="AI86" s="58" t="s">
        <v>179</v>
      </c>
    </row>
    <row r="87" ht="22.5" customHeight="1">
      <c r="A87" s="56" t="s">
        <v>1395</v>
      </c>
      <c r="B87" s="57">
        <v>46112.671607488424</v>
      </c>
      <c r="C87" s="58" t="s">
        <v>81</v>
      </c>
      <c r="D87" s="58" t="s">
        <v>1256</v>
      </c>
      <c r="E87" s="58" t="s">
        <v>209</v>
      </c>
      <c r="F87" s="58" t="s">
        <v>89</v>
      </c>
      <c r="G87" s="58" t="s">
        <v>1209</v>
      </c>
      <c r="H87" s="63">
        <v>46112.0</v>
      </c>
      <c r="I87" s="67">
        <v>0.5416666666642413</v>
      </c>
      <c r="J87" s="58" t="s">
        <v>89</v>
      </c>
      <c r="K87" s="72" t="s">
        <v>344</v>
      </c>
      <c r="S87" s="58">
        <v>2.0</v>
      </c>
      <c r="AC87" s="58" t="s">
        <v>112</v>
      </c>
      <c r="AD87" s="58" t="s">
        <v>90</v>
      </c>
      <c r="AI87" s="58" t="s">
        <v>179</v>
      </c>
    </row>
    <row r="88" ht="22.5" customHeight="1">
      <c r="A88" s="56" t="s">
        <v>1396</v>
      </c>
      <c r="B88" s="57">
        <v>46113.62333840277</v>
      </c>
      <c r="C88" s="58" t="s">
        <v>442</v>
      </c>
      <c r="D88" s="58" t="s">
        <v>67</v>
      </c>
      <c r="E88" s="58" t="s">
        <v>68</v>
      </c>
      <c r="F88" s="58" t="s">
        <v>89</v>
      </c>
      <c r="G88" s="58" t="s">
        <v>820</v>
      </c>
      <c r="H88" s="63">
        <v>46113.0</v>
      </c>
      <c r="I88" s="67">
        <v>0.6458333333333334</v>
      </c>
      <c r="J88" s="58" t="s">
        <v>1397</v>
      </c>
      <c r="K88" s="72" t="s">
        <v>344</v>
      </c>
      <c r="P88" s="58">
        <v>1.0</v>
      </c>
      <c r="S88" s="58">
        <v>2.0</v>
      </c>
      <c r="T88" s="58">
        <v>1.0</v>
      </c>
      <c r="AC88" s="58" t="s">
        <v>129</v>
      </c>
      <c r="AD88" s="58" t="s">
        <v>451</v>
      </c>
      <c r="AE88" s="58" t="s">
        <v>1398</v>
      </c>
      <c r="AI88" s="58" t="s">
        <v>179</v>
      </c>
    </row>
    <row r="89" ht="22.5" customHeight="1">
      <c r="A89" s="56" t="s">
        <v>1399</v>
      </c>
      <c r="B89" s="57">
        <v>46120.46486903935</v>
      </c>
      <c r="C89" s="58" t="s">
        <v>207</v>
      </c>
      <c r="D89" s="58" t="s">
        <v>184</v>
      </c>
      <c r="E89" s="58" t="s">
        <v>68</v>
      </c>
      <c r="F89" s="58" t="s">
        <v>1019</v>
      </c>
      <c r="G89" s="58" t="s">
        <v>732</v>
      </c>
      <c r="H89" s="63">
        <v>46120.0</v>
      </c>
      <c r="I89" s="67">
        <v>0.5833333333357587</v>
      </c>
      <c r="J89" s="58" t="s">
        <v>1019</v>
      </c>
      <c r="K89" s="72" t="s">
        <v>1400</v>
      </c>
      <c r="S89" s="58">
        <v>100.0</v>
      </c>
      <c r="AC89" s="58" t="s">
        <v>1019</v>
      </c>
      <c r="AD89" s="58" t="s">
        <v>78</v>
      </c>
      <c r="AE89" s="58" t="s">
        <v>1401</v>
      </c>
      <c r="AI89" s="58" t="s">
        <v>763</v>
      </c>
    </row>
    <row r="90" ht="22.5" customHeight="1">
      <c r="A90" s="56" t="s">
        <v>1402</v>
      </c>
      <c r="B90" s="57">
        <v>46120.64250084491</v>
      </c>
      <c r="C90" s="58" t="s">
        <v>81</v>
      </c>
      <c r="D90" s="58" t="s">
        <v>184</v>
      </c>
      <c r="E90" s="58" t="s">
        <v>209</v>
      </c>
      <c r="F90" s="58" t="s">
        <v>1403</v>
      </c>
      <c r="G90" s="58" t="s">
        <v>612</v>
      </c>
      <c r="H90" s="63">
        <v>46122.0</v>
      </c>
      <c r="I90" s="67">
        <v>0.6666666666642413</v>
      </c>
      <c r="J90" s="58" t="s">
        <v>112</v>
      </c>
      <c r="K90" s="72" t="s">
        <v>344</v>
      </c>
      <c r="S90" s="58">
        <v>24.0</v>
      </c>
      <c r="AC90" s="58" t="s">
        <v>112</v>
      </c>
      <c r="AD90" s="58" t="s">
        <v>90</v>
      </c>
      <c r="AE90" s="58" t="s">
        <v>1404</v>
      </c>
      <c r="AH90" s="58" t="s">
        <v>1405</v>
      </c>
      <c r="AI90" s="58" t="s">
        <v>179</v>
      </c>
    </row>
    <row r="91" ht="22.5" customHeight="1">
      <c r="A91" s="56" t="s">
        <v>1406</v>
      </c>
      <c r="B91" s="57">
        <v>46122.497303067124</v>
      </c>
      <c r="C91" s="58" t="s">
        <v>1376</v>
      </c>
      <c r="D91" s="58" t="s">
        <v>355</v>
      </c>
      <c r="E91" s="58" t="s">
        <v>99</v>
      </c>
      <c r="F91" s="58" t="s">
        <v>1407</v>
      </c>
      <c r="G91" s="58" t="s">
        <v>1408</v>
      </c>
      <c r="H91" s="63">
        <v>46125.0</v>
      </c>
      <c r="I91" s="67">
        <v>0.5833333333333334</v>
      </c>
      <c r="J91" s="58" t="s">
        <v>1409</v>
      </c>
      <c r="K91" s="58" t="s">
        <v>1410</v>
      </c>
      <c r="M91" s="58">
        <v>2.0</v>
      </c>
      <c r="S91" s="58">
        <v>4.0</v>
      </c>
      <c r="T91" s="58">
        <v>2.0</v>
      </c>
      <c r="Y91" s="58">
        <v>2.0</v>
      </c>
      <c r="AC91" s="58" t="s">
        <v>170</v>
      </c>
      <c r="AD91" s="58" t="s">
        <v>150</v>
      </c>
      <c r="AI91" s="58" t="s">
        <v>179</v>
      </c>
    </row>
    <row r="92" ht="22.5" customHeight="1">
      <c r="A92" s="56" t="s">
        <v>1411</v>
      </c>
      <c r="B92" s="57">
        <v>46125.54348085648</v>
      </c>
      <c r="C92" s="58" t="s">
        <v>1376</v>
      </c>
      <c r="D92" s="58" t="s">
        <v>83</v>
      </c>
      <c r="E92" s="58" t="s">
        <v>99</v>
      </c>
      <c r="F92" s="58" t="s">
        <v>1412</v>
      </c>
      <c r="G92" s="58" t="s">
        <v>1413</v>
      </c>
      <c r="H92" s="63">
        <v>46126.0</v>
      </c>
      <c r="I92" s="67">
        <v>0.41666666666424135</v>
      </c>
      <c r="J92" s="58" t="s">
        <v>1414</v>
      </c>
      <c r="K92" s="72" t="s">
        <v>1415</v>
      </c>
      <c r="R92" s="58">
        <v>4.0</v>
      </c>
      <c r="S92" s="58">
        <v>8.0</v>
      </c>
      <c r="T92" s="58">
        <v>4.0</v>
      </c>
      <c r="AC92" s="58" t="s">
        <v>170</v>
      </c>
      <c r="AD92" s="58" t="s">
        <v>150</v>
      </c>
      <c r="AI92" s="58" t="s">
        <v>763</v>
      </c>
    </row>
    <row r="93" ht="22.5" customHeight="1">
      <c r="A93" s="56" t="s">
        <v>1416</v>
      </c>
      <c r="B93" s="57">
        <v>46126.479646168984</v>
      </c>
      <c r="C93" s="58" t="s">
        <v>1376</v>
      </c>
      <c r="D93" s="58" t="s">
        <v>83</v>
      </c>
      <c r="E93" s="58" t="s">
        <v>68</v>
      </c>
      <c r="F93" s="58" t="s">
        <v>1417</v>
      </c>
      <c r="G93" s="58" t="s">
        <v>1418</v>
      </c>
      <c r="H93" s="63">
        <v>46129.0</v>
      </c>
      <c r="I93" s="67">
        <v>0.33333333333575865</v>
      </c>
      <c r="J93" s="58" t="s">
        <v>387</v>
      </c>
      <c r="K93" s="58" t="s">
        <v>1419</v>
      </c>
      <c r="P93" s="58">
        <v>1.0</v>
      </c>
      <c r="S93" s="58">
        <v>2.0</v>
      </c>
      <c r="T93" s="58">
        <v>1.0</v>
      </c>
      <c r="AC93" s="58" t="s">
        <v>170</v>
      </c>
      <c r="AD93" s="58" t="s">
        <v>150</v>
      </c>
      <c r="AI93" s="58" t="s">
        <v>179</v>
      </c>
    </row>
    <row r="94" ht="22.5" customHeight="1">
      <c r="A94" s="56" t="s">
        <v>1420</v>
      </c>
      <c r="B94" s="57">
        <v>46127.4577934375</v>
      </c>
      <c r="C94" s="132" t="s">
        <v>1421</v>
      </c>
      <c r="D94" s="58" t="s">
        <v>83</v>
      </c>
      <c r="E94" s="58" t="s">
        <v>99</v>
      </c>
      <c r="F94" s="58" t="s">
        <v>1057</v>
      </c>
      <c r="G94" s="58" t="s">
        <v>1422</v>
      </c>
      <c r="H94" s="63">
        <v>46106.0</v>
      </c>
      <c r="I94" s="67">
        <v>0.33333333333575865</v>
      </c>
      <c r="J94" s="58" t="s">
        <v>1423</v>
      </c>
      <c r="K94" s="72" t="s">
        <v>1188</v>
      </c>
      <c r="AA94" s="58" t="s">
        <v>1424</v>
      </c>
      <c r="AC94" s="58" t="s">
        <v>176</v>
      </c>
      <c r="AD94" s="58" t="s">
        <v>78</v>
      </c>
      <c r="AI94" s="58" t="s">
        <v>179</v>
      </c>
    </row>
    <row r="95" ht="22.5" customHeight="1">
      <c r="A95" s="56" t="s">
        <v>1425</v>
      </c>
      <c r="B95" s="57">
        <v>46127.64578481481</v>
      </c>
      <c r="C95" s="132" t="s">
        <v>1376</v>
      </c>
      <c r="D95" s="58" t="s">
        <v>83</v>
      </c>
      <c r="E95" s="58" t="s">
        <v>99</v>
      </c>
      <c r="F95" s="58" t="s">
        <v>1426</v>
      </c>
      <c r="G95" s="132" t="s">
        <v>1427</v>
      </c>
      <c r="H95" s="63">
        <v>46129.0</v>
      </c>
      <c r="I95" s="67">
        <v>0.6666666666642413</v>
      </c>
      <c r="J95" s="58" t="s">
        <v>1428</v>
      </c>
      <c r="K95" s="72" t="s">
        <v>1429</v>
      </c>
      <c r="M95" s="58">
        <v>2.0</v>
      </c>
      <c r="S95" s="58">
        <v>4.0</v>
      </c>
      <c r="T95" s="58">
        <v>2.0</v>
      </c>
      <c r="AC95" s="58" t="s">
        <v>170</v>
      </c>
      <c r="AD95" s="58" t="s">
        <v>150</v>
      </c>
      <c r="AI95" s="58" t="s">
        <v>179</v>
      </c>
    </row>
    <row r="96" ht="22.5" customHeight="1">
      <c r="A96" s="56" t="s">
        <v>1430</v>
      </c>
      <c r="B96" s="57">
        <v>46127.704653252316</v>
      </c>
      <c r="C96" s="132" t="s">
        <v>1431</v>
      </c>
      <c r="D96" s="58" t="s">
        <v>67</v>
      </c>
      <c r="E96" s="58" t="s">
        <v>209</v>
      </c>
      <c r="F96" s="58" t="s">
        <v>1432</v>
      </c>
      <c r="G96" s="58" t="s">
        <v>1433</v>
      </c>
      <c r="H96" s="63">
        <v>46127.0</v>
      </c>
      <c r="I96" s="67">
        <v>0.3937500000029104</v>
      </c>
      <c r="J96" s="58" t="s">
        <v>180</v>
      </c>
      <c r="K96" s="72" t="s">
        <v>1434</v>
      </c>
      <c r="AA96" s="58" t="s">
        <v>1435</v>
      </c>
      <c r="AB96" s="58" t="s">
        <v>1436</v>
      </c>
      <c r="AC96" s="58" t="s">
        <v>180</v>
      </c>
      <c r="AD96" s="58" t="s">
        <v>1437</v>
      </c>
      <c r="AH96" s="58" t="s">
        <v>1436</v>
      </c>
      <c r="AI96" s="58" t="s">
        <v>179</v>
      </c>
    </row>
    <row r="97" ht="22.5" customHeight="1">
      <c r="A97" s="56" t="s">
        <v>1438</v>
      </c>
      <c r="B97" s="57">
        <v>46128.46542204861</v>
      </c>
      <c r="C97" s="58" t="s">
        <v>442</v>
      </c>
      <c r="D97" s="58" t="s">
        <v>67</v>
      </c>
      <c r="E97" s="58" t="s">
        <v>68</v>
      </c>
      <c r="F97" s="58" t="s">
        <v>112</v>
      </c>
      <c r="G97" s="58" t="s">
        <v>1439</v>
      </c>
      <c r="H97" s="63">
        <v>46132.0</v>
      </c>
      <c r="I97" s="67">
        <v>0.41666666666424135</v>
      </c>
      <c r="J97" s="58" t="s">
        <v>112</v>
      </c>
      <c r="K97" s="72" t="s">
        <v>344</v>
      </c>
      <c r="N97" s="58">
        <v>1.0</v>
      </c>
      <c r="S97" s="58">
        <v>2.0</v>
      </c>
      <c r="T97" s="58">
        <v>1.0</v>
      </c>
      <c r="Y97" s="58">
        <v>1.0</v>
      </c>
      <c r="AC97" s="133" t="s">
        <v>129</v>
      </c>
      <c r="AD97" s="58" t="s">
        <v>451</v>
      </c>
      <c r="AE97" s="58" t="s">
        <v>1440</v>
      </c>
      <c r="AI97" s="58" t="s">
        <v>1441</v>
      </c>
    </row>
    <row r="98" ht="22.5" customHeight="1">
      <c r="A98" s="56" t="s">
        <v>1442</v>
      </c>
      <c r="B98" s="57">
        <v>46128.573459293984</v>
      </c>
      <c r="C98" s="132" t="s">
        <v>183</v>
      </c>
      <c r="D98" s="58" t="s">
        <v>184</v>
      </c>
      <c r="E98" s="58" t="s">
        <v>209</v>
      </c>
      <c r="F98" s="58" t="s">
        <v>421</v>
      </c>
      <c r="G98" s="58" t="s">
        <v>1443</v>
      </c>
      <c r="H98" s="63">
        <v>46132.0</v>
      </c>
      <c r="I98" s="67">
        <v>0.45833333333575865</v>
      </c>
      <c r="J98" s="58" t="s">
        <v>192</v>
      </c>
      <c r="K98" s="72" t="s">
        <v>1444</v>
      </c>
      <c r="AA98" s="58" t="s">
        <v>1445</v>
      </c>
      <c r="AC98" s="133" t="s">
        <v>145</v>
      </c>
      <c r="AD98" s="58" t="s">
        <v>200</v>
      </c>
      <c r="AI98" s="58" t="s">
        <v>179</v>
      </c>
    </row>
    <row r="99" ht="22.5" customHeight="1">
      <c r="A99" s="56" t="s">
        <v>1446</v>
      </c>
      <c r="B99" s="57">
        <v>46128.6431575</v>
      </c>
      <c r="C99" s="132" t="s">
        <v>183</v>
      </c>
      <c r="D99" s="58" t="s">
        <v>96</v>
      </c>
      <c r="E99" s="58" t="s">
        <v>99</v>
      </c>
      <c r="F99" s="58" t="s">
        <v>1447</v>
      </c>
      <c r="G99" s="58" t="s">
        <v>1448</v>
      </c>
      <c r="H99" s="63">
        <v>46129.0</v>
      </c>
      <c r="I99" s="67">
        <v>0.45833333333575865</v>
      </c>
      <c r="J99" s="58" t="s">
        <v>432</v>
      </c>
      <c r="K99" s="72" t="s">
        <v>275</v>
      </c>
      <c r="AA99" s="58" t="s">
        <v>1449</v>
      </c>
      <c r="AC99" s="133" t="s">
        <v>145</v>
      </c>
      <c r="AD99" s="58" t="s">
        <v>200</v>
      </c>
      <c r="AI99" s="58" t="s">
        <v>179</v>
      </c>
    </row>
    <row r="100" ht="22.5" customHeight="1">
      <c r="A100" s="56" t="s">
        <v>1450</v>
      </c>
      <c r="B100" s="57">
        <v>46129.43241866898</v>
      </c>
      <c r="C100" s="58" t="s">
        <v>354</v>
      </c>
      <c r="D100" s="58" t="s">
        <v>83</v>
      </c>
      <c r="E100" s="58" t="s">
        <v>99</v>
      </c>
      <c r="F100" s="58" t="s">
        <v>1451</v>
      </c>
      <c r="G100" s="58" t="s">
        <v>1452</v>
      </c>
      <c r="H100" s="63">
        <v>46133.0</v>
      </c>
      <c r="I100" s="67">
        <v>0.45833333333575865</v>
      </c>
      <c r="J100" s="58" t="s">
        <v>1453</v>
      </c>
      <c r="K100" s="58" t="s">
        <v>1454</v>
      </c>
      <c r="M100" s="58">
        <v>1.0</v>
      </c>
      <c r="P100" s="58">
        <v>1.0</v>
      </c>
      <c r="S100" s="58">
        <v>4.0</v>
      </c>
      <c r="T100" s="58">
        <v>2.0</v>
      </c>
      <c r="AC100" s="58" t="s">
        <v>155</v>
      </c>
      <c r="AD100" s="58" t="s">
        <v>150</v>
      </c>
      <c r="AH100" s="58" t="s">
        <v>1455</v>
      </c>
      <c r="AI100" s="58" t="s">
        <v>179</v>
      </c>
    </row>
    <row r="101" ht="22.5" customHeight="1">
      <c r="A101" s="56" t="s">
        <v>1456</v>
      </c>
      <c r="B101" s="57">
        <v>46129.47359712963</v>
      </c>
      <c r="C101" s="58" t="s">
        <v>442</v>
      </c>
      <c r="D101" s="58" t="s">
        <v>67</v>
      </c>
      <c r="E101" s="58" t="s">
        <v>68</v>
      </c>
      <c r="F101" s="58" t="s">
        <v>112</v>
      </c>
      <c r="G101" s="58" t="s">
        <v>820</v>
      </c>
      <c r="H101" s="63">
        <v>46132.0</v>
      </c>
      <c r="I101" s="67">
        <v>0.41666666666424135</v>
      </c>
      <c r="J101" s="58" t="s">
        <v>112</v>
      </c>
      <c r="K101" s="72" t="s">
        <v>344</v>
      </c>
      <c r="M101" s="58">
        <v>1.0</v>
      </c>
      <c r="S101" s="58">
        <v>2.0</v>
      </c>
      <c r="T101" s="58">
        <v>1.0</v>
      </c>
      <c r="Y101" s="58">
        <v>1.0</v>
      </c>
      <c r="AC101" s="58" t="s">
        <v>129</v>
      </c>
      <c r="AD101" s="58" t="s">
        <v>451</v>
      </c>
      <c r="AE101" s="58" t="s">
        <v>1440</v>
      </c>
      <c r="AI101" s="58" t="s">
        <v>179</v>
      </c>
    </row>
    <row r="102" ht="22.5" customHeight="1">
      <c r="A102" s="56" t="s">
        <v>1457</v>
      </c>
      <c r="B102" s="57">
        <v>46129.47477690972</v>
      </c>
      <c r="C102" s="58" t="s">
        <v>442</v>
      </c>
      <c r="D102" s="58" t="s">
        <v>67</v>
      </c>
      <c r="E102" s="58" t="s">
        <v>68</v>
      </c>
      <c r="F102" s="58" t="s">
        <v>164</v>
      </c>
      <c r="G102" s="58" t="s">
        <v>820</v>
      </c>
      <c r="H102" s="63">
        <v>46132.0</v>
      </c>
      <c r="I102" s="67">
        <v>0.41666666666424135</v>
      </c>
      <c r="J102" s="58" t="s">
        <v>164</v>
      </c>
      <c r="K102" s="72" t="s">
        <v>88</v>
      </c>
      <c r="N102" s="58">
        <v>1.0</v>
      </c>
      <c r="S102" s="58">
        <v>2.0</v>
      </c>
      <c r="T102" s="58">
        <v>1.0</v>
      </c>
      <c r="AC102" s="58" t="s">
        <v>129</v>
      </c>
      <c r="AD102" s="58" t="s">
        <v>451</v>
      </c>
      <c r="AE102" s="58" t="s">
        <v>1440</v>
      </c>
      <c r="AI102" s="58" t="s">
        <v>179</v>
      </c>
    </row>
    <row r="103" ht="22.5" customHeight="1">
      <c r="A103" s="56" t="s">
        <v>1458</v>
      </c>
      <c r="B103" s="57">
        <v>46129.47606493055</v>
      </c>
      <c r="C103" s="58" t="s">
        <v>442</v>
      </c>
      <c r="D103" s="58" t="s">
        <v>67</v>
      </c>
      <c r="E103" s="58" t="s">
        <v>68</v>
      </c>
      <c r="F103" s="58" t="s">
        <v>1459</v>
      </c>
      <c r="G103" s="58" t="s">
        <v>820</v>
      </c>
      <c r="H103" s="63">
        <v>46132.0</v>
      </c>
      <c r="I103" s="67">
        <v>0.375</v>
      </c>
      <c r="J103" s="58" t="s">
        <v>1459</v>
      </c>
      <c r="K103" s="72" t="s">
        <v>1460</v>
      </c>
      <c r="P103" s="58">
        <v>1.0</v>
      </c>
      <c r="S103" s="58">
        <v>2.0</v>
      </c>
      <c r="T103" s="58">
        <v>1.0</v>
      </c>
      <c r="AC103" s="58" t="s">
        <v>129</v>
      </c>
      <c r="AD103" s="58" t="s">
        <v>451</v>
      </c>
      <c r="AI103" s="58" t="s">
        <v>179</v>
      </c>
    </row>
    <row r="104" ht="22.5" customHeight="1">
      <c r="A104" s="56" t="s">
        <v>1461</v>
      </c>
      <c r="B104" s="57">
        <v>46132.42385521991</v>
      </c>
      <c r="C104" s="58" t="s">
        <v>1376</v>
      </c>
      <c r="D104" s="58" t="s">
        <v>96</v>
      </c>
      <c r="E104" s="58" t="s">
        <v>68</v>
      </c>
      <c r="F104" s="58" t="s">
        <v>1377</v>
      </c>
      <c r="G104" s="58" t="s">
        <v>1378</v>
      </c>
      <c r="H104" s="63">
        <v>46135.0</v>
      </c>
      <c r="I104" s="67">
        <v>0.5416666666642413</v>
      </c>
      <c r="J104" s="58" t="s">
        <v>1462</v>
      </c>
      <c r="K104" s="72" t="s">
        <v>1380</v>
      </c>
      <c r="L104" s="58">
        <v>1.0</v>
      </c>
      <c r="M104" s="58">
        <v>1.0</v>
      </c>
      <c r="S104" s="58">
        <v>1.0</v>
      </c>
      <c r="T104" s="58">
        <v>2.0</v>
      </c>
      <c r="Y104" s="58">
        <v>2.0</v>
      </c>
      <c r="AC104" s="58" t="s">
        <v>170</v>
      </c>
      <c r="AD104" s="58" t="s">
        <v>150</v>
      </c>
      <c r="AH104" s="58" t="s">
        <v>1463</v>
      </c>
      <c r="AI104" s="58" t="s">
        <v>1464</v>
      </c>
    </row>
    <row r="105" ht="22.5" customHeight="1">
      <c r="A105" s="56" t="s">
        <v>1465</v>
      </c>
      <c r="B105" s="57">
        <v>46132.713018449074</v>
      </c>
      <c r="C105" s="58" t="s">
        <v>1376</v>
      </c>
      <c r="D105" s="58" t="s">
        <v>83</v>
      </c>
      <c r="E105" s="58" t="s">
        <v>99</v>
      </c>
      <c r="F105" s="58" t="s">
        <v>1466</v>
      </c>
      <c r="G105" s="58" t="s">
        <v>1467</v>
      </c>
      <c r="H105" s="63">
        <v>46136.0</v>
      </c>
      <c r="I105" s="67">
        <v>0.375</v>
      </c>
      <c r="J105" s="58" t="s">
        <v>1468</v>
      </c>
      <c r="K105" s="58" t="s">
        <v>1469</v>
      </c>
      <c r="Q105" s="58">
        <v>6.0</v>
      </c>
      <c r="R105" s="58">
        <v>2.0</v>
      </c>
      <c r="S105" s="58">
        <v>16.0</v>
      </c>
      <c r="T105" s="58">
        <v>8.0</v>
      </c>
      <c r="AC105" s="58" t="s">
        <v>170</v>
      </c>
      <c r="AD105" s="58" t="s">
        <v>150</v>
      </c>
      <c r="AE105" s="58" t="s">
        <v>1470</v>
      </c>
      <c r="AI105" s="58" t="s">
        <v>179</v>
      </c>
    </row>
    <row r="106" ht="22.5" customHeight="1">
      <c r="A106" s="56" t="s">
        <v>1471</v>
      </c>
      <c r="B106" s="57">
        <v>46135.4109721412</v>
      </c>
      <c r="C106" s="58" t="s">
        <v>183</v>
      </c>
      <c r="D106" s="58" t="s">
        <v>83</v>
      </c>
      <c r="E106" s="58" t="s">
        <v>209</v>
      </c>
      <c r="F106" s="58" t="s">
        <v>421</v>
      </c>
      <c r="G106" s="58" t="s">
        <v>820</v>
      </c>
      <c r="H106" s="63">
        <v>46135.0</v>
      </c>
      <c r="I106" s="67">
        <v>0.41666666666424135</v>
      </c>
      <c r="J106" s="58" t="s">
        <v>421</v>
      </c>
      <c r="K106" s="72" t="s">
        <v>275</v>
      </c>
      <c r="AA106" s="58" t="s">
        <v>1472</v>
      </c>
      <c r="AC106" s="58" t="s">
        <v>145</v>
      </c>
      <c r="AD106" s="58" t="s">
        <v>200</v>
      </c>
      <c r="AI106" s="58" t="s">
        <v>179</v>
      </c>
    </row>
    <row r="107" ht="22.5" customHeight="1">
      <c r="A107" s="56" t="s">
        <v>1473</v>
      </c>
      <c r="B107" s="57">
        <v>46135.574081087965</v>
      </c>
      <c r="C107" s="58" t="s">
        <v>354</v>
      </c>
      <c r="D107" s="58" t="s">
        <v>83</v>
      </c>
      <c r="E107" s="58" t="s">
        <v>99</v>
      </c>
      <c r="F107" s="58" t="s">
        <v>690</v>
      </c>
      <c r="G107" s="58" t="s">
        <v>1474</v>
      </c>
      <c r="H107" s="63">
        <v>46137.0</v>
      </c>
      <c r="I107" s="67">
        <v>0.5</v>
      </c>
      <c r="J107" s="58" t="s">
        <v>1475</v>
      </c>
      <c r="K107" s="72" t="s">
        <v>1476</v>
      </c>
      <c r="S107" s="58">
        <v>4.0</v>
      </c>
      <c r="U107" s="58">
        <v>1.0</v>
      </c>
      <c r="AC107" s="58" t="s">
        <v>155</v>
      </c>
      <c r="AD107" s="58" t="s">
        <v>150</v>
      </c>
      <c r="AH107" s="58" t="s">
        <v>1477</v>
      </c>
      <c r="AI107" s="58" t="s">
        <v>179</v>
      </c>
    </row>
    <row r="108" ht="22.5" customHeight="1">
      <c r="A108" s="56" t="s">
        <v>1478</v>
      </c>
      <c r="B108" s="57">
        <v>46136.39159733796</v>
      </c>
      <c r="C108" s="58" t="s">
        <v>1376</v>
      </c>
      <c r="D108" s="58" t="s">
        <v>83</v>
      </c>
      <c r="E108" s="58" t="s">
        <v>99</v>
      </c>
      <c r="F108" s="58" t="s">
        <v>1479</v>
      </c>
      <c r="G108" s="58" t="s">
        <v>1480</v>
      </c>
      <c r="H108" s="63">
        <v>46139.0</v>
      </c>
      <c r="I108" s="67">
        <v>0.45833333333575865</v>
      </c>
      <c r="J108" s="58" t="s">
        <v>1481</v>
      </c>
      <c r="K108" s="72" t="s">
        <v>1482</v>
      </c>
      <c r="P108" s="58">
        <v>1.0</v>
      </c>
      <c r="S108" s="58">
        <v>2.0</v>
      </c>
      <c r="T108" s="58">
        <v>1.0</v>
      </c>
      <c r="AC108" s="58" t="s">
        <v>170</v>
      </c>
      <c r="AD108" s="58" t="s">
        <v>150</v>
      </c>
      <c r="AE108" s="58" t="s">
        <v>1483</v>
      </c>
      <c r="AI108" s="58" t="s">
        <v>179</v>
      </c>
    </row>
    <row r="109" ht="22.5" customHeight="1">
      <c r="A109" s="56" t="s">
        <v>1484</v>
      </c>
      <c r="B109" s="57">
        <v>46136.62094179398</v>
      </c>
      <c r="C109" s="58" t="s">
        <v>207</v>
      </c>
      <c r="D109" s="58" t="s">
        <v>1256</v>
      </c>
      <c r="E109" s="58" t="s">
        <v>68</v>
      </c>
      <c r="F109" s="58" t="s">
        <v>1459</v>
      </c>
      <c r="G109" s="58" t="s">
        <v>732</v>
      </c>
      <c r="H109" s="63">
        <v>46136.0</v>
      </c>
      <c r="I109" s="67">
        <v>0.6666666666642413</v>
      </c>
      <c r="J109" s="58" t="s">
        <v>1019</v>
      </c>
      <c r="K109" s="72" t="s">
        <v>1400</v>
      </c>
      <c r="M109" s="58">
        <v>1.0</v>
      </c>
      <c r="AC109" s="58" t="s">
        <v>1019</v>
      </c>
      <c r="AD109" s="58" t="s">
        <v>200</v>
      </c>
      <c r="AH109" s="58" t="s">
        <v>1485</v>
      </c>
      <c r="AI109" s="58" t="s">
        <v>179</v>
      </c>
    </row>
    <row r="110" ht="22.5" customHeight="1">
      <c r="A110" s="56" t="s">
        <v>1486</v>
      </c>
      <c r="B110" s="57">
        <v>46139.74942364583</v>
      </c>
      <c r="C110" s="58" t="s">
        <v>1376</v>
      </c>
      <c r="D110" s="58" t="s">
        <v>355</v>
      </c>
      <c r="E110" s="58" t="s">
        <v>99</v>
      </c>
      <c r="F110" s="58" t="s">
        <v>1487</v>
      </c>
      <c r="G110" s="58" t="s">
        <v>1488</v>
      </c>
      <c r="H110" s="63">
        <v>46142.0</v>
      </c>
      <c r="I110" s="67">
        <v>0.5416666666642413</v>
      </c>
      <c r="J110" s="58" t="s">
        <v>1489</v>
      </c>
      <c r="K110" s="58" t="s">
        <v>1490</v>
      </c>
      <c r="L110" s="58">
        <v>1.0</v>
      </c>
      <c r="S110" s="58">
        <v>2.0</v>
      </c>
      <c r="T110" s="58">
        <v>1.0</v>
      </c>
      <c r="AC110" s="58" t="s">
        <v>170</v>
      </c>
      <c r="AD110" s="58" t="s">
        <v>150</v>
      </c>
      <c r="AI110" s="58" t="s">
        <v>179</v>
      </c>
    </row>
    <row r="111" ht="22.5" customHeight="1">
      <c r="A111" s="56" t="s">
        <v>1491</v>
      </c>
      <c r="B111" s="57">
        <v>46140.44473740741</v>
      </c>
      <c r="C111" s="58" t="s">
        <v>81</v>
      </c>
      <c r="D111" s="58" t="s">
        <v>67</v>
      </c>
      <c r="E111" s="58" t="s">
        <v>68</v>
      </c>
      <c r="F111" s="58" t="s">
        <v>1403</v>
      </c>
      <c r="G111" s="58" t="s">
        <v>820</v>
      </c>
      <c r="H111" s="63">
        <v>46140.0</v>
      </c>
      <c r="I111" s="67">
        <v>0.45833333333575865</v>
      </c>
      <c r="J111" s="58" t="s">
        <v>1492</v>
      </c>
      <c r="K111" s="72" t="s">
        <v>344</v>
      </c>
      <c r="AA111" s="58" t="s">
        <v>1493</v>
      </c>
      <c r="AC111" s="58" t="s">
        <v>112</v>
      </c>
      <c r="AD111" s="58" t="s">
        <v>90</v>
      </c>
      <c r="AI111" s="58" t="s">
        <v>179</v>
      </c>
    </row>
    <row r="112" ht="22.5" customHeight="1">
      <c r="A112" s="56" t="s">
        <v>1494</v>
      </c>
      <c r="B112" s="57">
        <v>46140.66612925926</v>
      </c>
      <c r="C112" s="58" t="s">
        <v>1495</v>
      </c>
      <c r="D112" s="58" t="s">
        <v>355</v>
      </c>
      <c r="E112" s="58" t="s">
        <v>68</v>
      </c>
      <c r="F112" s="58" t="s">
        <v>1496</v>
      </c>
      <c r="G112" s="58" t="s">
        <v>1497</v>
      </c>
      <c r="H112" s="63">
        <v>46146.0</v>
      </c>
      <c r="I112" s="67">
        <v>0.5416666666642413</v>
      </c>
      <c r="J112" s="58" t="s">
        <v>1498</v>
      </c>
      <c r="K112" s="72" t="s">
        <v>1499</v>
      </c>
      <c r="P112" s="58">
        <v>1.0</v>
      </c>
      <c r="S112" s="58">
        <v>2.0</v>
      </c>
      <c r="T112" s="58">
        <v>1.0</v>
      </c>
      <c r="AC112" s="58" t="s">
        <v>170</v>
      </c>
      <c r="AD112" s="58" t="s">
        <v>150</v>
      </c>
      <c r="AI112" s="58" t="s">
        <v>179</v>
      </c>
    </row>
    <row r="113" ht="22.5" customHeight="1">
      <c r="A113" s="56" t="s">
        <v>1500</v>
      </c>
      <c r="B113" s="57">
        <v>46141.46404668981</v>
      </c>
      <c r="C113" s="58" t="s">
        <v>81</v>
      </c>
      <c r="D113" s="58" t="s">
        <v>208</v>
      </c>
      <c r="E113" s="58" t="s">
        <v>68</v>
      </c>
      <c r="F113" s="58" t="s">
        <v>1403</v>
      </c>
      <c r="G113" s="58" t="s">
        <v>820</v>
      </c>
      <c r="H113" s="63">
        <v>46141.0</v>
      </c>
      <c r="I113" s="67">
        <v>0.5416666666642413</v>
      </c>
      <c r="J113" s="58" t="s">
        <v>89</v>
      </c>
      <c r="K113" s="72" t="s">
        <v>344</v>
      </c>
      <c r="U113" s="58">
        <v>3.0</v>
      </c>
      <c r="AC113" s="58" t="s">
        <v>112</v>
      </c>
      <c r="AD113" s="58" t="s">
        <v>90</v>
      </c>
      <c r="AE113" s="58" t="s">
        <v>1501</v>
      </c>
      <c r="AH113" s="58" t="s">
        <v>1502</v>
      </c>
      <c r="AI113" s="58" t="s">
        <v>179</v>
      </c>
    </row>
    <row r="114" ht="22.5" customHeight="1">
      <c r="A114" s="56" t="s">
        <v>1503</v>
      </c>
      <c r="B114" s="57">
        <v>46141.644852303245</v>
      </c>
      <c r="C114" s="58" t="s">
        <v>1495</v>
      </c>
      <c r="D114" s="58" t="s">
        <v>83</v>
      </c>
      <c r="E114" s="58" t="s">
        <v>99</v>
      </c>
      <c r="F114" s="58" t="s">
        <v>1504</v>
      </c>
      <c r="G114" s="58" t="s">
        <v>1505</v>
      </c>
      <c r="H114" s="63">
        <v>46147.0</v>
      </c>
      <c r="I114" s="67">
        <v>0.41666666666424135</v>
      </c>
      <c r="J114" s="58" t="s">
        <v>1506</v>
      </c>
      <c r="K114" s="72" t="s">
        <v>1507</v>
      </c>
      <c r="M114" s="58">
        <v>1.0</v>
      </c>
      <c r="P114" s="58">
        <v>1.0</v>
      </c>
      <c r="S114" s="58">
        <v>4.0</v>
      </c>
      <c r="T114" s="58">
        <v>2.0</v>
      </c>
      <c r="AC114" s="58" t="s">
        <v>170</v>
      </c>
      <c r="AD114" s="58" t="s">
        <v>150</v>
      </c>
      <c r="AI114" s="58" t="s">
        <v>179</v>
      </c>
    </row>
    <row r="115" ht="22.5" customHeight="1">
      <c r="A115" s="56" t="s">
        <v>1508</v>
      </c>
      <c r="B115" s="57">
        <v>46142.738546469904</v>
      </c>
      <c r="C115" s="58" t="s">
        <v>1495</v>
      </c>
      <c r="D115" s="58" t="s">
        <v>83</v>
      </c>
      <c r="E115" s="58" t="s">
        <v>68</v>
      </c>
      <c r="F115" s="58" t="s">
        <v>1509</v>
      </c>
      <c r="G115" s="58" t="s">
        <v>1413</v>
      </c>
      <c r="H115" s="63">
        <v>46150.0</v>
      </c>
      <c r="I115" s="67">
        <v>0.41666666666424135</v>
      </c>
      <c r="J115" s="58" t="s">
        <v>1414</v>
      </c>
      <c r="K115" s="72" t="s">
        <v>1415</v>
      </c>
      <c r="R115" s="58">
        <v>5.0</v>
      </c>
      <c r="S115" s="58">
        <v>10.0</v>
      </c>
      <c r="T115" s="58">
        <v>5.0</v>
      </c>
      <c r="AC115" s="58" t="s">
        <v>170</v>
      </c>
      <c r="AD115" s="58" t="s">
        <v>150</v>
      </c>
      <c r="AI115" s="58" t="s">
        <v>179</v>
      </c>
    </row>
    <row r="116" ht="22.5" customHeight="1">
      <c r="A116" s="56" t="s">
        <v>1510</v>
      </c>
      <c r="B116" s="57">
        <v>46144.72738377315</v>
      </c>
      <c r="C116" s="58" t="s">
        <v>207</v>
      </c>
      <c r="D116" s="58" t="s">
        <v>83</v>
      </c>
      <c r="E116" s="58" t="s">
        <v>68</v>
      </c>
      <c r="F116" s="58" t="s">
        <v>1417</v>
      </c>
      <c r="G116" s="58" t="s">
        <v>820</v>
      </c>
      <c r="H116" s="63">
        <v>46144.0</v>
      </c>
      <c r="I116" s="67">
        <v>0.7083333333357587</v>
      </c>
      <c r="J116" s="58" t="s">
        <v>137</v>
      </c>
      <c r="K116" s="72" t="s">
        <v>1400</v>
      </c>
      <c r="T116" s="58">
        <v>2.0</v>
      </c>
      <c r="AC116" s="58" t="s">
        <v>137</v>
      </c>
      <c r="AD116" s="58" t="s">
        <v>200</v>
      </c>
      <c r="AH116" s="58" t="s">
        <v>1511</v>
      </c>
      <c r="AI116" s="58" t="s">
        <v>179</v>
      </c>
    </row>
    <row r="117" ht="22.5" customHeight="1">
      <c r="A117" s="56" t="s">
        <v>1512</v>
      </c>
      <c r="B117" s="57">
        <v>46146.59163969907</v>
      </c>
      <c r="C117" s="58" t="s">
        <v>1376</v>
      </c>
      <c r="D117" s="58" t="s">
        <v>355</v>
      </c>
      <c r="E117" s="58" t="s">
        <v>99</v>
      </c>
      <c r="F117" s="58" t="s">
        <v>1513</v>
      </c>
      <c r="G117" s="58" t="s">
        <v>1514</v>
      </c>
      <c r="H117" s="63">
        <v>46149.0</v>
      </c>
      <c r="I117" s="67">
        <v>0.41666666666424135</v>
      </c>
      <c r="J117" s="58" t="s">
        <v>1453</v>
      </c>
      <c r="K117" s="58" t="s">
        <v>1515</v>
      </c>
      <c r="Q117" s="58">
        <v>5.0</v>
      </c>
      <c r="R117" s="58">
        <v>12.0</v>
      </c>
      <c r="S117" s="58">
        <v>34.0</v>
      </c>
      <c r="T117" s="58">
        <v>17.0</v>
      </c>
      <c r="AC117" s="58" t="s">
        <v>170</v>
      </c>
      <c r="AD117" s="58" t="s">
        <v>150</v>
      </c>
      <c r="AG117" s="134" t="s">
        <v>1516</v>
      </c>
      <c r="AI117" s="58" t="s">
        <v>179</v>
      </c>
    </row>
    <row r="118" ht="22.5" customHeight="1">
      <c r="A118" s="56" t="s">
        <v>1517</v>
      </c>
      <c r="B118" s="57">
        <v>46147.38883278935</v>
      </c>
      <c r="C118" s="58" t="s">
        <v>1376</v>
      </c>
      <c r="D118" s="58" t="s">
        <v>83</v>
      </c>
      <c r="E118" s="58" t="s">
        <v>99</v>
      </c>
      <c r="F118" s="58" t="s">
        <v>1518</v>
      </c>
      <c r="G118" s="58" t="s">
        <v>1519</v>
      </c>
      <c r="H118" s="63">
        <v>46150.0</v>
      </c>
      <c r="I118" s="67">
        <v>0.41666666666424135</v>
      </c>
      <c r="J118" s="58" t="s">
        <v>1520</v>
      </c>
      <c r="K118" s="58" t="s">
        <v>1521</v>
      </c>
      <c r="N118" s="58">
        <v>1.0</v>
      </c>
      <c r="P118" s="58">
        <v>10.0</v>
      </c>
      <c r="Q118" s="58">
        <v>1.0</v>
      </c>
      <c r="S118" s="58">
        <v>24.0</v>
      </c>
      <c r="T118" s="58">
        <v>12.0</v>
      </c>
      <c r="AC118" s="58" t="s">
        <v>170</v>
      </c>
      <c r="AD118" s="58" t="s">
        <v>150</v>
      </c>
      <c r="AI118" s="58" t="s">
        <v>179</v>
      </c>
    </row>
    <row r="119" ht="22.5" customHeight="1">
      <c r="A119" s="56" t="s">
        <v>1522</v>
      </c>
      <c r="B119" s="57">
        <v>46147.4534809375</v>
      </c>
      <c r="C119" s="58" t="s">
        <v>1376</v>
      </c>
      <c r="D119" s="58" t="s">
        <v>96</v>
      </c>
      <c r="E119" s="58" t="s">
        <v>68</v>
      </c>
      <c r="F119" s="58" t="s">
        <v>1523</v>
      </c>
      <c r="G119" s="58" t="s">
        <v>1378</v>
      </c>
      <c r="H119" s="63">
        <v>46149.0</v>
      </c>
      <c r="I119" s="67">
        <v>0.45833333333575865</v>
      </c>
      <c r="J119" s="58" t="s">
        <v>1379</v>
      </c>
      <c r="K119" s="72" t="s">
        <v>1380</v>
      </c>
      <c r="R119" s="58">
        <v>1.0</v>
      </c>
      <c r="S119" s="58">
        <v>2.0</v>
      </c>
      <c r="T119" s="58">
        <v>1.0</v>
      </c>
      <c r="Y119" s="58">
        <v>1.0</v>
      </c>
      <c r="AC119" s="58" t="s">
        <v>170</v>
      </c>
      <c r="AD119" s="58" t="s">
        <v>150</v>
      </c>
      <c r="AI119" s="58" t="s">
        <v>179</v>
      </c>
    </row>
    <row r="120" ht="22.5" customHeight="1">
      <c r="A120" s="56" t="s">
        <v>1524</v>
      </c>
      <c r="B120" s="57">
        <v>46147.49182390046</v>
      </c>
      <c r="C120" s="58" t="s">
        <v>1376</v>
      </c>
      <c r="D120" s="58" t="s">
        <v>355</v>
      </c>
      <c r="E120" s="58" t="s">
        <v>99</v>
      </c>
      <c r="F120" s="58" t="s">
        <v>1525</v>
      </c>
      <c r="G120" s="58" t="s">
        <v>1526</v>
      </c>
      <c r="H120" s="63">
        <v>46153.0</v>
      </c>
      <c r="I120" s="67">
        <v>0.5833333333357587</v>
      </c>
      <c r="J120" s="58" t="s">
        <v>1527</v>
      </c>
      <c r="K120" s="58" t="s">
        <v>1528</v>
      </c>
      <c r="M120" s="58">
        <v>1.0</v>
      </c>
      <c r="S120" s="58">
        <v>2.0</v>
      </c>
      <c r="T120" s="58">
        <v>1.0</v>
      </c>
      <c r="Y120" s="58">
        <v>1.0</v>
      </c>
      <c r="AC120" s="58" t="s">
        <v>170</v>
      </c>
      <c r="AD120" s="58" t="s">
        <v>150</v>
      </c>
      <c r="AI120" s="58" t="s">
        <v>179</v>
      </c>
    </row>
    <row r="121" ht="22.5" customHeight="1">
      <c r="A121" s="56" t="s">
        <v>1529</v>
      </c>
      <c r="B121" s="57">
        <v>46149.43429131944</v>
      </c>
      <c r="C121" s="58" t="s">
        <v>183</v>
      </c>
      <c r="D121" s="58" t="s">
        <v>83</v>
      </c>
      <c r="E121" s="58" t="s">
        <v>209</v>
      </c>
      <c r="F121" s="58" t="s">
        <v>889</v>
      </c>
      <c r="G121" s="58" t="s">
        <v>820</v>
      </c>
      <c r="H121" s="63">
        <v>46148.0</v>
      </c>
      <c r="I121" s="67">
        <v>0.45833333333575865</v>
      </c>
      <c r="J121" s="58" t="s">
        <v>421</v>
      </c>
      <c r="K121" s="72" t="s">
        <v>275</v>
      </c>
      <c r="AA121" s="58" t="s">
        <v>1530</v>
      </c>
      <c r="AC121" s="58" t="s">
        <v>145</v>
      </c>
      <c r="AD121" s="58" t="s">
        <v>200</v>
      </c>
      <c r="AI121" s="58" t="s">
        <v>179</v>
      </c>
    </row>
    <row r="122" ht="22.5" customHeight="1">
      <c r="A122" s="56" t="s">
        <v>1531</v>
      </c>
      <c r="B122" s="57">
        <v>46149.44287344908</v>
      </c>
      <c r="C122" s="58" t="s">
        <v>183</v>
      </c>
      <c r="D122" s="58" t="s">
        <v>83</v>
      </c>
      <c r="E122" s="58" t="s">
        <v>209</v>
      </c>
      <c r="F122" s="58" t="s">
        <v>889</v>
      </c>
      <c r="G122" s="58" t="s">
        <v>820</v>
      </c>
      <c r="H122" s="63">
        <v>46148.0</v>
      </c>
      <c r="I122" s="67">
        <v>0.45833333333575865</v>
      </c>
      <c r="J122" s="58" t="s">
        <v>421</v>
      </c>
      <c r="K122" s="72" t="s">
        <v>275</v>
      </c>
      <c r="AA122" s="58" t="s">
        <v>1532</v>
      </c>
      <c r="AC122" s="58" t="s">
        <v>145</v>
      </c>
      <c r="AD122" s="58" t="s">
        <v>200</v>
      </c>
      <c r="AI122" s="58" t="s">
        <v>179</v>
      </c>
    </row>
    <row r="123" ht="22.5" customHeight="1">
      <c r="A123" s="56" t="s">
        <v>1533</v>
      </c>
      <c r="B123" s="57">
        <v>46149.455938125</v>
      </c>
      <c r="C123" s="58" t="s">
        <v>183</v>
      </c>
      <c r="D123" s="58" t="s">
        <v>355</v>
      </c>
      <c r="E123" s="58" t="s">
        <v>209</v>
      </c>
      <c r="F123" s="58" t="s">
        <v>1534</v>
      </c>
      <c r="G123" s="58" t="s">
        <v>820</v>
      </c>
      <c r="H123" s="63">
        <v>46143.0</v>
      </c>
      <c r="I123" s="67">
        <v>0.45833333333575865</v>
      </c>
      <c r="J123" s="58" t="s">
        <v>421</v>
      </c>
      <c r="K123" s="72" t="s">
        <v>275</v>
      </c>
      <c r="AA123" s="58" t="s">
        <v>1535</v>
      </c>
      <c r="AC123" s="58" t="s">
        <v>145</v>
      </c>
      <c r="AD123" s="58" t="s">
        <v>200</v>
      </c>
      <c r="AH123" s="58" t="s">
        <v>1536</v>
      </c>
      <c r="AI123" s="58" t="s">
        <v>179</v>
      </c>
    </row>
    <row r="124" ht="22.5" customHeight="1">
      <c r="A124" s="56" t="s">
        <v>1537</v>
      </c>
      <c r="B124" s="57">
        <v>46150.50941396991</v>
      </c>
      <c r="C124" s="58" t="s">
        <v>207</v>
      </c>
      <c r="D124" s="58" t="s">
        <v>67</v>
      </c>
      <c r="E124" s="58" t="s">
        <v>68</v>
      </c>
      <c r="F124" s="58" t="s">
        <v>1019</v>
      </c>
      <c r="G124" s="58" t="s">
        <v>820</v>
      </c>
      <c r="H124" s="63">
        <v>46151.0</v>
      </c>
      <c r="I124" s="67">
        <v>0.45833333333575865</v>
      </c>
      <c r="J124" s="58" t="s">
        <v>1019</v>
      </c>
      <c r="K124" s="72" t="s">
        <v>1400</v>
      </c>
      <c r="AC124" s="58" t="s">
        <v>1019</v>
      </c>
      <c r="AD124" s="58" t="s">
        <v>200</v>
      </c>
      <c r="AH124" s="58" t="s">
        <v>1538</v>
      </c>
      <c r="AI124" s="58" t="s">
        <v>179</v>
      </c>
    </row>
    <row r="125" ht="22.5" customHeight="1">
      <c r="A125" s="56" t="s">
        <v>1539</v>
      </c>
      <c r="B125" s="57">
        <v>46151.66592287037</v>
      </c>
      <c r="C125" s="58" t="s">
        <v>183</v>
      </c>
      <c r="D125" s="58" t="s">
        <v>355</v>
      </c>
      <c r="E125" s="58" t="s">
        <v>209</v>
      </c>
      <c r="F125" s="58" t="s">
        <v>1540</v>
      </c>
      <c r="G125" s="58" t="s">
        <v>1541</v>
      </c>
      <c r="H125" s="63">
        <v>46151.0</v>
      </c>
      <c r="I125" s="67">
        <v>0.04166666666424135</v>
      </c>
      <c r="J125" s="58" t="s">
        <v>421</v>
      </c>
      <c r="K125" s="72" t="s">
        <v>275</v>
      </c>
      <c r="AA125" s="58" t="s">
        <v>1542</v>
      </c>
      <c r="AC125" s="58" t="s">
        <v>145</v>
      </c>
      <c r="AD125" s="58" t="s">
        <v>200</v>
      </c>
      <c r="AI125" s="58" t="s">
        <v>179</v>
      </c>
    </row>
    <row r="126" ht="22.5" customHeight="1">
      <c r="A126" s="56" t="s">
        <v>1543</v>
      </c>
      <c r="B126" s="57">
        <v>46154.448407523145</v>
      </c>
      <c r="C126" s="58" t="s">
        <v>207</v>
      </c>
      <c r="D126" s="58" t="s">
        <v>83</v>
      </c>
      <c r="E126" s="58" t="s">
        <v>68</v>
      </c>
      <c r="F126" s="58" t="s">
        <v>1544</v>
      </c>
      <c r="G126" s="58" t="s">
        <v>1544</v>
      </c>
      <c r="H126" s="63">
        <v>46155.0</v>
      </c>
      <c r="I126" s="67">
        <v>0.7083333333357587</v>
      </c>
      <c r="J126" s="58" t="s">
        <v>1545</v>
      </c>
      <c r="K126" s="72" t="s">
        <v>1400</v>
      </c>
      <c r="Q126" s="58">
        <v>1.0</v>
      </c>
      <c r="S126" s="58">
        <v>2.0</v>
      </c>
      <c r="T126" s="58">
        <v>1.0</v>
      </c>
      <c r="AC126" s="58" t="s">
        <v>1019</v>
      </c>
      <c r="AD126" s="58" t="s">
        <v>200</v>
      </c>
      <c r="AE126" s="58" t="s">
        <v>1546</v>
      </c>
      <c r="AI126" s="58" t="s">
        <v>179</v>
      </c>
    </row>
    <row r="127" ht="22.5" customHeight="1">
      <c r="A127" s="56" t="s">
        <v>1547</v>
      </c>
      <c r="B127" s="57">
        <v>46154.45995375</v>
      </c>
      <c r="C127" s="58" t="s">
        <v>207</v>
      </c>
      <c r="D127" s="58" t="s">
        <v>83</v>
      </c>
      <c r="E127" s="58" t="s">
        <v>68</v>
      </c>
      <c r="F127" s="58" t="s">
        <v>1548</v>
      </c>
      <c r="G127" s="58" t="s">
        <v>820</v>
      </c>
      <c r="H127" s="63">
        <v>46154.0</v>
      </c>
      <c r="I127" s="67">
        <v>0.7083333333357587</v>
      </c>
      <c r="J127" s="58" t="s">
        <v>1548</v>
      </c>
      <c r="K127" s="72" t="s">
        <v>1400</v>
      </c>
      <c r="P127" s="58">
        <v>1.0</v>
      </c>
      <c r="Q127" s="58" t="s">
        <v>1549</v>
      </c>
      <c r="AC127" s="58" t="s">
        <v>137</v>
      </c>
      <c r="AD127" s="58" t="s">
        <v>200</v>
      </c>
      <c r="AE127" s="58" t="s">
        <v>1550</v>
      </c>
      <c r="AI127" s="58" t="s">
        <v>1551</v>
      </c>
    </row>
    <row r="128" ht="22.5" customHeight="1">
      <c r="A128" s="56" t="s">
        <v>1552</v>
      </c>
      <c r="B128" s="57">
        <v>46157.499074293984</v>
      </c>
      <c r="C128" s="58" t="s">
        <v>207</v>
      </c>
      <c r="D128" s="58" t="s">
        <v>184</v>
      </c>
      <c r="E128" s="58" t="s">
        <v>68</v>
      </c>
      <c r="F128" s="58" t="s">
        <v>1553</v>
      </c>
      <c r="G128" s="58" t="s">
        <v>732</v>
      </c>
      <c r="H128" s="63">
        <v>46157.0</v>
      </c>
      <c r="I128" s="67">
        <v>0.9166666666642413</v>
      </c>
      <c r="J128" s="58" t="s">
        <v>1553</v>
      </c>
      <c r="K128" s="72" t="s">
        <v>1400</v>
      </c>
      <c r="U128" s="58">
        <v>1.0</v>
      </c>
      <c r="AC128" s="58" t="s">
        <v>137</v>
      </c>
      <c r="AD128" s="58" t="s">
        <v>200</v>
      </c>
      <c r="AH128" s="58" t="s">
        <v>1554</v>
      </c>
      <c r="AI128" s="58" t="s">
        <v>1551</v>
      </c>
    </row>
    <row r="129" ht="22.5" customHeight="1">
      <c r="A129" s="135" t="s">
        <v>1555</v>
      </c>
      <c r="B129" s="57">
        <v>46157.5691425</v>
      </c>
      <c r="C129" s="58" t="s">
        <v>1376</v>
      </c>
      <c r="D129" s="58" t="s">
        <v>83</v>
      </c>
      <c r="E129" s="58" t="s">
        <v>99</v>
      </c>
      <c r="F129" s="58" t="s">
        <v>1418</v>
      </c>
      <c r="G129" s="58" t="s">
        <v>1556</v>
      </c>
      <c r="H129" s="63">
        <v>46167.0</v>
      </c>
      <c r="I129" s="67">
        <v>0.375</v>
      </c>
      <c r="J129" s="58" t="s">
        <v>1557</v>
      </c>
      <c r="K129" s="58" t="s">
        <v>1558</v>
      </c>
      <c r="R129" s="58">
        <v>3.0</v>
      </c>
      <c r="S129" s="58">
        <v>6.0</v>
      </c>
      <c r="T129" s="58">
        <v>3.0</v>
      </c>
      <c r="AC129" s="58" t="s">
        <v>170</v>
      </c>
      <c r="AD129" s="58" t="s">
        <v>150</v>
      </c>
      <c r="AG129" s="58" t="s">
        <v>1559</v>
      </c>
      <c r="AI129" s="58" t="s">
        <v>1551</v>
      </c>
    </row>
    <row r="130" ht="22.5" customHeight="1">
      <c r="A130" s="56" t="s">
        <v>1560</v>
      </c>
      <c r="B130" s="57">
        <v>46160.734778495374</v>
      </c>
      <c r="C130" s="58" t="s">
        <v>1376</v>
      </c>
      <c r="D130" s="58" t="s">
        <v>83</v>
      </c>
      <c r="E130" s="58" t="s">
        <v>99</v>
      </c>
      <c r="F130" s="58" t="s">
        <v>1561</v>
      </c>
      <c r="G130" s="58" t="s">
        <v>1562</v>
      </c>
      <c r="H130" s="63">
        <v>46161.0</v>
      </c>
      <c r="I130" s="67">
        <v>0.41666666666424135</v>
      </c>
      <c r="J130" s="58" t="s">
        <v>1563</v>
      </c>
      <c r="K130" s="58" t="s">
        <v>574</v>
      </c>
      <c r="Y130" s="58">
        <v>1.0</v>
      </c>
      <c r="AC130" s="58" t="s">
        <v>170</v>
      </c>
      <c r="AD130" s="58" t="s">
        <v>150</v>
      </c>
      <c r="AG130" s="58" t="s">
        <v>1564</v>
      </c>
      <c r="AI130" s="58" t="s">
        <v>179</v>
      </c>
    </row>
    <row r="131" ht="22.5" customHeight="1">
      <c r="A131" s="135" t="s">
        <v>1565</v>
      </c>
      <c r="B131" s="57">
        <v>46161.5971747338</v>
      </c>
      <c r="C131" s="58" t="s">
        <v>514</v>
      </c>
      <c r="D131" s="58" t="s">
        <v>1135</v>
      </c>
      <c r="E131" s="58" t="s">
        <v>99</v>
      </c>
      <c r="F131" s="58" t="s">
        <v>1417</v>
      </c>
      <c r="G131" s="58" t="s">
        <v>1566</v>
      </c>
      <c r="H131" s="63">
        <v>46163.0</v>
      </c>
      <c r="I131" s="67">
        <v>0.41666666666424135</v>
      </c>
      <c r="J131" s="58" t="s">
        <v>1567</v>
      </c>
      <c r="K131" s="58" t="s">
        <v>1568</v>
      </c>
      <c r="S131" s="58">
        <v>12.0</v>
      </c>
      <c r="U131" s="58">
        <v>3.0</v>
      </c>
      <c r="AC131" s="58" t="s">
        <v>121</v>
      </c>
      <c r="AD131" s="58" t="s">
        <v>90</v>
      </c>
      <c r="AG131" s="58" t="s">
        <v>1569</v>
      </c>
      <c r="AI131" s="58" t="s">
        <v>1551</v>
      </c>
    </row>
    <row r="132" ht="22.5" customHeight="1">
      <c r="A132" s="56" t="s">
        <v>1570</v>
      </c>
      <c r="B132" s="57">
        <v>46162.27566960648</v>
      </c>
      <c r="C132" s="58" t="s">
        <v>207</v>
      </c>
      <c r="D132" s="58" t="s">
        <v>355</v>
      </c>
      <c r="E132" s="58" t="s">
        <v>99</v>
      </c>
      <c r="F132" s="58" t="s">
        <v>1571</v>
      </c>
      <c r="G132" s="58" t="s">
        <v>1572</v>
      </c>
      <c r="H132" s="63">
        <v>46164.0</v>
      </c>
      <c r="I132" s="67">
        <v>0.3333333333333333</v>
      </c>
      <c r="J132" s="58" t="s">
        <v>1573</v>
      </c>
      <c r="K132" s="72" t="s">
        <v>1574</v>
      </c>
      <c r="P132" s="58">
        <v>3.0</v>
      </c>
      <c r="Q132" s="58">
        <v>3.0</v>
      </c>
      <c r="S132" s="58">
        <v>12.0</v>
      </c>
      <c r="T132" s="58">
        <v>6.0</v>
      </c>
      <c r="AC132" s="58" t="s">
        <v>137</v>
      </c>
      <c r="AD132" s="58" t="s">
        <v>150</v>
      </c>
      <c r="AH132" s="58" t="s">
        <v>1575</v>
      </c>
      <c r="AI132" s="58" t="s">
        <v>1551</v>
      </c>
    </row>
    <row r="133" ht="22.5" customHeight="1">
      <c r="A133" s="56" t="s">
        <v>1576</v>
      </c>
      <c r="B133" s="57">
        <v>46162.282447314814</v>
      </c>
      <c r="C133" s="58" t="s">
        <v>207</v>
      </c>
      <c r="D133" s="58" t="s">
        <v>355</v>
      </c>
      <c r="E133" s="58" t="s">
        <v>68</v>
      </c>
      <c r="F133" s="58" t="s">
        <v>1577</v>
      </c>
      <c r="G133" s="58" t="s">
        <v>820</v>
      </c>
      <c r="H133" s="63">
        <v>46170.0</v>
      </c>
      <c r="I133" s="67">
        <v>0.41666666666424135</v>
      </c>
      <c r="J133" s="58" t="s">
        <v>1578</v>
      </c>
      <c r="K133" s="58" t="s">
        <v>1578</v>
      </c>
      <c r="Q133" s="58">
        <v>3.0</v>
      </c>
      <c r="R133" s="58"/>
      <c r="S133" s="58">
        <v>6.0</v>
      </c>
      <c r="T133" s="58">
        <v>2.0</v>
      </c>
      <c r="AC133" s="58" t="s">
        <v>137</v>
      </c>
      <c r="AD133" s="58" t="s">
        <v>150</v>
      </c>
      <c r="AE133" s="58" t="s">
        <v>1579</v>
      </c>
      <c r="AI133" s="58" t="s">
        <v>1551</v>
      </c>
    </row>
    <row r="134" ht="22.5" customHeight="1">
      <c r="A134" s="56" t="s">
        <v>1580</v>
      </c>
      <c r="B134" s="57">
        <v>46162.439575972225</v>
      </c>
      <c r="C134" s="58" t="s">
        <v>183</v>
      </c>
      <c r="D134" s="58" t="s">
        <v>208</v>
      </c>
      <c r="E134" s="58" t="s">
        <v>209</v>
      </c>
      <c r="F134" s="58" t="s">
        <v>421</v>
      </c>
      <c r="G134" s="58" t="s">
        <v>820</v>
      </c>
      <c r="H134" s="63">
        <v>46162.0</v>
      </c>
      <c r="I134" s="67">
        <v>0.41666666666424135</v>
      </c>
      <c r="J134" s="58" t="s">
        <v>421</v>
      </c>
      <c r="K134" s="72" t="s">
        <v>275</v>
      </c>
      <c r="AA134" s="58" t="s">
        <v>1581</v>
      </c>
      <c r="AC134" s="58" t="s">
        <v>145</v>
      </c>
      <c r="AD134" s="58" t="s">
        <v>200</v>
      </c>
      <c r="AE134" s="58" t="s">
        <v>1582</v>
      </c>
      <c r="AI134" s="58" t="s">
        <v>179</v>
      </c>
    </row>
    <row r="135" ht="22.5" customHeight="1">
      <c r="A135" s="56" t="s">
        <v>1583</v>
      </c>
      <c r="B135" s="57">
        <v>46163.421343634254</v>
      </c>
      <c r="C135" s="58" t="s">
        <v>183</v>
      </c>
      <c r="D135" s="58" t="s">
        <v>355</v>
      </c>
      <c r="E135" s="58" t="s">
        <v>209</v>
      </c>
      <c r="F135" s="58" t="s">
        <v>1571</v>
      </c>
      <c r="G135" s="58" t="s">
        <v>820</v>
      </c>
      <c r="H135" s="63">
        <v>46162.0</v>
      </c>
      <c r="I135" s="67">
        <v>0.04166666666424135</v>
      </c>
      <c r="J135" s="58" t="s">
        <v>421</v>
      </c>
      <c r="K135" s="72" t="s">
        <v>275</v>
      </c>
      <c r="AA135" s="58" t="s">
        <v>1584</v>
      </c>
      <c r="AC135" s="58" t="s">
        <v>145</v>
      </c>
      <c r="AD135" s="58" t="s">
        <v>200</v>
      </c>
      <c r="AI135" s="58" t="s">
        <v>179</v>
      </c>
    </row>
    <row r="136" ht="22.5" customHeight="1">
      <c r="A136" s="56" t="s">
        <v>1585</v>
      </c>
      <c r="B136" s="57">
        <v>46162.282447314814</v>
      </c>
      <c r="C136" s="58" t="s">
        <v>207</v>
      </c>
      <c r="D136" s="58" t="s">
        <v>83</v>
      </c>
      <c r="E136" s="58" t="s">
        <v>68</v>
      </c>
      <c r="F136" s="58" t="s">
        <v>1426</v>
      </c>
      <c r="G136" s="58" t="s">
        <v>820</v>
      </c>
      <c r="H136" s="63">
        <v>46164.0</v>
      </c>
      <c r="I136" s="67">
        <v>0.41666666666424135</v>
      </c>
      <c r="J136" s="58" t="s">
        <v>1545</v>
      </c>
      <c r="K136" s="72" t="s">
        <v>1285</v>
      </c>
      <c r="Q136" s="58">
        <v>2.0</v>
      </c>
      <c r="S136" s="58">
        <v>4.0</v>
      </c>
      <c r="T136" s="58">
        <v>2.0</v>
      </c>
      <c r="AC136" s="58" t="s">
        <v>137</v>
      </c>
      <c r="AD136" s="58" t="s">
        <v>150</v>
      </c>
      <c r="AH136" s="58" t="s">
        <v>1586</v>
      </c>
      <c r="AI136" s="58" t="s">
        <v>1551</v>
      </c>
    </row>
    <row r="137" ht="22.5" customHeight="1">
      <c r="A137" s="56" t="s">
        <v>1587</v>
      </c>
      <c r="B137" s="57">
        <v>46163.61213666666</v>
      </c>
      <c r="C137" s="58" t="s">
        <v>183</v>
      </c>
      <c r="D137" s="58" t="s">
        <v>208</v>
      </c>
      <c r="E137" s="58" t="s">
        <v>209</v>
      </c>
      <c r="F137" s="58" t="s">
        <v>1403</v>
      </c>
      <c r="G137" s="58" t="s">
        <v>1588</v>
      </c>
      <c r="H137" s="63">
        <v>46163.0</v>
      </c>
      <c r="I137" s="67">
        <v>0.625</v>
      </c>
      <c r="J137" s="58" t="s">
        <v>421</v>
      </c>
      <c r="K137" s="72" t="s">
        <v>275</v>
      </c>
      <c r="AA137" s="58" t="s">
        <v>1589</v>
      </c>
      <c r="AC137" s="58" t="s">
        <v>145</v>
      </c>
      <c r="AD137" s="58" t="s">
        <v>200</v>
      </c>
      <c r="AE137" s="58" t="s">
        <v>1590</v>
      </c>
    </row>
    <row r="138" ht="22.5" customHeight="1">
      <c r="A138" s="56" t="s">
        <v>1591</v>
      </c>
      <c r="B138" s="57">
        <v>46164.41533729166</v>
      </c>
      <c r="C138" s="58" t="s">
        <v>514</v>
      </c>
      <c r="D138" s="58" t="s">
        <v>83</v>
      </c>
      <c r="E138" s="58" t="s">
        <v>99</v>
      </c>
      <c r="F138" s="58" t="s">
        <v>1571</v>
      </c>
      <c r="G138" s="58" t="s">
        <v>1592</v>
      </c>
      <c r="H138" s="63">
        <v>46164.0</v>
      </c>
      <c r="I138" s="67">
        <v>0.5416666666642413</v>
      </c>
      <c r="J138" s="58" t="s">
        <v>1593</v>
      </c>
      <c r="K138" s="58" t="s">
        <v>1594</v>
      </c>
      <c r="S138" s="58">
        <v>4.0</v>
      </c>
      <c r="U138" s="58">
        <v>1.0</v>
      </c>
      <c r="AC138" s="58" t="s">
        <v>121</v>
      </c>
      <c r="AD138" s="58" t="s">
        <v>90</v>
      </c>
      <c r="AE138" s="58" t="s">
        <v>1595</v>
      </c>
    </row>
    <row r="139" ht="22.5" customHeight="1">
      <c r="A139" s="56" t="s">
        <v>1596</v>
      </c>
      <c r="B139" s="57">
        <v>46165.49713158565</v>
      </c>
      <c r="C139" s="58" t="s">
        <v>183</v>
      </c>
      <c r="D139" s="58" t="s">
        <v>96</v>
      </c>
      <c r="E139" s="58" t="s">
        <v>209</v>
      </c>
      <c r="F139" s="58" t="s">
        <v>1597</v>
      </c>
      <c r="G139" s="58" t="s">
        <v>732</v>
      </c>
      <c r="H139" s="63">
        <v>46165.0</v>
      </c>
      <c r="I139" s="67">
        <v>0.41666666666424135</v>
      </c>
      <c r="J139" s="58" t="s">
        <v>1598</v>
      </c>
      <c r="K139" s="72" t="s">
        <v>275</v>
      </c>
      <c r="AA139" s="58" t="s">
        <v>1599</v>
      </c>
      <c r="AC139" s="58" t="s">
        <v>145</v>
      </c>
      <c r="AD139" s="58" t="s">
        <v>200</v>
      </c>
    </row>
    <row r="140" ht="22.5" customHeight="1">
      <c r="A140" s="56" t="s">
        <v>1600</v>
      </c>
      <c r="B140" s="57">
        <v>46167.48992827546</v>
      </c>
      <c r="C140" s="58" t="s">
        <v>1376</v>
      </c>
      <c r="D140" s="58" t="s">
        <v>83</v>
      </c>
      <c r="E140" s="58" t="s">
        <v>68</v>
      </c>
      <c r="F140" s="58" t="s">
        <v>1601</v>
      </c>
      <c r="G140" s="58" t="s">
        <v>1602</v>
      </c>
      <c r="H140" s="63">
        <v>46168.0</v>
      </c>
      <c r="I140" s="67">
        <v>0.41666666666424135</v>
      </c>
      <c r="J140" s="58" t="s">
        <v>1603</v>
      </c>
      <c r="K140" s="72" t="s">
        <v>1604</v>
      </c>
      <c r="P140" s="58">
        <v>4.0</v>
      </c>
      <c r="Q140" s="58">
        <v>1.0</v>
      </c>
      <c r="R140" s="58">
        <v>4.0</v>
      </c>
      <c r="S140" s="58">
        <v>18.0</v>
      </c>
      <c r="T140" s="58">
        <v>9.0</v>
      </c>
      <c r="AC140" s="58" t="s">
        <v>170</v>
      </c>
      <c r="AD140" s="58" t="s">
        <v>150</v>
      </c>
      <c r="AG140" s="58" t="s">
        <v>1605</v>
      </c>
      <c r="AH140" s="58" t="s">
        <v>1606</v>
      </c>
    </row>
    <row r="141" ht="22.5" customHeight="1">
      <c r="A141" s="56" t="s">
        <v>1607</v>
      </c>
      <c r="B141" s="57">
        <v>46167.73820108797</v>
      </c>
      <c r="C141" s="58" t="s">
        <v>1376</v>
      </c>
      <c r="D141" s="58" t="s">
        <v>355</v>
      </c>
      <c r="E141" s="58" t="s">
        <v>99</v>
      </c>
      <c r="F141" s="58" t="s">
        <v>1608</v>
      </c>
      <c r="G141" s="58" t="s">
        <v>1572</v>
      </c>
      <c r="H141" s="58" t="s">
        <v>1609</v>
      </c>
      <c r="I141" s="67">
        <v>0.625</v>
      </c>
      <c r="J141" s="58" t="s">
        <v>1610</v>
      </c>
      <c r="K141" s="58" t="s">
        <v>1611</v>
      </c>
      <c r="P141" s="58">
        <v>1.0</v>
      </c>
      <c r="Q141" s="58">
        <v>8.0</v>
      </c>
      <c r="S141" s="58">
        <v>18.0</v>
      </c>
      <c r="T141" s="58">
        <v>9.0</v>
      </c>
      <c r="AC141" s="58" t="s">
        <v>170</v>
      </c>
      <c r="AD141" s="58" t="s">
        <v>150</v>
      </c>
      <c r="AH141" s="58" t="s">
        <v>1612</v>
      </c>
    </row>
    <row r="142" ht="22.5" customHeight="1">
      <c r="A142" s="56" t="s">
        <v>1613</v>
      </c>
      <c r="B142" s="57">
        <v>46168.583503518515</v>
      </c>
      <c r="C142" s="58" t="s">
        <v>183</v>
      </c>
      <c r="D142" s="58" t="s">
        <v>208</v>
      </c>
      <c r="E142" s="58" t="s">
        <v>209</v>
      </c>
      <c r="F142" s="58" t="s">
        <v>889</v>
      </c>
      <c r="G142" s="58" t="s">
        <v>820</v>
      </c>
      <c r="H142" s="63">
        <v>46168.0</v>
      </c>
      <c r="I142" s="67">
        <v>0.41666666666424135</v>
      </c>
      <c r="J142" s="58" t="s">
        <v>421</v>
      </c>
      <c r="K142" s="72" t="s">
        <v>275</v>
      </c>
      <c r="AA142" s="58" t="s">
        <v>1614</v>
      </c>
      <c r="AC142" s="58" t="s">
        <v>145</v>
      </c>
      <c r="AD142" s="58" t="s">
        <v>200</v>
      </c>
      <c r="AE142" s="58" t="s">
        <v>1615</v>
      </c>
    </row>
    <row r="143" ht="22.5" customHeight="1">
      <c r="A143" s="56" t="s">
        <v>1616</v>
      </c>
      <c r="B143" s="57">
        <v>46168.58991895833</v>
      </c>
      <c r="C143" s="58" t="s">
        <v>183</v>
      </c>
      <c r="D143" s="58" t="s">
        <v>184</v>
      </c>
      <c r="E143" s="58" t="s">
        <v>209</v>
      </c>
      <c r="F143" s="58" t="s">
        <v>889</v>
      </c>
      <c r="G143" s="58" t="s">
        <v>1617</v>
      </c>
      <c r="H143" s="63">
        <v>46169.0</v>
      </c>
      <c r="I143" s="67">
        <v>0.3125</v>
      </c>
      <c r="J143" s="58" t="s">
        <v>192</v>
      </c>
      <c r="K143" s="72" t="s">
        <v>1444</v>
      </c>
      <c r="AA143" s="58" t="s">
        <v>1618</v>
      </c>
      <c r="AC143" s="58" t="s">
        <v>145</v>
      </c>
      <c r="AD143" s="58" t="s">
        <v>200</v>
      </c>
    </row>
    <row r="144" ht="22.5" customHeight="1">
      <c r="A144" s="56" t="s">
        <v>1619</v>
      </c>
      <c r="B144" s="57">
        <v>46170.62544521991</v>
      </c>
      <c r="C144" s="58" t="s">
        <v>1376</v>
      </c>
      <c r="D144" s="58" t="s">
        <v>355</v>
      </c>
      <c r="E144" s="58" t="s">
        <v>99</v>
      </c>
      <c r="F144" s="58" t="s">
        <v>1608</v>
      </c>
      <c r="G144" s="58" t="s">
        <v>1572</v>
      </c>
      <c r="H144" s="63">
        <v>46174.0</v>
      </c>
      <c r="I144" s="67">
        <v>0.41666666666424135</v>
      </c>
      <c r="J144" s="58" t="s">
        <v>1610</v>
      </c>
      <c r="K144" s="58" t="s">
        <v>1611</v>
      </c>
      <c r="Q144" s="58">
        <v>15.0</v>
      </c>
      <c r="S144" s="58">
        <v>30.0</v>
      </c>
      <c r="T144" s="58">
        <v>15.0</v>
      </c>
      <c r="AC144" s="58" t="s">
        <v>1620</v>
      </c>
      <c r="AD144" s="58" t="s">
        <v>150</v>
      </c>
      <c r="AG144" s="58" t="s">
        <v>1621</v>
      </c>
    </row>
    <row r="145" ht="22.5" customHeight="1">
      <c r="A145" s="56" t="s">
        <v>1622</v>
      </c>
      <c r="B145" s="57">
        <v>46171.73899719908</v>
      </c>
      <c r="C145" s="58" t="s">
        <v>183</v>
      </c>
      <c r="D145" s="58" t="s">
        <v>96</v>
      </c>
      <c r="E145" s="58" t="s">
        <v>209</v>
      </c>
      <c r="F145" s="58" t="s">
        <v>1623</v>
      </c>
      <c r="G145" s="58" t="s">
        <v>1624</v>
      </c>
      <c r="H145" s="63">
        <v>46160.0</v>
      </c>
      <c r="I145" s="67">
        <v>0.5416666666642413</v>
      </c>
      <c r="J145" s="58" t="s">
        <v>1625</v>
      </c>
      <c r="K145" s="72" t="s">
        <v>275</v>
      </c>
      <c r="AA145" s="58" t="s">
        <v>1626</v>
      </c>
      <c r="AC145" s="58" t="s">
        <v>145</v>
      </c>
      <c r="AD145" s="58" t="s">
        <v>200</v>
      </c>
    </row>
    <row r="146" ht="22.5" customHeight="1">
      <c r="A146" s="56" t="s">
        <v>1627</v>
      </c>
      <c r="B146" s="57">
        <v>46175.48433181713</v>
      </c>
      <c r="C146" s="58" t="s">
        <v>183</v>
      </c>
      <c r="D146" s="58" t="s">
        <v>208</v>
      </c>
      <c r="E146" s="58" t="s">
        <v>209</v>
      </c>
      <c r="F146" s="58" t="s">
        <v>1403</v>
      </c>
      <c r="G146" s="58" t="s">
        <v>820</v>
      </c>
      <c r="H146" s="63">
        <v>46175.0</v>
      </c>
      <c r="I146" s="67">
        <v>0.45833333333575865</v>
      </c>
      <c r="J146" s="58" t="s">
        <v>421</v>
      </c>
      <c r="K146" s="72" t="s">
        <v>275</v>
      </c>
      <c r="AA146" s="58" t="s">
        <v>1628</v>
      </c>
      <c r="AC146" s="58" t="s">
        <v>145</v>
      </c>
      <c r="AD146" s="58" t="s">
        <v>200</v>
      </c>
      <c r="AE146" s="58" t="s">
        <v>1629</v>
      </c>
      <c r="AH146" s="58" t="s">
        <v>1630</v>
      </c>
    </row>
    <row r="147" ht="22.5" customHeight="1">
      <c r="A147" s="56" t="s">
        <v>1631</v>
      </c>
      <c r="B147" s="57">
        <v>46176.39782966435</v>
      </c>
      <c r="C147" s="58" t="s">
        <v>1632</v>
      </c>
      <c r="D147" s="58" t="s">
        <v>83</v>
      </c>
      <c r="E147" s="58" t="s">
        <v>99</v>
      </c>
      <c r="F147" s="58" t="s">
        <v>1573</v>
      </c>
      <c r="G147" s="58" t="s">
        <v>1633</v>
      </c>
      <c r="H147" s="63">
        <v>46178.0</v>
      </c>
      <c r="I147" s="67">
        <v>0.41666666666424135</v>
      </c>
      <c r="J147" s="58" t="s">
        <v>1573</v>
      </c>
      <c r="K147" s="72" t="s">
        <v>1634</v>
      </c>
      <c r="L147" s="58">
        <v>1.0</v>
      </c>
      <c r="S147" s="58">
        <v>2.0</v>
      </c>
      <c r="T147" s="58">
        <v>1.0</v>
      </c>
      <c r="AC147" s="58" t="s">
        <v>188</v>
      </c>
      <c r="AD147" s="58" t="s">
        <v>150</v>
      </c>
      <c r="AH147" s="58" t="s">
        <v>1635</v>
      </c>
    </row>
    <row r="148" ht="22.5" customHeight="1">
      <c r="A148" s="56" t="s">
        <v>1636</v>
      </c>
      <c r="B148" s="57">
        <v>46176.62175457176</v>
      </c>
      <c r="C148" s="58" t="s">
        <v>1632</v>
      </c>
      <c r="D148" s="58" t="s">
        <v>355</v>
      </c>
      <c r="E148" s="58" t="s">
        <v>68</v>
      </c>
      <c r="F148" s="58" t="s">
        <v>1637</v>
      </c>
      <c r="G148" s="58" t="s">
        <v>890</v>
      </c>
      <c r="H148" s="63">
        <v>46177.0</v>
      </c>
      <c r="I148" s="67">
        <v>0.375</v>
      </c>
      <c r="J148" s="58" t="s">
        <v>1637</v>
      </c>
      <c r="K148" s="72" t="s">
        <v>1634</v>
      </c>
      <c r="Q148" s="58">
        <v>1.0</v>
      </c>
      <c r="S148" s="58">
        <v>2.0</v>
      </c>
      <c r="T148" s="58">
        <v>1.0</v>
      </c>
      <c r="AC148" s="58" t="s">
        <v>188</v>
      </c>
      <c r="AD148" s="58" t="s">
        <v>150</v>
      </c>
      <c r="AE148" s="58" t="s">
        <v>1638</v>
      </c>
      <c r="AG148" s="58" t="s">
        <v>1639</v>
      </c>
      <c r="AH148" s="58" t="s">
        <v>1639</v>
      </c>
    </row>
    <row r="149" ht="22.5" customHeight="1">
      <c r="A149" s="56" t="s">
        <v>1640</v>
      </c>
      <c r="B149" s="57">
        <v>46178.44125480324</v>
      </c>
      <c r="C149" s="58" t="s">
        <v>514</v>
      </c>
      <c r="D149" s="58" t="s">
        <v>1135</v>
      </c>
      <c r="E149" s="58" t="s">
        <v>99</v>
      </c>
      <c r="F149" s="58" t="s">
        <v>1641</v>
      </c>
      <c r="G149" s="58" t="s">
        <v>1642</v>
      </c>
      <c r="H149" s="63">
        <v>46181.0</v>
      </c>
      <c r="I149" s="67">
        <v>0.41666666666424135</v>
      </c>
      <c r="J149" s="58" t="s">
        <v>1643</v>
      </c>
      <c r="K149" s="58" t="s">
        <v>1644</v>
      </c>
      <c r="S149" s="58">
        <v>4.0</v>
      </c>
      <c r="U149" s="58">
        <v>1.0</v>
      </c>
      <c r="AC149" s="58" t="s">
        <v>121</v>
      </c>
      <c r="AD149" s="58" t="s">
        <v>90</v>
      </c>
    </row>
    <row r="150" ht="22.5" customHeight="1">
      <c r="A150" s="56" t="s">
        <v>1645</v>
      </c>
      <c r="B150" s="57">
        <v>46178.454071458335</v>
      </c>
      <c r="C150" s="58" t="s">
        <v>514</v>
      </c>
      <c r="D150" s="58" t="s">
        <v>1135</v>
      </c>
      <c r="E150" s="58" t="s">
        <v>99</v>
      </c>
      <c r="F150" s="58" t="s">
        <v>1646</v>
      </c>
      <c r="G150" s="58" t="s">
        <v>1647</v>
      </c>
      <c r="H150" s="63">
        <v>46181.0</v>
      </c>
      <c r="I150" s="67">
        <v>0.45833333333575865</v>
      </c>
      <c r="J150" s="58" t="s">
        <v>1648</v>
      </c>
      <c r="K150" s="58" t="s">
        <v>1649</v>
      </c>
      <c r="S150" s="58">
        <v>4.0</v>
      </c>
      <c r="U150" s="58">
        <v>1.0</v>
      </c>
      <c r="AC150" s="58" t="s">
        <v>121</v>
      </c>
      <c r="AD150" s="58" t="s">
        <v>90</v>
      </c>
    </row>
    <row r="151" ht="22.5" customHeight="1">
      <c r="A151" s="56" t="s">
        <v>1650</v>
      </c>
      <c r="B151" s="57">
        <v>46178.45762084491</v>
      </c>
      <c r="C151" s="58" t="s">
        <v>514</v>
      </c>
      <c r="D151" s="58" t="s">
        <v>1135</v>
      </c>
      <c r="E151" s="58" t="s">
        <v>99</v>
      </c>
      <c r="F151" s="58" t="s">
        <v>1651</v>
      </c>
      <c r="G151" s="58" t="s">
        <v>1652</v>
      </c>
      <c r="H151" s="63">
        <v>46181.0</v>
      </c>
      <c r="I151" s="67">
        <v>0.625</v>
      </c>
      <c r="J151" s="58" t="s">
        <v>1653</v>
      </c>
      <c r="K151" s="58" t="s">
        <v>1654</v>
      </c>
      <c r="S151" s="58">
        <v>4.0</v>
      </c>
      <c r="U151" s="58">
        <v>1.0</v>
      </c>
      <c r="AC151" s="58" t="s">
        <v>121</v>
      </c>
      <c r="AD151" s="58" t="s">
        <v>90</v>
      </c>
    </row>
    <row r="152" ht="22.5" customHeight="1">
      <c r="A152" s="56" t="s">
        <v>1655</v>
      </c>
      <c r="B152" s="57">
        <v>46178.46409653935</v>
      </c>
      <c r="C152" s="58" t="s">
        <v>514</v>
      </c>
      <c r="D152" s="58" t="s">
        <v>1135</v>
      </c>
      <c r="E152" s="58" t="s">
        <v>99</v>
      </c>
      <c r="F152" s="58" t="s">
        <v>1656</v>
      </c>
      <c r="G152" s="58" t="s">
        <v>1657</v>
      </c>
      <c r="H152" s="63">
        <v>46181.0</v>
      </c>
      <c r="I152" s="67">
        <v>0.75</v>
      </c>
      <c r="J152" s="58" t="s">
        <v>1658</v>
      </c>
      <c r="K152" s="58" t="s">
        <v>1659</v>
      </c>
      <c r="S152" s="58">
        <v>4.0</v>
      </c>
      <c r="U152" s="58">
        <v>1.0</v>
      </c>
      <c r="AC152" s="58" t="s">
        <v>121</v>
      </c>
      <c r="AD152" s="58" t="s">
        <v>90</v>
      </c>
    </row>
    <row r="153" ht="22.5" customHeight="1">
      <c r="A153" s="56" t="s">
        <v>1660</v>
      </c>
      <c r="B153" s="57">
        <v>46178.46713164352</v>
      </c>
      <c r="C153" s="58" t="s">
        <v>514</v>
      </c>
      <c r="D153" s="58" t="s">
        <v>1135</v>
      </c>
      <c r="E153" s="58" t="s">
        <v>99</v>
      </c>
      <c r="F153" s="58" t="s">
        <v>1661</v>
      </c>
      <c r="G153" s="58" t="s">
        <v>1662</v>
      </c>
      <c r="H153" s="63">
        <v>46182.0</v>
      </c>
      <c r="I153" s="67">
        <v>0.41666666666424135</v>
      </c>
      <c r="J153" s="58" t="s">
        <v>1663</v>
      </c>
      <c r="K153" s="58" t="s">
        <v>1664</v>
      </c>
      <c r="S153" s="58">
        <v>4.0</v>
      </c>
      <c r="U153" s="58">
        <v>1.0</v>
      </c>
      <c r="AC153" s="58" t="s">
        <v>121</v>
      </c>
      <c r="AD153" s="58" t="s">
        <v>90</v>
      </c>
    </row>
    <row r="154" ht="22.5" customHeight="1">
      <c r="A154" s="56" t="s">
        <v>1665</v>
      </c>
      <c r="B154" s="57">
        <v>46178.47219486111</v>
      </c>
      <c r="C154" s="58" t="s">
        <v>514</v>
      </c>
      <c r="D154" s="58" t="s">
        <v>1135</v>
      </c>
      <c r="E154" s="58" t="s">
        <v>99</v>
      </c>
      <c r="F154" s="58" t="s">
        <v>1666</v>
      </c>
      <c r="G154" s="58" t="s">
        <v>1667</v>
      </c>
      <c r="H154" s="63">
        <v>46182.0</v>
      </c>
      <c r="I154" s="67">
        <v>0.47916666666424135</v>
      </c>
      <c r="J154" s="58" t="s">
        <v>1668</v>
      </c>
      <c r="K154" s="58">
        <v>9.088606863E9</v>
      </c>
      <c r="S154" s="58">
        <v>4.0</v>
      </c>
      <c r="U154" s="58">
        <v>1.0</v>
      </c>
      <c r="AC154" s="58" t="s">
        <v>121</v>
      </c>
      <c r="AD154" s="58" t="s">
        <v>90</v>
      </c>
    </row>
    <row r="155" ht="22.5" customHeight="1">
      <c r="A155" s="56" t="s">
        <v>1669</v>
      </c>
      <c r="B155" s="57">
        <v>46178.583620798614</v>
      </c>
      <c r="C155" s="58" t="s">
        <v>1632</v>
      </c>
      <c r="D155" s="58" t="s">
        <v>83</v>
      </c>
      <c r="E155" s="58" t="s">
        <v>99</v>
      </c>
      <c r="F155" s="58" t="s">
        <v>1670</v>
      </c>
      <c r="G155" s="58" t="s">
        <v>1671</v>
      </c>
      <c r="H155" s="63">
        <v>46183.0</v>
      </c>
      <c r="I155" s="67">
        <v>0.45833333333575865</v>
      </c>
      <c r="J155" s="58" t="s">
        <v>1672</v>
      </c>
      <c r="K155" s="72" t="s">
        <v>1673</v>
      </c>
      <c r="L155" s="58">
        <v>4.0</v>
      </c>
      <c r="S155" s="58">
        <v>8.0</v>
      </c>
      <c r="T155" s="58">
        <v>4.0</v>
      </c>
      <c r="AC155" s="58" t="s">
        <v>188</v>
      </c>
      <c r="AD155" s="58" t="s">
        <v>150</v>
      </c>
    </row>
    <row r="156" ht="22.5" customHeight="1">
      <c r="A156" s="56" t="s">
        <v>1674</v>
      </c>
      <c r="B156" s="57">
        <v>46178.60928693287</v>
      </c>
      <c r="C156" s="58" t="s">
        <v>1632</v>
      </c>
      <c r="D156" s="58" t="s">
        <v>355</v>
      </c>
      <c r="E156" s="58" t="s">
        <v>99</v>
      </c>
      <c r="F156" s="58" t="s">
        <v>1675</v>
      </c>
      <c r="G156" s="58" t="s">
        <v>1572</v>
      </c>
      <c r="H156" s="63">
        <v>46183.0</v>
      </c>
      <c r="I156" s="67">
        <v>0.625</v>
      </c>
      <c r="J156" s="58" t="s">
        <v>1676</v>
      </c>
      <c r="K156" s="58" t="s">
        <v>1677</v>
      </c>
      <c r="P156" s="58">
        <v>1.0</v>
      </c>
      <c r="R156" s="58">
        <v>2.0</v>
      </c>
      <c r="S156" s="58">
        <v>6.0</v>
      </c>
      <c r="T156" s="58">
        <v>3.0</v>
      </c>
      <c r="AC156" s="58" t="s">
        <v>188</v>
      </c>
      <c r="AD156" s="58" t="s">
        <v>150</v>
      </c>
    </row>
    <row r="157" ht="22.5" customHeight="1">
      <c r="A157" s="56" t="s">
        <v>1678</v>
      </c>
      <c r="B157" s="57">
        <v>46178.75391303241</v>
      </c>
      <c r="C157" s="58" t="s">
        <v>1632</v>
      </c>
      <c r="D157" s="58" t="s">
        <v>355</v>
      </c>
      <c r="E157" s="58" t="s">
        <v>99</v>
      </c>
      <c r="F157" s="58" t="s">
        <v>1679</v>
      </c>
      <c r="G157" s="58" t="s">
        <v>1680</v>
      </c>
      <c r="H157" s="63">
        <v>46185.0</v>
      </c>
      <c r="I157" s="67">
        <v>0.375</v>
      </c>
      <c r="J157" s="58" t="s">
        <v>1681</v>
      </c>
      <c r="K157" s="72" t="s">
        <v>1604</v>
      </c>
      <c r="P157" s="58">
        <v>10.0</v>
      </c>
      <c r="Q157" s="58">
        <v>10.0</v>
      </c>
      <c r="S157" s="58">
        <v>40.0</v>
      </c>
      <c r="T157" s="58">
        <v>20.0</v>
      </c>
      <c r="AC157" s="58" t="s">
        <v>188</v>
      </c>
      <c r="AD157" s="58" t="s">
        <v>150</v>
      </c>
      <c r="AG157" s="58" t="s">
        <v>1682</v>
      </c>
    </row>
    <row r="158" ht="22.5" customHeight="1">
      <c r="A158" s="56" t="s">
        <v>1683</v>
      </c>
      <c r="B158" s="57">
        <v>46181.740875578704</v>
      </c>
      <c r="C158" s="58" t="s">
        <v>1632</v>
      </c>
      <c r="D158" s="58" t="s">
        <v>355</v>
      </c>
      <c r="E158" s="58" t="s">
        <v>99</v>
      </c>
      <c r="F158" s="58" t="s">
        <v>1684</v>
      </c>
      <c r="G158" s="58" t="s">
        <v>1685</v>
      </c>
      <c r="H158" s="63">
        <v>46189.0</v>
      </c>
      <c r="I158" s="67">
        <v>0.4583333333333333</v>
      </c>
      <c r="J158" s="58" t="s">
        <v>1481</v>
      </c>
      <c r="K158" s="72" t="s">
        <v>1482</v>
      </c>
      <c r="P158" s="58">
        <v>14.0</v>
      </c>
      <c r="S158" s="58">
        <v>28.0</v>
      </c>
      <c r="T158" s="58">
        <v>14.0</v>
      </c>
      <c r="AC158" s="58" t="s">
        <v>188</v>
      </c>
      <c r="AD158" s="58" t="s">
        <v>150</v>
      </c>
      <c r="AG158" s="58" t="s">
        <v>1686</v>
      </c>
      <c r="AH158" s="58" t="s">
        <v>1686</v>
      </c>
    </row>
    <row r="159" ht="22.5" customHeight="1">
      <c r="A159" s="56" t="s">
        <v>1687</v>
      </c>
      <c r="B159" s="57">
        <v>46187.335124375</v>
      </c>
      <c r="C159" s="58" t="s">
        <v>442</v>
      </c>
      <c r="D159" s="58" t="s">
        <v>67</v>
      </c>
      <c r="E159" s="58" t="s">
        <v>68</v>
      </c>
      <c r="F159" s="58" t="s">
        <v>1688</v>
      </c>
      <c r="G159" s="58" t="s">
        <v>1439</v>
      </c>
      <c r="H159" s="63">
        <v>46196.0</v>
      </c>
      <c r="I159" s="67">
        <v>0.5416666666666666</v>
      </c>
      <c r="J159" s="58" t="s">
        <v>1688</v>
      </c>
      <c r="K159" s="72" t="s">
        <v>1689</v>
      </c>
      <c r="R159" s="58">
        <v>1.0</v>
      </c>
      <c r="S159" s="58">
        <v>2.0</v>
      </c>
      <c r="T159" s="58">
        <v>1.0</v>
      </c>
      <c r="Y159" s="58">
        <v>1.0</v>
      </c>
      <c r="AC159" s="58" t="s">
        <v>129</v>
      </c>
      <c r="AD159" s="58" t="s">
        <v>451</v>
      </c>
    </row>
    <row r="160" ht="22.5" customHeight="1">
      <c r="A160" s="56" t="s">
        <v>1690</v>
      </c>
      <c r="B160" s="57">
        <v>46187.336545729166</v>
      </c>
      <c r="C160" s="58" t="s">
        <v>442</v>
      </c>
      <c r="D160" s="58" t="s">
        <v>67</v>
      </c>
      <c r="E160" s="58" t="s">
        <v>68</v>
      </c>
      <c r="F160" s="58" t="s">
        <v>1691</v>
      </c>
      <c r="G160" s="58" t="s">
        <v>1439</v>
      </c>
      <c r="H160" s="63">
        <v>46190.0</v>
      </c>
      <c r="I160" s="128">
        <v>0.75</v>
      </c>
      <c r="J160" s="58" t="s">
        <v>1692</v>
      </c>
      <c r="K160" s="72" t="s">
        <v>1693</v>
      </c>
      <c r="N160" s="58">
        <v>1.0</v>
      </c>
      <c r="S160" s="58">
        <v>2.0</v>
      </c>
      <c r="T160" s="58">
        <v>1.0</v>
      </c>
      <c r="Y160" s="58">
        <v>1.0</v>
      </c>
      <c r="AC160" s="58" t="s">
        <v>129</v>
      </c>
      <c r="AD160" s="58" t="s">
        <v>451</v>
      </c>
    </row>
    <row r="161" ht="22.5" customHeight="1">
      <c r="A161" s="56" t="s">
        <v>1694</v>
      </c>
      <c r="B161" s="57">
        <v>46187.33793930555</v>
      </c>
      <c r="C161" s="58" t="s">
        <v>442</v>
      </c>
      <c r="D161" s="58" t="s">
        <v>67</v>
      </c>
      <c r="E161" s="58" t="s">
        <v>68</v>
      </c>
      <c r="F161" s="58" t="s">
        <v>1695</v>
      </c>
      <c r="G161" s="58" t="s">
        <v>1439</v>
      </c>
      <c r="H161" s="63">
        <v>46191.0</v>
      </c>
      <c r="I161" s="128">
        <v>0.75</v>
      </c>
      <c r="J161" s="58" t="s">
        <v>1696</v>
      </c>
      <c r="K161" s="72" t="s">
        <v>1697</v>
      </c>
      <c r="P161" s="58">
        <v>1.0</v>
      </c>
      <c r="S161" s="58">
        <v>2.0</v>
      </c>
      <c r="T161" s="58">
        <v>1.0</v>
      </c>
      <c r="Y161" s="58">
        <v>1.0</v>
      </c>
      <c r="AC161" s="58" t="s">
        <v>129</v>
      </c>
      <c r="AD161" s="58" t="s">
        <v>451</v>
      </c>
    </row>
    <row r="162" ht="22.5" customHeight="1">
      <c r="A162" s="56" t="s">
        <v>1698</v>
      </c>
      <c r="B162" s="57">
        <v>46187.33962597222</v>
      </c>
      <c r="C162" s="58" t="s">
        <v>442</v>
      </c>
      <c r="D162" s="58" t="s">
        <v>67</v>
      </c>
      <c r="E162" s="58" t="s">
        <v>68</v>
      </c>
      <c r="F162" s="58" t="s">
        <v>1699</v>
      </c>
      <c r="G162" s="58" t="s">
        <v>1439</v>
      </c>
      <c r="H162" s="63">
        <v>46191.0</v>
      </c>
      <c r="I162" s="128">
        <v>0.75</v>
      </c>
      <c r="J162" s="58" t="s">
        <v>1700</v>
      </c>
      <c r="K162" s="72" t="s">
        <v>1701</v>
      </c>
      <c r="O162" s="58">
        <v>1.0</v>
      </c>
      <c r="S162" s="58">
        <v>2.0</v>
      </c>
      <c r="T162" s="58">
        <v>1.0</v>
      </c>
      <c r="Y162" s="58">
        <v>1.0</v>
      </c>
      <c r="AC162" s="58" t="s">
        <v>129</v>
      </c>
      <c r="AD162" s="58" t="s">
        <v>451</v>
      </c>
    </row>
    <row r="163" ht="22.5" customHeight="1">
      <c r="A163" s="56" t="s">
        <v>1702</v>
      </c>
      <c r="B163" s="57">
        <v>46187.34061810185</v>
      </c>
      <c r="C163" s="58" t="s">
        <v>442</v>
      </c>
      <c r="D163" s="58" t="s">
        <v>67</v>
      </c>
      <c r="E163" s="58" t="s">
        <v>68</v>
      </c>
      <c r="F163" s="58" t="s">
        <v>1703</v>
      </c>
      <c r="G163" s="58" t="s">
        <v>1439</v>
      </c>
      <c r="H163" s="63">
        <v>46191.0</v>
      </c>
      <c r="I163" s="128">
        <v>0.75</v>
      </c>
      <c r="J163" s="58" t="s">
        <v>1704</v>
      </c>
      <c r="K163" s="58" t="s">
        <v>1705</v>
      </c>
      <c r="O163" s="58">
        <v>1.0</v>
      </c>
      <c r="S163" s="58">
        <v>2.0</v>
      </c>
      <c r="T163" s="58">
        <v>1.0</v>
      </c>
      <c r="Y163" s="58">
        <v>1.0</v>
      </c>
      <c r="AC163" s="58" t="s">
        <v>129</v>
      </c>
      <c r="AD163" s="58" t="s">
        <v>451</v>
      </c>
    </row>
    <row r="164" ht="22.5" customHeight="1">
      <c r="A164" s="56" t="s">
        <v>1706</v>
      </c>
      <c r="B164" s="57">
        <v>46188.4314349537</v>
      </c>
      <c r="C164" s="58" t="s">
        <v>1632</v>
      </c>
      <c r="D164" s="58" t="s">
        <v>355</v>
      </c>
      <c r="E164" s="58" t="s">
        <v>99</v>
      </c>
      <c r="F164" s="58" t="s">
        <v>1707</v>
      </c>
      <c r="G164" s="58" t="s">
        <v>1708</v>
      </c>
      <c r="H164" s="63">
        <v>46189.0</v>
      </c>
      <c r="I164" s="67">
        <v>0.4166666666666667</v>
      </c>
      <c r="J164" s="58" t="s">
        <v>1709</v>
      </c>
      <c r="K164" s="58">
        <v>9.17833137E9</v>
      </c>
      <c r="Q164" s="58">
        <v>3.0</v>
      </c>
      <c r="R164" s="58">
        <v>3.0</v>
      </c>
      <c r="S164" s="58">
        <v>12.0</v>
      </c>
      <c r="T164" s="58">
        <v>6.0</v>
      </c>
      <c r="AC164" s="58" t="s">
        <v>188</v>
      </c>
      <c r="AD164" s="58" t="s">
        <v>150</v>
      </c>
    </row>
    <row r="165" ht="22.5" customHeight="1">
      <c r="A165" s="56" t="s">
        <v>1710</v>
      </c>
      <c r="B165" s="57">
        <v>46190.6999575463</v>
      </c>
      <c r="C165" s="58" t="s">
        <v>1632</v>
      </c>
      <c r="D165" s="58" t="s">
        <v>208</v>
      </c>
      <c r="E165" s="58" t="s">
        <v>209</v>
      </c>
      <c r="F165" s="58" t="s">
        <v>384</v>
      </c>
      <c r="G165" s="58" t="s">
        <v>1439</v>
      </c>
      <c r="H165" s="63">
        <v>46191.0</v>
      </c>
      <c r="I165" s="67">
        <v>0.375</v>
      </c>
      <c r="J165" s="58" t="s">
        <v>158</v>
      </c>
      <c r="K165" s="58" t="s">
        <v>1711</v>
      </c>
      <c r="P165" s="58">
        <v>2.0</v>
      </c>
      <c r="R165" s="58">
        <v>2.0</v>
      </c>
      <c r="S165" s="58">
        <v>8.0</v>
      </c>
      <c r="T165" s="58">
        <v>4.0</v>
      </c>
      <c r="AC165" s="58" t="s">
        <v>188</v>
      </c>
      <c r="AD165" s="58" t="s">
        <v>150</v>
      </c>
      <c r="AE165" s="58" t="s">
        <v>1712</v>
      </c>
    </row>
    <row r="166" ht="22.5" customHeight="1">
      <c r="A166" s="56" t="s">
        <v>1713</v>
      </c>
      <c r="B166" s="57">
        <v>46190.947747928236</v>
      </c>
      <c r="C166" s="58" t="s">
        <v>442</v>
      </c>
      <c r="D166" s="58" t="s">
        <v>67</v>
      </c>
      <c r="E166" s="58" t="s">
        <v>68</v>
      </c>
      <c r="F166" s="58" t="s">
        <v>1714</v>
      </c>
      <c r="G166" s="58" t="s">
        <v>1439</v>
      </c>
      <c r="H166" s="63">
        <v>46191.0</v>
      </c>
      <c r="I166" s="128">
        <v>0.75</v>
      </c>
      <c r="J166" s="58" t="s">
        <v>1715</v>
      </c>
      <c r="K166" s="72" t="s">
        <v>1716</v>
      </c>
      <c r="O166" s="58">
        <v>1.0</v>
      </c>
      <c r="S166" s="58">
        <v>2.0</v>
      </c>
      <c r="Y166" s="58">
        <v>1.0</v>
      </c>
      <c r="AC166" s="58" t="s">
        <v>129</v>
      </c>
      <c r="AD166" s="58" t="s">
        <v>451</v>
      </c>
    </row>
    <row r="167" ht="22.5" customHeight="1">
      <c r="A167" s="56" t="s">
        <v>1717</v>
      </c>
      <c r="B167" s="57">
        <v>46190.94889231482</v>
      </c>
      <c r="C167" s="58" t="s">
        <v>442</v>
      </c>
      <c r="D167" s="58" t="s">
        <v>67</v>
      </c>
      <c r="E167" s="58" t="s">
        <v>68</v>
      </c>
      <c r="F167" s="58" t="s">
        <v>1718</v>
      </c>
      <c r="G167" s="58" t="s">
        <v>1439</v>
      </c>
      <c r="H167" s="63">
        <v>46191.0</v>
      </c>
      <c r="I167" s="128">
        <v>0.75</v>
      </c>
      <c r="J167" s="58" t="s">
        <v>1719</v>
      </c>
      <c r="K167" s="58" t="s">
        <v>1720</v>
      </c>
      <c r="O167" s="58">
        <v>1.0</v>
      </c>
      <c r="S167" s="58">
        <v>2.0</v>
      </c>
      <c r="Y167" s="58">
        <v>1.0</v>
      </c>
      <c r="AC167" s="58" t="s">
        <v>129</v>
      </c>
      <c r="AD167" s="58" t="s">
        <v>451</v>
      </c>
    </row>
    <row r="168" ht="22.5" customHeight="1">
      <c r="A168" s="136" t="s">
        <v>1721</v>
      </c>
      <c r="B168" s="57">
        <v>46193.47937728009</v>
      </c>
      <c r="C168" s="58" t="s">
        <v>183</v>
      </c>
      <c r="D168" s="58" t="s">
        <v>208</v>
      </c>
      <c r="E168" s="58" t="s">
        <v>209</v>
      </c>
      <c r="F168" s="58" t="s">
        <v>1722</v>
      </c>
      <c r="G168" s="58" t="s">
        <v>732</v>
      </c>
      <c r="H168" s="63">
        <v>46193.0</v>
      </c>
      <c r="I168" s="67">
        <v>0.41666666666424135</v>
      </c>
      <c r="J168" s="58" t="s">
        <v>421</v>
      </c>
      <c r="K168" s="72" t="s">
        <v>275</v>
      </c>
      <c r="AA168" s="58" t="s">
        <v>1723</v>
      </c>
      <c r="AC168" s="58" t="s">
        <v>145</v>
      </c>
      <c r="AD168" s="58" t="s">
        <v>200</v>
      </c>
      <c r="AE168" s="58" t="s">
        <v>1724</v>
      </c>
    </row>
    <row r="169" ht="22.5" customHeight="1">
      <c r="A169" s="56" t="s">
        <v>1725</v>
      </c>
      <c r="B169" s="57">
        <v>46193.48890873842</v>
      </c>
      <c r="C169" s="58" t="s">
        <v>207</v>
      </c>
      <c r="D169" s="58" t="s">
        <v>83</v>
      </c>
      <c r="E169" s="58" t="s">
        <v>68</v>
      </c>
      <c r="F169" s="58" t="s">
        <v>1726</v>
      </c>
      <c r="G169" s="58" t="s">
        <v>229</v>
      </c>
      <c r="H169" s="63">
        <v>46193.0</v>
      </c>
      <c r="I169" s="67">
        <v>0.5833333333357587</v>
      </c>
      <c r="J169" s="58" t="s">
        <v>1727</v>
      </c>
      <c r="K169" s="72" t="s">
        <v>1400</v>
      </c>
      <c r="S169" s="58">
        <v>2.0</v>
      </c>
      <c r="T169" s="58">
        <v>1.0</v>
      </c>
      <c r="AC169" s="58" t="s">
        <v>137</v>
      </c>
      <c r="AD169" s="58" t="s">
        <v>150</v>
      </c>
      <c r="AE169" s="58" t="s">
        <v>1728</v>
      </c>
    </row>
    <row r="170" ht="22.5" customHeight="1">
      <c r="A170" s="56" t="s">
        <v>1729</v>
      </c>
      <c r="B170" s="57">
        <v>46195.45282849537</v>
      </c>
      <c r="C170" s="58" t="s">
        <v>1632</v>
      </c>
      <c r="D170" s="58" t="s">
        <v>83</v>
      </c>
      <c r="E170" s="58" t="s">
        <v>99</v>
      </c>
      <c r="F170" s="58" t="s">
        <v>1730</v>
      </c>
      <c r="G170" s="58" t="s">
        <v>1731</v>
      </c>
      <c r="H170" s="63">
        <v>46197.0</v>
      </c>
      <c r="I170" s="67">
        <v>0.4583333333333333</v>
      </c>
      <c r="J170" s="58" t="s">
        <v>1732</v>
      </c>
      <c r="K170" s="58" t="s">
        <v>1733</v>
      </c>
      <c r="M170" s="58">
        <v>1.0</v>
      </c>
      <c r="P170" s="58">
        <v>1.0</v>
      </c>
      <c r="S170" s="58">
        <v>4.0</v>
      </c>
      <c r="T170" s="58">
        <v>2.0</v>
      </c>
      <c r="AC170" s="58" t="s">
        <v>188</v>
      </c>
      <c r="AD170" s="58" t="s">
        <v>150</v>
      </c>
    </row>
    <row r="171" ht="22.5" customHeight="1">
      <c r="A171" s="56" t="s">
        <v>1734</v>
      </c>
      <c r="B171" s="57">
        <v>46196.71393496528</v>
      </c>
      <c r="C171" s="58" t="s">
        <v>1735</v>
      </c>
      <c r="D171" s="58" t="s">
        <v>67</v>
      </c>
      <c r="E171" s="58" t="s">
        <v>209</v>
      </c>
      <c r="F171" s="58" t="s">
        <v>1403</v>
      </c>
      <c r="G171" s="58" t="s">
        <v>1736</v>
      </c>
      <c r="H171" s="63">
        <v>46197.0</v>
      </c>
      <c r="I171" s="67">
        <v>0.375</v>
      </c>
      <c r="J171" s="58" t="s">
        <v>148</v>
      </c>
      <c r="K171" s="72" t="s">
        <v>1697</v>
      </c>
      <c r="AC171" s="58" t="s">
        <v>148</v>
      </c>
      <c r="AD171" s="58" t="s">
        <v>200</v>
      </c>
      <c r="AE171" s="58" t="s">
        <v>1737</v>
      </c>
    </row>
    <row r="172" ht="22.5" customHeight="1">
      <c r="A172" s="56" t="s">
        <v>1738</v>
      </c>
      <c r="B172" s="57">
        <v>46196.719022060184</v>
      </c>
      <c r="C172" s="58" t="s">
        <v>1735</v>
      </c>
      <c r="D172" s="58" t="s">
        <v>208</v>
      </c>
      <c r="E172" s="58" t="s">
        <v>209</v>
      </c>
      <c r="F172" s="58" t="s">
        <v>1403</v>
      </c>
      <c r="G172" s="58" t="s">
        <v>1736</v>
      </c>
      <c r="H172" s="63">
        <v>46196.0</v>
      </c>
      <c r="I172" s="67">
        <v>0.41666666666424135</v>
      </c>
      <c r="J172" s="58" t="s">
        <v>148</v>
      </c>
      <c r="K172" s="72" t="s">
        <v>1697</v>
      </c>
      <c r="AA172" s="58" t="s">
        <v>1739</v>
      </c>
      <c r="AC172" s="58" t="s">
        <v>148</v>
      </c>
      <c r="AD172" s="58" t="s">
        <v>200</v>
      </c>
    </row>
    <row r="173" ht="22.5" customHeight="1">
      <c r="A173" s="56" t="s">
        <v>1740</v>
      </c>
      <c r="B173" s="57">
        <v>46197.751451006945</v>
      </c>
      <c r="C173" s="58" t="s">
        <v>1741</v>
      </c>
      <c r="D173" s="58" t="s">
        <v>67</v>
      </c>
      <c r="E173" s="58" t="s">
        <v>68</v>
      </c>
      <c r="F173" s="58" t="s">
        <v>1722</v>
      </c>
      <c r="G173" s="58" t="s">
        <v>1742</v>
      </c>
      <c r="H173" s="63">
        <v>46198.0</v>
      </c>
      <c r="I173" s="67">
        <v>0.6666666666642413</v>
      </c>
      <c r="J173" s="58" t="s">
        <v>1743</v>
      </c>
      <c r="K173" s="72" t="s">
        <v>1689</v>
      </c>
      <c r="AA173" s="58" t="s">
        <v>1744</v>
      </c>
      <c r="AC173" s="58" t="s">
        <v>198</v>
      </c>
      <c r="AD173" s="58" t="s">
        <v>150</v>
      </c>
      <c r="AG173" s="58" t="s">
        <v>1745</v>
      </c>
      <c r="AH173" s="58" t="s">
        <v>1746</v>
      </c>
    </row>
    <row r="174" ht="22.5" customHeight="1">
      <c r="A174" s="56" t="s">
        <v>1747</v>
      </c>
      <c r="B174" s="57">
        <v>46198.88709496528</v>
      </c>
      <c r="C174" s="58" t="s">
        <v>1741</v>
      </c>
      <c r="D174" s="58" t="s">
        <v>67</v>
      </c>
      <c r="E174" s="58" t="s">
        <v>68</v>
      </c>
      <c r="F174" s="58" t="s">
        <v>1722</v>
      </c>
      <c r="G174" s="58" t="s">
        <v>1748</v>
      </c>
      <c r="H174" s="63">
        <v>46202.0</v>
      </c>
      <c r="I174" s="67">
        <v>0.5416666666642413</v>
      </c>
      <c r="J174" s="58" t="s">
        <v>1749</v>
      </c>
      <c r="K174" s="72" t="s">
        <v>1285</v>
      </c>
      <c r="AC174" s="58" t="s">
        <v>198</v>
      </c>
      <c r="AD174" s="58" t="s">
        <v>150</v>
      </c>
      <c r="AG174" s="58" t="s">
        <v>1750</v>
      </c>
      <c r="AH174" s="58" t="s">
        <v>1751</v>
      </c>
    </row>
    <row r="175" ht="22.5" customHeight="1">
      <c r="A175" s="56" t="s">
        <v>1752</v>
      </c>
      <c r="B175" s="57">
        <v>46198.88936054398</v>
      </c>
      <c r="C175" s="58" t="s">
        <v>1741</v>
      </c>
      <c r="D175" s="58" t="s">
        <v>67</v>
      </c>
      <c r="E175" s="58" t="s">
        <v>68</v>
      </c>
      <c r="F175" s="58" t="s">
        <v>1722</v>
      </c>
      <c r="G175" s="58" t="s">
        <v>1748</v>
      </c>
      <c r="H175" s="63">
        <v>46202.0</v>
      </c>
      <c r="I175" s="67">
        <v>0.5416666666642413</v>
      </c>
      <c r="J175" s="58" t="s">
        <v>1691</v>
      </c>
      <c r="K175" s="58" t="s">
        <v>1753</v>
      </c>
      <c r="AC175" s="58" t="s">
        <v>198</v>
      </c>
      <c r="AD175" s="58" t="s">
        <v>150</v>
      </c>
      <c r="AG175" s="58" t="s">
        <v>1754</v>
      </c>
      <c r="AH175" s="58" t="s">
        <v>1755</v>
      </c>
    </row>
    <row r="176" ht="22.5" customHeight="1">
      <c r="A176" s="56" t="s">
        <v>1756</v>
      </c>
      <c r="B176" s="57">
        <v>46199.49797484954</v>
      </c>
      <c r="C176" s="58" t="s">
        <v>1735</v>
      </c>
      <c r="D176" s="58" t="s">
        <v>184</v>
      </c>
      <c r="E176" s="58" t="s">
        <v>209</v>
      </c>
      <c r="F176" s="58" t="s">
        <v>1757</v>
      </c>
      <c r="G176" s="58" t="s">
        <v>1439</v>
      </c>
      <c r="H176" s="63">
        <v>46199.0</v>
      </c>
      <c r="I176" s="67">
        <v>0.5416666666642413</v>
      </c>
      <c r="J176" s="58" t="s">
        <v>148</v>
      </c>
      <c r="K176" s="72" t="s">
        <v>1697</v>
      </c>
      <c r="L176" s="58">
        <v>2.0</v>
      </c>
      <c r="P176" s="58">
        <v>2.0</v>
      </c>
      <c r="R176" s="58">
        <v>2.0</v>
      </c>
      <c r="S176" s="58">
        <v>12.0</v>
      </c>
      <c r="T176" s="58">
        <v>6.0</v>
      </c>
      <c r="AC176" s="58" t="s">
        <v>148</v>
      </c>
      <c r="AD176" s="58" t="s">
        <v>200</v>
      </c>
      <c r="AH176" s="58" t="s">
        <v>1758</v>
      </c>
    </row>
    <row r="177" ht="22.5" customHeight="1">
      <c r="A177" s="56" t="s">
        <v>1759</v>
      </c>
      <c r="B177" s="57">
        <v>46199.628938877315</v>
      </c>
      <c r="C177" s="58" t="s">
        <v>1632</v>
      </c>
      <c r="D177" s="58" t="s">
        <v>83</v>
      </c>
      <c r="E177" s="58" t="s">
        <v>68</v>
      </c>
      <c r="F177" s="58" t="s">
        <v>384</v>
      </c>
      <c r="G177" s="58" t="s">
        <v>1439</v>
      </c>
      <c r="H177" s="63">
        <v>46202.0</v>
      </c>
      <c r="I177" s="67">
        <v>0.375</v>
      </c>
      <c r="J177" s="58" t="s">
        <v>1692</v>
      </c>
      <c r="K177" s="58" t="s">
        <v>1753</v>
      </c>
      <c r="R177" s="58">
        <v>1.0</v>
      </c>
      <c r="S177" s="58">
        <v>2.0</v>
      </c>
      <c r="T177" s="58">
        <v>1.0</v>
      </c>
      <c r="AC177" s="58" t="s">
        <v>188</v>
      </c>
      <c r="AD177" s="58" t="s">
        <v>409</v>
      </c>
    </row>
    <row r="178" ht="22.5" customHeight="1">
      <c r="A178" s="56" t="s">
        <v>1760</v>
      </c>
      <c r="B178" s="57">
        <v>46199.69136462963</v>
      </c>
      <c r="C178" s="58" t="s">
        <v>1632</v>
      </c>
      <c r="D178" s="58" t="s">
        <v>355</v>
      </c>
      <c r="E178" s="58" t="s">
        <v>68</v>
      </c>
      <c r="F178" s="58" t="s">
        <v>1761</v>
      </c>
      <c r="G178" s="58" t="s">
        <v>1762</v>
      </c>
      <c r="H178" s="63">
        <v>46203.0</v>
      </c>
      <c r="I178" s="67">
        <v>0.41666666666424135</v>
      </c>
      <c r="J178" s="58" t="s">
        <v>1763</v>
      </c>
      <c r="K178" s="72" t="s">
        <v>1764</v>
      </c>
      <c r="R178" s="58">
        <v>3.0</v>
      </c>
      <c r="S178" s="58">
        <v>6.0</v>
      </c>
      <c r="T178" s="58">
        <v>3.0</v>
      </c>
      <c r="AC178" s="58" t="s">
        <v>188</v>
      </c>
      <c r="AD178" s="58" t="s">
        <v>150</v>
      </c>
      <c r="AG178" s="58" t="s">
        <v>1765</v>
      </c>
      <c r="AH178" s="58" t="s">
        <v>1766</v>
      </c>
    </row>
    <row r="179" ht="22.5" customHeight="1">
      <c r="A179" s="56" t="s">
        <v>1767</v>
      </c>
      <c r="B179" s="57">
        <v>46202.63792278935</v>
      </c>
      <c r="C179" s="58" t="s">
        <v>1431</v>
      </c>
      <c r="D179" s="58" t="s">
        <v>67</v>
      </c>
      <c r="E179" s="58" t="s">
        <v>68</v>
      </c>
      <c r="F179" s="58" t="s">
        <v>1722</v>
      </c>
      <c r="G179" s="58" t="s">
        <v>1748</v>
      </c>
      <c r="H179" s="63">
        <v>46202.0</v>
      </c>
      <c r="I179" s="67">
        <v>0.75</v>
      </c>
      <c r="J179" s="58" t="s">
        <v>1703</v>
      </c>
      <c r="K179" s="72" t="s">
        <v>1768</v>
      </c>
      <c r="AA179" s="58"/>
      <c r="AC179" s="58" t="s">
        <v>180</v>
      </c>
      <c r="AD179" s="58" t="s">
        <v>1437</v>
      </c>
      <c r="AG179" s="58" t="s">
        <v>1769</v>
      </c>
      <c r="AH179" s="58" t="s">
        <v>1770</v>
      </c>
    </row>
    <row r="180" ht="22.5" customHeight="1">
      <c r="A180" s="56" t="s">
        <v>1771</v>
      </c>
      <c r="B180" s="57">
        <v>46202.640592048614</v>
      </c>
      <c r="C180" s="58" t="s">
        <v>1431</v>
      </c>
      <c r="D180" s="58" t="s">
        <v>67</v>
      </c>
      <c r="E180" s="58" t="s">
        <v>68</v>
      </c>
      <c r="F180" s="58" t="s">
        <v>1722</v>
      </c>
      <c r="G180" s="58" t="s">
        <v>1748</v>
      </c>
      <c r="H180" s="63">
        <v>46202.0</v>
      </c>
      <c r="I180" s="67">
        <v>0.75</v>
      </c>
      <c r="J180" s="58" t="s">
        <v>1714</v>
      </c>
      <c r="K180" s="72" t="s">
        <v>1716</v>
      </c>
      <c r="T180" s="58">
        <v>1.0</v>
      </c>
      <c r="AC180" s="58" t="s">
        <v>180</v>
      </c>
      <c r="AD180" s="58" t="s">
        <v>1437</v>
      </c>
      <c r="AH180" s="58" t="s">
        <v>1772</v>
      </c>
    </row>
    <row r="181" ht="22.5" customHeight="1">
      <c r="A181" s="56" t="s">
        <v>1773</v>
      </c>
      <c r="B181" s="57">
        <v>46202.64254408565</v>
      </c>
      <c r="C181" s="58" t="s">
        <v>1431</v>
      </c>
      <c r="D181" s="58" t="s">
        <v>67</v>
      </c>
      <c r="E181" s="58" t="s">
        <v>68</v>
      </c>
      <c r="F181" s="58" t="s">
        <v>1722</v>
      </c>
      <c r="G181" s="58" t="s">
        <v>1748</v>
      </c>
      <c r="H181" s="63">
        <v>46202.0</v>
      </c>
      <c r="I181" s="67">
        <v>0.75</v>
      </c>
      <c r="J181" s="58" t="s">
        <v>1774</v>
      </c>
      <c r="K181" s="72" t="s">
        <v>1775</v>
      </c>
      <c r="T181" s="58">
        <v>1.0</v>
      </c>
      <c r="AC181" s="58" t="s">
        <v>180</v>
      </c>
      <c r="AD181" s="58" t="s">
        <v>1437</v>
      </c>
      <c r="AH181" s="58" t="s">
        <v>1776</v>
      </c>
    </row>
    <row r="182" ht="22.5" customHeight="1">
      <c r="A182" s="137" t="s">
        <v>1777</v>
      </c>
      <c r="B182" s="57">
        <v>46202.64290726851</v>
      </c>
      <c r="C182" s="58" t="s">
        <v>1632</v>
      </c>
      <c r="D182" s="58" t="s">
        <v>67</v>
      </c>
      <c r="E182" s="58" t="s">
        <v>68</v>
      </c>
      <c r="F182" s="58" t="s">
        <v>384</v>
      </c>
      <c r="G182" s="58" t="s">
        <v>1778</v>
      </c>
      <c r="H182" s="63">
        <v>46203.0</v>
      </c>
      <c r="I182" s="67">
        <v>0.6666666666642413</v>
      </c>
      <c r="J182" s="58" t="s">
        <v>1779</v>
      </c>
      <c r="K182" s="72" t="s">
        <v>1634</v>
      </c>
      <c r="P182" s="58">
        <v>1.0</v>
      </c>
      <c r="R182" s="58">
        <v>1.0</v>
      </c>
      <c r="AC182" s="58" t="s">
        <v>188</v>
      </c>
      <c r="AD182" s="58" t="s">
        <v>150</v>
      </c>
      <c r="AH182" s="58" t="s">
        <v>1780</v>
      </c>
    </row>
    <row r="183" ht="22.5" customHeight="1">
      <c r="A183" s="56" t="s">
        <v>1781</v>
      </c>
      <c r="B183" s="57">
        <v>46202.65445181713</v>
      </c>
      <c r="C183" s="58" t="s">
        <v>1632</v>
      </c>
      <c r="D183" s="58" t="s">
        <v>67</v>
      </c>
      <c r="E183" s="58" t="s">
        <v>68</v>
      </c>
      <c r="F183" s="58" t="s">
        <v>515</v>
      </c>
      <c r="G183" s="58" t="s">
        <v>1778</v>
      </c>
      <c r="H183" s="63">
        <v>46203.0</v>
      </c>
      <c r="I183" s="67">
        <v>0.7083333333357587</v>
      </c>
      <c r="J183" s="58" t="s">
        <v>1782</v>
      </c>
      <c r="K183" s="72" t="s">
        <v>1634</v>
      </c>
      <c r="M183" s="58">
        <v>2.0</v>
      </c>
      <c r="S183" s="58">
        <v>4.0</v>
      </c>
      <c r="T183" s="58">
        <v>2.0</v>
      </c>
      <c r="AC183" s="58" t="s">
        <v>188</v>
      </c>
      <c r="AD183" s="58" t="s">
        <v>150</v>
      </c>
    </row>
    <row r="184" ht="22.5" customHeight="1">
      <c r="A184" s="136" t="s">
        <v>1783</v>
      </c>
      <c r="B184" s="57">
        <v>46203.58741659722</v>
      </c>
      <c r="C184" s="58" t="s">
        <v>183</v>
      </c>
      <c r="D184" s="58" t="s">
        <v>208</v>
      </c>
      <c r="E184" s="58" t="s">
        <v>209</v>
      </c>
      <c r="F184" s="58" t="s">
        <v>1784</v>
      </c>
      <c r="G184" s="58" t="s">
        <v>1748</v>
      </c>
      <c r="H184" s="63">
        <v>46196.0</v>
      </c>
      <c r="I184" s="67">
        <v>0.5416666666642413</v>
      </c>
      <c r="J184" s="58" t="s">
        <v>1695</v>
      </c>
      <c r="K184" s="72" t="s">
        <v>1697</v>
      </c>
      <c r="AA184" s="58" t="s">
        <v>1785</v>
      </c>
      <c r="AC184" s="58" t="s">
        <v>145</v>
      </c>
      <c r="AD184" s="58" t="s">
        <v>200</v>
      </c>
      <c r="AE184" s="58" t="s">
        <v>1786</v>
      </c>
    </row>
    <row r="185" ht="22.5" customHeight="1">
      <c r="A185" s="56" t="s">
        <v>1787</v>
      </c>
      <c r="B185" s="57">
        <v>46204.44355887732</v>
      </c>
      <c r="C185" s="58" t="s">
        <v>1632</v>
      </c>
      <c r="D185" s="58" t="s">
        <v>355</v>
      </c>
      <c r="E185" s="58" t="s">
        <v>99</v>
      </c>
      <c r="F185" s="58" t="s">
        <v>1761</v>
      </c>
      <c r="G185" s="58" t="s">
        <v>1788</v>
      </c>
      <c r="H185" s="63">
        <v>46205.0</v>
      </c>
      <c r="I185" s="67">
        <v>0.33333333333575865</v>
      </c>
      <c r="J185" s="58" t="s">
        <v>1789</v>
      </c>
      <c r="K185" s="58" t="s">
        <v>1790</v>
      </c>
      <c r="P185" s="58">
        <v>1.0</v>
      </c>
      <c r="Q185" s="58">
        <v>1.0</v>
      </c>
      <c r="R185" s="58">
        <v>2.0</v>
      </c>
      <c r="S185" s="58">
        <v>8.0</v>
      </c>
      <c r="T185" s="58">
        <v>4.0</v>
      </c>
      <c r="AC185" s="58" t="s">
        <v>188</v>
      </c>
      <c r="AD185" s="58" t="s">
        <v>150</v>
      </c>
    </row>
    <row r="186" ht="22.5" customHeight="1">
      <c r="A186" s="56" t="s">
        <v>1791</v>
      </c>
      <c r="B186" s="57">
        <v>46204.52506418982</v>
      </c>
      <c r="C186" s="58" t="s">
        <v>1632</v>
      </c>
      <c r="D186" s="58" t="s">
        <v>1135</v>
      </c>
      <c r="E186" s="58" t="s">
        <v>68</v>
      </c>
      <c r="F186" s="58" t="s">
        <v>384</v>
      </c>
      <c r="G186" s="58" t="s">
        <v>1792</v>
      </c>
      <c r="H186" s="63">
        <v>46204.0</v>
      </c>
      <c r="I186" s="67">
        <v>0.75</v>
      </c>
      <c r="J186" s="58" t="s">
        <v>1692</v>
      </c>
      <c r="K186" s="58" t="s">
        <v>1753</v>
      </c>
      <c r="S186" s="58">
        <v>2.0</v>
      </c>
      <c r="AC186" s="58" t="s">
        <v>188</v>
      </c>
      <c r="AD186" s="58" t="s">
        <v>409</v>
      </c>
    </row>
    <row r="187" ht="22.5" customHeight="1">
      <c r="A187" s="56" t="s">
        <v>1793</v>
      </c>
      <c r="B187" s="57">
        <v>46205.40401380787</v>
      </c>
      <c r="C187" s="58" t="s">
        <v>183</v>
      </c>
      <c r="D187" s="58" t="s">
        <v>83</v>
      </c>
      <c r="E187" s="58" t="s">
        <v>209</v>
      </c>
      <c r="F187" s="58" t="s">
        <v>1722</v>
      </c>
      <c r="G187" s="58" t="s">
        <v>820</v>
      </c>
      <c r="H187" s="63">
        <v>46204.0</v>
      </c>
      <c r="I187" s="67">
        <v>0.5416666666642413</v>
      </c>
      <c r="J187" s="58" t="s">
        <v>1794</v>
      </c>
      <c r="K187" s="72" t="s">
        <v>275</v>
      </c>
      <c r="AA187" s="58" t="s">
        <v>1795</v>
      </c>
      <c r="AC187" s="58" t="s">
        <v>145</v>
      </c>
      <c r="AD187" s="58" t="s">
        <v>200</v>
      </c>
    </row>
    <row r="188" ht="22.5" customHeight="1">
      <c r="A188" s="56" t="s">
        <v>1796</v>
      </c>
      <c r="B188" s="57">
        <v>46205.42602583334</v>
      </c>
      <c r="C188" s="58" t="s">
        <v>1632</v>
      </c>
      <c r="D188" s="58" t="s">
        <v>83</v>
      </c>
      <c r="E188" s="58" t="s">
        <v>68</v>
      </c>
      <c r="F188" s="58" t="s">
        <v>1797</v>
      </c>
      <c r="G188" s="58" t="s">
        <v>1798</v>
      </c>
      <c r="H188" s="63">
        <v>46206.0</v>
      </c>
      <c r="I188" s="67">
        <v>0.41666666666424135</v>
      </c>
      <c r="J188" s="58" t="s">
        <v>1799</v>
      </c>
      <c r="K188" s="58" t="s">
        <v>1419</v>
      </c>
      <c r="P188" s="58">
        <v>1.0</v>
      </c>
      <c r="S188" s="58">
        <v>2.0</v>
      </c>
      <c r="T188" s="58">
        <v>1.0</v>
      </c>
      <c r="AC188" s="58" t="s">
        <v>188</v>
      </c>
      <c r="AD188" s="58" t="s">
        <v>150</v>
      </c>
      <c r="AH188" s="58" t="s">
        <v>1800</v>
      </c>
    </row>
    <row r="189" ht="22.5" customHeight="1">
      <c r="A189" s="56" t="s">
        <v>1801</v>
      </c>
      <c r="B189" s="57">
        <v>46206.34047090278</v>
      </c>
      <c r="C189" s="58" t="s">
        <v>1632</v>
      </c>
      <c r="D189" s="58" t="s">
        <v>83</v>
      </c>
      <c r="E189" s="58" t="s">
        <v>68</v>
      </c>
      <c r="F189" s="58" t="s">
        <v>1573</v>
      </c>
      <c r="G189" s="58" t="s">
        <v>1802</v>
      </c>
      <c r="H189" s="63">
        <v>46206.0</v>
      </c>
      <c r="I189" s="67">
        <v>0.625</v>
      </c>
      <c r="J189" s="58" t="s">
        <v>1573</v>
      </c>
      <c r="K189" s="58" t="s">
        <v>1803</v>
      </c>
      <c r="P189" s="58">
        <v>1.0</v>
      </c>
      <c r="S189" s="58">
        <v>2.0</v>
      </c>
      <c r="T189" s="58">
        <v>1.0</v>
      </c>
      <c r="AC189" s="58" t="s">
        <v>188</v>
      </c>
      <c r="AD189" s="58" t="s">
        <v>150</v>
      </c>
    </row>
    <row r="190" ht="22.5" customHeight="1">
      <c r="A190" s="56" t="s">
        <v>1804</v>
      </c>
      <c r="B190" s="57">
        <v>46206.53105346065</v>
      </c>
      <c r="C190" s="58" t="s">
        <v>1632</v>
      </c>
      <c r="D190" s="58" t="s">
        <v>67</v>
      </c>
      <c r="E190" s="58" t="s">
        <v>68</v>
      </c>
      <c r="F190" s="58" t="s">
        <v>384</v>
      </c>
      <c r="G190" s="58" t="s">
        <v>1805</v>
      </c>
      <c r="H190" s="63">
        <v>46207.0</v>
      </c>
      <c r="I190" s="67">
        <v>0.375</v>
      </c>
      <c r="J190" s="58" t="s">
        <v>137</v>
      </c>
      <c r="K190" s="58" t="s">
        <v>1806</v>
      </c>
      <c r="S190" s="58">
        <v>2.0</v>
      </c>
      <c r="T190" s="58">
        <v>1.0</v>
      </c>
      <c r="AC190" s="58" t="s">
        <v>188</v>
      </c>
      <c r="AD190" s="58" t="s">
        <v>200</v>
      </c>
      <c r="AG190" s="58" t="s">
        <v>1807</v>
      </c>
      <c r="AH190" s="58" t="s">
        <v>1808</v>
      </c>
    </row>
    <row r="191" ht="22.5" customHeight="1">
      <c r="A191" s="56" t="s">
        <v>1809</v>
      </c>
      <c r="B191" s="57">
        <v>46206.582064953705</v>
      </c>
      <c r="C191" s="58" t="s">
        <v>1632</v>
      </c>
      <c r="D191" s="58" t="s">
        <v>83</v>
      </c>
      <c r="E191" s="58" t="s">
        <v>99</v>
      </c>
      <c r="F191" s="58" t="s">
        <v>1810</v>
      </c>
      <c r="G191" s="58" t="s">
        <v>1811</v>
      </c>
      <c r="H191" s="63">
        <v>46206.0</v>
      </c>
      <c r="I191" s="67">
        <v>0.7083333333357587</v>
      </c>
      <c r="J191" s="58" t="s">
        <v>1763</v>
      </c>
      <c r="K191" s="58" t="s">
        <v>1790</v>
      </c>
      <c r="AC191" s="58" t="s">
        <v>188</v>
      </c>
      <c r="AD191" s="58" t="s">
        <v>150</v>
      </c>
      <c r="AF191" s="58">
        <v>1.0</v>
      </c>
    </row>
    <row r="192" ht="22.5" customHeight="1">
      <c r="A192" s="56" t="s">
        <v>1812</v>
      </c>
      <c r="B192" s="57">
        <v>46206.733409583336</v>
      </c>
      <c r="C192" s="58" t="s">
        <v>1632</v>
      </c>
      <c r="D192" s="58" t="s">
        <v>208</v>
      </c>
      <c r="E192" s="58" t="s">
        <v>99</v>
      </c>
      <c r="F192" s="58" t="s">
        <v>1761</v>
      </c>
      <c r="G192" s="58" t="s">
        <v>1813</v>
      </c>
      <c r="H192" s="63">
        <v>46207.0</v>
      </c>
      <c r="I192" s="67">
        <v>0.3333333333333333</v>
      </c>
      <c r="J192" s="58" t="s">
        <v>1763</v>
      </c>
      <c r="K192" s="58" t="s">
        <v>1790</v>
      </c>
      <c r="P192" s="58">
        <v>1.0</v>
      </c>
      <c r="S192" s="58">
        <v>2.0</v>
      </c>
      <c r="T192" s="58">
        <v>1.0</v>
      </c>
      <c r="AC192" s="58" t="s">
        <v>188</v>
      </c>
      <c r="AD192" s="58" t="s">
        <v>150</v>
      </c>
      <c r="AE192" s="58" t="s">
        <v>1814</v>
      </c>
    </row>
    <row r="193" ht="22.5" customHeight="1">
      <c r="A193" s="56" t="s">
        <v>1815</v>
      </c>
      <c r="B193" s="57">
        <v>46209.41818599537</v>
      </c>
      <c r="C193" s="58" t="s">
        <v>1632</v>
      </c>
      <c r="D193" s="58" t="s">
        <v>83</v>
      </c>
      <c r="E193" s="58" t="s">
        <v>68</v>
      </c>
      <c r="F193" s="58" t="s">
        <v>1761</v>
      </c>
      <c r="G193" s="58" t="s">
        <v>1816</v>
      </c>
      <c r="H193" s="63">
        <v>46216.0</v>
      </c>
      <c r="I193" s="67">
        <v>0.4583333333333333</v>
      </c>
      <c r="J193" s="58" t="s">
        <v>1763</v>
      </c>
      <c r="K193" s="58" t="s">
        <v>1790</v>
      </c>
      <c r="L193" s="58">
        <v>1.0</v>
      </c>
      <c r="M193" s="58">
        <v>1.0</v>
      </c>
      <c r="S193" s="58">
        <v>4.0</v>
      </c>
      <c r="T193" s="58">
        <v>2.0</v>
      </c>
      <c r="AC193" s="58" t="s">
        <v>188</v>
      </c>
      <c r="AD193" s="58" t="s">
        <v>150</v>
      </c>
      <c r="AG193" s="58" t="s">
        <v>1817</v>
      </c>
    </row>
    <row r="194" ht="22.5" customHeight="1">
      <c r="A194" s="56" t="s">
        <v>1818</v>
      </c>
      <c r="B194" s="57">
        <v>46209.61381761574</v>
      </c>
      <c r="C194" s="58" t="s">
        <v>183</v>
      </c>
      <c r="D194" s="58" t="s">
        <v>184</v>
      </c>
      <c r="E194" s="58" t="s">
        <v>209</v>
      </c>
      <c r="F194" s="58" t="s">
        <v>1819</v>
      </c>
      <c r="G194" s="58" t="s">
        <v>1820</v>
      </c>
      <c r="H194" s="63">
        <v>46209.0</v>
      </c>
      <c r="I194" s="67">
        <v>0.625</v>
      </c>
      <c r="J194" s="58" t="s">
        <v>421</v>
      </c>
      <c r="K194" s="72" t="s">
        <v>275</v>
      </c>
      <c r="AA194" s="58" t="s">
        <v>1821</v>
      </c>
      <c r="AC194" s="58" t="s">
        <v>145</v>
      </c>
      <c r="AD194" s="58" t="s">
        <v>200</v>
      </c>
    </row>
    <row r="195" ht="22.5" customHeight="1">
      <c r="A195" s="56" t="s">
        <v>1822</v>
      </c>
      <c r="B195" s="57">
        <v>46209.72034998843</v>
      </c>
      <c r="C195" s="58" t="s">
        <v>183</v>
      </c>
      <c r="D195" s="58" t="s">
        <v>83</v>
      </c>
      <c r="E195" s="58" t="s">
        <v>209</v>
      </c>
      <c r="F195" s="58" t="s">
        <v>1722</v>
      </c>
      <c r="G195" s="58" t="s">
        <v>732</v>
      </c>
      <c r="H195" s="63">
        <v>46209.0</v>
      </c>
      <c r="I195" s="67">
        <v>0.625</v>
      </c>
      <c r="J195" s="58" t="s">
        <v>421</v>
      </c>
      <c r="K195" s="72" t="s">
        <v>275</v>
      </c>
      <c r="AA195" s="58" t="s">
        <v>1823</v>
      </c>
      <c r="AC195" s="58" t="s">
        <v>145</v>
      </c>
      <c r="AD195" s="58" t="s">
        <v>200</v>
      </c>
    </row>
    <row r="196" ht="22.5" customHeight="1">
      <c r="A196" s="56" t="s">
        <v>1824</v>
      </c>
      <c r="B196" s="57">
        <v>46213.4411678125</v>
      </c>
      <c r="C196" s="58" t="s">
        <v>514</v>
      </c>
      <c r="D196" s="58" t="s">
        <v>1135</v>
      </c>
      <c r="E196" s="58" t="s">
        <v>99</v>
      </c>
      <c r="F196" s="58" t="s">
        <v>1825</v>
      </c>
      <c r="G196" s="58" t="s">
        <v>1826</v>
      </c>
      <c r="H196" s="63">
        <v>46216.0</v>
      </c>
      <c r="I196" s="67">
        <v>0.39583333333575865</v>
      </c>
      <c r="J196" s="58" t="s">
        <v>1827</v>
      </c>
      <c r="K196" s="58" t="s">
        <v>1828</v>
      </c>
      <c r="S196" s="58">
        <v>4.0</v>
      </c>
      <c r="U196" s="58">
        <v>1.0</v>
      </c>
      <c r="AC196" s="58" t="s">
        <v>121</v>
      </c>
      <c r="AD196" s="58" t="s">
        <v>90</v>
      </c>
      <c r="AG196" s="58" t="s">
        <v>1829</v>
      </c>
    </row>
    <row r="197" ht="22.5" customHeight="1">
      <c r="A197" s="56" t="s">
        <v>1830</v>
      </c>
      <c r="B197" s="57">
        <v>46213.5586280787</v>
      </c>
      <c r="C197" s="58" t="s">
        <v>1632</v>
      </c>
      <c r="D197" s="58" t="s">
        <v>83</v>
      </c>
      <c r="E197" s="58" t="s">
        <v>99</v>
      </c>
      <c r="F197" s="58" t="s">
        <v>1831</v>
      </c>
      <c r="G197" s="58" t="s">
        <v>1832</v>
      </c>
      <c r="H197" s="63">
        <v>46219.0</v>
      </c>
      <c r="I197" s="67">
        <v>0.375</v>
      </c>
      <c r="J197" s="58" t="s">
        <v>1573</v>
      </c>
      <c r="K197" s="58" t="s">
        <v>1803</v>
      </c>
      <c r="L197" s="58">
        <v>1.0</v>
      </c>
      <c r="S197" s="58">
        <v>6.0</v>
      </c>
      <c r="T197" s="58">
        <v>1.0</v>
      </c>
      <c r="U197" s="58">
        <v>1.0</v>
      </c>
      <c r="AC197" s="58" t="s">
        <v>188</v>
      </c>
      <c r="AD197" s="58" t="s">
        <v>150</v>
      </c>
    </row>
    <row r="198" ht="22.5" customHeight="1">
      <c r="A198" s="56" t="s">
        <v>1833</v>
      </c>
      <c r="B198" s="57">
        <v>46213.59190442129</v>
      </c>
      <c r="C198" s="58" t="s">
        <v>1632</v>
      </c>
      <c r="D198" s="58" t="s">
        <v>355</v>
      </c>
      <c r="E198" s="58" t="s">
        <v>68</v>
      </c>
      <c r="F198" s="58" t="s">
        <v>1834</v>
      </c>
      <c r="G198" s="58" t="s">
        <v>1835</v>
      </c>
      <c r="H198" s="63">
        <v>46218.0</v>
      </c>
      <c r="I198" s="67">
        <v>0.41666666666424135</v>
      </c>
      <c r="J198" s="58" t="s">
        <v>1836</v>
      </c>
      <c r="K198" s="58" t="s">
        <v>1837</v>
      </c>
      <c r="P198" s="58">
        <v>1.0</v>
      </c>
      <c r="S198" s="58">
        <v>2.0</v>
      </c>
      <c r="T198" s="58">
        <v>1.0</v>
      </c>
      <c r="AC198" s="58" t="s">
        <v>188</v>
      </c>
      <c r="AD198" s="58" t="s">
        <v>150</v>
      </c>
    </row>
    <row r="199" ht="22.5" customHeight="1">
      <c r="A199" s="56" t="s">
        <v>1838</v>
      </c>
      <c r="B199" s="57">
        <v>46216.443794872685</v>
      </c>
      <c r="C199" s="58" t="s">
        <v>81</v>
      </c>
      <c r="D199" s="58" t="s">
        <v>208</v>
      </c>
      <c r="E199" s="58" t="s">
        <v>68</v>
      </c>
      <c r="F199" s="58" t="s">
        <v>89</v>
      </c>
      <c r="G199" s="58" t="s">
        <v>820</v>
      </c>
      <c r="H199" s="63">
        <v>46216.0</v>
      </c>
      <c r="I199" s="67">
        <v>0.5416666666642413</v>
      </c>
      <c r="J199" s="58" t="s">
        <v>89</v>
      </c>
      <c r="K199" s="72" t="s">
        <v>1839</v>
      </c>
      <c r="P199" s="58">
        <v>1.0</v>
      </c>
      <c r="AC199" s="58" t="s">
        <v>89</v>
      </c>
      <c r="AD199" s="58" t="s">
        <v>90</v>
      </c>
      <c r="AE199" s="58" t="s">
        <v>1840</v>
      </c>
      <c r="AH199" s="58" t="s">
        <v>1841</v>
      </c>
    </row>
    <row r="200" ht="22.5" customHeight="1">
      <c r="A200" s="56" t="s">
        <v>1842</v>
      </c>
      <c r="B200" s="57">
        <v>46216.6565800463</v>
      </c>
      <c r="C200" s="58" t="s">
        <v>1632</v>
      </c>
      <c r="D200" s="58" t="s">
        <v>96</v>
      </c>
      <c r="E200" s="58" t="s">
        <v>68</v>
      </c>
      <c r="F200" s="58" t="s">
        <v>1843</v>
      </c>
      <c r="G200" s="58" t="s">
        <v>1844</v>
      </c>
      <c r="H200" s="63">
        <v>46219.0</v>
      </c>
      <c r="I200" s="67">
        <v>0.375</v>
      </c>
      <c r="J200" s="58" t="s">
        <v>1845</v>
      </c>
      <c r="K200" s="58" t="s">
        <v>1846</v>
      </c>
      <c r="L200" s="58">
        <v>1.0</v>
      </c>
      <c r="M200" s="58">
        <v>1.0</v>
      </c>
      <c r="S200" s="58">
        <v>4.0</v>
      </c>
      <c r="T200" s="58">
        <v>2.0</v>
      </c>
      <c r="Y200" s="58">
        <v>2.0</v>
      </c>
      <c r="AC200" s="58" t="s">
        <v>188</v>
      </c>
      <c r="AD200" s="58" t="s">
        <v>150</v>
      </c>
      <c r="AH200" s="58" t="s">
        <v>1847</v>
      </c>
    </row>
    <row r="201" ht="22.5" customHeight="1">
      <c r="A201" s="56" t="s">
        <v>1848</v>
      </c>
      <c r="B201" s="57">
        <v>46218.65061810185</v>
      </c>
      <c r="C201" s="58" t="s">
        <v>442</v>
      </c>
      <c r="D201" s="58" t="s">
        <v>67</v>
      </c>
      <c r="E201" s="58" t="s">
        <v>68</v>
      </c>
      <c r="F201" s="58" t="s">
        <v>205</v>
      </c>
      <c r="G201" s="58" t="s">
        <v>820</v>
      </c>
      <c r="H201" s="63">
        <v>46220.0</v>
      </c>
      <c r="I201" s="67">
        <v>0.5833333333333334</v>
      </c>
      <c r="J201" s="58" t="s">
        <v>205</v>
      </c>
      <c r="K201" s="58" t="s">
        <v>1849</v>
      </c>
      <c r="O201" s="58">
        <v>1.0</v>
      </c>
      <c r="S201" s="58">
        <v>2.0</v>
      </c>
      <c r="T201" s="58">
        <v>1.0</v>
      </c>
      <c r="Y201" s="58">
        <v>1.0</v>
      </c>
      <c r="AC201" s="133" t="s">
        <v>129</v>
      </c>
      <c r="AD201" s="58" t="s">
        <v>451</v>
      </c>
    </row>
    <row r="202" ht="22.5" customHeight="1">
      <c r="A202" s="56" t="s">
        <v>1850</v>
      </c>
      <c r="B202" s="57">
        <v>46223.66311109954</v>
      </c>
      <c r="C202" s="58" t="s">
        <v>1632</v>
      </c>
      <c r="D202" s="58" t="s">
        <v>83</v>
      </c>
      <c r="E202" s="58" t="s">
        <v>99</v>
      </c>
      <c r="F202" s="58" t="s">
        <v>1761</v>
      </c>
      <c r="G202" s="58" t="s">
        <v>1851</v>
      </c>
      <c r="H202" s="63">
        <v>46226.0</v>
      </c>
      <c r="I202" s="67">
        <v>0.375</v>
      </c>
      <c r="J202" s="58" t="s">
        <v>1763</v>
      </c>
      <c r="K202" s="58" t="s">
        <v>1790</v>
      </c>
      <c r="S202" s="58">
        <v>2.0</v>
      </c>
      <c r="T202" s="58">
        <v>1.0</v>
      </c>
      <c r="AC202" s="58" t="s">
        <v>188</v>
      </c>
      <c r="AD202" s="58" t="s">
        <v>150</v>
      </c>
    </row>
    <row r="203" ht="22.5" customHeight="1">
      <c r="A203" s="56" t="s">
        <v>1852</v>
      </c>
      <c r="B203" s="57">
        <v>46224.662958877314</v>
      </c>
      <c r="C203" s="58" t="s">
        <v>183</v>
      </c>
      <c r="D203" s="58" t="s">
        <v>208</v>
      </c>
      <c r="E203" s="58" t="s">
        <v>209</v>
      </c>
      <c r="F203" s="58" t="s">
        <v>421</v>
      </c>
      <c r="G203" s="58" t="s">
        <v>820</v>
      </c>
      <c r="H203" s="63">
        <v>46224.0</v>
      </c>
      <c r="I203" s="67">
        <v>0.7083333333357587</v>
      </c>
      <c r="J203" s="58" t="s">
        <v>421</v>
      </c>
      <c r="K203" s="72" t="s">
        <v>275</v>
      </c>
      <c r="AA203" s="58" t="s">
        <v>1853</v>
      </c>
      <c r="AC203" s="58" t="s">
        <v>145</v>
      </c>
      <c r="AD203" s="58" t="s">
        <v>200</v>
      </c>
      <c r="AE203" s="58" t="s">
        <v>1854</v>
      </c>
    </row>
    <row r="204" ht="22.5" customHeight="1">
      <c r="A204" s="56" t="s">
        <v>5</v>
      </c>
      <c r="B204" s="57">
        <v>46226.488630381944</v>
      </c>
      <c r="C204" s="58" t="s">
        <v>183</v>
      </c>
      <c r="D204" s="58" t="s">
        <v>208</v>
      </c>
      <c r="E204" s="58" t="s">
        <v>209</v>
      </c>
      <c r="F204" s="58" t="s">
        <v>1855</v>
      </c>
      <c r="G204" s="58" t="s">
        <v>1856</v>
      </c>
      <c r="H204" s="63">
        <v>46226.0</v>
      </c>
      <c r="I204" s="67">
        <v>0.625</v>
      </c>
      <c r="J204" s="58" t="s">
        <v>421</v>
      </c>
      <c r="K204" s="72" t="s">
        <v>275</v>
      </c>
      <c r="AA204" s="58" t="s">
        <v>1857</v>
      </c>
      <c r="AC204" s="58" t="s">
        <v>145</v>
      </c>
      <c r="AD204" s="58" t="s">
        <v>200</v>
      </c>
      <c r="AE204" s="58" t="s">
        <v>1858</v>
      </c>
    </row>
    <row r="205" ht="22.5" customHeight="1">
      <c r="A205" s="56" t="s">
        <v>1859</v>
      </c>
      <c r="B205" s="57">
        <v>46227.394870613425</v>
      </c>
      <c r="C205" s="58" t="s">
        <v>1632</v>
      </c>
      <c r="D205" s="58" t="s">
        <v>67</v>
      </c>
      <c r="E205" s="58" t="s">
        <v>68</v>
      </c>
      <c r="F205" s="58" t="s">
        <v>384</v>
      </c>
      <c r="G205" s="58" t="s">
        <v>1860</v>
      </c>
      <c r="H205" s="63">
        <v>46230.0</v>
      </c>
      <c r="I205" s="67">
        <v>0.375</v>
      </c>
      <c r="J205" s="58" t="s">
        <v>147</v>
      </c>
      <c r="K205" s="58" t="s">
        <v>507</v>
      </c>
      <c r="R205" s="58">
        <v>1.0</v>
      </c>
      <c r="S205" s="58">
        <v>2.0</v>
      </c>
      <c r="T205" s="58">
        <v>1.0</v>
      </c>
      <c r="AC205" s="58" t="s">
        <v>188</v>
      </c>
      <c r="AD205" s="58" t="s">
        <v>150</v>
      </c>
      <c r="AH205" s="58" t="s">
        <v>1861</v>
      </c>
    </row>
    <row r="206" ht="22.5" customHeight="1">
      <c r="A206" s="56" t="s">
        <v>1862</v>
      </c>
      <c r="B206" s="57">
        <v>46227.60473171296</v>
      </c>
      <c r="C206" s="58" t="s">
        <v>1863</v>
      </c>
      <c r="D206" s="58" t="s">
        <v>1135</v>
      </c>
      <c r="E206" s="58" t="s">
        <v>99</v>
      </c>
      <c r="F206" s="58" t="s">
        <v>1864</v>
      </c>
      <c r="G206" s="58" t="s">
        <v>1865</v>
      </c>
      <c r="H206" s="63">
        <v>46237.0</v>
      </c>
      <c r="I206" s="67">
        <v>0.45833333333575865</v>
      </c>
      <c r="J206" s="58" t="s">
        <v>1866</v>
      </c>
      <c r="K206" s="72" t="s">
        <v>1867</v>
      </c>
      <c r="S206" s="58">
        <v>4.0</v>
      </c>
      <c r="U206" s="58">
        <v>1.0</v>
      </c>
      <c r="AC206" s="58" t="s">
        <v>205</v>
      </c>
      <c r="AD206" s="58" t="s">
        <v>1868</v>
      </c>
    </row>
    <row r="207" ht="22.5" customHeight="1">
      <c r="A207" s="56" t="s">
        <v>117</v>
      </c>
      <c r="B207" s="57">
        <v>46230.68610709491</v>
      </c>
      <c r="C207" s="58" t="s">
        <v>1632</v>
      </c>
      <c r="D207" s="58" t="s">
        <v>83</v>
      </c>
      <c r="E207" s="58" t="s">
        <v>68</v>
      </c>
      <c r="F207" s="58" t="s">
        <v>1869</v>
      </c>
      <c r="G207" s="58" t="s">
        <v>1870</v>
      </c>
      <c r="H207" s="63">
        <v>46234.0</v>
      </c>
      <c r="I207" s="67">
        <v>0.375</v>
      </c>
      <c r="J207" s="58" t="s">
        <v>147</v>
      </c>
      <c r="K207" s="58" t="s">
        <v>507</v>
      </c>
      <c r="Q207" s="58">
        <v>10.0</v>
      </c>
      <c r="S207" s="58">
        <v>20.0</v>
      </c>
      <c r="T207" s="58">
        <v>10.0</v>
      </c>
      <c r="AC207" s="58" t="s">
        <v>188</v>
      </c>
      <c r="AD207" s="58" t="s">
        <v>150</v>
      </c>
    </row>
    <row r="208" ht="22.5" customHeight="1">
      <c r="A208" s="56" t="s">
        <v>1871</v>
      </c>
      <c r="B208" s="57">
        <v>46232.407814108796</v>
      </c>
      <c r="C208" s="58" t="s">
        <v>183</v>
      </c>
      <c r="D208" s="58" t="s">
        <v>83</v>
      </c>
      <c r="E208" s="58" t="s">
        <v>209</v>
      </c>
      <c r="F208" s="58" t="s">
        <v>1722</v>
      </c>
      <c r="G208" s="58" t="s">
        <v>820</v>
      </c>
      <c r="H208" s="63">
        <v>46232.0</v>
      </c>
      <c r="I208" s="67">
        <v>0.45833333333575865</v>
      </c>
      <c r="J208" s="58" t="s">
        <v>421</v>
      </c>
      <c r="K208" s="72" t="s">
        <v>275</v>
      </c>
      <c r="AA208" s="58" t="s">
        <v>1872</v>
      </c>
      <c r="AC208" s="58" t="s">
        <v>145</v>
      </c>
      <c r="AD208" s="58" t="s">
        <v>200</v>
      </c>
    </row>
    <row r="209" ht="22.5" customHeight="1">
      <c r="A209" s="56" t="s">
        <v>1873</v>
      </c>
      <c r="B209" s="138"/>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t="str">
        <f>AF209</f>
        <v/>
      </c>
      <c r="AA209" s="139"/>
      <c r="AB209" s="139"/>
      <c r="AC209" s="139"/>
      <c r="AD209" s="139"/>
      <c r="AE209" s="139"/>
      <c r="AF209" s="139"/>
      <c r="AG209" s="139"/>
      <c r="AH209" s="139"/>
    </row>
    <row r="210">
      <c r="A210" s="125" t="s">
        <v>1873</v>
      </c>
    </row>
    <row r="211">
      <c r="A211" s="125" t="s">
        <v>1873</v>
      </c>
    </row>
    <row r="212">
      <c r="A212" s="125" t="s">
        <v>1873</v>
      </c>
    </row>
    <row r="213">
      <c r="A213" s="125" t="s">
        <v>1873</v>
      </c>
    </row>
    <row r="214">
      <c r="A214" s="125" t="s">
        <v>1873</v>
      </c>
      <c r="G214" s="140"/>
    </row>
    <row r="215">
      <c r="A215" s="125" t="s">
        <v>1873</v>
      </c>
      <c r="G215" s="140"/>
    </row>
    <row r="216">
      <c r="A216" s="125" t="s">
        <v>1873</v>
      </c>
      <c r="G216" s="140"/>
    </row>
    <row r="217">
      <c r="A217" s="125" t="s">
        <v>1873</v>
      </c>
    </row>
    <row r="218">
      <c r="A218" s="125" t="s">
        <v>1873</v>
      </c>
    </row>
    <row r="219">
      <c r="A219" s="125" t="s">
        <v>1873</v>
      </c>
    </row>
    <row r="220">
      <c r="A220" s="125" t="s">
        <v>1873</v>
      </c>
    </row>
    <row r="221">
      <c r="A221" s="125" t="s">
        <v>1873</v>
      </c>
    </row>
    <row r="222">
      <c r="A222" s="125" t="s">
        <v>1873</v>
      </c>
    </row>
    <row r="223">
      <c r="A223" s="125" t="s">
        <v>1873</v>
      </c>
    </row>
    <row r="224">
      <c r="A224" s="125" t="s">
        <v>1873</v>
      </c>
    </row>
    <row r="225">
      <c r="A225" s="125" t="s">
        <v>1873</v>
      </c>
    </row>
    <row r="226">
      <c r="A226" s="125" t="s">
        <v>1873</v>
      </c>
    </row>
    <row r="227">
      <c r="A227" s="125" t="s">
        <v>1873</v>
      </c>
    </row>
    <row r="228">
      <c r="A228" s="125" t="s">
        <v>1873</v>
      </c>
    </row>
    <row r="229">
      <c r="A229" s="125" t="s">
        <v>1873</v>
      </c>
      <c r="D229" s="141"/>
    </row>
    <row r="230">
      <c r="A230" s="125" t="s">
        <v>1873</v>
      </c>
    </row>
    <row r="231">
      <c r="A231" s="125" t="s">
        <v>1873</v>
      </c>
    </row>
    <row r="232">
      <c r="A232" s="125" t="s">
        <v>1873</v>
      </c>
    </row>
    <row r="233">
      <c r="A233" s="125" t="s">
        <v>1873</v>
      </c>
    </row>
    <row r="234">
      <c r="A234" s="125" t="s">
        <v>1873</v>
      </c>
    </row>
    <row r="235">
      <c r="A235" s="125" t="s">
        <v>1873</v>
      </c>
    </row>
    <row r="236">
      <c r="A236" s="125" t="s">
        <v>1873</v>
      </c>
    </row>
    <row r="237">
      <c r="A237" s="125" t="s">
        <v>1873</v>
      </c>
    </row>
    <row r="238">
      <c r="A238" s="125" t="s">
        <v>1873</v>
      </c>
    </row>
    <row r="239">
      <c r="A239" s="125" t="s">
        <v>1873</v>
      </c>
    </row>
    <row r="240">
      <c r="A240" s="125" t="s">
        <v>1873</v>
      </c>
    </row>
    <row r="241">
      <c r="A241" s="125" t="s">
        <v>1873</v>
      </c>
    </row>
    <row r="242">
      <c r="A242" s="125" t="s">
        <v>1873</v>
      </c>
    </row>
    <row r="243">
      <c r="A243" s="125" t="s">
        <v>1873</v>
      </c>
    </row>
    <row r="244">
      <c r="A244" s="125" t="s">
        <v>1873</v>
      </c>
    </row>
    <row r="245">
      <c r="A245" s="125" t="s">
        <v>1873</v>
      </c>
    </row>
    <row r="246">
      <c r="A246" s="125" t="s">
        <v>1873</v>
      </c>
    </row>
    <row r="247">
      <c r="A247" s="125" t="s">
        <v>1873</v>
      </c>
    </row>
    <row r="248">
      <c r="A248" s="125" t="s">
        <v>1873</v>
      </c>
    </row>
    <row r="249">
      <c r="A249" s="125" t="s">
        <v>1873</v>
      </c>
    </row>
    <row r="250">
      <c r="A250" s="125" t="s">
        <v>1873</v>
      </c>
    </row>
    <row r="251">
      <c r="A251" s="125" t="s">
        <v>1873</v>
      </c>
    </row>
    <row r="252">
      <c r="A252" s="125" t="s">
        <v>1873</v>
      </c>
    </row>
    <row r="253">
      <c r="A253" s="125" t="s">
        <v>1873</v>
      </c>
    </row>
    <row r="254">
      <c r="A254" s="125" t="s">
        <v>1873</v>
      </c>
    </row>
    <row r="255">
      <c r="A255" s="125" t="s">
        <v>1873</v>
      </c>
    </row>
    <row r="256">
      <c r="A256" s="125" t="s">
        <v>1873</v>
      </c>
    </row>
    <row r="257">
      <c r="A257" s="125" t="s">
        <v>1873</v>
      </c>
    </row>
    <row r="258">
      <c r="A258" s="125" t="s">
        <v>1873</v>
      </c>
    </row>
    <row r="259">
      <c r="A259" s="125" t="s">
        <v>1873</v>
      </c>
    </row>
    <row r="260">
      <c r="A260" s="125" t="s">
        <v>1873</v>
      </c>
    </row>
    <row r="261">
      <c r="A261" s="125" t="s">
        <v>1873</v>
      </c>
    </row>
    <row r="262">
      <c r="A262" s="125" t="s">
        <v>1873</v>
      </c>
    </row>
    <row r="263">
      <c r="A263" s="125" t="s">
        <v>1873</v>
      </c>
    </row>
    <row r="264">
      <c r="A264" s="125" t="s">
        <v>1873</v>
      </c>
    </row>
    <row r="265">
      <c r="A265" s="125" t="s">
        <v>1873</v>
      </c>
    </row>
    <row r="266">
      <c r="A266" s="125" t="s">
        <v>1873</v>
      </c>
    </row>
    <row r="267">
      <c r="A267" s="125" t="s">
        <v>1873</v>
      </c>
    </row>
    <row r="268">
      <c r="A268" s="125" t="s">
        <v>1873</v>
      </c>
    </row>
    <row r="269">
      <c r="A269" s="125" t="s">
        <v>1873</v>
      </c>
    </row>
    <row r="270">
      <c r="A270" s="125" t="s">
        <v>1873</v>
      </c>
    </row>
    <row r="271">
      <c r="A271" s="125" t="s">
        <v>1873</v>
      </c>
    </row>
    <row r="272">
      <c r="A272" s="125" t="s">
        <v>1873</v>
      </c>
    </row>
    <row r="273">
      <c r="A273" s="125" t="s">
        <v>1873</v>
      </c>
    </row>
    <row r="274">
      <c r="A274" s="125" t="s">
        <v>1873</v>
      </c>
    </row>
    <row r="275">
      <c r="A275" s="125" t="s">
        <v>1873</v>
      </c>
    </row>
    <row r="276">
      <c r="A276" s="125" t="s">
        <v>1873</v>
      </c>
    </row>
    <row r="277">
      <c r="A277" s="125" t="s">
        <v>1873</v>
      </c>
    </row>
    <row r="278">
      <c r="A278" s="125" t="s">
        <v>1873</v>
      </c>
    </row>
    <row r="279">
      <c r="A279" s="125" t="s">
        <v>1873</v>
      </c>
    </row>
    <row r="280">
      <c r="A280" s="125" t="s">
        <v>1873</v>
      </c>
    </row>
    <row r="281">
      <c r="A281" s="125" t="s">
        <v>1873</v>
      </c>
    </row>
    <row r="282">
      <c r="A282" s="125" t="s">
        <v>1873</v>
      </c>
    </row>
    <row r="283">
      <c r="A283" s="125" t="s">
        <v>1873</v>
      </c>
    </row>
    <row r="284">
      <c r="A284" s="125" t="s">
        <v>1873</v>
      </c>
    </row>
    <row r="285">
      <c r="A285" s="125" t="s">
        <v>1873</v>
      </c>
    </row>
    <row r="286">
      <c r="A286" s="125" t="s">
        <v>1873</v>
      </c>
    </row>
    <row r="287">
      <c r="A287" s="125" t="s">
        <v>1873</v>
      </c>
    </row>
    <row r="288">
      <c r="A288" s="125" t="s">
        <v>1873</v>
      </c>
    </row>
    <row r="289">
      <c r="A289" s="125" t="s">
        <v>1873</v>
      </c>
    </row>
    <row r="290">
      <c r="A290" s="125" t="s">
        <v>1873</v>
      </c>
    </row>
    <row r="291">
      <c r="A291" s="125" t="s">
        <v>1873</v>
      </c>
    </row>
    <row r="292">
      <c r="A292" s="125" t="s">
        <v>1873</v>
      </c>
    </row>
    <row r="293">
      <c r="A293" s="125" t="s">
        <v>1873</v>
      </c>
    </row>
    <row r="294">
      <c r="A294" s="125" t="s">
        <v>1873</v>
      </c>
    </row>
    <row r="295">
      <c r="A295" s="125" t="s">
        <v>1873</v>
      </c>
    </row>
    <row r="296">
      <c r="A296" s="125" t="s">
        <v>1873</v>
      </c>
    </row>
    <row r="297">
      <c r="A297" s="125" t="s">
        <v>1873</v>
      </c>
    </row>
    <row r="298">
      <c r="A298" s="125" t="s">
        <v>1873</v>
      </c>
    </row>
    <row r="299">
      <c r="A299" s="125" t="s">
        <v>1873</v>
      </c>
    </row>
    <row r="300">
      <c r="A300" s="125" t="s">
        <v>1873</v>
      </c>
    </row>
    <row r="301">
      <c r="A301" s="125" t="s">
        <v>1873</v>
      </c>
    </row>
    <row r="302">
      <c r="A302" s="125" t="s">
        <v>1873</v>
      </c>
    </row>
    <row r="303">
      <c r="A303" s="125" t="s">
        <v>1873</v>
      </c>
    </row>
    <row r="304">
      <c r="A304" s="125" t="s">
        <v>1873</v>
      </c>
    </row>
    <row r="305">
      <c r="A305" s="125" t="s">
        <v>1873</v>
      </c>
    </row>
    <row r="306">
      <c r="A306" s="125" t="s">
        <v>1873</v>
      </c>
    </row>
    <row r="307">
      <c r="A307" s="125" t="s">
        <v>1873</v>
      </c>
    </row>
    <row r="308">
      <c r="A308" s="125" t="s">
        <v>1873</v>
      </c>
    </row>
    <row r="309">
      <c r="A309" s="125" t="s">
        <v>1873</v>
      </c>
    </row>
    <row r="310">
      <c r="A310" s="125" t="s">
        <v>1873</v>
      </c>
    </row>
    <row r="311">
      <c r="A311" s="125" t="s">
        <v>1873</v>
      </c>
    </row>
    <row r="312">
      <c r="A312" s="125" t="s">
        <v>1873</v>
      </c>
    </row>
    <row r="313">
      <c r="A313" s="125" t="s">
        <v>1873</v>
      </c>
    </row>
    <row r="314">
      <c r="A314" s="125" t="s">
        <v>1873</v>
      </c>
    </row>
    <row r="315">
      <c r="A315" s="125" t="s">
        <v>1873</v>
      </c>
    </row>
    <row r="316">
      <c r="A316" s="125" t="s">
        <v>1873</v>
      </c>
    </row>
    <row r="317">
      <c r="A317" s="125" t="s">
        <v>1873</v>
      </c>
    </row>
    <row r="318">
      <c r="A318" s="125" t="s">
        <v>1873</v>
      </c>
    </row>
    <row r="319">
      <c r="A319" s="125" t="s">
        <v>1873</v>
      </c>
    </row>
    <row r="320">
      <c r="A320" s="125" t="s">
        <v>1873</v>
      </c>
    </row>
    <row r="321">
      <c r="A321" s="125" t="s">
        <v>1873</v>
      </c>
    </row>
    <row r="322">
      <c r="A322" s="125" t="s">
        <v>1873</v>
      </c>
    </row>
    <row r="323">
      <c r="A323" s="125" t="s">
        <v>1873</v>
      </c>
    </row>
    <row r="324">
      <c r="A324" s="125" t="s">
        <v>1873</v>
      </c>
    </row>
    <row r="325">
      <c r="A325" s="125" t="s">
        <v>1873</v>
      </c>
    </row>
    <row r="326">
      <c r="A326" s="125" t="s">
        <v>1873</v>
      </c>
    </row>
    <row r="327">
      <c r="A327" s="125" t="s">
        <v>1873</v>
      </c>
    </row>
    <row r="328">
      <c r="A328" s="125" t="s">
        <v>1873</v>
      </c>
    </row>
    <row r="329">
      <c r="A329" s="125" t="s">
        <v>1873</v>
      </c>
    </row>
    <row r="330">
      <c r="A330" s="125" t="s">
        <v>1873</v>
      </c>
    </row>
    <row r="331">
      <c r="A331" s="125" t="s">
        <v>1873</v>
      </c>
    </row>
    <row r="332">
      <c r="A332" s="125" t="s">
        <v>1873</v>
      </c>
    </row>
    <row r="333">
      <c r="A333" s="125" t="s">
        <v>1873</v>
      </c>
    </row>
    <row r="334">
      <c r="A334" s="125" t="s">
        <v>1873</v>
      </c>
    </row>
    <row r="335">
      <c r="A335" s="125" t="s">
        <v>1873</v>
      </c>
    </row>
    <row r="336">
      <c r="A336" s="125" t="s">
        <v>1873</v>
      </c>
    </row>
    <row r="337">
      <c r="A337" s="125" t="s">
        <v>1873</v>
      </c>
    </row>
    <row r="338">
      <c r="A338" s="125" t="s">
        <v>1873</v>
      </c>
    </row>
    <row r="339">
      <c r="A339" s="125" t="s">
        <v>1873</v>
      </c>
    </row>
    <row r="340">
      <c r="A340" s="125" t="s">
        <v>1873</v>
      </c>
    </row>
    <row r="341">
      <c r="A341" s="125" t="s">
        <v>1873</v>
      </c>
    </row>
    <row r="342">
      <c r="A342" s="125" t="s">
        <v>1873</v>
      </c>
    </row>
    <row r="343">
      <c r="A343" s="125" t="s">
        <v>1873</v>
      </c>
    </row>
    <row r="344">
      <c r="A344" s="125" t="s">
        <v>1873</v>
      </c>
    </row>
    <row r="345">
      <c r="A345" s="125" t="s">
        <v>1873</v>
      </c>
    </row>
    <row r="346">
      <c r="A346" s="125" t="s">
        <v>1873</v>
      </c>
    </row>
    <row r="347">
      <c r="A347" s="125" t="s">
        <v>1873</v>
      </c>
    </row>
    <row r="348">
      <c r="A348" s="125" t="s">
        <v>1873</v>
      </c>
    </row>
    <row r="349">
      <c r="A349" s="125" t="s">
        <v>1873</v>
      </c>
    </row>
    <row r="350">
      <c r="A350" s="125" t="s">
        <v>1873</v>
      </c>
    </row>
    <row r="351">
      <c r="A351" s="125" t="s">
        <v>1873</v>
      </c>
    </row>
    <row r="352">
      <c r="A352" s="125" t="s">
        <v>1873</v>
      </c>
    </row>
    <row r="353">
      <c r="A353" s="125" t="s">
        <v>1873</v>
      </c>
    </row>
    <row r="354">
      <c r="A354" s="125" t="s">
        <v>1873</v>
      </c>
    </row>
    <row r="355">
      <c r="A355" s="125" t="s">
        <v>1873</v>
      </c>
    </row>
    <row r="356">
      <c r="A356" s="125" t="s">
        <v>1873</v>
      </c>
    </row>
    <row r="357">
      <c r="A357" s="125" t="s">
        <v>1873</v>
      </c>
    </row>
    <row r="358">
      <c r="A358" s="125" t="s">
        <v>1873</v>
      </c>
    </row>
    <row r="359">
      <c r="A359" s="125" t="s">
        <v>1873</v>
      </c>
    </row>
    <row r="360">
      <c r="A360" s="125" t="s">
        <v>1873</v>
      </c>
    </row>
    <row r="361">
      <c r="A361" s="125" t="s">
        <v>1873</v>
      </c>
    </row>
    <row r="362">
      <c r="A362" s="125" t="s">
        <v>1873</v>
      </c>
    </row>
    <row r="363">
      <c r="A363" s="125" t="s">
        <v>1873</v>
      </c>
    </row>
    <row r="364">
      <c r="A364" s="125" t="s">
        <v>1873</v>
      </c>
    </row>
    <row r="365">
      <c r="A365" s="125" t="s">
        <v>1873</v>
      </c>
    </row>
    <row r="366">
      <c r="A366" s="125" t="s">
        <v>1873</v>
      </c>
    </row>
    <row r="367">
      <c r="A367" s="125" t="s">
        <v>1873</v>
      </c>
    </row>
    <row r="368">
      <c r="A368" s="125" t="s">
        <v>1873</v>
      </c>
    </row>
    <row r="369">
      <c r="A369" s="125" t="s">
        <v>1873</v>
      </c>
    </row>
    <row r="370">
      <c r="A370" s="125" t="s">
        <v>1873</v>
      </c>
    </row>
    <row r="371">
      <c r="A371" s="125" t="s">
        <v>1873</v>
      </c>
    </row>
    <row r="372">
      <c r="A372" s="125" t="s">
        <v>1873</v>
      </c>
    </row>
    <row r="373">
      <c r="A373" s="125" t="s">
        <v>1873</v>
      </c>
    </row>
    <row r="374">
      <c r="A374" s="125" t="s">
        <v>1873</v>
      </c>
    </row>
    <row r="375">
      <c r="A375" s="125" t="s">
        <v>1873</v>
      </c>
    </row>
    <row r="376">
      <c r="A376" s="125" t="s">
        <v>1873</v>
      </c>
    </row>
    <row r="377">
      <c r="A377" s="125" t="s">
        <v>1873</v>
      </c>
    </row>
    <row r="378">
      <c r="A378" s="125" t="s">
        <v>1873</v>
      </c>
    </row>
    <row r="379">
      <c r="A379" s="125" t="s">
        <v>1873</v>
      </c>
    </row>
    <row r="380">
      <c r="A380" s="125" t="s">
        <v>1873</v>
      </c>
    </row>
    <row r="381">
      <c r="A381" s="125" t="s">
        <v>1873</v>
      </c>
    </row>
    <row r="382">
      <c r="A382" s="125" t="s">
        <v>1873</v>
      </c>
    </row>
    <row r="383">
      <c r="A383" s="125" t="s">
        <v>1873</v>
      </c>
    </row>
    <row r="384">
      <c r="A384" s="125" t="s">
        <v>1873</v>
      </c>
    </row>
    <row r="385">
      <c r="A385" s="125" t="s">
        <v>1873</v>
      </c>
    </row>
    <row r="386">
      <c r="A386" s="125" t="s">
        <v>1873</v>
      </c>
    </row>
    <row r="387">
      <c r="A387" s="125" t="s">
        <v>1873</v>
      </c>
    </row>
    <row r="388">
      <c r="A388" s="125" t="s">
        <v>1873</v>
      </c>
    </row>
    <row r="389">
      <c r="A389" s="125" t="s">
        <v>1873</v>
      </c>
    </row>
    <row r="390">
      <c r="A390" s="125" t="s">
        <v>1873</v>
      </c>
    </row>
    <row r="391">
      <c r="A391" s="125" t="s">
        <v>1873</v>
      </c>
    </row>
    <row r="392">
      <c r="A392" s="125" t="s">
        <v>1873</v>
      </c>
    </row>
    <row r="393">
      <c r="A393" s="125" t="s">
        <v>1873</v>
      </c>
    </row>
    <row r="394">
      <c r="A394" s="125" t="s">
        <v>1873</v>
      </c>
    </row>
    <row r="395">
      <c r="A395" s="125" t="s">
        <v>1873</v>
      </c>
    </row>
    <row r="396">
      <c r="A396" s="125" t="s">
        <v>1873</v>
      </c>
    </row>
    <row r="397">
      <c r="A397" s="125" t="s">
        <v>1873</v>
      </c>
    </row>
    <row r="398">
      <c r="A398" s="125" t="s">
        <v>1873</v>
      </c>
    </row>
    <row r="399">
      <c r="A399" s="125" t="s">
        <v>1873</v>
      </c>
    </row>
    <row r="400">
      <c r="A400" s="125" t="s">
        <v>1873</v>
      </c>
    </row>
    <row r="401">
      <c r="A401" s="125" t="s">
        <v>1873</v>
      </c>
    </row>
    <row r="402">
      <c r="A402" s="125" t="s">
        <v>1873</v>
      </c>
    </row>
    <row r="403">
      <c r="A403" s="125" t="s">
        <v>1873</v>
      </c>
    </row>
    <row r="404">
      <c r="A404" s="125" t="s">
        <v>1873</v>
      </c>
    </row>
    <row r="405">
      <c r="A405" s="125" t="s">
        <v>1873</v>
      </c>
    </row>
    <row r="406">
      <c r="A406" s="125" t="s">
        <v>1873</v>
      </c>
    </row>
    <row r="407">
      <c r="A407" s="125" t="s">
        <v>1873</v>
      </c>
    </row>
    <row r="408">
      <c r="A408" s="125" t="s">
        <v>1873</v>
      </c>
    </row>
    <row r="409">
      <c r="A409" s="125" t="s">
        <v>1873</v>
      </c>
    </row>
    <row r="410">
      <c r="A410" s="125" t="s">
        <v>1873</v>
      </c>
    </row>
    <row r="411">
      <c r="A411" s="125" t="s">
        <v>1873</v>
      </c>
    </row>
    <row r="412">
      <c r="A412" s="125" t="s">
        <v>1873</v>
      </c>
    </row>
    <row r="413">
      <c r="A413" s="125" t="s">
        <v>1873</v>
      </c>
    </row>
    <row r="414">
      <c r="A414" s="125" t="s">
        <v>1873</v>
      </c>
    </row>
    <row r="415">
      <c r="A415" s="125" t="s">
        <v>1873</v>
      </c>
    </row>
    <row r="416">
      <c r="A416" s="125" t="s">
        <v>1873</v>
      </c>
    </row>
    <row r="417">
      <c r="A417" s="125" t="s">
        <v>1873</v>
      </c>
    </row>
    <row r="418">
      <c r="A418" s="125" t="s">
        <v>1873</v>
      </c>
    </row>
    <row r="419">
      <c r="A419" s="125" t="s">
        <v>1873</v>
      </c>
    </row>
    <row r="420">
      <c r="A420" s="125" t="s">
        <v>1873</v>
      </c>
    </row>
    <row r="421">
      <c r="A421" s="125" t="s">
        <v>1873</v>
      </c>
    </row>
    <row r="422">
      <c r="A422" s="125" t="s">
        <v>1873</v>
      </c>
    </row>
    <row r="423">
      <c r="A423" s="125" t="s">
        <v>1873</v>
      </c>
    </row>
    <row r="424">
      <c r="A424" s="125" t="s">
        <v>1873</v>
      </c>
    </row>
    <row r="425">
      <c r="A425" s="125" t="s">
        <v>1873</v>
      </c>
    </row>
    <row r="426">
      <c r="A426" s="125" t="s">
        <v>1873</v>
      </c>
    </row>
    <row r="427">
      <c r="A427" s="125" t="s">
        <v>1873</v>
      </c>
    </row>
    <row r="428">
      <c r="A428" s="125" t="s">
        <v>1873</v>
      </c>
    </row>
    <row r="429">
      <c r="A429" s="125" t="s">
        <v>1873</v>
      </c>
    </row>
    <row r="430">
      <c r="A430" s="125" t="s">
        <v>1873</v>
      </c>
    </row>
    <row r="431">
      <c r="A431" s="125" t="s">
        <v>1873</v>
      </c>
    </row>
    <row r="432">
      <c r="A432" s="125" t="s">
        <v>1873</v>
      </c>
    </row>
    <row r="433">
      <c r="A433" s="125" t="s">
        <v>1873</v>
      </c>
    </row>
    <row r="434">
      <c r="A434" s="125" t="s">
        <v>1873</v>
      </c>
    </row>
    <row r="435">
      <c r="A435" s="125" t="s">
        <v>1873</v>
      </c>
    </row>
    <row r="436">
      <c r="A436" s="125" t="s">
        <v>1873</v>
      </c>
    </row>
    <row r="437">
      <c r="A437" s="125" t="s">
        <v>1873</v>
      </c>
    </row>
    <row r="438">
      <c r="A438" s="125" t="s">
        <v>1873</v>
      </c>
    </row>
    <row r="439">
      <c r="A439" s="125" t="s">
        <v>1873</v>
      </c>
    </row>
    <row r="440">
      <c r="A440" s="125" t="s">
        <v>1873</v>
      </c>
    </row>
    <row r="441">
      <c r="A441" s="125" t="s">
        <v>1873</v>
      </c>
    </row>
    <row r="442">
      <c r="A442" s="125" t="s">
        <v>1873</v>
      </c>
    </row>
    <row r="443">
      <c r="A443" s="125" t="s">
        <v>1873</v>
      </c>
    </row>
    <row r="444">
      <c r="A444" s="125" t="s">
        <v>1873</v>
      </c>
    </row>
    <row r="445">
      <c r="A445" s="125" t="s">
        <v>1873</v>
      </c>
    </row>
    <row r="446">
      <c r="A446" s="125" t="s">
        <v>1873</v>
      </c>
    </row>
    <row r="447">
      <c r="A447" s="125" t="s">
        <v>1873</v>
      </c>
    </row>
    <row r="448">
      <c r="A448" s="125" t="s">
        <v>1873</v>
      </c>
    </row>
    <row r="449">
      <c r="A449" s="125" t="s">
        <v>1873</v>
      </c>
    </row>
    <row r="450">
      <c r="A450" s="125" t="s">
        <v>1873</v>
      </c>
    </row>
    <row r="451">
      <c r="A451" s="125" t="s">
        <v>1873</v>
      </c>
    </row>
    <row r="452">
      <c r="A452" s="125" t="s">
        <v>1873</v>
      </c>
    </row>
    <row r="453">
      <c r="A453" s="125" t="s">
        <v>1873</v>
      </c>
    </row>
    <row r="454">
      <c r="A454" s="125" t="s">
        <v>1873</v>
      </c>
    </row>
    <row r="455">
      <c r="A455" s="125" t="s">
        <v>1873</v>
      </c>
    </row>
    <row r="456">
      <c r="A456" s="125" t="s">
        <v>1873</v>
      </c>
    </row>
    <row r="457">
      <c r="A457" s="125" t="s">
        <v>1873</v>
      </c>
    </row>
    <row r="458">
      <c r="A458" s="125" t="s">
        <v>1873</v>
      </c>
    </row>
    <row r="459">
      <c r="A459" s="125" t="s">
        <v>1873</v>
      </c>
    </row>
    <row r="460">
      <c r="A460" s="125" t="s">
        <v>1873</v>
      </c>
    </row>
    <row r="461">
      <c r="A461" s="125" t="s">
        <v>1873</v>
      </c>
    </row>
    <row r="462">
      <c r="A462" s="125" t="s">
        <v>1873</v>
      </c>
    </row>
    <row r="463">
      <c r="A463" s="125" t="s">
        <v>1873</v>
      </c>
    </row>
    <row r="464">
      <c r="A464" s="125" t="s">
        <v>1873</v>
      </c>
    </row>
    <row r="465">
      <c r="A465" s="125" t="s">
        <v>1873</v>
      </c>
    </row>
    <row r="466">
      <c r="A466" s="125" t="s">
        <v>1873</v>
      </c>
    </row>
    <row r="467">
      <c r="A467" s="125" t="s">
        <v>1873</v>
      </c>
    </row>
    <row r="468">
      <c r="A468" s="125" t="s">
        <v>1873</v>
      </c>
    </row>
    <row r="469">
      <c r="A469" s="125" t="s">
        <v>1873</v>
      </c>
    </row>
    <row r="470">
      <c r="A470" s="125" t="s">
        <v>1873</v>
      </c>
    </row>
    <row r="471">
      <c r="A471" s="125" t="s">
        <v>1873</v>
      </c>
    </row>
    <row r="472">
      <c r="A472" s="125" t="s">
        <v>1873</v>
      </c>
    </row>
    <row r="473">
      <c r="A473" s="125" t="s">
        <v>1873</v>
      </c>
    </row>
    <row r="474">
      <c r="A474" s="125" t="s">
        <v>1873</v>
      </c>
    </row>
    <row r="475">
      <c r="A475" s="125" t="s">
        <v>1873</v>
      </c>
    </row>
    <row r="476">
      <c r="A476" s="125" t="s">
        <v>1873</v>
      </c>
    </row>
    <row r="477">
      <c r="A477" s="125" t="s">
        <v>1873</v>
      </c>
    </row>
    <row r="478">
      <c r="A478" s="125" t="s">
        <v>1873</v>
      </c>
    </row>
    <row r="479">
      <c r="A479" s="125" t="s">
        <v>1873</v>
      </c>
    </row>
    <row r="480">
      <c r="A480" s="125" t="s">
        <v>1873</v>
      </c>
    </row>
    <row r="481">
      <c r="A481" s="125" t="s">
        <v>1873</v>
      </c>
    </row>
    <row r="482">
      <c r="A482" s="125" t="s">
        <v>1873</v>
      </c>
    </row>
    <row r="483">
      <c r="A483" s="125" t="s">
        <v>1873</v>
      </c>
    </row>
    <row r="484">
      <c r="A484" s="125" t="s">
        <v>1873</v>
      </c>
    </row>
    <row r="485">
      <c r="A485" s="125" t="s">
        <v>1873</v>
      </c>
    </row>
    <row r="486">
      <c r="A486" s="125" t="s">
        <v>1873</v>
      </c>
    </row>
    <row r="487">
      <c r="A487" s="125" t="s">
        <v>1873</v>
      </c>
    </row>
    <row r="488">
      <c r="A488" s="125" t="s">
        <v>1873</v>
      </c>
    </row>
    <row r="489">
      <c r="A489" s="125" t="s">
        <v>1873</v>
      </c>
    </row>
    <row r="490">
      <c r="A490" s="125" t="s">
        <v>1873</v>
      </c>
    </row>
    <row r="491">
      <c r="A491" s="125" t="s">
        <v>1873</v>
      </c>
    </row>
    <row r="492">
      <c r="A492" s="125" t="s">
        <v>1873</v>
      </c>
    </row>
    <row r="493">
      <c r="A493" s="125" t="s">
        <v>1873</v>
      </c>
    </row>
    <row r="494">
      <c r="A494" s="125" t="s">
        <v>1873</v>
      </c>
    </row>
    <row r="495">
      <c r="A495" s="125" t="s">
        <v>1873</v>
      </c>
    </row>
    <row r="496">
      <c r="A496" s="125" t="s">
        <v>1873</v>
      </c>
    </row>
    <row r="497">
      <c r="A497" s="125" t="s">
        <v>1873</v>
      </c>
    </row>
    <row r="498">
      <c r="A498" s="125" t="s">
        <v>1873</v>
      </c>
    </row>
    <row r="499">
      <c r="A499" s="125" t="s">
        <v>1873</v>
      </c>
    </row>
    <row r="500">
      <c r="A500" s="125" t="s">
        <v>1873</v>
      </c>
    </row>
    <row r="501">
      <c r="A501" s="125" t="s">
        <v>1873</v>
      </c>
    </row>
    <row r="502">
      <c r="A502" s="125" t="s">
        <v>1873</v>
      </c>
    </row>
    <row r="503">
      <c r="A503" s="125" t="s">
        <v>1873</v>
      </c>
    </row>
    <row r="504">
      <c r="A504" s="125" t="s">
        <v>1873</v>
      </c>
    </row>
    <row r="505">
      <c r="A505" s="125" t="s">
        <v>1873</v>
      </c>
    </row>
    <row r="506">
      <c r="A506" s="125" t="s">
        <v>1873</v>
      </c>
    </row>
    <row r="507">
      <c r="A507" s="125" t="s">
        <v>1873</v>
      </c>
    </row>
    <row r="508">
      <c r="A508" s="125" t="s">
        <v>1873</v>
      </c>
    </row>
    <row r="509">
      <c r="A509" s="125" t="s">
        <v>1873</v>
      </c>
    </row>
    <row r="510">
      <c r="A510" s="125" t="s">
        <v>1873</v>
      </c>
    </row>
    <row r="511">
      <c r="A511" s="125" t="s">
        <v>1873</v>
      </c>
    </row>
    <row r="512">
      <c r="A512" s="125" t="s">
        <v>1873</v>
      </c>
    </row>
    <row r="513">
      <c r="A513" s="125" t="s">
        <v>1873</v>
      </c>
    </row>
    <row r="514">
      <c r="A514" s="125" t="s">
        <v>1873</v>
      </c>
    </row>
    <row r="515">
      <c r="A515" s="125" t="s">
        <v>1873</v>
      </c>
    </row>
    <row r="516">
      <c r="A516" s="125" t="s">
        <v>1873</v>
      </c>
    </row>
    <row r="517">
      <c r="A517" s="125" t="s">
        <v>1873</v>
      </c>
    </row>
    <row r="518">
      <c r="A518" s="125" t="s">
        <v>1873</v>
      </c>
    </row>
    <row r="519">
      <c r="A519" s="125" t="s">
        <v>1873</v>
      </c>
    </row>
    <row r="520">
      <c r="A520" s="125" t="s">
        <v>1873</v>
      </c>
    </row>
    <row r="521">
      <c r="A521" s="125" t="s">
        <v>1873</v>
      </c>
    </row>
    <row r="522">
      <c r="A522" s="125" t="s">
        <v>1873</v>
      </c>
    </row>
    <row r="523">
      <c r="A523" s="125" t="s">
        <v>1873</v>
      </c>
    </row>
    <row r="524">
      <c r="A524" s="125" t="s">
        <v>1873</v>
      </c>
    </row>
    <row r="525">
      <c r="A525" s="125" t="s">
        <v>1873</v>
      </c>
    </row>
    <row r="526">
      <c r="A526" s="125" t="s">
        <v>1873</v>
      </c>
    </row>
    <row r="527">
      <c r="A527" s="125" t="s">
        <v>1873</v>
      </c>
    </row>
    <row r="528">
      <c r="A528" s="125" t="s">
        <v>1873</v>
      </c>
    </row>
    <row r="529">
      <c r="A529" s="125" t="s">
        <v>1873</v>
      </c>
    </row>
    <row r="530">
      <c r="A530" s="125" t="s">
        <v>1873</v>
      </c>
    </row>
    <row r="531">
      <c r="A531" s="125" t="s">
        <v>1873</v>
      </c>
    </row>
    <row r="532">
      <c r="A532" s="125" t="s">
        <v>1873</v>
      </c>
    </row>
    <row r="533">
      <c r="A533" s="125" t="s">
        <v>1873</v>
      </c>
    </row>
    <row r="534">
      <c r="A534" s="125" t="s">
        <v>1873</v>
      </c>
    </row>
    <row r="535">
      <c r="A535" s="125" t="s">
        <v>1873</v>
      </c>
    </row>
    <row r="536">
      <c r="A536" s="125" t="s">
        <v>1873</v>
      </c>
    </row>
    <row r="537">
      <c r="A537" s="125" t="s">
        <v>1873</v>
      </c>
    </row>
    <row r="538">
      <c r="A538" s="125" t="s">
        <v>1873</v>
      </c>
    </row>
    <row r="539">
      <c r="A539" s="125" t="s">
        <v>1873</v>
      </c>
    </row>
    <row r="540">
      <c r="A540" s="125" t="s">
        <v>1873</v>
      </c>
    </row>
    <row r="541">
      <c r="A541" s="125" t="s">
        <v>1873</v>
      </c>
    </row>
    <row r="542">
      <c r="A542" s="125" t="s">
        <v>1873</v>
      </c>
    </row>
    <row r="543">
      <c r="A543" s="125" t="s">
        <v>1873</v>
      </c>
    </row>
    <row r="544">
      <c r="A544" s="125" t="s">
        <v>1873</v>
      </c>
    </row>
    <row r="545">
      <c r="A545" s="125" t="s">
        <v>1873</v>
      </c>
    </row>
    <row r="546">
      <c r="A546" s="125" t="s">
        <v>1873</v>
      </c>
    </row>
    <row r="547">
      <c r="A547" s="125" t="s">
        <v>1873</v>
      </c>
    </row>
    <row r="548">
      <c r="A548" s="125" t="s">
        <v>1873</v>
      </c>
    </row>
    <row r="549">
      <c r="A549" s="125" t="s">
        <v>1873</v>
      </c>
    </row>
    <row r="550">
      <c r="A550" s="125" t="s">
        <v>1873</v>
      </c>
    </row>
    <row r="551">
      <c r="A551" s="125" t="s">
        <v>1873</v>
      </c>
    </row>
    <row r="552">
      <c r="A552" s="125" t="s">
        <v>1873</v>
      </c>
    </row>
    <row r="553">
      <c r="A553" s="125" t="s">
        <v>1873</v>
      </c>
    </row>
    <row r="554">
      <c r="A554" s="125" t="s">
        <v>1873</v>
      </c>
    </row>
    <row r="555">
      <c r="A555" s="125" t="s">
        <v>1873</v>
      </c>
    </row>
    <row r="556">
      <c r="A556" s="125" t="s">
        <v>1873</v>
      </c>
    </row>
    <row r="557">
      <c r="A557" s="125" t="s">
        <v>1873</v>
      </c>
    </row>
    <row r="558">
      <c r="A558" s="125" t="s">
        <v>1873</v>
      </c>
    </row>
    <row r="559">
      <c r="A559" s="125" t="s">
        <v>1873</v>
      </c>
    </row>
    <row r="560">
      <c r="A560" s="125" t="s">
        <v>1873</v>
      </c>
    </row>
    <row r="561">
      <c r="A561" s="125" t="s">
        <v>1873</v>
      </c>
    </row>
    <row r="562">
      <c r="A562" s="125" t="s">
        <v>1873</v>
      </c>
    </row>
    <row r="563">
      <c r="A563" s="125" t="s">
        <v>1873</v>
      </c>
    </row>
    <row r="564">
      <c r="A564" s="125" t="s">
        <v>1873</v>
      </c>
    </row>
    <row r="565">
      <c r="A565" s="125" t="s">
        <v>1873</v>
      </c>
    </row>
    <row r="566">
      <c r="A566" s="125" t="s">
        <v>1873</v>
      </c>
    </row>
    <row r="567">
      <c r="A567" s="125" t="s">
        <v>1873</v>
      </c>
    </row>
    <row r="568">
      <c r="A568" s="125" t="s">
        <v>1873</v>
      </c>
    </row>
    <row r="569">
      <c r="A569" s="125" t="s">
        <v>1873</v>
      </c>
    </row>
    <row r="570">
      <c r="A570" s="125" t="s">
        <v>1873</v>
      </c>
    </row>
    <row r="571">
      <c r="A571" s="125" t="s">
        <v>1873</v>
      </c>
    </row>
    <row r="572">
      <c r="A572" s="125" t="s">
        <v>1873</v>
      </c>
    </row>
    <row r="573">
      <c r="A573" s="125" t="s">
        <v>1873</v>
      </c>
    </row>
    <row r="574">
      <c r="A574" s="125" t="s">
        <v>1873</v>
      </c>
    </row>
    <row r="575">
      <c r="A575" s="125" t="s">
        <v>1873</v>
      </c>
    </row>
    <row r="576">
      <c r="A576" s="125" t="s">
        <v>1873</v>
      </c>
    </row>
    <row r="577">
      <c r="A577" s="125" t="s">
        <v>1873</v>
      </c>
    </row>
    <row r="578">
      <c r="A578" s="125" t="s">
        <v>1873</v>
      </c>
    </row>
    <row r="579">
      <c r="A579" s="125" t="s">
        <v>1873</v>
      </c>
    </row>
    <row r="580">
      <c r="A580" s="125" t="s">
        <v>1873</v>
      </c>
    </row>
    <row r="581">
      <c r="A581" s="125" t="s">
        <v>1873</v>
      </c>
    </row>
    <row r="582">
      <c r="A582" s="125" t="s">
        <v>1873</v>
      </c>
    </row>
    <row r="583">
      <c r="A583" s="125" t="s">
        <v>1873</v>
      </c>
    </row>
    <row r="584">
      <c r="A584" s="125" t="s">
        <v>1873</v>
      </c>
    </row>
    <row r="585">
      <c r="A585" s="125" t="s">
        <v>1873</v>
      </c>
    </row>
    <row r="586">
      <c r="A586" s="125" t="s">
        <v>1873</v>
      </c>
    </row>
    <row r="587">
      <c r="A587" s="125" t="s">
        <v>1873</v>
      </c>
    </row>
    <row r="588">
      <c r="A588" s="125" t="s">
        <v>1873</v>
      </c>
    </row>
    <row r="589">
      <c r="A589" s="125" t="s">
        <v>1873</v>
      </c>
    </row>
    <row r="590">
      <c r="A590" s="125" t="s">
        <v>1873</v>
      </c>
    </row>
    <row r="591">
      <c r="A591" s="125" t="s">
        <v>1873</v>
      </c>
    </row>
    <row r="592">
      <c r="A592" s="125" t="s">
        <v>1873</v>
      </c>
    </row>
    <row r="593">
      <c r="A593" s="125" t="s">
        <v>1873</v>
      </c>
    </row>
    <row r="594">
      <c r="A594" s="125" t="s">
        <v>1873</v>
      </c>
    </row>
    <row r="595">
      <c r="A595" s="125" t="s">
        <v>1873</v>
      </c>
    </row>
    <row r="596">
      <c r="A596" s="125" t="s">
        <v>1873</v>
      </c>
    </row>
    <row r="597">
      <c r="A597" s="125" t="s">
        <v>1873</v>
      </c>
    </row>
    <row r="598">
      <c r="A598" s="125" t="s">
        <v>1873</v>
      </c>
    </row>
    <row r="599">
      <c r="A599" s="125" t="s">
        <v>1873</v>
      </c>
    </row>
    <row r="600">
      <c r="A600" s="125" t="s">
        <v>1873</v>
      </c>
    </row>
    <row r="601">
      <c r="A601" s="125" t="s">
        <v>1873</v>
      </c>
    </row>
    <row r="602">
      <c r="A602" s="125" t="s">
        <v>1873</v>
      </c>
    </row>
    <row r="603">
      <c r="A603" s="125" t="s">
        <v>1873</v>
      </c>
    </row>
    <row r="604">
      <c r="A604" s="125" t="s">
        <v>1873</v>
      </c>
    </row>
    <row r="605">
      <c r="A605" s="125" t="s">
        <v>1873</v>
      </c>
    </row>
    <row r="606">
      <c r="A606" s="125" t="s">
        <v>1873</v>
      </c>
    </row>
    <row r="607">
      <c r="A607" s="125" t="s">
        <v>1873</v>
      </c>
    </row>
    <row r="608">
      <c r="A608" s="125" t="s">
        <v>1873</v>
      </c>
    </row>
    <row r="609">
      <c r="A609" s="125" t="s">
        <v>1873</v>
      </c>
    </row>
    <row r="610">
      <c r="A610" s="125" t="s">
        <v>1873</v>
      </c>
    </row>
    <row r="611">
      <c r="A611" s="125" t="s">
        <v>1873</v>
      </c>
    </row>
    <row r="612">
      <c r="A612" s="125" t="s">
        <v>1873</v>
      </c>
    </row>
    <row r="613">
      <c r="A613" s="125" t="s">
        <v>1873</v>
      </c>
    </row>
    <row r="614">
      <c r="A614" s="125" t="s">
        <v>1873</v>
      </c>
    </row>
    <row r="615">
      <c r="A615" s="125" t="s">
        <v>1873</v>
      </c>
    </row>
    <row r="616">
      <c r="A616" s="125" t="s">
        <v>1873</v>
      </c>
    </row>
    <row r="617">
      <c r="A617" s="125" t="s">
        <v>1873</v>
      </c>
    </row>
    <row r="618">
      <c r="A618" s="125" t="s">
        <v>1873</v>
      </c>
    </row>
    <row r="619">
      <c r="A619" s="125" t="s">
        <v>1873</v>
      </c>
    </row>
    <row r="620">
      <c r="A620" s="125" t="s">
        <v>1873</v>
      </c>
    </row>
    <row r="621">
      <c r="A621" s="125" t="s">
        <v>1873</v>
      </c>
    </row>
    <row r="622">
      <c r="A622" s="125" t="s">
        <v>1873</v>
      </c>
    </row>
    <row r="623">
      <c r="A623" s="125" t="s">
        <v>1873</v>
      </c>
    </row>
    <row r="624">
      <c r="A624" s="125" t="s">
        <v>1873</v>
      </c>
    </row>
    <row r="625">
      <c r="A625" s="125" t="s">
        <v>1873</v>
      </c>
    </row>
    <row r="626">
      <c r="A626" s="125" t="s">
        <v>1873</v>
      </c>
    </row>
    <row r="627">
      <c r="A627" s="125" t="s">
        <v>1873</v>
      </c>
    </row>
    <row r="628">
      <c r="A628" s="125" t="s">
        <v>1873</v>
      </c>
    </row>
    <row r="629">
      <c r="A629" s="125" t="s">
        <v>1873</v>
      </c>
    </row>
    <row r="630">
      <c r="A630" s="125" t="s">
        <v>1873</v>
      </c>
    </row>
    <row r="631">
      <c r="A631" s="125" t="s">
        <v>1873</v>
      </c>
    </row>
    <row r="632">
      <c r="A632" s="125" t="s">
        <v>1873</v>
      </c>
    </row>
    <row r="633">
      <c r="A633" s="125" t="s">
        <v>1873</v>
      </c>
    </row>
    <row r="634">
      <c r="A634" s="125" t="s">
        <v>1873</v>
      </c>
    </row>
    <row r="635">
      <c r="A635" s="125" t="s">
        <v>1873</v>
      </c>
    </row>
    <row r="636">
      <c r="A636" s="125" t="s">
        <v>1873</v>
      </c>
    </row>
    <row r="637">
      <c r="A637" s="125" t="s">
        <v>1873</v>
      </c>
    </row>
    <row r="638">
      <c r="A638" s="125" t="s">
        <v>1873</v>
      </c>
    </row>
    <row r="639">
      <c r="A639" s="125" t="s">
        <v>1873</v>
      </c>
    </row>
    <row r="640">
      <c r="A640" s="125" t="s">
        <v>1873</v>
      </c>
    </row>
    <row r="641">
      <c r="A641" s="125" t="s">
        <v>1873</v>
      </c>
    </row>
    <row r="642">
      <c r="A642" s="125" t="s">
        <v>1873</v>
      </c>
    </row>
    <row r="643">
      <c r="A643" s="125" t="s">
        <v>1873</v>
      </c>
    </row>
    <row r="644">
      <c r="A644" s="125" t="s">
        <v>1873</v>
      </c>
    </row>
    <row r="645">
      <c r="A645" s="125" t="s">
        <v>1873</v>
      </c>
    </row>
    <row r="646">
      <c r="A646" s="125" t="s">
        <v>1873</v>
      </c>
    </row>
    <row r="647">
      <c r="A647" s="125" t="s">
        <v>1873</v>
      </c>
    </row>
    <row r="648">
      <c r="A648" s="125" t="s">
        <v>1873</v>
      </c>
    </row>
    <row r="649">
      <c r="A649" s="125" t="s">
        <v>1873</v>
      </c>
    </row>
    <row r="650">
      <c r="A650" s="125" t="s">
        <v>1873</v>
      </c>
    </row>
    <row r="651">
      <c r="A651" s="125" t="s">
        <v>1873</v>
      </c>
    </row>
    <row r="652">
      <c r="A652" s="125" t="s">
        <v>1873</v>
      </c>
    </row>
    <row r="653">
      <c r="A653" s="125" t="s">
        <v>1873</v>
      </c>
    </row>
    <row r="654">
      <c r="A654" s="125" t="s">
        <v>1873</v>
      </c>
    </row>
    <row r="655">
      <c r="A655" s="125" t="s">
        <v>1873</v>
      </c>
    </row>
    <row r="656">
      <c r="A656" s="125" t="s">
        <v>1873</v>
      </c>
    </row>
    <row r="657">
      <c r="A657" s="125" t="s">
        <v>1873</v>
      </c>
    </row>
    <row r="658">
      <c r="A658" s="125" t="s">
        <v>1873</v>
      </c>
    </row>
    <row r="659">
      <c r="A659" s="125" t="s">
        <v>1873</v>
      </c>
    </row>
    <row r="660">
      <c r="A660" s="125" t="s">
        <v>1873</v>
      </c>
    </row>
    <row r="661">
      <c r="A661" s="125" t="s">
        <v>1873</v>
      </c>
    </row>
    <row r="662">
      <c r="A662" s="125" t="s">
        <v>1873</v>
      </c>
    </row>
    <row r="663">
      <c r="A663" s="125" t="s">
        <v>1873</v>
      </c>
    </row>
    <row r="664">
      <c r="A664" s="125" t="s">
        <v>1873</v>
      </c>
    </row>
    <row r="665">
      <c r="A665" s="125" t="s">
        <v>1873</v>
      </c>
    </row>
    <row r="666">
      <c r="A666" s="125" t="s">
        <v>1873</v>
      </c>
    </row>
    <row r="667">
      <c r="A667" s="125" t="s">
        <v>1873</v>
      </c>
    </row>
    <row r="668">
      <c r="A668" s="125" t="s">
        <v>1873</v>
      </c>
    </row>
    <row r="669">
      <c r="A669" s="125" t="s">
        <v>1873</v>
      </c>
    </row>
    <row r="670">
      <c r="A670" s="125" t="s">
        <v>1873</v>
      </c>
    </row>
    <row r="671">
      <c r="A671" s="125" t="s">
        <v>1873</v>
      </c>
    </row>
    <row r="672">
      <c r="A672" s="125" t="s">
        <v>1873</v>
      </c>
    </row>
    <row r="673">
      <c r="A673" s="125" t="s">
        <v>1873</v>
      </c>
    </row>
    <row r="674">
      <c r="A674" s="125" t="s">
        <v>1873</v>
      </c>
    </row>
    <row r="675">
      <c r="A675" s="125" t="s">
        <v>1873</v>
      </c>
    </row>
    <row r="676">
      <c r="A676" s="125" t="s">
        <v>1873</v>
      </c>
    </row>
    <row r="677">
      <c r="A677" s="125" t="s">
        <v>1873</v>
      </c>
    </row>
    <row r="678">
      <c r="A678" s="125" t="s">
        <v>1873</v>
      </c>
    </row>
    <row r="679">
      <c r="A679" s="125" t="s">
        <v>1873</v>
      </c>
    </row>
    <row r="680">
      <c r="A680" s="125" t="s">
        <v>1873</v>
      </c>
    </row>
    <row r="681">
      <c r="A681" s="125" t="s">
        <v>1873</v>
      </c>
    </row>
    <row r="682">
      <c r="A682" s="125" t="s">
        <v>1873</v>
      </c>
    </row>
    <row r="683">
      <c r="A683" s="125" t="s">
        <v>1873</v>
      </c>
    </row>
    <row r="684">
      <c r="A684" s="125" t="s">
        <v>1873</v>
      </c>
    </row>
    <row r="685">
      <c r="A685" s="125" t="s">
        <v>1873</v>
      </c>
    </row>
    <row r="686">
      <c r="A686" s="125" t="s">
        <v>1873</v>
      </c>
    </row>
    <row r="687">
      <c r="A687" s="125" t="s">
        <v>1873</v>
      </c>
    </row>
    <row r="688">
      <c r="A688" s="125" t="s">
        <v>1873</v>
      </c>
    </row>
    <row r="689">
      <c r="A689" s="125" t="s">
        <v>1873</v>
      </c>
    </row>
    <row r="690">
      <c r="A690" s="125" t="s">
        <v>1873</v>
      </c>
    </row>
    <row r="691">
      <c r="A691" s="125" t="s">
        <v>1873</v>
      </c>
    </row>
    <row r="692">
      <c r="A692" s="125" t="s">
        <v>1873</v>
      </c>
    </row>
    <row r="693">
      <c r="A693" s="125" t="s">
        <v>1873</v>
      </c>
    </row>
    <row r="694">
      <c r="A694" s="125" t="s">
        <v>1873</v>
      </c>
    </row>
    <row r="695">
      <c r="A695" s="125" t="s">
        <v>1873</v>
      </c>
    </row>
    <row r="696">
      <c r="A696" s="125" t="s">
        <v>1873</v>
      </c>
    </row>
    <row r="697">
      <c r="A697" s="125" t="s">
        <v>1873</v>
      </c>
    </row>
    <row r="698">
      <c r="A698" s="125" t="s">
        <v>1873</v>
      </c>
    </row>
    <row r="699">
      <c r="A699" s="125" t="s">
        <v>1873</v>
      </c>
    </row>
    <row r="700">
      <c r="A700" s="125" t="s">
        <v>1873</v>
      </c>
    </row>
    <row r="701">
      <c r="A701" s="125" t="s">
        <v>1873</v>
      </c>
    </row>
    <row r="702">
      <c r="A702" s="125" t="s">
        <v>1873</v>
      </c>
    </row>
    <row r="703">
      <c r="A703" s="125" t="s">
        <v>1873</v>
      </c>
    </row>
    <row r="704">
      <c r="A704" s="125" t="s">
        <v>1873</v>
      </c>
    </row>
    <row r="705">
      <c r="A705" s="125" t="s">
        <v>1873</v>
      </c>
    </row>
    <row r="706">
      <c r="A706" s="125" t="s">
        <v>1873</v>
      </c>
    </row>
    <row r="707">
      <c r="A707" s="125" t="s">
        <v>1873</v>
      </c>
    </row>
    <row r="708">
      <c r="A708" s="125" t="s">
        <v>1873</v>
      </c>
    </row>
    <row r="709">
      <c r="A709" s="125" t="s">
        <v>1873</v>
      </c>
    </row>
    <row r="710">
      <c r="A710" s="125" t="s">
        <v>1873</v>
      </c>
    </row>
    <row r="711">
      <c r="A711" s="125" t="s">
        <v>1873</v>
      </c>
    </row>
    <row r="712">
      <c r="A712" s="125" t="s">
        <v>1873</v>
      </c>
    </row>
    <row r="713">
      <c r="A713" s="125" t="s">
        <v>1873</v>
      </c>
    </row>
    <row r="714">
      <c r="A714" s="125" t="s">
        <v>1873</v>
      </c>
    </row>
    <row r="715">
      <c r="A715" s="125" t="s">
        <v>1873</v>
      </c>
    </row>
    <row r="716">
      <c r="A716" s="125" t="s">
        <v>1873</v>
      </c>
    </row>
    <row r="717">
      <c r="A717" s="125" t="s">
        <v>1873</v>
      </c>
    </row>
    <row r="718">
      <c r="A718" s="125" t="s">
        <v>1873</v>
      </c>
    </row>
    <row r="719">
      <c r="A719" s="125" t="s">
        <v>1873</v>
      </c>
    </row>
    <row r="720">
      <c r="A720" s="125" t="s">
        <v>1873</v>
      </c>
    </row>
    <row r="721">
      <c r="A721" s="125" t="s">
        <v>1873</v>
      </c>
    </row>
    <row r="722">
      <c r="A722" s="125" t="s">
        <v>1873</v>
      </c>
    </row>
    <row r="723">
      <c r="A723" s="125" t="s">
        <v>1873</v>
      </c>
    </row>
    <row r="724">
      <c r="A724" s="125" t="s">
        <v>1873</v>
      </c>
    </row>
    <row r="725">
      <c r="A725" s="125" t="s">
        <v>1873</v>
      </c>
    </row>
    <row r="726">
      <c r="A726" s="125" t="s">
        <v>1873</v>
      </c>
    </row>
    <row r="727">
      <c r="A727" s="125" t="s">
        <v>1873</v>
      </c>
    </row>
    <row r="728">
      <c r="A728" s="125" t="s">
        <v>1873</v>
      </c>
    </row>
    <row r="729">
      <c r="A729" s="125" t="s">
        <v>1873</v>
      </c>
    </row>
    <row r="730">
      <c r="A730" s="125" t="s">
        <v>1873</v>
      </c>
    </row>
    <row r="731">
      <c r="A731" s="125" t="s">
        <v>1873</v>
      </c>
    </row>
    <row r="732">
      <c r="A732" s="125" t="s">
        <v>1873</v>
      </c>
    </row>
    <row r="733">
      <c r="A733" s="125" t="s">
        <v>1873</v>
      </c>
    </row>
    <row r="734">
      <c r="A734" s="125" t="s">
        <v>1873</v>
      </c>
    </row>
    <row r="735">
      <c r="A735" s="125" t="s">
        <v>1873</v>
      </c>
    </row>
    <row r="736">
      <c r="A736" s="125" t="s">
        <v>1873</v>
      </c>
    </row>
    <row r="737">
      <c r="A737" s="125" t="s">
        <v>1873</v>
      </c>
    </row>
    <row r="738">
      <c r="A738" s="125" t="s">
        <v>1873</v>
      </c>
    </row>
    <row r="739">
      <c r="A739" s="125" t="s">
        <v>1873</v>
      </c>
    </row>
    <row r="740">
      <c r="A740" s="125" t="s">
        <v>1873</v>
      </c>
    </row>
    <row r="741">
      <c r="A741" s="125" t="s">
        <v>1873</v>
      </c>
    </row>
    <row r="742">
      <c r="A742" s="125" t="s">
        <v>1873</v>
      </c>
    </row>
    <row r="743">
      <c r="A743" s="125" t="s">
        <v>1873</v>
      </c>
    </row>
    <row r="744">
      <c r="A744" s="125" t="s">
        <v>1873</v>
      </c>
    </row>
    <row r="745">
      <c r="A745" s="125" t="s">
        <v>1873</v>
      </c>
    </row>
    <row r="746">
      <c r="A746" s="125" t="s">
        <v>1873</v>
      </c>
    </row>
    <row r="747">
      <c r="A747" s="125" t="s">
        <v>1873</v>
      </c>
    </row>
    <row r="748">
      <c r="A748" s="125" t="s">
        <v>1873</v>
      </c>
    </row>
    <row r="749">
      <c r="A749" s="125" t="s">
        <v>1873</v>
      </c>
    </row>
    <row r="750">
      <c r="A750" s="125" t="s">
        <v>1873</v>
      </c>
    </row>
    <row r="751">
      <c r="A751" s="125" t="s">
        <v>1873</v>
      </c>
    </row>
    <row r="752">
      <c r="A752" s="125" t="s">
        <v>1873</v>
      </c>
    </row>
    <row r="753">
      <c r="A753" s="125" t="s">
        <v>1873</v>
      </c>
    </row>
    <row r="754">
      <c r="A754" s="125" t="s">
        <v>1873</v>
      </c>
    </row>
    <row r="755">
      <c r="A755" s="125" t="s">
        <v>1873</v>
      </c>
    </row>
    <row r="756">
      <c r="A756" s="125" t="s">
        <v>1873</v>
      </c>
    </row>
    <row r="757">
      <c r="A757" s="125" t="s">
        <v>1873</v>
      </c>
    </row>
    <row r="758">
      <c r="A758" s="125" t="s">
        <v>1873</v>
      </c>
    </row>
    <row r="759">
      <c r="A759" s="125" t="s">
        <v>1873</v>
      </c>
    </row>
    <row r="760">
      <c r="A760" s="125" t="s">
        <v>1873</v>
      </c>
    </row>
    <row r="761">
      <c r="A761" s="125" t="s">
        <v>1873</v>
      </c>
    </row>
    <row r="762">
      <c r="A762" s="125" t="s">
        <v>1873</v>
      </c>
    </row>
    <row r="763">
      <c r="A763" s="125" t="s">
        <v>1873</v>
      </c>
    </row>
    <row r="764">
      <c r="A764" s="125" t="s">
        <v>1873</v>
      </c>
    </row>
    <row r="765">
      <c r="A765" s="125" t="s">
        <v>1873</v>
      </c>
    </row>
    <row r="766">
      <c r="A766" s="125" t="s">
        <v>1873</v>
      </c>
    </row>
    <row r="767">
      <c r="A767" s="125" t="s">
        <v>1873</v>
      </c>
    </row>
    <row r="768">
      <c r="A768" s="125" t="s">
        <v>1873</v>
      </c>
    </row>
    <row r="769">
      <c r="A769" s="125" t="s">
        <v>1873</v>
      </c>
    </row>
    <row r="770">
      <c r="A770" s="125" t="s">
        <v>1873</v>
      </c>
    </row>
    <row r="771">
      <c r="A771" s="125" t="s">
        <v>1873</v>
      </c>
    </row>
    <row r="772">
      <c r="A772" s="125" t="s">
        <v>1873</v>
      </c>
    </row>
    <row r="773">
      <c r="A773" s="125" t="s">
        <v>1873</v>
      </c>
    </row>
    <row r="774">
      <c r="A774" s="125" t="s">
        <v>1873</v>
      </c>
    </row>
    <row r="775">
      <c r="A775" s="125" t="s">
        <v>1873</v>
      </c>
    </row>
    <row r="776">
      <c r="A776" s="125" t="s">
        <v>1873</v>
      </c>
    </row>
    <row r="777">
      <c r="A777" s="125" t="s">
        <v>1873</v>
      </c>
    </row>
    <row r="778">
      <c r="A778" s="125" t="s">
        <v>1873</v>
      </c>
    </row>
    <row r="779">
      <c r="A779" s="125" t="s">
        <v>1873</v>
      </c>
    </row>
    <row r="780">
      <c r="A780" s="125" t="s">
        <v>1873</v>
      </c>
    </row>
    <row r="781">
      <c r="A781" s="125" t="s">
        <v>1873</v>
      </c>
    </row>
    <row r="782">
      <c r="A782" s="125" t="s">
        <v>1873</v>
      </c>
    </row>
    <row r="783">
      <c r="A783" s="125" t="s">
        <v>1873</v>
      </c>
    </row>
    <row r="784">
      <c r="A784" s="125" t="s">
        <v>1873</v>
      </c>
    </row>
    <row r="785">
      <c r="A785" s="125" t="s">
        <v>1873</v>
      </c>
    </row>
    <row r="786">
      <c r="A786" s="125" t="s">
        <v>1873</v>
      </c>
    </row>
    <row r="787">
      <c r="A787" s="125" t="s">
        <v>1873</v>
      </c>
    </row>
    <row r="788">
      <c r="A788" s="125" t="s">
        <v>1873</v>
      </c>
    </row>
    <row r="789">
      <c r="A789" s="125" t="s">
        <v>1873</v>
      </c>
    </row>
    <row r="790">
      <c r="A790" s="125" t="s">
        <v>1873</v>
      </c>
    </row>
    <row r="791">
      <c r="A791" s="125" t="s">
        <v>1873</v>
      </c>
    </row>
    <row r="792">
      <c r="A792" s="125" t="s">
        <v>1873</v>
      </c>
    </row>
    <row r="793">
      <c r="A793" s="125" t="s">
        <v>1873</v>
      </c>
    </row>
    <row r="794">
      <c r="A794" s="125" t="s">
        <v>1873</v>
      </c>
    </row>
    <row r="795">
      <c r="A795" s="125" t="s">
        <v>1873</v>
      </c>
    </row>
    <row r="796">
      <c r="A796" s="125" t="s">
        <v>1873</v>
      </c>
    </row>
    <row r="797">
      <c r="A797" s="125" t="s">
        <v>1873</v>
      </c>
    </row>
    <row r="798">
      <c r="A798" s="125" t="s">
        <v>1873</v>
      </c>
    </row>
    <row r="799">
      <c r="A799" s="125" t="s">
        <v>1873</v>
      </c>
    </row>
    <row r="800">
      <c r="A800" s="125" t="s">
        <v>1873</v>
      </c>
    </row>
    <row r="801">
      <c r="A801" s="125" t="s">
        <v>1873</v>
      </c>
    </row>
    <row r="802">
      <c r="A802" s="125" t="s">
        <v>1873</v>
      </c>
    </row>
    <row r="803">
      <c r="A803" s="125" t="s">
        <v>1873</v>
      </c>
    </row>
    <row r="804">
      <c r="A804" s="125" t="s">
        <v>1873</v>
      </c>
    </row>
    <row r="805">
      <c r="A805" s="125" t="s">
        <v>1873</v>
      </c>
    </row>
    <row r="806">
      <c r="A806" s="125" t="s">
        <v>1873</v>
      </c>
    </row>
    <row r="807">
      <c r="A807" s="125" t="s">
        <v>1873</v>
      </c>
    </row>
    <row r="808">
      <c r="A808" s="125" t="s">
        <v>1873</v>
      </c>
    </row>
    <row r="809">
      <c r="A809" s="125" t="s">
        <v>1873</v>
      </c>
    </row>
    <row r="810">
      <c r="A810" s="125" t="s">
        <v>1873</v>
      </c>
    </row>
    <row r="811">
      <c r="A811" s="125" t="s">
        <v>1873</v>
      </c>
    </row>
    <row r="812">
      <c r="A812" s="125" t="s">
        <v>1873</v>
      </c>
    </row>
    <row r="813">
      <c r="A813" s="125" t="s">
        <v>1873</v>
      </c>
    </row>
    <row r="814">
      <c r="A814" s="125" t="s">
        <v>1873</v>
      </c>
    </row>
    <row r="815">
      <c r="A815" s="125" t="s">
        <v>1873</v>
      </c>
    </row>
    <row r="816">
      <c r="A816" s="125" t="s">
        <v>1873</v>
      </c>
    </row>
    <row r="817">
      <c r="A817" s="125" t="s">
        <v>1873</v>
      </c>
    </row>
    <row r="818">
      <c r="A818" s="125" t="s">
        <v>1873</v>
      </c>
    </row>
    <row r="819">
      <c r="A819" s="125" t="s">
        <v>1873</v>
      </c>
    </row>
    <row r="820">
      <c r="A820" s="125" t="s">
        <v>1873</v>
      </c>
    </row>
    <row r="821">
      <c r="A821" s="125" t="s">
        <v>1873</v>
      </c>
    </row>
    <row r="822">
      <c r="A822" s="125" t="s">
        <v>1873</v>
      </c>
    </row>
    <row r="823">
      <c r="A823" s="125" t="s">
        <v>1873</v>
      </c>
    </row>
    <row r="824">
      <c r="A824" s="125" t="s">
        <v>1873</v>
      </c>
    </row>
    <row r="825">
      <c r="A825" s="125" t="s">
        <v>1873</v>
      </c>
    </row>
    <row r="826">
      <c r="A826" s="125" t="s">
        <v>1873</v>
      </c>
    </row>
    <row r="827">
      <c r="A827" s="125" t="s">
        <v>1873</v>
      </c>
    </row>
    <row r="828">
      <c r="A828" s="125" t="s">
        <v>1873</v>
      </c>
    </row>
    <row r="829">
      <c r="A829" s="125" t="s">
        <v>1873</v>
      </c>
    </row>
    <row r="830">
      <c r="A830" s="125" t="s">
        <v>1873</v>
      </c>
    </row>
    <row r="831">
      <c r="A831" s="125" t="s">
        <v>1873</v>
      </c>
    </row>
    <row r="832">
      <c r="A832" s="125" t="s">
        <v>1873</v>
      </c>
    </row>
    <row r="833">
      <c r="A833" s="125" t="s">
        <v>1873</v>
      </c>
    </row>
    <row r="834">
      <c r="A834" s="125" t="s">
        <v>1873</v>
      </c>
    </row>
    <row r="835">
      <c r="A835" s="125" t="s">
        <v>1873</v>
      </c>
    </row>
    <row r="836">
      <c r="A836" s="125" t="s">
        <v>1873</v>
      </c>
    </row>
    <row r="837">
      <c r="A837" s="125" t="s">
        <v>1873</v>
      </c>
    </row>
    <row r="838">
      <c r="A838" s="125" t="s">
        <v>1873</v>
      </c>
    </row>
    <row r="839">
      <c r="A839" s="125" t="s">
        <v>1873</v>
      </c>
    </row>
    <row r="840">
      <c r="A840" s="125" t="s">
        <v>1873</v>
      </c>
    </row>
    <row r="841">
      <c r="A841" s="125" t="s">
        <v>1873</v>
      </c>
    </row>
    <row r="842">
      <c r="A842" s="125" t="s">
        <v>1873</v>
      </c>
    </row>
    <row r="843">
      <c r="A843" s="125" t="s">
        <v>1873</v>
      </c>
    </row>
    <row r="844">
      <c r="A844" s="125" t="s">
        <v>1873</v>
      </c>
    </row>
    <row r="845">
      <c r="A845" s="125" t="s">
        <v>1873</v>
      </c>
    </row>
    <row r="846">
      <c r="A846" s="125" t="s">
        <v>1873</v>
      </c>
    </row>
    <row r="847">
      <c r="A847" s="125" t="s">
        <v>1873</v>
      </c>
    </row>
    <row r="848">
      <c r="A848" s="125" t="s">
        <v>1873</v>
      </c>
    </row>
    <row r="849">
      <c r="A849" s="125" t="s">
        <v>1873</v>
      </c>
    </row>
    <row r="850">
      <c r="A850" s="125" t="s">
        <v>1873</v>
      </c>
    </row>
    <row r="851">
      <c r="A851" s="125" t="s">
        <v>1873</v>
      </c>
    </row>
    <row r="852">
      <c r="A852" s="125" t="s">
        <v>1873</v>
      </c>
    </row>
    <row r="853">
      <c r="A853" s="125" t="s">
        <v>1873</v>
      </c>
    </row>
    <row r="854">
      <c r="A854" s="125" t="s">
        <v>1873</v>
      </c>
    </row>
    <row r="855">
      <c r="A855" s="125" t="s">
        <v>1873</v>
      </c>
    </row>
    <row r="856">
      <c r="A856" s="125" t="s">
        <v>1873</v>
      </c>
    </row>
    <row r="857">
      <c r="A857" s="125" t="s">
        <v>1873</v>
      </c>
    </row>
    <row r="858">
      <c r="A858" s="125" t="s">
        <v>1873</v>
      </c>
    </row>
    <row r="859">
      <c r="A859" s="125" t="s">
        <v>1873</v>
      </c>
    </row>
    <row r="860">
      <c r="A860" s="125" t="s">
        <v>1873</v>
      </c>
    </row>
    <row r="861">
      <c r="A861" s="125" t="s">
        <v>1873</v>
      </c>
    </row>
    <row r="862">
      <c r="A862" s="125" t="s">
        <v>1873</v>
      </c>
    </row>
    <row r="863">
      <c r="A863" s="125" t="s">
        <v>1873</v>
      </c>
    </row>
    <row r="864">
      <c r="A864" s="125" t="s">
        <v>1873</v>
      </c>
    </row>
    <row r="865">
      <c r="A865" s="125" t="s">
        <v>1873</v>
      </c>
    </row>
    <row r="866">
      <c r="A866" s="125" t="s">
        <v>1873</v>
      </c>
    </row>
    <row r="867">
      <c r="A867" s="125" t="s">
        <v>1873</v>
      </c>
    </row>
    <row r="868">
      <c r="A868" s="125" t="s">
        <v>1873</v>
      </c>
    </row>
    <row r="869">
      <c r="A869" s="125" t="s">
        <v>1873</v>
      </c>
    </row>
    <row r="870">
      <c r="A870" s="125" t="s">
        <v>1873</v>
      </c>
    </row>
    <row r="871">
      <c r="A871" s="125" t="s">
        <v>1873</v>
      </c>
    </row>
    <row r="872">
      <c r="A872" s="125" t="s">
        <v>1873</v>
      </c>
    </row>
    <row r="873">
      <c r="A873" s="125" t="s">
        <v>1873</v>
      </c>
    </row>
    <row r="874">
      <c r="A874" s="125" t="s">
        <v>1873</v>
      </c>
    </row>
    <row r="875">
      <c r="A875" s="125" t="s">
        <v>1873</v>
      </c>
    </row>
    <row r="876">
      <c r="A876" s="125" t="s">
        <v>1873</v>
      </c>
    </row>
    <row r="877">
      <c r="A877" s="125" t="s">
        <v>1873</v>
      </c>
    </row>
    <row r="878">
      <c r="A878" s="125" t="s">
        <v>1873</v>
      </c>
    </row>
    <row r="879">
      <c r="A879" s="125" t="s">
        <v>1873</v>
      </c>
    </row>
    <row r="880">
      <c r="A880" s="125" t="s">
        <v>1873</v>
      </c>
    </row>
    <row r="881">
      <c r="A881" s="125" t="s">
        <v>1873</v>
      </c>
    </row>
    <row r="882">
      <c r="A882" s="125" t="s">
        <v>1873</v>
      </c>
    </row>
    <row r="883">
      <c r="A883" s="125" t="s">
        <v>1873</v>
      </c>
    </row>
    <row r="884">
      <c r="A884" s="125" t="s">
        <v>1873</v>
      </c>
    </row>
    <row r="885">
      <c r="A885" s="125" t="s">
        <v>1873</v>
      </c>
    </row>
    <row r="886">
      <c r="A886" s="125" t="s">
        <v>1873</v>
      </c>
    </row>
    <row r="887">
      <c r="A887" s="125" t="s">
        <v>1873</v>
      </c>
    </row>
    <row r="888">
      <c r="A888" s="125" t="s">
        <v>1873</v>
      </c>
    </row>
    <row r="889">
      <c r="A889" s="125" t="s">
        <v>1873</v>
      </c>
    </row>
    <row r="890">
      <c r="A890" s="125" t="s">
        <v>1873</v>
      </c>
    </row>
    <row r="891">
      <c r="A891" s="125" t="s">
        <v>1873</v>
      </c>
    </row>
    <row r="892">
      <c r="A892" s="125" t="s">
        <v>1873</v>
      </c>
    </row>
    <row r="893">
      <c r="A893" s="125" t="s">
        <v>1873</v>
      </c>
    </row>
    <row r="894">
      <c r="A894" s="125" t="s">
        <v>1873</v>
      </c>
    </row>
    <row r="895">
      <c r="A895" s="125" t="s">
        <v>1873</v>
      </c>
    </row>
    <row r="896">
      <c r="A896" s="125" t="s">
        <v>1873</v>
      </c>
    </row>
    <row r="897">
      <c r="A897" s="125" t="s">
        <v>1873</v>
      </c>
    </row>
    <row r="898">
      <c r="A898" s="125" t="s">
        <v>1873</v>
      </c>
    </row>
    <row r="899">
      <c r="A899" s="125" t="s">
        <v>1873</v>
      </c>
    </row>
    <row r="900">
      <c r="A900" s="125" t="s">
        <v>1873</v>
      </c>
    </row>
    <row r="901">
      <c r="A901" s="125" t="s">
        <v>1873</v>
      </c>
    </row>
    <row r="902">
      <c r="A902" s="125" t="s">
        <v>1873</v>
      </c>
    </row>
    <row r="903">
      <c r="A903" s="125" t="s">
        <v>1873</v>
      </c>
    </row>
    <row r="904">
      <c r="A904" s="125" t="s">
        <v>1873</v>
      </c>
    </row>
    <row r="905">
      <c r="A905" s="125" t="s">
        <v>1873</v>
      </c>
    </row>
    <row r="906">
      <c r="A906" s="125" t="s">
        <v>1873</v>
      </c>
    </row>
    <row r="907">
      <c r="A907" s="125" t="s">
        <v>1873</v>
      </c>
    </row>
    <row r="908">
      <c r="A908" s="125" t="s">
        <v>1873</v>
      </c>
    </row>
    <row r="909">
      <c r="A909" s="125" t="s">
        <v>1873</v>
      </c>
    </row>
    <row r="910">
      <c r="A910" s="125" t="s">
        <v>1873</v>
      </c>
    </row>
    <row r="911">
      <c r="A911" s="125" t="s">
        <v>1873</v>
      </c>
    </row>
    <row r="912">
      <c r="A912" s="125" t="s">
        <v>1873</v>
      </c>
    </row>
    <row r="913">
      <c r="A913" s="125" t="s">
        <v>1873</v>
      </c>
    </row>
    <row r="914">
      <c r="A914" s="125" t="s">
        <v>1873</v>
      </c>
    </row>
    <row r="915">
      <c r="A915" s="125" t="s">
        <v>1873</v>
      </c>
    </row>
    <row r="916">
      <c r="A916" s="125" t="s">
        <v>1873</v>
      </c>
    </row>
    <row r="917">
      <c r="A917" s="125" t="s">
        <v>1873</v>
      </c>
    </row>
    <row r="918">
      <c r="A918" s="125" t="s">
        <v>1873</v>
      </c>
    </row>
    <row r="919">
      <c r="A919" s="125" t="s">
        <v>1873</v>
      </c>
    </row>
    <row r="920">
      <c r="A920" s="125" t="s">
        <v>1873</v>
      </c>
    </row>
    <row r="921">
      <c r="A921" s="125" t="s">
        <v>1873</v>
      </c>
    </row>
    <row r="922">
      <c r="A922" s="125" t="s">
        <v>1873</v>
      </c>
    </row>
    <row r="923">
      <c r="A923" s="125" t="s">
        <v>1873</v>
      </c>
    </row>
    <row r="924">
      <c r="A924" s="125" t="s">
        <v>1873</v>
      </c>
    </row>
    <row r="925">
      <c r="A925" s="125" t="s">
        <v>1873</v>
      </c>
    </row>
    <row r="926">
      <c r="A926" s="125" t="s">
        <v>1873</v>
      </c>
    </row>
    <row r="927">
      <c r="A927" s="125" t="s">
        <v>1873</v>
      </c>
    </row>
    <row r="928">
      <c r="A928" s="125" t="s">
        <v>1873</v>
      </c>
    </row>
    <row r="929">
      <c r="A929" s="125" t="s">
        <v>1873</v>
      </c>
    </row>
    <row r="930">
      <c r="A930" s="125" t="s">
        <v>1873</v>
      </c>
    </row>
    <row r="931">
      <c r="A931" s="125" t="s">
        <v>1873</v>
      </c>
    </row>
    <row r="932">
      <c r="A932" s="125" t="s">
        <v>1873</v>
      </c>
    </row>
    <row r="933">
      <c r="A933" s="125" t="s">
        <v>1873</v>
      </c>
    </row>
    <row r="934">
      <c r="A934" s="125" t="s">
        <v>1873</v>
      </c>
    </row>
    <row r="935">
      <c r="A935" s="125" t="s">
        <v>1873</v>
      </c>
    </row>
    <row r="936">
      <c r="A936" s="125" t="s">
        <v>1873</v>
      </c>
    </row>
    <row r="937">
      <c r="A937" s="125" t="s">
        <v>1873</v>
      </c>
    </row>
    <row r="938">
      <c r="A938" s="125" t="s">
        <v>1873</v>
      </c>
    </row>
    <row r="939">
      <c r="A939" s="125" t="s">
        <v>1873</v>
      </c>
    </row>
    <row r="940">
      <c r="A940" s="125" t="s">
        <v>1873</v>
      </c>
    </row>
    <row r="941">
      <c r="A941" s="125" t="s">
        <v>1873</v>
      </c>
    </row>
    <row r="942">
      <c r="A942" s="125" t="s">
        <v>1873</v>
      </c>
    </row>
    <row r="943">
      <c r="A943" s="125" t="s">
        <v>1873</v>
      </c>
    </row>
    <row r="944">
      <c r="A944" s="125" t="s">
        <v>1873</v>
      </c>
    </row>
    <row r="945">
      <c r="A945" s="125" t="s">
        <v>1873</v>
      </c>
    </row>
    <row r="946">
      <c r="A946" s="125" t="s">
        <v>1873</v>
      </c>
    </row>
    <row r="947">
      <c r="A947" s="125" t="s">
        <v>1873</v>
      </c>
    </row>
    <row r="948">
      <c r="A948" s="125" t="s">
        <v>1873</v>
      </c>
    </row>
    <row r="949">
      <c r="A949" s="125" t="s">
        <v>1873</v>
      </c>
    </row>
    <row r="950">
      <c r="A950" s="125" t="s">
        <v>1873</v>
      </c>
    </row>
    <row r="951">
      <c r="A951" s="125" t="s">
        <v>1873</v>
      </c>
    </row>
    <row r="952">
      <c r="A952" s="125" t="s">
        <v>1873</v>
      </c>
    </row>
    <row r="953">
      <c r="A953" s="125" t="s">
        <v>1873</v>
      </c>
    </row>
    <row r="954">
      <c r="A954" s="125" t="s">
        <v>1873</v>
      </c>
    </row>
    <row r="955">
      <c r="A955" s="125" t="s">
        <v>1873</v>
      </c>
    </row>
    <row r="956">
      <c r="A956" s="125" t="s">
        <v>1873</v>
      </c>
    </row>
    <row r="957">
      <c r="A957" s="125" t="s">
        <v>1873</v>
      </c>
    </row>
    <row r="958">
      <c r="A958" s="125" t="s">
        <v>1873</v>
      </c>
    </row>
    <row r="959">
      <c r="A959" s="125" t="s">
        <v>1873</v>
      </c>
    </row>
    <row r="960">
      <c r="A960" s="125" t="s">
        <v>1873</v>
      </c>
    </row>
    <row r="961">
      <c r="A961" s="125" t="s">
        <v>1873</v>
      </c>
    </row>
    <row r="962">
      <c r="A962" s="125" t="s">
        <v>1873</v>
      </c>
    </row>
    <row r="963">
      <c r="A963" s="125" t="s">
        <v>1873</v>
      </c>
    </row>
    <row r="964">
      <c r="A964" s="125" t="s">
        <v>1873</v>
      </c>
    </row>
    <row r="965">
      <c r="A965" s="125" t="s">
        <v>1873</v>
      </c>
    </row>
    <row r="966">
      <c r="A966" s="125" t="s">
        <v>1873</v>
      </c>
    </row>
    <row r="967">
      <c r="A967" s="125" t="s">
        <v>1873</v>
      </c>
    </row>
    <row r="968">
      <c r="A968" s="125" t="s">
        <v>1873</v>
      </c>
    </row>
    <row r="969">
      <c r="A969" s="125" t="s">
        <v>1873</v>
      </c>
    </row>
    <row r="970">
      <c r="A970" s="125" t="s">
        <v>1873</v>
      </c>
    </row>
    <row r="971">
      <c r="A971" s="125" t="s">
        <v>1873</v>
      </c>
    </row>
    <row r="972">
      <c r="A972" s="125" t="s">
        <v>1873</v>
      </c>
    </row>
    <row r="973">
      <c r="A973" s="125" t="s">
        <v>1873</v>
      </c>
    </row>
    <row r="974">
      <c r="A974" s="125" t="s">
        <v>1873</v>
      </c>
    </row>
    <row r="975">
      <c r="A975" s="125" t="s">
        <v>1873</v>
      </c>
    </row>
    <row r="976">
      <c r="A976" s="125" t="s">
        <v>1873</v>
      </c>
    </row>
    <row r="977">
      <c r="A977" s="125" t="s">
        <v>1873</v>
      </c>
    </row>
    <row r="978">
      <c r="A978" s="125" t="s">
        <v>1873</v>
      </c>
    </row>
    <row r="979">
      <c r="A979" s="125" t="s">
        <v>1873</v>
      </c>
    </row>
    <row r="980">
      <c r="A980" s="125" t="s">
        <v>1873</v>
      </c>
    </row>
    <row r="981">
      <c r="A981" s="125" t="s">
        <v>1873</v>
      </c>
    </row>
    <row r="982">
      <c r="A982" s="125" t="s">
        <v>1873</v>
      </c>
    </row>
    <row r="983">
      <c r="A983" s="125" t="s">
        <v>1873</v>
      </c>
    </row>
    <row r="984">
      <c r="A984" s="125" t="s">
        <v>1873</v>
      </c>
    </row>
    <row r="985">
      <c r="A985" s="125" t="s">
        <v>1873</v>
      </c>
    </row>
    <row r="986">
      <c r="A986" s="125" t="s">
        <v>1873</v>
      </c>
    </row>
    <row r="987">
      <c r="A987" s="125" t="s">
        <v>1873</v>
      </c>
    </row>
    <row r="988">
      <c r="A988" s="125" t="s">
        <v>1873</v>
      </c>
    </row>
    <row r="989">
      <c r="A989" s="125" t="s">
        <v>1873</v>
      </c>
    </row>
    <row r="990">
      <c r="A990" s="125" t="s">
        <v>1873</v>
      </c>
    </row>
    <row r="991">
      <c r="A991" s="125" t="s">
        <v>1873</v>
      </c>
    </row>
    <row r="992">
      <c r="A992" s="125" t="s">
        <v>1873</v>
      </c>
    </row>
    <row r="993">
      <c r="A993" s="125" t="s">
        <v>1873</v>
      </c>
    </row>
    <row r="994">
      <c r="A994" s="125" t="s">
        <v>1873</v>
      </c>
    </row>
    <row r="995">
      <c r="A995" s="125" t="s">
        <v>1873</v>
      </c>
    </row>
    <row r="996">
      <c r="A996" s="125" t="s">
        <v>1873</v>
      </c>
    </row>
    <row r="997">
      <c r="A997" s="125" t="s">
        <v>1873</v>
      </c>
    </row>
    <row r="998">
      <c r="A998" s="125" t="s">
        <v>1873</v>
      </c>
    </row>
    <row r="999">
      <c r="A999" s="125" t="s">
        <v>1873</v>
      </c>
    </row>
    <row r="1000">
      <c r="A1000" s="125" t="s">
        <v>1873</v>
      </c>
    </row>
    <row r="1001">
      <c r="A1001" s="125" t="s">
        <v>1873</v>
      </c>
    </row>
    <row r="1002">
      <c r="A1002" s="125" t="s">
        <v>1873</v>
      </c>
    </row>
    <row r="1003">
      <c r="A1003" s="125" t="s">
        <v>1873</v>
      </c>
    </row>
    <row r="1004">
      <c r="A1004" s="125" t="s">
        <v>1873</v>
      </c>
    </row>
    <row r="1005">
      <c r="A1005" s="125" t="s">
        <v>1873</v>
      </c>
    </row>
    <row r="1006">
      <c r="A1006" s="125" t="s">
        <v>1873</v>
      </c>
    </row>
    <row r="1007">
      <c r="A1007" s="125" t="s">
        <v>1873</v>
      </c>
    </row>
    <row r="1008">
      <c r="A1008" s="125" t="s">
        <v>1873</v>
      </c>
    </row>
    <row r="1009">
      <c r="A1009" s="125" t="s">
        <v>1873</v>
      </c>
    </row>
    <row r="1010">
      <c r="A1010" s="125" t="s">
        <v>1873</v>
      </c>
    </row>
    <row r="1011">
      <c r="A1011" s="125" t="s">
        <v>1873</v>
      </c>
    </row>
    <row r="1012">
      <c r="A1012" s="125" t="s">
        <v>1873</v>
      </c>
    </row>
    <row r="1013">
      <c r="A1013" s="125" t="s">
        <v>1873</v>
      </c>
    </row>
    <row r="1014">
      <c r="A1014" s="125" t="s">
        <v>1873</v>
      </c>
    </row>
    <row r="1015">
      <c r="A1015" s="125" t="s">
        <v>1873</v>
      </c>
    </row>
    <row r="1016">
      <c r="A1016" s="125" t="s">
        <v>1873</v>
      </c>
    </row>
    <row r="1017">
      <c r="A1017" s="125" t="s">
        <v>1873</v>
      </c>
    </row>
    <row r="1018">
      <c r="A1018" s="125" t="s">
        <v>1873</v>
      </c>
    </row>
    <row r="1019">
      <c r="A1019" s="125" t="s">
        <v>1873</v>
      </c>
    </row>
    <row r="1020">
      <c r="A1020" s="125" t="s">
        <v>1873</v>
      </c>
    </row>
    <row r="1021">
      <c r="A1021" s="125" t="s">
        <v>1873</v>
      </c>
    </row>
    <row r="1022">
      <c r="A1022" s="125" t="s">
        <v>1873</v>
      </c>
    </row>
    <row r="1023">
      <c r="A1023" s="125" t="s">
        <v>1873</v>
      </c>
    </row>
    <row r="1024">
      <c r="A1024" s="125" t="s">
        <v>1873</v>
      </c>
    </row>
    <row r="1025">
      <c r="A1025" s="125" t="s">
        <v>1873</v>
      </c>
    </row>
    <row r="1026">
      <c r="A1026" s="125" t="s">
        <v>1873</v>
      </c>
    </row>
    <row r="1027">
      <c r="A1027" s="125" t="s">
        <v>1873</v>
      </c>
    </row>
    <row r="1028">
      <c r="A1028" s="125" t="s">
        <v>1873</v>
      </c>
    </row>
    <row r="1029">
      <c r="A1029" s="125" t="s">
        <v>1873</v>
      </c>
    </row>
    <row r="1030">
      <c r="A1030" s="125" t="s">
        <v>1873</v>
      </c>
    </row>
    <row r="1031">
      <c r="A1031" s="125" t="s">
        <v>1873</v>
      </c>
    </row>
    <row r="1032">
      <c r="A1032" s="125" t="s">
        <v>1873</v>
      </c>
    </row>
    <row r="1033">
      <c r="A1033" s="125" t="s">
        <v>1873</v>
      </c>
    </row>
    <row r="1034">
      <c r="A1034" s="125" t="s">
        <v>1873</v>
      </c>
    </row>
    <row r="1035">
      <c r="A1035" s="125" t="s">
        <v>1873</v>
      </c>
    </row>
    <row r="1036">
      <c r="A1036" s="125" t="s">
        <v>1873</v>
      </c>
    </row>
    <row r="1037">
      <c r="A1037" s="125" t="s">
        <v>1873</v>
      </c>
    </row>
    <row r="1038">
      <c r="A1038" s="125" t="s">
        <v>1873</v>
      </c>
    </row>
    <row r="1039">
      <c r="A1039" s="125" t="s">
        <v>1873</v>
      </c>
    </row>
    <row r="1040">
      <c r="A1040" s="125" t="s">
        <v>1873</v>
      </c>
    </row>
    <row r="1041">
      <c r="A1041" s="125" t="s">
        <v>1873</v>
      </c>
    </row>
    <row r="1042">
      <c r="A1042" s="125" t="s">
        <v>1873</v>
      </c>
    </row>
    <row r="1043">
      <c r="A1043" s="125" t="s">
        <v>1873</v>
      </c>
    </row>
    <row r="1044">
      <c r="A1044" s="125" t="s">
        <v>1873</v>
      </c>
    </row>
    <row r="1045">
      <c r="A1045" s="125" t="s">
        <v>1873</v>
      </c>
    </row>
    <row r="1046">
      <c r="A1046" s="125" t="s">
        <v>1873</v>
      </c>
    </row>
    <row r="1047">
      <c r="A1047" s="125" t="s">
        <v>1873</v>
      </c>
    </row>
    <row r="1048">
      <c r="A1048" s="125" t="s">
        <v>1873</v>
      </c>
    </row>
    <row r="1049">
      <c r="A1049" s="125" t="s">
        <v>1873</v>
      </c>
    </row>
    <row r="1050">
      <c r="A1050" s="125" t="s">
        <v>1873</v>
      </c>
    </row>
    <row r="1051">
      <c r="A1051" s="125" t="s">
        <v>1873</v>
      </c>
    </row>
    <row r="1052">
      <c r="A1052" s="125" t="s">
        <v>1873</v>
      </c>
    </row>
    <row r="1053">
      <c r="A1053" s="125" t="s">
        <v>1873</v>
      </c>
    </row>
    <row r="1054">
      <c r="A1054" s="125" t="s">
        <v>1873</v>
      </c>
    </row>
    <row r="1055">
      <c r="A1055" s="125" t="s">
        <v>1873</v>
      </c>
    </row>
    <row r="1056">
      <c r="A1056" s="125" t="s">
        <v>1873</v>
      </c>
    </row>
    <row r="1057">
      <c r="A1057" s="125" t="s">
        <v>1873</v>
      </c>
    </row>
    <row r="1058">
      <c r="A1058" s="125" t="s">
        <v>1873</v>
      </c>
    </row>
    <row r="1059">
      <c r="A1059" s="125" t="s">
        <v>1873</v>
      </c>
    </row>
    <row r="1060">
      <c r="A1060" s="125" t="s">
        <v>1873</v>
      </c>
    </row>
    <row r="1061">
      <c r="A1061" s="125" t="s">
        <v>1873</v>
      </c>
    </row>
    <row r="1062">
      <c r="A1062" s="125" t="s">
        <v>1873</v>
      </c>
    </row>
    <row r="1063">
      <c r="A1063" s="125" t="s">
        <v>1873</v>
      </c>
    </row>
    <row r="1064">
      <c r="A1064" s="125" t="s">
        <v>1873</v>
      </c>
    </row>
    <row r="1065">
      <c r="A1065" s="125" t="s">
        <v>1873</v>
      </c>
    </row>
    <row r="1066">
      <c r="A1066" s="125" t="s">
        <v>1873</v>
      </c>
    </row>
    <row r="1067">
      <c r="A1067" s="125" t="s">
        <v>1873</v>
      </c>
    </row>
    <row r="1068">
      <c r="A1068" s="125" t="s">
        <v>1873</v>
      </c>
    </row>
    <row r="1069">
      <c r="A1069" s="125" t="s">
        <v>1873</v>
      </c>
    </row>
    <row r="1070">
      <c r="A1070" s="125" t="s">
        <v>1873</v>
      </c>
    </row>
    <row r="1071">
      <c r="A1071" s="125" t="s">
        <v>1873</v>
      </c>
    </row>
    <row r="1072">
      <c r="A1072" s="125" t="s">
        <v>1873</v>
      </c>
    </row>
    <row r="1073">
      <c r="A1073" s="125" t="s">
        <v>1873</v>
      </c>
    </row>
    <row r="1074">
      <c r="A1074" s="125" t="s">
        <v>1873</v>
      </c>
    </row>
    <row r="1075">
      <c r="A1075" s="125" t="s">
        <v>1873</v>
      </c>
    </row>
    <row r="1076">
      <c r="A1076" s="125" t="s">
        <v>1873</v>
      </c>
    </row>
    <row r="1077">
      <c r="A1077" s="125" t="s">
        <v>1873</v>
      </c>
    </row>
    <row r="1078">
      <c r="A1078" s="125" t="s">
        <v>1873</v>
      </c>
    </row>
    <row r="1079">
      <c r="A1079" s="125" t="s">
        <v>1873</v>
      </c>
    </row>
    <row r="1080">
      <c r="A1080" s="125" t="s">
        <v>1873</v>
      </c>
    </row>
    <row r="1081">
      <c r="A1081" s="125" t="s">
        <v>1873</v>
      </c>
    </row>
    <row r="1082">
      <c r="A1082" s="125" t="s">
        <v>1873</v>
      </c>
    </row>
    <row r="1083">
      <c r="A1083" s="125" t="s">
        <v>1873</v>
      </c>
    </row>
    <row r="1084">
      <c r="A1084" s="125" t="s">
        <v>1873</v>
      </c>
    </row>
    <row r="1085">
      <c r="A1085" s="125" t="s">
        <v>1873</v>
      </c>
    </row>
    <row r="1086">
      <c r="A1086" s="125" t="s">
        <v>1873</v>
      </c>
    </row>
    <row r="1087">
      <c r="A1087" s="125" t="s">
        <v>1873</v>
      </c>
    </row>
    <row r="1088">
      <c r="A1088" s="125" t="s">
        <v>1873</v>
      </c>
    </row>
    <row r="1089">
      <c r="A1089" s="125" t="s">
        <v>1873</v>
      </c>
    </row>
    <row r="1090">
      <c r="A1090" s="125" t="s">
        <v>1873</v>
      </c>
    </row>
    <row r="1091">
      <c r="A1091" s="125" t="s">
        <v>1873</v>
      </c>
    </row>
    <row r="1092">
      <c r="A1092" s="125" t="s">
        <v>1873</v>
      </c>
    </row>
    <row r="1093">
      <c r="A1093" s="125" t="s">
        <v>1873</v>
      </c>
    </row>
    <row r="1094">
      <c r="A1094" s="125" t="s">
        <v>1873</v>
      </c>
    </row>
    <row r="1095">
      <c r="A1095" s="125" t="s">
        <v>1873</v>
      </c>
    </row>
    <row r="1096">
      <c r="A1096" s="125" t="s">
        <v>1873</v>
      </c>
    </row>
    <row r="1097">
      <c r="A1097" s="125" t="s">
        <v>1873</v>
      </c>
    </row>
    <row r="1098">
      <c r="A1098" s="125" t="s">
        <v>1873</v>
      </c>
    </row>
    <row r="1099">
      <c r="A1099" s="125" t="s">
        <v>1873</v>
      </c>
    </row>
    <row r="1100">
      <c r="A1100" s="125" t="s">
        <v>1873</v>
      </c>
    </row>
    <row r="1101">
      <c r="A1101" s="125" t="s">
        <v>1873</v>
      </c>
    </row>
    <row r="1102">
      <c r="A1102" s="125" t="s">
        <v>1873</v>
      </c>
    </row>
    <row r="1103">
      <c r="A1103" s="125" t="s">
        <v>1873</v>
      </c>
    </row>
    <row r="1104">
      <c r="A1104" s="125" t="s">
        <v>1873</v>
      </c>
    </row>
    <row r="1105">
      <c r="A1105" s="125" t="s">
        <v>1873</v>
      </c>
    </row>
    <row r="1106">
      <c r="A1106" s="125" t="s">
        <v>1873</v>
      </c>
    </row>
    <row r="1107">
      <c r="A1107" s="125" t="s">
        <v>1873</v>
      </c>
    </row>
    <row r="1108">
      <c r="A1108" s="125" t="s">
        <v>1873</v>
      </c>
    </row>
    <row r="1109">
      <c r="A1109" s="125" t="s">
        <v>1873</v>
      </c>
    </row>
    <row r="1110">
      <c r="A1110" s="125" t="s">
        <v>1873</v>
      </c>
    </row>
    <row r="1111">
      <c r="A1111" s="125" t="s">
        <v>1873</v>
      </c>
    </row>
    <row r="1112">
      <c r="A1112" s="125" t="s">
        <v>1873</v>
      </c>
    </row>
    <row r="1113">
      <c r="A1113" s="125" t="s">
        <v>1873</v>
      </c>
    </row>
    <row r="1114">
      <c r="A1114" s="125" t="s">
        <v>1873</v>
      </c>
    </row>
    <row r="1115">
      <c r="A1115" s="125" t="s">
        <v>1873</v>
      </c>
    </row>
    <row r="1116">
      <c r="A1116" s="125" t="s">
        <v>1873</v>
      </c>
    </row>
    <row r="1117">
      <c r="A1117" s="125" t="s">
        <v>1873</v>
      </c>
    </row>
    <row r="1118">
      <c r="A1118" s="125" t="s">
        <v>1873</v>
      </c>
    </row>
    <row r="1119">
      <c r="A1119" s="125" t="s">
        <v>1873</v>
      </c>
    </row>
    <row r="1120">
      <c r="A1120" s="125" t="s">
        <v>1873</v>
      </c>
    </row>
    <row r="1121">
      <c r="A1121" s="125" t="s">
        <v>1873</v>
      </c>
    </row>
    <row r="1122">
      <c r="A1122" s="125" t="s">
        <v>1873</v>
      </c>
    </row>
    <row r="1123">
      <c r="A1123" s="125" t="s">
        <v>1873</v>
      </c>
    </row>
    <row r="1124">
      <c r="A1124" s="125" t="s">
        <v>1873</v>
      </c>
    </row>
    <row r="1125">
      <c r="A1125" s="125" t="s">
        <v>1873</v>
      </c>
    </row>
    <row r="1126">
      <c r="A1126" s="125" t="s">
        <v>1873</v>
      </c>
    </row>
    <row r="1127">
      <c r="A1127" s="125" t="s">
        <v>1873</v>
      </c>
    </row>
    <row r="1128">
      <c r="A1128" s="125" t="s">
        <v>1873</v>
      </c>
    </row>
    <row r="1129">
      <c r="A1129" s="125" t="s">
        <v>1873</v>
      </c>
    </row>
    <row r="1130">
      <c r="A1130" s="125" t="s">
        <v>1873</v>
      </c>
    </row>
    <row r="1131">
      <c r="A1131" s="125" t="s">
        <v>1873</v>
      </c>
    </row>
    <row r="1132">
      <c r="A1132" s="125" t="s">
        <v>1873</v>
      </c>
    </row>
    <row r="1133">
      <c r="A1133" s="125" t="s">
        <v>1873</v>
      </c>
    </row>
    <row r="1134">
      <c r="A1134" s="125" t="s">
        <v>1873</v>
      </c>
    </row>
    <row r="1135">
      <c r="A1135" s="125" t="s">
        <v>1873</v>
      </c>
    </row>
    <row r="1136">
      <c r="A1136" s="125" t="s">
        <v>1873</v>
      </c>
    </row>
    <row r="1137">
      <c r="A1137" s="125" t="s">
        <v>1873</v>
      </c>
    </row>
    <row r="1138">
      <c r="A1138" s="125" t="s">
        <v>1873</v>
      </c>
    </row>
    <row r="1139">
      <c r="A1139" s="125" t="s">
        <v>1873</v>
      </c>
    </row>
    <row r="1140">
      <c r="A1140" s="125" t="s">
        <v>1873</v>
      </c>
    </row>
    <row r="1141">
      <c r="A1141" s="125" t="s">
        <v>1873</v>
      </c>
    </row>
    <row r="1142">
      <c r="A1142" s="125" t="s">
        <v>1873</v>
      </c>
    </row>
    <row r="1143">
      <c r="A1143" s="125" t="s">
        <v>1873</v>
      </c>
    </row>
    <row r="1144">
      <c r="A1144" s="125" t="s">
        <v>1873</v>
      </c>
    </row>
    <row r="1145">
      <c r="A1145" s="125" t="s">
        <v>1873</v>
      </c>
    </row>
    <row r="1146">
      <c r="A1146" s="125" t="s">
        <v>1873</v>
      </c>
    </row>
    <row r="1147">
      <c r="A1147" s="125" t="s">
        <v>1873</v>
      </c>
    </row>
    <row r="1148">
      <c r="A1148" s="125" t="s">
        <v>1873</v>
      </c>
    </row>
    <row r="1149">
      <c r="A1149" s="125" t="s">
        <v>1873</v>
      </c>
    </row>
    <row r="1150">
      <c r="A1150" s="125" t="s">
        <v>1873</v>
      </c>
    </row>
    <row r="1151">
      <c r="A1151" s="125" t="s">
        <v>1873</v>
      </c>
    </row>
    <row r="1152">
      <c r="A1152" s="125" t="s">
        <v>1873</v>
      </c>
    </row>
    <row r="1153">
      <c r="A1153" s="125" t="s">
        <v>1873</v>
      </c>
    </row>
    <row r="1154">
      <c r="A1154" s="125" t="s">
        <v>1873</v>
      </c>
    </row>
    <row r="1155">
      <c r="A1155" s="125" t="s">
        <v>1873</v>
      </c>
    </row>
    <row r="1156">
      <c r="A1156" s="125" t="s">
        <v>1873</v>
      </c>
    </row>
    <row r="1157">
      <c r="A1157" s="125" t="s">
        <v>1873</v>
      </c>
    </row>
    <row r="1158">
      <c r="A1158" s="125" t="s">
        <v>1873</v>
      </c>
    </row>
    <row r="1159">
      <c r="A1159" s="125" t="s">
        <v>1873</v>
      </c>
    </row>
    <row r="1160">
      <c r="A1160" s="125" t="s">
        <v>1873</v>
      </c>
    </row>
    <row r="1161">
      <c r="A1161" s="125" t="s">
        <v>1873</v>
      </c>
    </row>
    <row r="1162">
      <c r="A1162" s="125" t="s">
        <v>1873</v>
      </c>
    </row>
    <row r="1163">
      <c r="A1163" s="125" t="s">
        <v>1873</v>
      </c>
    </row>
    <row r="1164">
      <c r="A1164" s="125" t="s">
        <v>1873</v>
      </c>
    </row>
    <row r="1165">
      <c r="A1165" s="125" t="s">
        <v>1873</v>
      </c>
    </row>
    <row r="1166">
      <c r="A1166" s="125" t="s">
        <v>1873</v>
      </c>
    </row>
    <row r="1167">
      <c r="A1167" s="125" t="s">
        <v>1873</v>
      </c>
    </row>
    <row r="1168">
      <c r="A1168" s="125" t="s">
        <v>1873</v>
      </c>
    </row>
    <row r="1169">
      <c r="A1169" s="125" t="s">
        <v>1873</v>
      </c>
    </row>
    <row r="1170">
      <c r="A1170" s="125" t="s">
        <v>1873</v>
      </c>
    </row>
    <row r="1171">
      <c r="A1171" s="125" t="s">
        <v>1873</v>
      </c>
    </row>
    <row r="1172">
      <c r="A1172" s="125" t="s">
        <v>1873</v>
      </c>
    </row>
    <row r="1173">
      <c r="A1173" s="125" t="s">
        <v>1873</v>
      </c>
    </row>
    <row r="1174">
      <c r="A1174" s="125" t="s">
        <v>1873</v>
      </c>
    </row>
    <row r="1175">
      <c r="A1175" s="125" t="s">
        <v>1873</v>
      </c>
    </row>
    <row r="1176">
      <c r="A1176" s="125" t="s">
        <v>1873</v>
      </c>
    </row>
    <row r="1177">
      <c r="A1177" s="125" t="s">
        <v>1873</v>
      </c>
    </row>
    <row r="1178">
      <c r="A1178" s="125" t="s">
        <v>1873</v>
      </c>
    </row>
    <row r="1179">
      <c r="A1179" s="125" t="s">
        <v>1873</v>
      </c>
    </row>
    <row r="1180">
      <c r="A1180" s="125" t="s">
        <v>1873</v>
      </c>
    </row>
    <row r="1181">
      <c r="A1181" s="125" t="s">
        <v>1873</v>
      </c>
    </row>
    <row r="1182">
      <c r="A1182" s="125" t="s">
        <v>1873</v>
      </c>
    </row>
    <row r="1183">
      <c r="A1183" s="125" t="s">
        <v>1873</v>
      </c>
    </row>
    <row r="1184">
      <c r="A1184" s="125" t="s">
        <v>1873</v>
      </c>
    </row>
    <row r="1185">
      <c r="A1185" s="125" t="s">
        <v>1873</v>
      </c>
    </row>
    <row r="1186">
      <c r="A1186" s="125" t="s">
        <v>1873</v>
      </c>
    </row>
    <row r="1187">
      <c r="A1187" s="125" t="s">
        <v>1873</v>
      </c>
    </row>
    <row r="1188">
      <c r="A1188" s="125" t="s">
        <v>1873</v>
      </c>
    </row>
    <row r="1189">
      <c r="A1189" s="125" t="s">
        <v>1873</v>
      </c>
    </row>
    <row r="1190">
      <c r="A1190" s="125" t="s">
        <v>1873</v>
      </c>
    </row>
    <row r="1191">
      <c r="A1191" s="125" t="s">
        <v>1873</v>
      </c>
    </row>
    <row r="1192">
      <c r="A1192" s="125" t="s">
        <v>1873</v>
      </c>
    </row>
    <row r="1193">
      <c r="A1193" s="125" t="s">
        <v>1873</v>
      </c>
    </row>
    <row r="1194">
      <c r="A1194" s="125" t="s">
        <v>1873</v>
      </c>
    </row>
    <row r="1195">
      <c r="A1195" s="125" t="s">
        <v>1873</v>
      </c>
    </row>
    <row r="1196">
      <c r="A1196" s="125" t="s">
        <v>1873</v>
      </c>
    </row>
    <row r="1197">
      <c r="A1197" s="125" t="s">
        <v>1873</v>
      </c>
    </row>
    <row r="1198">
      <c r="A1198" s="125" t="s">
        <v>1873</v>
      </c>
    </row>
    <row r="1199">
      <c r="A1199" s="125" t="s">
        <v>1873</v>
      </c>
    </row>
    <row r="1200">
      <c r="A1200" s="125" t="s">
        <v>1873</v>
      </c>
    </row>
    <row r="1201">
      <c r="A1201" s="125" t="s">
        <v>1873</v>
      </c>
    </row>
    <row r="1202">
      <c r="A1202" s="125" t="s">
        <v>1873</v>
      </c>
    </row>
    <row r="1203">
      <c r="A1203" s="125" t="s">
        <v>1873</v>
      </c>
    </row>
    <row r="1204">
      <c r="A1204" s="125" t="s">
        <v>1873</v>
      </c>
    </row>
    <row r="1205">
      <c r="A1205" s="125" t="s">
        <v>1873</v>
      </c>
    </row>
    <row r="1206">
      <c r="A1206" s="125" t="s">
        <v>1873</v>
      </c>
    </row>
    <row r="1207">
      <c r="A1207" s="125" t="s">
        <v>1873</v>
      </c>
    </row>
    <row r="1208">
      <c r="A1208" s="125" t="s">
        <v>1873</v>
      </c>
    </row>
    <row r="1209">
      <c r="A1209" s="125" t="s">
        <v>1873</v>
      </c>
    </row>
    <row r="1210">
      <c r="A1210" s="125" t="s">
        <v>1873</v>
      </c>
    </row>
    <row r="1211">
      <c r="A1211" s="125" t="s">
        <v>1873</v>
      </c>
    </row>
    <row r="1212">
      <c r="A1212" s="125" t="s">
        <v>1873</v>
      </c>
    </row>
    <row r="1213">
      <c r="A1213" s="125" t="s">
        <v>1873</v>
      </c>
    </row>
    <row r="1214">
      <c r="A1214" s="125" t="s">
        <v>1873</v>
      </c>
    </row>
    <row r="1215">
      <c r="A1215" s="125" t="s">
        <v>1873</v>
      </c>
    </row>
    <row r="1216">
      <c r="A1216" s="125" t="s">
        <v>1873</v>
      </c>
    </row>
    <row r="1217">
      <c r="A1217" s="125" t="s">
        <v>1873</v>
      </c>
    </row>
    <row r="1218">
      <c r="A1218" s="125" t="s">
        <v>1873</v>
      </c>
    </row>
    <row r="1219">
      <c r="A1219" s="125" t="s">
        <v>1873</v>
      </c>
    </row>
    <row r="1220">
      <c r="A1220" s="125" t="s">
        <v>1873</v>
      </c>
    </row>
    <row r="1221">
      <c r="A1221" s="125" t="s">
        <v>1873</v>
      </c>
    </row>
    <row r="1222">
      <c r="A1222" s="125" t="s">
        <v>1873</v>
      </c>
    </row>
    <row r="1223">
      <c r="A1223" s="125" t="s">
        <v>1873</v>
      </c>
    </row>
    <row r="1224">
      <c r="A1224" s="125" t="s">
        <v>1873</v>
      </c>
    </row>
    <row r="1225">
      <c r="A1225" s="125" t="s">
        <v>1873</v>
      </c>
    </row>
    <row r="1226">
      <c r="A1226" s="125" t="s">
        <v>1873</v>
      </c>
    </row>
    <row r="1227">
      <c r="A1227" s="125" t="s">
        <v>1873</v>
      </c>
    </row>
    <row r="1228">
      <c r="A1228" s="125" t="s">
        <v>1873</v>
      </c>
    </row>
    <row r="1229">
      <c r="A1229" s="125" t="s">
        <v>1873</v>
      </c>
    </row>
    <row r="1230">
      <c r="A1230" s="125" t="s">
        <v>1873</v>
      </c>
    </row>
    <row r="1231">
      <c r="A1231" s="125" t="s">
        <v>1873</v>
      </c>
    </row>
    <row r="1232">
      <c r="A1232" s="125" t="s">
        <v>1873</v>
      </c>
    </row>
    <row r="1233">
      <c r="A1233" s="125" t="s">
        <v>1873</v>
      </c>
    </row>
    <row r="1234">
      <c r="A1234" s="125" t="s">
        <v>1873</v>
      </c>
    </row>
    <row r="1235">
      <c r="A1235" s="125" t="s">
        <v>1873</v>
      </c>
    </row>
    <row r="1236">
      <c r="A1236" s="125" t="s">
        <v>1873</v>
      </c>
    </row>
    <row r="1237">
      <c r="A1237" s="125" t="s">
        <v>1873</v>
      </c>
    </row>
    <row r="1238">
      <c r="A1238" s="125" t="s">
        <v>1873</v>
      </c>
    </row>
    <row r="1239">
      <c r="A1239" s="125" t="s">
        <v>1873</v>
      </c>
    </row>
    <row r="1240">
      <c r="A1240" s="125" t="s">
        <v>1873</v>
      </c>
    </row>
    <row r="1241">
      <c r="A1241" s="125" t="s">
        <v>1873</v>
      </c>
    </row>
    <row r="1242">
      <c r="A1242" s="125" t="s">
        <v>1873</v>
      </c>
    </row>
    <row r="1243">
      <c r="A1243" s="125" t="s">
        <v>1873</v>
      </c>
    </row>
    <row r="1244">
      <c r="A1244" s="125" t="s">
        <v>1873</v>
      </c>
    </row>
    <row r="1245">
      <c r="A1245" s="125" t="s">
        <v>1873</v>
      </c>
    </row>
    <row r="1246">
      <c r="A1246" s="125" t="s">
        <v>1873</v>
      </c>
    </row>
    <row r="1247">
      <c r="A1247" s="125" t="s">
        <v>1873</v>
      </c>
    </row>
    <row r="1248">
      <c r="A1248" s="125" t="s">
        <v>1873</v>
      </c>
    </row>
    <row r="1249">
      <c r="A1249" s="125" t="s">
        <v>1873</v>
      </c>
    </row>
    <row r="1250">
      <c r="A1250" s="125" t="s">
        <v>1873</v>
      </c>
    </row>
    <row r="1251">
      <c r="A1251" s="125" t="s">
        <v>1873</v>
      </c>
    </row>
    <row r="1252">
      <c r="A1252" s="125" t="s">
        <v>1873</v>
      </c>
    </row>
    <row r="1253">
      <c r="A1253" s="125" t="s">
        <v>1873</v>
      </c>
    </row>
    <row r="1254">
      <c r="A1254" s="125" t="s">
        <v>1873</v>
      </c>
    </row>
    <row r="1255">
      <c r="A1255" s="125" t="s">
        <v>1873</v>
      </c>
    </row>
    <row r="1256">
      <c r="A1256" s="125" t="s">
        <v>1873</v>
      </c>
    </row>
    <row r="1257">
      <c r="A1257" s="125" t="s">
        <v>1873</v>
      </c>
    </row>
    <row r="1258">
      <c r="A1258" s="125" t="s">
        <v>1873</v>
      </c>
    </row>
    <row r="1259">
      <c r="A1259" s="125" t="s">
        <v>1873</v>
      </c>
    </row>
    <row r="1260">
      <c r="A1260" s="125" t="s">
        <v>1873</v>
      </c>
    </row>
    <row r="1261">
      <c r="A1261" s="125" t="s">
        <v>1873</v>
      </c>
    </row>
    <row r="1262">
      <c r="A1262" s="125" t="s">
        <v>1873</v>
      </c>
    </row>
    <row r="1263">
      <c r="A1263" s="125" t="s">
        <v>1873</v>
      </c>
    </row>
    <row r="1264">
      <c r="A1264" s="125" t="s">
        <v>1873</v>
      </c>
    </row>
    <row r="1265">
      <c r="A1265" s="125" t="s">
        <v>1873</v>
      </c>
    </row>
    <row r="1266">
      <c r="A1266" s="125" t="s">
        <v>1873</v>
      </c>
    </row>
    <row r="1267">
      <c r="A1267" s="125" t="s">
        <v>1873</v>
      </c>
    </row>
    <row r="1268">
      <c r="A1268" s="125" t="s">
        <v>1873</v>
      </c>
    </row>
    <row r="1269">
      <c r="A1269" s="125" t="s">
        <v>1873</v>
      </c>
    </row>
    <row r="1270">
      <c r="A1270" s="125" t="s">
        <v>1873</v>
      </c>
    </row>
    <row r="1271">
      <c r="A1271" s="125" t="s">
        <v>1873</v>
      </c>
    </row>
    <row r="1272">
      <c r="A1272" s="125" t="s">
        <v>1873</v>
      </c>
    </row>
    <row r="1273">
      <c r="A1273" s="125" t="s">
        <v>1873</v>
      </c>
    </row>
    <row r="1274">
      <c r="A1274" s="125" t="s">
        <v>1873</v>
      </c>
    </row>
    <row r="1275">
      <c r="A1275" s="125" t="s">
        <v>1873</v>
      </c>
    </row>
    <row r="1276">
      <c r="A1276" s="125" t="s">
        <v>1873</v>
      </c>
    </row>
    <row r="1277">
      <c r="A1277" s="125" t="s">
        <v>1873</v>
      </c>
    </row>
    <row r="1278">
      <c r="A1278" s="125" t="s">
        <v>1873</v>
      </c>
    </row>
    <row r="1279">
      <c r="A1279" s="125" t="s">
        <v>1873</v>
      </c>
    </row>
    <row r="1280">
      <c r="A1280" s="125" t="s">
        <v>1873</v>
      </c>
    </row>
    <row r="1281">
      <c r="A1281" s="125" t="s">
        <v>1873</v>
      </c>
    </row>
    <row r="1282">
      <c r="A1282" s="125" t="s">
        <v>1873</v>
      </c>
    </row>
    <row r="1283">
      <c r="A1283" s="125" t="s">
        <v>1873</v>
      </c>
    </row>
    <row r="1284">
      <c r="A1284" s="125" t="s">
        <v>1873</v>
      </c>
    </row>
    <row r="1285">
      <c r="A1285" s="125" t="s">
        <v>1873</v>
      </c>
    </row>
    <row r="1286">
      <c r="A1286" s="125" t="s">
        <v>1873</v>
      </c>
    </row>
    <row r="1287">
      <c r="A1287" s="125" t="s">
        <v>1873</v>
      </c>
    </row>
    <row r="1288">
      <c r="A1288" s="125" t="s">
        <v>1873</v>
      </c>
    </row>
    <row r="1289">
      <c r="A1289" s="125" t="s">
        <v>1873</v>
      </c>
    </row>
    <row r="1290">
      <c r="A1290" s="125" t="s">
        <v>1873</v>
      </c>
    </row>
    <row r="1291">
      <c r="A1291" s="125" t="s">
        <v>1873</v>
      </c>
    </row>
    <row r="1292">
      <c r="A1292" s="125" t="s">
        <v>1873</v>
      </c>
    </row>
    <row r="1293">
      <c r="A1293" s="125" t="s">
        <v>1873</v>
      </c>
    </row>
    <row r="1294">
      <c r="A1294" s="125" t="s">
        <v>1873</v>
      </c>
    </row>
    <row r="1295">
      <c r="A1295" s="125" t="s">
        <v>1873</v>
      </c>
    </row>
    <row r="1296">
      <c r="A1296" s="125" t="s">
        <v>1873</v>
      </c>
    </row>
    <row r="1297">
      <c r="A1297" s="125" t="s">
        <v>1873</v>
      </c>
    </row>
    <row r="1298">
      <c r="A1298" s="125" t="s">
        <v>1873</v>
      </c>
    </row>
    <row r="1299">
      <c r="A1299" s="125" t="s">
        <v>1873</v>
      </c>
    </row>
    <row r="1300">
      <c r="A1300" s="125" t="s">
        <v>1873</v>
      </c>
    </row>
    <row r="1301">
      <c r="A1301" s="125" t="s">
        <v>1873</v>
      </c>
    </row>
    <row r="1302">
      <c r="A1302" s="125" t="s">
        <v>1873</v>
      </c>
    </row>
    <row r="1303">
      <c r="A1303" s="125" t="s">
        <v>1873</v>
      </c>
    </row>
    <row r="1304">
      <c r="A1304" s="125" t="s">
        <v>1873</v>
      </c>
    </row>
    <row r="1305">
      <c r="A1305" s="125" t="s">
        <v>1873</v>
      </c>
    </row>
    <row r="1306">
      <c r="A1306" s="125" t="s">
        <v>1873</v>
      </c>
    </row>
    <row r="1307">
      <c r="A1307" s="125" t="s">
        <v>1873</v>
      </c>
    </row>
    <row r="1308">
      <c r="A1308" s="125" t="s">
        <v>1873</v>
      </c>
    </row>
  </sheetData>
  <hyperlinks>
    <hyperlink r:id="rId1" ref="AG117"/>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2.0"/>
    <col customWidth="1" min="2" max="2" width="4.75"/>
    <col customWidth="1" min="3" max="3" width="12.63"/>
    <col customWidth="1" min="4" max="4" width="15.75"/>
    <col customWidth="1" min="5" max="5" width="8.38"/>
    <col customWidth="1" min="6" max="6" width="24.75"/>
    <col customWidth="1" min="7" max="8" width="8.25"/>
    <col customWidth="1" min="9" max="9" width="19.63"/>
    <col customWidth="1" min="10" max="11" width="2.0"/>
  </cols>
  <sheetData>
    <row r="1">
      <c r="A1" s="1"/>
      <c r="B1" s="3"/>
      <c r="C1" s="3"/>
      <c r="D1" s="3"/>
      <c r="E1" s="3"/>
      <c r="F1" s="3"/>
      <c r="G1" s="3"/>
      <c r="H1" s="3"/>
      <c r="I1" s="3"/>
      <c r="J1" s="1"/>
      <c r="K1" s="4"/>
    </row>
    <row r="2" ht="51.0" customHeight="1">
      <c r="A2" s="5"/>
      <c r="B2" s="6"/>
      <c r="C2" s="7"/>
      <c r="D2" s="9" t="s">
        <v>1</v>
      </c>
      <c r="E2" s="10"/>
      <c r="F2" s="10"/>
      <c r="G2" s="10"/>
      <c r="H2" s="10"/>
      <c r="I2" s="12"/>
      <c r="J2" s="5"/>
      <c r="K2" s="4"/>
    </row>
    <row r="3" ht="26.25" customHeight="1">
      <c r="A3" s="1"/>
      <c r="B3" s="15" t="s">
        <v>3</v>
      </c>
      <c r="C3" s="17"/>
      <c r="D3" s="17"/>
      <c r="E3" s="17"/>
      <c r="F3" s="17"/>
      <c r="G3" s="17"/>
      <c r="H3" s="19" t="s">
        <v>4</v>
      </c>
      <c r="I3" s="24" t="s">
        <v>5</v>
      </c>
      <c r="J3" s="1"/>
      <c r="K3" s="4"/>
    </row>
    <row r="4" ht="7.5" customHeight="1">
      <c r="A4" s="1"/>
      <c r="B4" s="20"/>
      <c r="G4" s="21"/>
      <c r="H4" s="22"/>
      <c r="I4" s="22"/>
      <c r="J4" s="1"/>
      <c r="K4" s="4"/>
    </row>
    <row r="5">
      <c r="A5" s="5"/>
      <c r="B5" s="25" t="s">
        <v>6</v>
      </c>
      <c r="C5" s="26"/>
      <c r="D5" s="31">
        <f>VLOOKUP($I$3,'Form Responses 1'!$A$2:$AH$308,2,FALSE())</f>
        <v>46226.48863</v>
      </c>
      <c r="E5" s="28"/>
      <c r="F5" s="28"/>
      <c r="G5" s="28"/>
      <c r="H5" s="28"/>
      <c r="I5" s="26"/>
      <c r="J5" s="5"/>
      <c r="K5" s="4"/>
    </row>
    <row r="6">
      <c r="A6" s="5"/>
      <c r="B6" s="25" t="s">
        <v>7</v>
      </c>
      <c r="C6" s="26"/>
      <c r="D6" s="27" t="str">
        <f>VLOOKUP($I$3,'Form Responses 1'!$A$2:$AH$308,30,FALSE())</f>
        <v>Product &amp; Quality Management</v>
      </c>
      <c r="E6" s="28"/>
      <c r="F6" s="28"/>
      <c r="G6" s="28"/>
      <c r="H6" s="28"/>
      <c r="I6" s="26"/>
      <c r="J6" s="5"/>
      <c r="K6" s="4"/>
    </row>
    <row r="7">
      <c r="A7" s="5"/>
      <c r="B7" s="30" t="s">
        <v>8</v>
      </c>
      <c r="C7" s="26"/>
      <c r="D7" s="27" t="str">
        <f>VLOOKUP($I$3,'Form Responses 1'!$A$2:$AH$308,29,FALSE())</f>
        <v>Christopher Mendoza</v>
      </c>
      <c r="E7" s="28"/>
      <c r="F7" s="28"/>
      <c r="G7" s="28"/>
      <c r="H7" s="28"/>
      <c r="I7" s="26"/>
      <c r="J7" s="5"/>
      <c r="K7" s="4"/>
    </row>
    <row r="8">
      <c r="A8" s="5"/>
      <c r="B8" s="25" t="s">
        <v>9</v>
      </c>
      <c r="C8" s="26"/>
      <c r="D8" s="27" t="str">
        <f>VLOOKUP($I$3,'Form Responses 1'!$A$2:$AH$308,3,FALSE())</f>
        <v>cmendoza@nrdev.ph</v>
      </c>
      <c r="E8" s="28"/>
      <c r="F8" s="28"/>
      <c r="G8" s="28"/>
      <c r="H8" s="28"/>
      <c r="I8" s="26"/>
      <c r="J8" s="5"/>
      <c r="K8" s="4"/>
    </row>
    <row r="9">
      <c r="A9" s="5"/>
      <c r="B9" s="30" t="s">
        <v>11</v>
      </c>
      <c r="C9" s="26"/>
      <c r="D9" s="27" t="str">
        <f>VLOOKUP($I$3,'Form Responses 1'!$A$2:$AH$308,4,FALSE())</f>
        <v>Others</v>
      </c>
      <c r="E9" s="28"/>
      <c r="F9" s="28"/>
      <c r="G9" s="28"/>
      <c r="H9" s="28"/>
      <c r="I9" s="26"/>
      <c r="J9" s="5"/>
      <c r="K9" s="4"/>
    </row>
    <row r="10" ht="26.25" customHeight="1">
      <c r="A10" s="1"/>
      <c r="B10" s="14" t="s">
        <v>13</v>
      </c>
      <c r="C10" s="16"/>
      <c r="D10" s="16"/>
      <c r="E10" s="16"/>
      <c r="F10" s="16"/>
      <c r="G10" s="16"/>
      <c r="H10" s="16"/>
      <c r="I10" s="33"/>
      <c r="J10" s="1"/>
      <c r="K10" s="4"/>
    </row>
    <row r="11" ht="7.5" customHeight="1">
      <c r="A11" s="1"/>
      <c r="B11" s="20"/>
      <c r="G11" s="21"/>
      <c r="H11" s="22"/>
      <c r="I11" s="22"/>
      <c r="J11" s="1"/>
      <c r="K11" s="4"/>
    </row>
    <row r="12">
      <c r="A12" s="5"/>
      <c r="B12" s="35" t="s">
        <v>18</v>
      </c>
      <c r="C12" s="44" t="s">
        <v>42</v>
      </c>
      <c r="D12" s="26"/>
      <c r="E12" s="45" t="s">
        <v>24</v>
      </c>
      <c r="F12" s="26"/>
      <c r="G12" s="37" t="s">
        <v>27</v>
      </c>
      <c r="H12" s="35" t="s">
        <v>29</v>
      </c>
      <c r="I12" s="35" t="s">
        <v>32</v>
      </c>
      <c r="J12" s="5"/>
      <c r="K12" s="4"/>
    </row>
    <row r="13">
      <c r="A13" s="5"/>
      <c r="B13" s="39">
        <v>1.0</v>
      </c>
      <c r="C13" s="46" t="s">
        <v>46</v>
      </c>
      <c r="D13" s="26"/>
      <c r="E13" s="46" t="s">
        <v>48</v>
      </c>
      <c r="F13" s="26"/>
      <c r="G13" s="41">
        <v>1.0</v>
      </c>
      <c r="H13" s="41" t="str">
        <f>IFNA(VLOOKUP($C13,'Item Code  E88'!$D$2:$E$405,2,FALSE),"")
</f>
        <v>pc</v>
      </c>
      <c r="I13" s="41" t="s">
        <v>52</v>
      </c>
      <c r="J13" s="5"/>
      <c r="K13" s="4"/>
    </row>
    <row r="14">
      <c r="A14" s="5"/>
      <c r="B14" s="39">
        <v>2.0</v>
      </c>
      <c r="C14" s="46"/>
      <c r="D14" s="26"/>
      <c r="E14" s="46"/>
      <c r="F14" s="26"/>
      <c r="G14" s="41"/>
      <c r="H14" s="41"/>
      <c r="I14" s="41" t="str">
        <f t="shared" ref="I14:I27" si="1">IF(H14&lt;&gt;"","Available","")
</f>
        <v/>
      </c>
      <c r="J14" s="5"/>
      <c r="K14" s="4"/>
    </row>
    <row r="15">
      <c r="A15" s="5"/>
      <c r="B15" s="39">
        <v>3.0</v>
      </c>
      <c r="C15" s="46"/>
      <c r="D15" s="26"/>
      <c r="E15" s="46"/>
      <c r="F15" s="26"/>
      <c r="G15" s="41"/>
      <c r="H15" s="41"/>
      <c r="I15" s="41" t="str">
        <f t="shared" si="1"/>
        <v/>
      </c>
      <c r="J15" s="5"/>
      <c r="K15" s="4"/>
    </row>
    <row r="16">
      <c r="A16" s="5"/>
      <c r="B16" s="39">
        <v>4.0</v>
      </c>
      <c r="C16" s="46"/>
      <c r="D16" s="26"/>
      <c r="E16" s="46"/>
      <c r="F16" s="26"/>
      <c r="G16" s="41"/>
      <c r="H16" s="41"/>
      <c r="I16" s="41" t="str">
        <f t="shared" si="1"/>
        <v/>
      </c>
      <c r="J16" s="5"/>
      <c r="K16" s="4"/>
    </row>
    <row r="17">
      <c r="A17" s="5"/>
      <c r="B17" s="39">
        <v>5.0</v>
      </c>
      <c r="C17" s="46"/>
      <c r="D17" s="26"/>
      <c r="E17" s="46"/>
      <c r="F17" s="26"/>
      <c r="G17" s="41"/>
      <c r="H17" s="41" t="str">
        <f>IFNA(VLOOKUP($C17,'Item Code  E88'!$D$2:$E$405,2,FALSE),"")
</f>
        <v/>
      </c>
      <c r="I17" s="41" t="str">
        <f t="shared" si="1"/>
        <v/>
      </c>
      <c r="J17" s="5"/>
      <c r="K17" s="4"/>
    </row>
    <row r="18">
      <c r="A18" s="5"/>
      <c r="B18" s="39">
        <v>6.0</v>
      </c>
      <c r="C18" s="46"/>
      <c r="D18" s="26"/>
      <c r="E18" s="46"/>
      <c r="F18" s="26"/>
      <c r="G18" s="41"/>
      <c r="H18" s="41" t="str">
        <f>IFNA(VLOOKUP($C18,'Item Code  E88'!$D$2:$E$405,2,FALSE),"")
</f>
        <v/>
      </c>
      <c r="I18" s="41" t="str">
        <f t="shared" si="1"/>
        <v/>
      </c>
      <c r="J18" s="5"/>
      <c r="K18" s="4"/>
    </row>
    <row r="19">
      <c r="A19" s="5"/>
      <c r="B19" s="39">
        <v>7.0</v>
      </c>
      <c r="C19" s="46"/>
      <c r="D19" s="26"/>
      <c r="E19" s="46"/>
      <c r="F19" s="26"/>
      <c r="G19" s="41"/>
      <c r="H19" s="41" t="str">
        <f>IFNA(VLOOKUP($C19,'Item Code  E88'!$D$2:$E$405,2,FALSE),"")
</f>
        <v/>
      </c>
      <c r="I19" s="41" t="str">
        <f t="shared" si="1"/>
        <v/>
      </c>
      <c r="J19" s="5"/>
      <c r="K19" s="4"/>
    </row>
    <row r="20">
      <c r="A20" s="5"/>
      <c r="B20" s="39">
        <v>8.0</v>
      </c>
      <c r="C20" s="46"/>
      <c r="D20" s="26"/>
      <c r="E20" s="46"/>
      <c r="F20" s="26"/>
      <c r="G20" s="41"/>
      <c r="H20" s="41" t="str">
        <f>IFNA(VLOOKUP($C20,'Item Code  E88'!$D$2:$E$405,2,FALSE),"")
</f>
        <v/>
      </c>
      <c r="I20" s="41" t="str">
        <f t="shared" si="1"/>
        <v/>
      </c>
      <c r="J20" s="5"/>
      <c r="K20" s="4"/>
    </row>
    <row r="21">
      <c r="A21" s="5"/>
      <c r="B21" s="39">
        <v>9.0</v>
      </c>
      <c r="C21" s="46"/>
      <c r="D21" s="26"/>
      <c r="E21" s="46"/>
      <c r="F21" s="26"/>
      <c r="G21" s="41"/>
      <c r="H21" s="41" t="str">
        <f>IFNA(VLOOKUP($C21,'Item Code  E88'!$D$2:$E$405,2,FALSE),"")
</f>
        <v/>
      </c>
      <c r="I21" s="41" t="str">
        <f t="shared" si="1"/>
        <v/>
      </c>
      <c r="J21" s="5"/>
      <c r="K21" s="4"/>
    </row>
    <row r="22">
      <c r="A22" s="5"/>
      <c r="B22" s="39">
        <v>10.0</v>
      </c>
      <c r="C22" s="46"/>
      <c r="D22" s="26"/>
      <c r="E22" s="46"/>
      <c r="F22" s="26"/>
      <c r="G22" s="41"/>
      <c r="H22" s="41" t="str">
        <f>IFNA(VLOOKUP($C22,'Item Code  E88'!$D$2:$E$405,2,FALSE),"")
</f>
        <v/>
      </c>
      <c r="I22" s="41" t="str">
        <f t="shared" si="1"/>
        <v/>
      </c>
      <c r="J22" s="5"/>
      <c r="K22" s="4"/>
    </row>
    <row r="23">
      <c r="A23" s="5"/>
      <c r="B23" s="65">
        <v>11.0</v>
      </c>
      <c r="C23" s="46"/>
      <c r="D23" s="26"/>
      <c r="E23" s="46"/>
      <c r="F23" s="26"/>
      <c r="G23" s="41"/>
      <c r="H23" s="41" t="str">
        <f>IFNA(VLOOKUP($C23,'Item Code  E88'!$D$2:$E$405,2,FALSE),"")
</f>
        <v/>
      </c>
      <c r="I23" s="41" t="str">
        <f t="shared" si="1"/>
        <v/>
      </c>
      <c r="J23" s="5"/>
      <c r="K23" s="4"/>
    </row>
    <row r="24">
      <c r="A24" s="5"/>
      <c r="B24" s="65">
        <v>12.0</v>
      </c>
      <c r="C24" s="46"/>
      <c r="D24" s="26"/>
      <c r="E24" s="46"/>
      <c r="F24" s="26"/>
      <c r="G24" s="41"/>
      <c r="H24" s="41" t="str">
        <f>IFNA(VLOOKUP($C24,'Item Code  E88'!$D$2:$E$405,2,FALSE),"")
</f>
        <v/>
      </c>
      <c r="I24" s="41" t="str">
        <f t="shared" si="1"/>
        <v/>
      </c>
      <c r="J24" s="5"/>
      <c r="K24" s="4"/>
    </row>
    <row r="25">
      <c r="A25" s="5"/>
      <c r="B25" s="77">
        <v>13.0</v>
      </c>
      <c r="C25" s="46"/>
      <c r="D25" s="26"/>
      <c r="E25" s="46"/>
      <c r="F25" s="26"/>
      <c r="G25" s="80"/>
      <c r="H25" s="41" t="str">
        <f>IFNA(VLOOKUP($C25,'Item Code  E88'!$D$2:$E$405,2,FALSE),"")
</f>
        <v/>
      </c>
      <c r="I25" s="41" t="str">
        <f t="shared" si="1"/>
        <v/>
      </c>
      <c r="J25" s="5"/>
      <c r="K25" s="4"/>
    </row>
    <row r="26">
      <c r="A26" s="5"/>
      <c r="B26" s="77">
        <v>14.0</v>
      </c>
      <c r="C26" s="46"/>
      <c r="D26" s="26"/>
      <c r="E26" s="46"/>
      <c r="F26" s="26"/>
      <c r="G26" s="80"/>
      <c r="H26" s="41" t="str">
        <f>IFNA(VLOOKUP($C26,'Item Code  E88'!$D$2:$E$405,2,FALSE),"")
</f>
        <v/>
      </c>
      <c r="I26" s="41" t="str">
        <f t="shared" si="1"/>
        <v/>
      </c>
      <c r="J26" s="5"/>
      <c r="K26" s="4"/>
    </row>
    <row r="27">
      <c r="A27" s="5"/>
      <c r="B27" s="77">
        <v>15.0</v>
      </c>
      <c r="C27" s="46"/>
      <c r="D27" s="26"/>
      <c r="E27" s="46"/>
      <c r="F27" s="26"/>
      <c r="G27" s="80"/>
      <c r="H27" s="41" t="str">
        <f>IFNA(VLOOKUP($C27,'Item Code  E88'!$D$2:$E$405,2,FALSE),"")
</f>
        <v/>
      </c>
      <c r="I27" s="41" t="str">
        <f t="shared" si="1"/>
        <v/>
      </c>
      <c r="J27" s="5"/>
      <c r="K27" s="4"/>
    </row>
    <row r="28">
      <c r="A28" s="5"/>
      <c r="B28" s="77">
        <v>16.0</v>
      </c>
      <c r="C28" s="46"/>
      <c r="D28" s="26"/>
      <c r="E28" s="46"/>
      <c r="F28" s="26"/>
      <c r="G28" s="80"/>
      <c r="H28" s="80"/>
      <c r="I28" s="41"/>
      <c r="J28" s="5"/>
      <c r="K28" s="4"/>
    </row>
    <row r="29">
      <c r="A29" s="5"/>
      <c r="B29" s="77">
        <v>17.0</v>
      </c>
      <c r="C29" s="46"/>
      <c r="D29" s="26"/>
      <c r="E29" s="46"/>
      <c r="F29" s="26"/>
      <c r="G29" s="83"/>
      <c r="H29" s="80"/>
      <c r="I29" s="80"/>
      <c r="J29" s="5"/>
      <c r="K29" s="4"/>
    </row>
    <row r="30" ht="26.25" customHeight="1">
      <c r="A30" s="5"/>
      <c r="B30" s="49" t="s">
        <v>64</v>
      </c>
      <c r="C30" s="16"/>
      <c r="D30" s="16"/>
      <c r="E30" s="16"/>
      <c r="F30" s="16"/>
      <c r="G30" s="16"/>
      <c r="H30" s="16"/>
      <c r="I30" s="50"/>
      <c r="J30" s="5"/>
      <c r="K30" s="4"/>
    </row>
    <row r="31" ht="7.5" customHeight="1">
      <c r="A31" s="1"/>
      <c r="B31" s="20"/>
      <c r="G31" s="21"/>
      <c r="H31" s="22"/>
      <c r="I31" s="22"/>
      <c r="J31" s="1"/>
      <c r="K31" s="4"/>
    </row>
    <row r="32" ht="34.5" customHeight="1">
      <c r="A32" s="5"/>
      <c r="B32" s="51" t="str">
        <f>VLOOKUP($I$3,'Form Responses 1'!$A$2:$AI$308,31,FALSE())</f>
        <v>Replacement for Meserve unit</v>
      </c>
      <c r="I32" s="52"/>
      <c r="J32" s="5"/>
      <c r="K32" s="4"/>
    </row>
    <row r="33" ht="34.5" customHeight="1">
      <c r="A33" s="5"/>
      <c r="B33" s="53"/>
      <c r="C33" s="54"/>
      <c r="D33" s="54"/>
      <c r="E33" s="54"/>
      <c r="F33" s="54"/>
      <c r="G33" s="54"/>
      <c r="H33" s="54"/>
      <c r="I33" s="55"/>
      <c r="J33" s="5"/>
      <c r="K33" s="4"/>
    </row>
    <row r="34" ht="26.25" customHeight="1">
      <c r="A34" s="5"/>
      <c r="B34" s="49" t="s">
        <v>65</v>
      </c>
      <c r="C34" s="16"/>
      <c r="D34" s="16"/>
      <c r="E34" s="16"/>
      <c r="F34" s="16"/>
      <c r="G34" s="16"/>
      <c r="H34" s="16"/>
      <c r="I34" s="50"/>
      <c r="J34" s="5"/>
      <c r="K34" s="4"/>
    </row>
    <row r="35" ht="7.5" customHeight="1">
      <c r="A35" s="1"/>
      <c r="B35" s="20"/>
      <c r="G35" s="21"/>
      <c r="H35" s="22"/>
      <c r="I35" s="22"/>
      <c r="J35" s="1"/>
      <c r="K35" s="4"/>
    </row>
    <row r="36" ht="26.25" customHeight="1">
      <c r="A36" s="5"/>
      <c r="B36" s="51" t="str">
        <f>VLOOKUP($I$3,'Form Responses 1'!$A$2:$AH$308,34,FALSE())</f>
        <v/>
      </c>
      <c r="I36" s="52"/>
      <c r="J36" s="5"/>
      <c r="K36" s="4"/>
    </row>
    <row r="37" ht="75.75" customHeight="1">
      <c r="A37" s="5"/>
      <c r="B37" s="53"/>
      <c r="C37" s="54"/>
      <c r="D37" s="54"/>
      <c r="E37" s="54"/>
      <c r="F37" s="54"/>
      <c r="G37" s="54"/>
      <c r="H37" s="54"/>
      <c r="I37" s="55"/>
      <c r="J37" s="5"/>
      <c r="K37" s="4"/>
    </row>
    <row r="38" ht="26.25" customHeight="1">
      <c r="A38" s="1"/>
      <c r="B38" s="62" t="s">
        <v>95</v>
      </c>
      <c r="C38" s="16"/>
      <c r="D38" s="16"/>
      <c r="E38" s="16"/>
      <c r="F38" s="16"/>
      <c r="G38" s="16"/>
      <c r="H38" s="16"/>
      <c r="I38" s="33"/>
      <c r="J38" s="1"/>
      <c r="K38" s="4"/>
    </row>
    <row r="39" ht="7.5" customHeight="1">
      <c r="A39" s="1"/>
      <c r="B39" s="20"/>
      <c r="G39" s="21"/>
      <c r="H39" s="22"/>
      <c r="I39" s="22"/>
      <c r="J39" s="1"/>
      <c r="K39" s="4"/>
    </row>
    <row r="40">
      <c r="A40" s="5"/>
      <c r="B40" s="30" t="s">
        <v>101</v>
      </c>
      <c r="C40" s="26"/>
      <c r="D40" s="88" t="str">
        <f>VLOOKUP($I$3,'Form Responses 1'!$A$2:$AB$308,7,FALSE())</f>
        <v>90 Congressional Ave. Brgy. Bahay Toro Proj8 QC</v>
      </c>
      <c r="E40" s="54"/>
      <c r="F40" s="54"/>
      <c r="G40" s="54"/>
      <c r="H40" s="54"/>
      <c r="I40" s="55"/>
      <c r="J40" s="5"/>
      <c r="K40" s="4"/>
    </row>
    <row r="41">
      <c r="A41" s="5"/>
      <c r="B41" s="25" t="s">
        <v>106</v>
      </c>
      <c r="C41" s="26"/>
      <c r="D41" s="89">
        <f>VLOOKUP($I$3,'Form Responses 1'!$A$2:$AB$308,8,FALSE())</f>
        <v>46226</v>
      </c>
      <c r="E41" s="54"/>
      <c r="F41" s="54"/>
      <c r="G41" s="54"/>
      <c r="H41" s="54"/>
      <c r="I41" s="55"/>
      <c r="J41" s="91"/>
      <c r="K41" s="4"/>
    </row>
    <row r="42">
      <c r="A42" s="5"/>
      <c r="B42" s="25" t="s">
        <v>110</v>
      </c>
      <c r="C42" s="26"/>
      <c r="D42" s="94">
        <f>VLOOKUP($I$3,'Form Responses 1'!$A$2:$AB$308,9,FALSE())</f>
        <v>0.625</v>
      </c>
      <c r="E42" s="54"/>
      <c r="F42" s="54"/>
      <c r="G42" s="54"/>
      <c r="H42" s="54"/>
      <c r="I42" s="55"/>
      <c r="J42" s="91"/>
      <c r="K42" s="4"/>
    </row>
    <row r="43">
      <c r="A43" s="5"/>
      <c r="B43" s="25" t="s">
        <v>31</v>
      </c>
      <c r="C43" s="26"/>
      <c r="D43" s="88" t="str">
        <f>VLOOKUP($I$3,'Form Responses 1'!$A$2:$AB$308,10,FALSE())</f>
        <v>Christopher C. Mendoza</v>
      </c>
      <c r="E43" s="54"/>
      <c r="F43" s="54"/>
      <c r="G43" s="54"/>
      <c r="H43" s="54"/>
      <c r="I43" s="55"/>
      <c r="J43" s="91"/>
      <c r="K43" s="4"/>
    </row>
    <row r="44">
      <c r="A44" s="5"/>
      <c r="B44" s="30" t="s">
        <v>36</v>
      </c>
      <c r="C44" s="26"/>
      <c r="D44" s="88" t="str">
        <f>VLOOKUP($I$3,'Form Responses 1'!$A$2:$AB$308,11,FALSE())</f>
        <v>09608978870</v>
      </c>
      <c r="E44" s="54"/>
      <c r="F44" s="54"/>
      <c r="G44" s="54"/>
      <c r="H44" s="54"/>
      <c r="I44" s="55"/>
      <c r="J44" s="91"/>
      <c r="K44" s="4"/>
    </row>
    <row r="45">
      <c r="A45" s="5"/>
      <c r="B45" s="95" t="s">
        <v>127</v>
      </c>
      <c r="C45" s="96"/>
      <c r="D45" s="51" t="str">
        <f>VLOOKUP($I$3,'Form Responses 1'!$A$2:$AB$308,3,FALSE())</f>
        <v>cmendoza@nrdev.ph</v>
      </c>
      <c r="I45" s="52"/>
      <c r="J45" s="91"/>
      <c r="K45" s="4"/>
    </row>
    <row r="46" ht="26.25" customHeight="1">
      <c r="A46" s="1"/>
      <c r="B46" s="62" t="s">
        <v>136</v>
      </c>
      <c r="C46" s="16"/>
      <c r="D46" s="16"/>
      <c r="E46" s="62" t="s">
        <v>139</v>
      </c>
      <c r="F46" s="16"/>
      <c r="G46" s="33"/>
      <c r="H46" s="62" t="s">
        <v>141</v>
      </c>
      <c r="I46" s="16"/>
      <c r="J46" s="33"/>
      <c r="K46" s="4"/>
    </row>
    <row r="47" ht="7.5" customHeight="1">
      <c r="A47" s="1"/>
      <c r="B47" s="20"/>
      <c r="H47" s="21"/>
      <c r="I47" s="22"/>
      <c r="J47" s="22"/>
      <c r="K47" s="4"/>
    </row>
    <row r="48" ht="40.5" customHeight="1">
      <c r="A48" s="1"/>
      <c r="B48" s="64" t="s">
        <v>73</v>
      </c>
      <c r="C48" s="66"/>
      <c r="D48" s="68"/>
      <c r="E48" s="97" t="s">
        <v>73</v>
      </c>
      <c r="F48" s="97"/>
      <c r="G48" s="69" t="s">
        <v>73</v>
      </c>
      <c r="H48" s="70"/>
      <c r="I48" s="66"/>
      <c r="K48" s="4"/>
    </row>
    <row r="49">
      <c r="A49" s="1"/>
      <c r="B49" s="73" t="s">
        <v>76</v>
      </c>
      <c r="C49" s="66"/>
      <c r="D49" s="82" t="str">
        <f>VLOOKUP($I$3,'Form Responses 1'!$A$2:$AG$308,29,FALSE())</f>
        <v>Christopher Mendoza</v>
      </c>
      <c r="E49" s="98" t="s">
        <v>76</v>
      </c>
      <c r="F49" s="99" t="str">
        <f>VLOOKUP($D$49,'Item Code  E88'!$G$2:$J$1000,3,FALSE())</f>
        <v>Mac Fernando Lubi</v>
      </c>
      <c r="G49" s="75" t="s">
        <v>76</v>
      </c>
      <c r="H49" s="76" t="s">
        <v>158</v>
      </c>
      <c r="I49" s="66"/>
      <c r="K49" s="4"/>
    </row>
    <row r="50">
      <c r="A50" s="1"/>
      <c r="B50" s="100" t="s">
        <v>160</v>
      </c>
      <c r="C50" s="66"/>
      <c r="D50" s="82" t="str">
        <f>VLOOKUP(D49,'Item Code  E88'!$G$1:$H$900,2,FALSE())</f>
        <v>Sr. Mechanic</v>
      </c>
      <c r="E50" s="101" t="s">
        <v>160</v>
      </c>
      <c r="F50" s="102" t="str">
        <f>VLOOKUP($F$49,'Item Code  E88'!$I$2:$J$1000,2,FALSE())</f>
        <v>After Sales Manager</v>
      </c>
      <c r="G50" s="101" t="s">
        <v>160</v>
      </c>
      <c r="H50" s="76" t="s">
        <v>168</v>
      </c>
      <c r="I50" s="66"/>
      <c r="K50" s="4"/>
    </row>
    <row r="51" ht="18.0" customHeight="1">
      <c r="A51" s="1"/>
      <c r="B51" s="103" t="s">
        <v>77</v>
      </c>
      <c r="C51" s="66"/>
      <c r="D51" s="104">
        <f>D5</f>
        <v>46226.48863</v>
      </c>
      <c r="E51" s="98" t="s">
        <v>77</v>
      </c>
      <c r="F51" s="105"/>
      <c r="G51" s="75" t="s">
        <v>77</v>
      </c>
      <c r="H51" s="5"/>
      <c r="I51" s="66"/>
      <c r="K51" s="4"/>
    </row>
    <row r="52">
      <c r="A52" s="1"/>
      <c r="B52" s="1"/>
      <c r="C52" s="1"/>
      <c r="D52" s="1"/>
      <c r="E52" s="1"/>
      <c r="F52" s="1"/>
      <c r="G52" s="1"/>
      <c r="H52" s="1"/>
      <c r="I52" s="1"/>
      <c r="J52" s="1"/>
      <c r="K52" s="4"/>
    </row>
  </sheetData>
  <mergeCells count="84">
    <mergeCell ref="C23:D23"/>
    <mergeCell ref="C24:D24"/>
    <mergeCell ref="C25:D25"/>
    <mergeCell ref="C26:D26"/>
    <mergeCell ref="C27:D27"/>
    <mergeCell ref="C28:D28"/>
    <mergeCell ref="C29:D29"/>
    <mergeCell ref="E24:F24"/>
    <mergeCell ref="E25:F25"/>
    <mergeCell ref="E26:F26"/>
    <mergeCell ref="E27:F27"/>
    <mergeCell ref="E28:F28"/>
    <mergeCell ref="E29:F29"/>
    <mergeCell ref="B30:I30"/>
    <mergeCell ref="B31:G31"/>
    <mergeCell ref="B32:I33"/>
    <mergeCell ref="B34:I34"/>
    <mergeCell ref="B35:G35"/>
    <mergeCell ref="B36:I37"/>
    <mergeCell ref="B38:I38"/>
    <mergeCell ref="B39:G39"/>
    <mergeCell ref="B40:C40"/>
    <mergeCell ref="D40:I40"/>
    <mergeCell ref="B41:C41"/>
    <mergeCell ref="D41:I41"/>
    <mergeCell ref="B42:C42"/>
    <mergeCell ref="D42:I42"/>
    <mergeCell ref="D43:I43"/>
    <mergeCell ref="H46:J46"/>
    <mergeCell ref="B46:D46"/>
    <mergeCell ref="B48:C48"/>
    <mergeCell ref="B49:C49"/>
    <mergeCell ref="B43:C43"/>
    <mergeCell ref="B44:C44"/>
    <mergeCell ref="D44:I44"/>
    <mergeCell ref="B45:C45"/>
    <mergeCell ref="D45:I45"/>
    <mergeCell ref="E46:G46"/>
    <mergeCell ref="B47:H47"/>
    <mergeCell ref="B6:C6"/>
    <mergeCell ref="B7:C7"/>
    <mergeCell ref="B8:C8"/>
    <mergeCell ref="B9:C9"/>
    <mergeCell ref="B2:C2"/>
    <mergeCell ref="D2:I2"/>
    <mergeCell ref="B3:G3"/>
    <mergeCell ref="B4:G4"/>
    <mergeCell ref="B5:C5"/>
    <mergeCell ref="D5:I5"/>
    <mergeCell ref="D6:I6"/>
    <mergeCell ref="D7:I7"/>
    <mergeCell ref="D8:I8"/>
    <mergeCell ref="D9:I9"/>
    <mergeCell ref="B10:I10"/>
    <mergeCell ref="B11:G11"/>
    <mergeCell ref="C12:D12"/>
    <mergeCell ref="E12:F12"/>
    <mergeCell ref="C13:D13"/>
    <mergeCell ref="E13:F13"/>
    <mergeCell ref="C14:D14"/>
    <mergeCell ref="E14:F14"/>
    <mergeCell ref="C15:D15"/>
    <mergeCell ref="E15:F15"/>
    <mergeCell ref="E16:F16"/>
    <mergeCell ref="C16:D16"/>
    <mergeCell ref="C17:D17"/>
    <mergeCell ref="C18:D18"/>
    <mergeCell ref="C19:D19"/>
    <mergeCell ref="C20:D20"/>
    <mergeCell ref="C21:D21"/>
    <mergeCell ref="C22:D22"/>
    <mergeCell ref="E17:F17"/>
    <mergeCell ref="E18:F18"/>
    <mergeCell ref="E19:F19"/>
    <mergeCell ref="E20:F20"/>
    <mergeCell ref="E21:F21"/>
    <mergeCell ref="E22:F22"/>
    <mergeCell ref="E23:F23"/>
    <mergeCell ref="H48:I48"/>
    <mergeCell ref="H49:I49"/>
    <mergeCell ref="B50:C50"/>
    <mergeCell ref="H50:I50"/>
    <mergeCell ref="B51:C51"/>
    <mergeCell ref="H51:I51"/>
  </mergeCells>
  <dataValidations>
    <dataValidation type="list" allowBlank="1" showErrorMessage="1" sqref="I3">
      <formula1>'Form Responses 1'!$A$2:$A$308</formula1>
    </dataValidation>
  </dataValidations>
  <printOptions gridLines="1" horizontalCentered="1"/>
  <pageMargins bottom="0.75" footer="0.0" header="0.0" left="0.25" right="0.25" top="0.75"/>
  <pageSetup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2.0"/>
    <col customWidth="1" min="2" max="2" width="7.88"/>
    <col customWidth="1" min="3" max="3" width="12.63"/>
    <col customWidth="1" min="4" max="4" width="22.25"/>
    <col customWidth="1" min="5" max="5" width="8.13"/>
    <col customWidth="1" min="6" max="6" width="24.13"/>
    <col customWidth="1" min="7" max="7" width="10.5"/>
    <col customWidth="1" min="8" max="8" width="8.25"/>
    <col customWidth="1" min="9" max="9" width="19.63"/>
    <col customWidth="1" min="10" max="10" width="2.0"/>
    <col customWidth="1" min="11" max="11" width="22.5"/>
  </cols>
  <sheetData>
    <row r="1">
      <c r="A1" s="1"/>
      <c r="B1" s="3"/>
      <c r="C1" s="3"/>
      <c r="D1" s="3"/>
      <c r="E1" s="3"/>
      <c r="F1" s="3"/>
      <c r="G1" s="3"/>
      <c r="H1" s="3"/>
      <c r="I1" s="3"/>
      <c r="J1" s="1"/>
      <c r="K1" s="4"/>
    </row>
    <row r="2" ht="51.0" customHeight="1">
      <c r="A2" s="5"/>
      <c r="B2" s="6"/>
      <c r="C2" s="7"/>
      <c r="D2" s="9" t="s">
        <v>1</v>
      </c>
      <c r="E2" s="10"/>
      <c r="F2" s="10"/>
      <c r="G2" s="10"/>
      <c r="H2" s="10"/>
      <c r="I2" s="12"/>
      <c r="J2" s="5"/>
      <c r="K2" s="4"/>
    </row>
    <row r="3" ht="26.25" customHeight="1">
      <c r="A3" s="1"/>
      <c r="B3" s="15" t="s">
        <v>3</v>
      </c>
      <c r="C3" s="17"/>
      <c r="D3" s="17"/>
      <c r="E3" s="17"/>
      <c r="F3" s="17"/>
      <c r="G3" s="17"/>
      <c r="H3" s="19" t="s">
        <v>4</v>
      </c>
      <c r="I3" s="24" t="s">
        <v>117</v>
      </c>
      <c r="J3" s="1"/>
      <c r="K3" s="4"/>
    </row>
    <row r="4" ht="7.5" customHeight="1">
      <c r="A4" s="1"/>
      <c r="B4" s="20"/>
      <c r="G4" s="21"/>
      <c r="H4" s="22"/>
      <c r="I4" s="22"/>
      <c r="J4" s="1"/>
      <c r="K4" s="4"/>
    </row>
    <row r="5">
      <c r="A5" s="5"/>
      <c r="B5" s="25" t="s">
        <v>6</v>
      </c>
      <c r="C5" s="26"/>
      <c r="D5" s="31">
        <f>VLOOKUP($I$3,'Form Responses 1'!$A$2:$AH$308,2,FALSE())</f>
        <v>46230.68611</v>
      </c>
      <c r="E5" s="28"/>
      <c r="F5" s="28"/>
      <c r="G5" s="28"/>
      <c r="H5" s="28"/>
      <c r="I5" s="26"/>
      <c r="J5" s="5"/>
      <c r="K5" s="4"/>
    </row>
    <row r="6">
      <c r="A6" s="5"/>
      <c r="B6" s="25" t="s">
        <v>7</v>
      </c>
      <c r="C6" s="26"/>
      <c r="D6" s="27" t="str">
        <f>VLOOKUP($I$3,'Form Responses 1'!$A$2:$AH$308,30,FALSE())</f>
        <v>Sales</v>
      </c>
      <c r="E6" s="28"/>
      <c r="F6" s="28"/>
      <c r="G6" s="28"/>
      <c r="H6" s="28"/>
      <c r="I6" s="26"/>
      <c r="J6" s="5"/>
      <c r="K6" s="4"/>
    </row>
    <row r="7">
      <c r="A7" s="5"/>
      <c r="B7" s="30" t="s">
        <v>8</v>
      </c>
      <c r="C7" s="26"/>
      <c r="D7" s="27" t="str">
        <f>VLOOKUP($I$3,'Form Responses 1'!$A$2:$AH$308,29,FALSE())</f>
        <v>Emmanuele Rapatan</v>
      </c>
      <c r="E7" s="28"/>
      <c r="F7" s="28"/>
      <c r="G7" s="28"/>
      <c r="H7" s="28"/>
      <c r="I7" s="26"/>
      <c r="J7" s="5"/>
      <c r="K7" s="4"/>
    </row>
    <row r="8">
      <c r="A8" s="5"/>
      <c r="B8" s="25" t="s">
        <v>9</v>
      </c>
      <c r="C8" s="26"/>
      <c r="D8" s="27" t="str">
        <f>VLOOKUP($I$3,'Form Responses 1'!$A$2:$AH$308,3,FALSE())</f>
        <v>erapatan@nrdev.ph</v>
      </c>
      <c r="E8" s="28"/>
      <c r="F8" s="28"/>
      <c r="G8" s="28"/>
      <c r="H8" s="28"/>
      <c r="I8" s="26"/>
      <c r="J8" s="5"/>
      <c r="K8" s="4"/>
    </row>
    <row r="9">
      <c r="A9" s="5"/>
      <c r="B9" s="30" t="s">
        <v>11</v>
      </c>
      <c r="C9" s="26"/>
      <c r="D9" s="27" t="str">
        <f>VLOOKUP($I$3,'Form Responses 1'!$A$2:$AH$308,4,FALSE())</f>
        <v>Test / Demo Unit</v>
      </c>
      <c r="E9" s="28"/>
      <c r="F9" s="28"/>
      <c r="G9" s="28"/>
      <c r="H9" s="28"/>
      <c r="I9" s="26"/>
      <c r="J9" s="5"/>
      <c r="K9" s="4"/>
    </row>
    <row r="10" ht="26.25" customHeight="1">
      <c r="A10" s="1"/>
      <c r="B10" s="14" t="s">
        <v>13</v>
      </c>
      <c r="C10" s="16"/>
      <c r="D10" s="16"/>
      <c r="E10" s="16"/>
      <c r="F10" s="16"/>
      <c r="G10" s="16"/>
      <c r="H10" s="16"/>
      <c r="I10" s="33"/>
      <c r="J10" s="1"/>
      <c r="K10" s="4"/>
    </row>
    <row r="11" ht="7.5" customHeight="1">
      <c r="A11" s="1"/>
      <c r="B11" s="20"/>
      <c r="G11" s="21"/>
      <c r="H11" s="22"/>
      <c r="I11" s="22"/>
      <c r="J11" s="1"/>
      <c r="K11" s="4"/>
    </row>
    <row r="12">
      <c r="A12" s="5"/>
      <c r="B12" s="35" t="s">
        <v>18</v>
      </c>
      <c r="C12" s="44" t="s">
        <v>42</v>
      </c>
      <c r="D12" s="26"/>
      <c r="E12" s="45" t="s">
        <v>24</v>
      </c>
      <c r="F12" s="26"/>
      <c r="G12" s="37" t="s">
        <v>27</v>
      </c>
      <c r="H12" s="35" t="s">
        <v>29</v>
      </c>
      <c r="I12" s="35" t="s">
        <v>32</v>
      </c>
      <c r="J12" s="5"/>
      <c r="K12" s="4"/>
    </row>
    <row r="13">
      <c r="A13" s="5"/>
      <c r="B13" s="39">
        <v>1.0</v>
      </c>
      <c r="C13" s="46" t="str">
        <f>IFERROR(VLOOKUP(E13, 'Item Code  E88'!$C$1:$D$1000, 2, FALSE), "")</f>
        <v>D400BLU4000</v>
      </c>
      <c r="D13" s="26"/>
      <c r="E13" s="46" t="str">
        <f>IFERROR(__xludf.DUMMYFUNCTION("TRANSPOSE(
  FILTER(Formula!C3:Z3, (Formula!C4:Z4&lt;&gt;"""")*(Formula!C4:Z4&lt;&gt;0)))"),"MC - D400 Blue")</f>
        <v>MC - D400 Blue</v>
      </c>
      <c r="F13" s="26"/>
      <c r="G13" s="41">
        <f>IFERROR(__xludf.DUMMYFUNCTION("TRANSPOSE(
  FILTER(Formula!C4:Z4, (Formula!C4:Z4&lt;&gt;"""")*(Formula!C4:Z4&lt;&gt;0)))"),10.0)</f>
        <v>10</v>
      </c>
      <c r="H13" s="41" t="str">
        <f>IFNA(VLOOKUP($C13,'Item Code  E88'!$D$2:$E$405,2,FALSE),"")
</f>
        <v>unit</v>
      </c>
      <c r="I13" s="41" t="str">
        <f t="shared" ref="I13:I24" si="1">IF(H13&lt;&gt;"","Available","")
</f>
        <v>Available</v>
      </c>
      <c r="J13" s="5"/>
      <c r="K13" s="4"/>
    </row>
    <row r="14">
      <c r="A14" s="5"/>
      <c r="B14" s="39">
        <v>2.0</v>
      </c>
      <c r="C14" s="46" t="str">
        <f>IFERROR(VLOOKUP(E14, 'Item Code  E88'!$C$1:$D$1000, 2, FALSE), "")</f>
        <v>ESP00263</v>
      </c>
      <c r="D14" s="26"/>
      <c r="E14" s="106" t="str">
        <f>IFERROR(__xludf.DUMMYFUNCTION("""COMPUTED_VALUE"""),"RideBox Battery")</f>
        <v>RideBox Battery</v>
      </c>
      <c r="F14" s="26"/>
      <c r="G14" s="43">
        <f>IFERROR(__xludf.DUMMYFUNCTION("""COMPUTED_VALUE"""),20.0)</f>
        <v>20</v>
      </c>
      <c r="H14" s="41" t="str">
        <f>IFNA(VLOOKUP($C14,'Item Code  E88'!$D$2:$E$405,2,FALSE),"")
</f>
        <v>pc</v>
      </c>
      <c r="I14" s="41" t="str">
        <f t="shared" si="1"/>
        <v>Available</v>
      </c>
      <c r="J14" s="5"/>
      <c r="K14" s="4"/>
    </row>
    <row r="15">
      <c r="A15" s="5"/>
      <c r="B15" s="39">
        <v>3.0</v>
      </c>
      <c r="C15" s="46" t="str">
        <f>IFERROR(VLOOKUP(E15, 'Item Code  E88'!$C$1:$D$1000, 2, FALSE), "")</f>
        <v>BATCH8A</v>
      </c>
      <c r="D15" s="26"/>
      <c r="E15" s="106" t="str">
        <f>IFERROR(__xludf.DUMMYFUNCTION("""COMPUTED_VALUE"""),"RideBox Charger")</f>
        <v>RideBox Charger</v>
      </c>
      <c r="F15" s="26"/>
      <c r="G15" s="43">
        <f>IFERROR(__xludf.DUMMYFUNCTION("""COMPUTED_VALUE"""),10.0)</f>
        <v>10</v>
      </c>
      <c r="H15" s="41" t="str">
        <f>IFNA(VLOOKUP($C15,'Item Code  E88'!$D$2:$E$405,2,FALSE),"")
</f>
        <v>pc</v>
      </c>
      <c r="I15" s="41" t="str">
        <f t="shared" si="1"/>
        <v>Available</v>
      </c>
      <c r="J15" s="5"/>
      <c r="K15" s="4"/>
    </row>
    <row r="16">
      <c r="A16" s="5"/>
      <c r="B16" s="39">
        <v>4.0</v>
      </c>
      <c r="C16" s="46" t="str">
        <f>IFERROR(VLOOKUP(E16, 'Item Code  E88'!$C$1:$D$1000, 2, FALSE), "")</f>
        <v/>
      </c>
      <c r="D16" s="26"/>
      <c r="E16" s="106"/>
      <c r="F16" s="26"/>
      <c r="G16" s="43"/>
      <c r="H16" s="41" t="str">
        <f>IFNA(VLOOKUP($C16,'Item Code  E88'!$D$2:$E$405,2,FALSE),"")
</f>
        <v/>
      </c>
      <c r="I16" s="41" t="str">
        <f t="shared" si="1"/>
        <v/>
      </c>
      <c r="J16" s="5"/>
      <c r="K16" s="4"/>
    </row>
    <row r="17">
      <c r="A17" s="5"/>
      <c r="B17" s="39">
        <v>5.0</v>
      </c>
      <c r="C17" s="46" t="str">
        <f>IFERROR(VLOOKUP(E17, 'Item Code  E88'!$C$1:$D$1000, 2, FALSE), "")</f>
        <v/>
      </c>
      <c r="D17" s="26"/>
      <c r="E17" s="46"/>
      <c r="F17" s="26"/>
      <c r="G17" s="41"/>
      <c r="H17" s="41" t="str">
        <f>IFNA(VLOOKUP($C17,'Item Code  E88'!$D$2:$E$405,2,FALSE),"")
</f>
        <v/>
      </c>
      <c r="I17" s="41" t="str">
        <f t="shared" si="1"/>
        <v/>
      </c>
      <c r="J17" s="5"/>
      <c r="K17" s="4"/>
    </row>
    <row r="18">
      <c r="A18" s="5"/>
      <c r="B18" s="39">
        <v>6.0</v>
      </c>
      <c r="C18" s="46" t="str">
        <f>IFERROR(VLOOKUP(E18, 'Item Code  E88'!$C$1:$D$1000, 2, FALSE), "")</f>
        <v/>
      </c>
      <c r="D18" s="26"/>
      <c r="E18" s="46"/>
      <c r="F18" s="26"/>
      <c r="G18" s="41"/>
      <c r="H18" s="41" t="str">
        <f>IFNA(VLOOKUP($C18,'Item Code  E88'!$D$2:$E$405,2,FALSE),"")
</f>
        <v/>
      </c>
      <c r="I18" s="41" t="str">
        <f t="shared" si="1"/>
        <v/>
      </c>
      <c r="J18" s="5"/>
      <c r="K18" s="4"/>
    </row>
    <row r="19">
      <c r="A19" s="5"/>
      <c r="B19" s="39">
        <v>7.0</v>
      </c>
      <c r="C19" s="46" t="str">
        <f>IFERROR(VLOOKUP(E19, 'Item Code  E88'!$C$1:$D$1000, 2, FALSE), "")</f>
        <v/>
      </c>
      <c r="D19" s="26"/>
      <c r="E19" s="106"/>
      <c r="F19" s="26"/>
      <c r="G19" s="43"/>
      <c r="H19" s="41" t="str">
        <f>IFNA(VLOOKUP($C19,'Item Code  E88'!$D$2:$E$405,2,FALSE),"")
</f>
        <v/>
      </c>
      <c r="I19" s="41" t="str">
        <f t="shared" si="1"/>
        <v/>
      </c>
      <c r="J19" s="5"/>
      <c r="K19" s="4"/>
    </row>
    <row r="20">
      <c r="A20" s="5"/>
      <c r="B20" s="39">
        <v>8.0</v>
      </c>
      <c r="C20" s="46" t="str">
        <f>IFERROR(VLOOKUP(E20, 'Item Code  E88'!$C$1:$D$1000, 2, FALSE), "")</f>
        <v/>
      </c>
      <c r="D20" s="26"/>
      <c r="E20" s="106"/>
      <c r="F20" s="26"/>
      <c r="G20" s="43"/>
      <c r="H20" s="41" t="str">
        <f>IFNA(VLOOKUP($C20,'Item Code  E88'!$D$2:$E$405,2,FALSE),"")
</f>
        <v/>
      </c>
      <c r="I20" s="41" t="str">
        <f t="shared" si="1"/>
        <v/>
      </c>
      <c r="J20" s="5"/>
      <c r="K20" s="4"/>
    </row>
    <row r="21">
      <c r="A21" s="5"/>
      <c r="B21" s="39">
        <v>9.0</v>
      </c>
      <c r="C21" s="46" t="str">
        <f>IFERROR(VLOOKUP(E21, 'Item Code  E88'!$C$1:$D$1000, 2, FALSE), "")</f>
        <v/>
      </c>
      <c r="D21" s="26"/>
      <c r="H21" s="41" t="str">
        <f>IFNA(VLOOKUP($C21,'Item Code  E88'!$D$2:$E$405,2,FALSE),"")
</f>
        <v/>
      </c>
      <c r="I21" s="41" t="str">
        <f t="shared" si="1"/>
        <v/>
      </c>
      <c r="J21" s="5"/>
      <c r="K21" s="4"/>
    </row>
    <row r="22">
      <c r="A22" s="5"/>
      <c r="B22" s="39">
        <v>10.0</v>
      </c>
      <c r="C22" s="46" t="str">
        <f>IFERROR(VLOOKUP(E22, 'Item Code  E88'!$C$1:$D$1000, 2, FALSE), "")</f>
        <v/>
      </c>
      <c r="D22" s="26"/>
      <c r="G22" s="43"/>
      <c r="H22" s="41" t="str">
        <f>IFNA(VLOOKUP($C22,'Item Code  E88'!$D$2:$E$405,2,FALSE),"")
</f>
        <v/>
      </c>
      <c r="I22" s="41" t="str">
        <f t="shared" si="1"/>
        <v/>
      </c>
      <c r="J22" s="5"/>
      <c r="K22" s="4"/>
    </row>
    <row r="23">
      <c r="A23" s="5"/>
      <c r="B23" s="65">
        <v>11.0</v>
      </c>
      <c r="C23" s="46" t="str">
        <f>IFERROR(VLOOKUP(E23, 'Item Code  E88'!$C$1:$D$1000, 2, FALSE), "")</f>
        <v/>
      </c>
      <c r="D23" s="26"/>
      <c r="E23" s="106"/>
      <c r="F23" s="26"/>
      <c r="G23" s="43"/>
      <c r="H23" s="41" t="str">
        <f>IFNA(VLOOKUP($C23,'Item Code  E88'!$D$2:$E$405,2,FALSE),"")
</f>
        <v/>
      </c>
      <c r="I23" s="41" t="str">
        <f t="shared" si="1"/>
        <v/>
      </c>
      <c r="J23" s="5"/>
      <c r="K23" s="4"/>
    </row>
    <row r="24">
      <c r="A24" s="5"/>
      <c r="B24" s="65">
        <v>12.0</v>
      </c>
      <c r="C24" s="46" t="str">
        <f>IFERROR(VLOOKUP(E24, 'Item Code  E88'!$C$1:$D$1000, 2, FALSE), "")</f>
        <v/>
      </c>
      <c r="D24" s="26"/>
      <c r="E24" s="106"/>
      <c r="F24" s="26"/>
      <c r="G24" s="43"/>
      <c r="H24" s="41" t="str">
        <f>IFNA(VLOOKUP($C24,'Item Code  E88'!$D$2:$E$405,2,FALSE),"")
</f>
        <v/>
      </c>
      <c r="I24" s="41" t="str">
        <f t="shared" si="1"/>
        <v/>
      </c>
      <c r="J24" s="5"/>
      <c r="K24" s="4"/>
    </row>
    <row r="25" ht="26.25" customHeight="1">
      <c r="A25" s="5"/>
      <c r="B25" s="49" t="s">
        <v>64</v>
      </c>
      <c r="C25" s="16"/>
      <c r="D25" s="16"/>
      <c r="E25" s="16"/>
      <c r="F25" s="16"/>
      <c r="G25" s="16"/>
      <c r="H25" s="16"/>
      <c r="I25" s="50"/>
      <c r="J25" s="5"/>
      <c r="K25" s="4"/>
    </row>
    <row r="26" ht="7.5" customHeight="1">
      <c r="A26" s="1"/>
      <c r="B26" s="20"/>
      <c r="G26" s="21"/>
      <c r="H26" s="22"/>
      <c r="I26" s="22"/>
      <c r="J26" s="1"/>
      <c r="K26" s="4"/>
    </row>
    <row r="27" ht="34.5" customHeight="1">
      <c r="A27" s="5"/>
      <c r="B27" s="51" t="str">
        <f>VLOOKUP($I$3,'Form Responses 1'!$A$2:$AI$308,31,FALSE())</f>
        <v/>
      </c>
      <c r="I27" s="52"/>
      <c r="J27" s="5"/>
      <c r="K27" s="4"/>
    </row>
    <row r="28" ht="34.5" customHeight="1">
      <c r="A28" s="5"/>
      <c r="B28" s="53"/>
      <c r="C28" s="54"/>
      <c r="D28" s="54"/>
      <c r="E28" s="54"/>
      <c r="F28" s="54"/>
      <c r="G28" s="54"/>
      <c r="H28" s="54"/>
      <c r="I28" s="55"/>
      <c r="J28" s="5"/>
      <c r="K28" s="4"/>
    </row>
    <row r="29" ht="26.25" customHeight="1">
      <c r="A29" s="5"/>
      <c r="B29" s="49" t="s">
        <v>65</v>
      </c>
      <c r="C29" s="16"/>
      <c r="D29" s="16"/>
      <c r="E29" s="16"/>
      <c r="F29" s="16"/>
      <c r="G29" s="16"/>
      <c r="H29" s="16"/>
      <c r="I29" s="50"/>
      <c r="J29" s="5"/>
      <c r="K29" s="4"/>
    </row>
    <row r="30" ht="7.5" customHeight="1">
      <c r="A30" s="1"/>
      <c r="B30" s="20"/>
      <c r="G30" s="21"/>
      <c r="H30" s="22"/>
      <c r="I30" s="22"/>
      <c r="J30" s="1"/>
      <c r="K30" s="4"/>
    </row>
    <row r="31" ht="26.25" customHeight="1">
      <c r="A31" s="5"/>
      <c r="B31" s="51" t="str">
        <f>VLOOKUP($I$3,'Form Responses 1'!$A$1:$AI$308,34,FALSE())</f>
        <v/>
      </c>
      <c r="I31" s="52"/>
      <c r="J31" s="5"/>
      <c r="K31" s="4"/>
    </row>
    <row r="32" ht="75.75" customHeight="1">
      <c r="A32" s="5"/>
      <c r="B32" s="53"/>
      <c r="C32" s="54"/>
      <c r="D32" s="54"/>
      <c r="E32" s="54"/>
      <c r="F32" s="54"/>
      <c r="G32" s="54"/>
      <c r="H32" s="54"/>
      <c r="I32" s="55"/>
      <c r="J32" s="5"/>
      <c r="K32" s="4"/>
    </row>
    <row r="33" ht="26.25" customHeight="1">
      <c r="A33" s="1"/>
      <c r="B33" s="62" t="s">
        <v>255</v>
      </c>
      <c r="C33" s="16"/>
      <c r="D33" s="16"/>
      <c r="E33" s="16"/>
      <c r="F33" s="16"/>
      <c r="G33" s="16"/>
      <c r="H33" s="16"/>
      <c r="I33" s="33"/>
      <c r="J33" s="1"/>
      <c r="K33" s="4"/>
    </row>
    <row r="34" ht="7.5" customHeight="1">
      <c r="A34" s="1"/>
      <c r="B34" s="20"/>
      <c r="G34" s="21"/>
      <c r="H34" s="22"/>
      <c r="I34" s="22"/>
      <c r="J34" s="1"/>
      <c r="K34" s="4"/>
    </row>
    <row r="35">
      <c r="A35" s="5"/>
      <c r="B35" s="114" t="s">
        <v>258</v>
      </c>
      <c r="C35" s="115"/>
      <c r="D35" s="116" t="str">
        <f>VLOOKUP($I$3,'Form Responses 1'!$A$2:$AB$308,5,FALSE())</f>
        <v>Pickup</v>
      </c>
      <c r="E35" s="117"/>
      <c r="F35" s="117"/>
      <c r="G35" s="117"/>
      <c r="H35" s="117"/>
      <c r="I35" s="115"/>
      <c r="J35" s="91"/>
      <c r="K35" s="4"/>
    </row>
    <row r="36" ht="21.75" customHeight="1">
      <c r="A36" s="5"/>
      <c r="B36" s="114" t="s">
        <v>264</v>
      </c>
      <c r="C36" s="115"/>
      <c r="D36" s="116" t="str">
        <f>VLOOKUP($I$3,'Form Responses 1'!A1:AB2139,6,FALSE())</f>
        <v>Angkas </v>
      </c>
      <c r="E36" s="117"/>
      <c r="F36" s="117"/>
      <c r="G36" s="117"/>
      <c r="H36" s="117"/>
      <c r="I36" s="115"/>
      <c r="J36" s="91"/>
      <c r="K36" s="4"/>
    </row>
    <row r="37">
      <c r="A37" s="5"/>
      <c r="B37" s="114" t="s">
        <v>268</v>
      </c>
      <c r="C37" s="115"/>
      <c r="D37" s="116" t="str">
        <f>VLOOKUP($I$3,'Form Responses 1'!$A$2:$AB$308,7,FALSE())</f>
        <v>Pick up at E88 Ventures Asgard Warehouse </v>
      </c>
      <c r="E37" s="117"/>
      <c r="F37" s="117"/>
      <c r="G37" s="117"/>
      <c r="H37" s="117"/>
      <c r="I37" s="115"/>
      <c r="J37" s="91"/>
      <c r="K37" s="4"/>
    </row>
    <row r="38">
      <c r="A38" s="5"/>
      <c r="B38" s="114" t="s">
        <v>271</v>
      </c>
      <c r="C38" s="115"/>
      <c r="D38" s="119">
        <f>VLOOKUP($I$3,'Form Responses 1'!$A$2:$AB$308,8,FALSE())</f>
        <v>46234</v>
      </c>
      <c r="E38" s="117"/>
      <c r="F38" s="117"/>
      <c r="G38" s="117"/>
      <c r="H38" s="117"/>
      <c r="I38" s="115"/>
      <c r="J38" s="91"/>
      <c r="K38" s="4"/>
    </row>
    <row r="39">
      <c r="A39" s="5"/>
      <c r="B39" s="114" t="s">
        <v>276</v>
      </c>
      <c r="C39" s="115"/>
      <c r="D39" s="120">
        <f>VLOOKUP($I$3,'Form Responses 1'!$A$2:$AB$308,9,FALSE())</f>
        <v>0.375</v>
      </c>
      <c r="E39" s="117"/>
      <c r="F39" s="117"/>
      <c r="G39" s="117"/>
      <c r="H39" s="117"/>
      <c r="I39" s="115"/>
      <c r="J39" s="91"/>
      <c r="K39" s="4"/>
    </row>
    <row r="40">
      <c r="A40" s="5"/>
      <c r="B40" s="114" t="s">
        <v>31</v>
      </c>
      <c r="C40" s="115"/>
      <c r="D40" s="116" t="str">
        <f>VLOOKUP($I$3,'Form Responses 1'!$A$2:$AB$308,10,FALSE())</f>
        <v>Ron Dela Cruz</v>
      </c>
      <c r="E40" s="117"/>
      <c r="F40" s="117"/>
      <c r="G40" s="117"/>
      <c r="H40" s="117"/>
      <c r="I40" s="115"/>
      <c r="J40" s="91"/>
      <c r="K40" s="4"/>
    </row>
    <row r="41">
      <c r="A41" s="5"/>
      <c r="B41" s="121" t="s">
        <v>36</v>
      </c>
      <c r="C41" s="115"/>
      <c r="D41" s="116" t="str">
        <f>VLOOKUP($I$3,'Form Responses 1'!$A$2:$AB$308,11,FALSE())</f>
        <v>+639177680944</v>
      </c>
      <c r="E41" s="117"/>
      <c r="F41" s="117"/>
      <c r="G41" s="117"/>
      <c r="H41" s="117"/>
      <c r="I41" s="115"/>
      <c r="J41" s="91"/>
      <c r="K41" s="4"/>
    </row>
    <row r="42" ht="26.25" customHeight="1">
      <c r="A42" s="1"/>
      <c r="B42" s="62" t="s">
        <v>136</v>
      </c>
      <c r="C42" s="16"/>
      <c r="D42" s="16"/>
      <c r="E42" s="62" t="s">
        <v>292</v>
      </c>
      <c r="F42" s="33"/>
      <c r="G42" s="62" t="s">
        <v>293</v>
      </c>
      <c r="H42" s="16"/>
      <c r="I42" s="33"/>
      <c r="J42" s="1"/>
      <c r="K42" s="4"/>
    </row>
    <row r="43" ht="7.5" customHeight="1">
      <c r="A43" s="1"/>
      <c r="B43" s="20"/>
      <c r="G43" s="21"/>
      <c r="H43" s="22"/>
      <c r="I43" s="22"/>
      <c r="J43" s="1"/>
      <c r="K43" s="4"/>
    </row>
    <row r="44" ht="40.5" customHeight="1">
      <c r="A44" s="1"/>
      <c r="B44" s="64" t="s">
        <v>73</v>
      </c>
      <c r="C44" s="66"/>
      <c r="D44" s="68"/>
      <c r="E44" s="97" t="s">
        <v>73</v>
      </c>
      <c r="F44" s="69"/>
      <c r="G44" s="69" t="s">
        <v>73</v>
      </c>
      <c r="H44" s="70"/>
      <c r="I44" s="66"/>
      <c r="J44" s="1"/>
      <c r="K44" s="4"/>
    </row>
    <row r="45">
      <c r="A45" s="1"/>
      <c r="B45" s="73" t="s">
        <v>76</v>
      </c>
      <c r="C45" s="66"/>
      <c r="D45" s="82" t="str">
        <f>VLOOKUP($I$3,'Form Responses 1'!$A$2:$AG$308,29,FALSE())</f>
        <v>Emmanuele Rapatan</v>
      </c>
      <c r="E45" s="98" t="s">
        <v>76</v>
      </c>
      <c r="F45" s="82" t="str">
        <f>VLOOKUP(D45,'Item Code  E88'!$G$1:$I$900,3,FALSE())</f>
        <v>Samuel Kniazeff Jr</v>
      </c>
      <c r="G45" s="75" t="s">
        <v>76</v>
      </c>
      <c r="H45" s="76" t="s">
        <v>158</v>
      </c>
      <c r="I45" s="66"/>
      <c r="J45" s="1"/>
      <c r="K45" s="4"/>
    </row>
    <row r="46">
      <c r="A46" s="1"/>
      <c r="B46" s="101" t="s">
        <v>160</v>
      </c>
      <c r="C46" s="1"/>
      <c r="D46" s="82" t="str">
        <f>VLOOKUP(D45,'Item Code  E88'!$G$1:$I$900,2,FALSE())</f>
        <v>Sales Admin</v>
      </c>
      <c r="E46" s="101" t="s">
        <v>160</v>
      </c>
      <c r="F46" s="127" t="str">
        <f>VLOOKUP(F45,'Item Code  E88'!$I$1:$J$900,2,FALSE())</f>
        <v>Operations &amp; Product Director</v>
      </c>
      <c r="G46" s="101" t="s">
        <v>160</v>
      </c>
      <c r="H46" s="76" t="s">
        <v>168</v>
      </c>
      <c r="I46" s="66"/>
      <c r="J46" s="1"/>
      <c r="K46" s="4"/>
    </row>
    <row r="47">
      <c r="A47" s="1"/>
      <c r="B47" s="78" t="s">
        <v>77</v>
      </c>
      <c r="C47" s="1"/>
      <c r="D47" s="104">
        <f>D5</f>
        <v>46230.68611</v>
      </c>
      <c r="E47" s="98" t="s">
        <v>77</v>
      </c>
      <c r="F47" s="118"/>
      <c r="G47" s="75" t="s">
        <v>77</v>
      </c>
      <c r="H47" s="5"/>
      <c r="I47" s="66"/>
      <c r="J47" s="1"/>
      <c r="K47" s="4"/>
    </row>
    <row r="48" ht="7.5" customHeight="1">
      <c r="A48" s="1"/>
      <c r="B48" s="20"/>
      <c r="G48" s="21"/>
      <c r="H48" s="22"/>
      <c r="I48" s="22"/>
      <c r="J48" s="1"/>
      <c r="K48" s="4"/>
    </row>
    <row r="49">
      <c r="A49" s="1"/>
      <c r="B49" s="1"/>
      <c r="C49" s="1"/>
      <c r="D49" s="1"/>
      <c r="E49" s="1"/>
      <c r="F49" s="1"/>
      <c r="G49" s="1"/>
      <c r="H49" s="1"/>
      <c r="I49" s="1"/>
      <c r="J49" s="1"/>
      <c r="K49" s="4"/>
    </row>
  </sheetData>
  <mergeCells count="75">
    <mergeCell ref="B31:I32"/>
    <mergeCell ref="B33:I33"/>
    <mergeCell ref="B34:G34"/>
    <mergeCell ref="B35:C35"/>
    <mergeCell ref="D35:I35"/>
    <mergeCell ref="B36:C36"/>
    <mergeCell ref="D36:I36"/>
    <mergeCell ref="D41:I41"/>
    <mergeCell ref="G42:I42"/>
    <mergeCell ref="B37:C37"/>
    <mergeCell ref="D37:I37"/>
    <mergeCell ref="B38:C38"/>
    <mergeCell ref="D38:I38"/>
    <mergeCell ref="B39:C39"/>
    <mergeCell ref="D39:I39"/>
    <mergeCell ref="D40:I40"/>
    <mergeCell ref="H44:I44"/>
    <mergeCell ref="H45:I45"/>
    <mergeCell ref="H46:I46"/>
    <mergeCell ref="H47:I47"/>
    <mergeCell ref="B40:C40"/>
    <mergeCell ref="B41:C41"/>
    <mergeCell ref="B42:D42"/>
    <mergeCell ref="E42:F42"/>
    <mergeCell ref="B43:G43"/>
    <mergeCell ref="B44:C44"/>
    <mergeCell ref="B45:C45"/>
    <mergeCell ref="B48:G48"/>
    <mergeCell ref="B6:C6"/>
    <mergeCell ref="B7:C7"/>
    <mergeCell ref="B8:C8"/>
    <mergeCell ref="B9:C9"/>
    <mergeCell ref="B2:C2"/>
    <mergeCell ref="D2:I2"/>
    <mergeCell ref="B3:G3"/>
    <mergeCell ref="B4:G4"/>
    <mergeCell ref="B5:C5"/>
    <mergeCell ref="D5:I5"/>
    <mergeCell ref="D6:I6"/>
    <mergeCell ref="D7:I7"/>
    <mergeCell ref="D8:I8"/>
    <mergeCell ref="D9:I9"/>
    <mergeCell ref="B10:I10"/>
    <mergeCell ref="B11:G11"/>
    <mergeCell ref="C12:D12"/>
    <mergeCell ref="E12:F12"/>
    <mergeCell ref="E17:F17"/>
    <mergeCell ref="E18:F18"/>
    <mergeCell ref="E19:F19"/>
    <mergeCell ref="E20:F20"/>
    <mergeCell ref="E21:F21"/>
    <mergeCell ref="E22:F22"/>
    <mergeCell ref="E23:F23"/>
    <mergeCell ref="E24:F24"/>
    <mergeCell ref="C13:D13"/>
    <mergeCell ref="E13:F13"/>
    <mergeCell ref="C14:D14"/>
    <mergeCell ref="E14:F14"/>
    <mergeCell ref="C15:D15"/>
    <mergeCell ref="E15:F15"/>
    <mergeCell ref="E16:F16"/>
    <mergeCell ref="C16:D16"/>
    <mergeCell ref="C17:D17"/>
    <mergeCell ref="C18:D18"/>
    <mergeCell ref="C19:D19"/>
    <mergeCell ref="C20:D20"/>
    <mergeCell ref="C21:D21"/>
    <mergeCell ref="C22:D22"/>
    <mergeCell ref="C23:D23"/>
    <mergeCell ref="C24:D24"/>
    <mergeCell ref="B25:I25"/>
    <mergeCell ref="B26:G26"/>
    <mergeCell ref="B27:I28"/>
    <mergeCell ref="B29:I29"/>
    <mergeCell ref="B30:G30"/>
  </mergeCells>
  <dataValidations>
    <dataValidation type="list" allowBlank="1" showErrorMessage="1" sqref="I3">
      <formula1>'Form Responses 1'!$A$2:$A$308</formula1>
    </dataValidation>
  </dataValidations>
  <printOptions gridLines="1" horizontalCentered="1"/>
  <pageMargins bottom="0.75" footer="0.0" header="0.0" left="0.25" right="0.25" top="0.75"/>
  <pageSetup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0"/>
    <col customWidth="1" min="7" max="7" width="21.0"/>
    <col customWidth="1" min="8" max="8" width="24.38"/>
    <col customWidth="1" min="9" max="9" width="16.0"/>
    <col customWidth="1" min="10" max="10" width="22.13"/>
  </cols>
  <sheetData>
    <row r="1">
      <c r="A1" s="84" t="s">
        <v>42</v>
      </c>
      <c r="B1" s="84" t="s">
        <v>97</v>
      </c>
      <c r="C1" s="85" t="s">
        <v>98</v>
      </c>
      <c r="D1" s="84" t="s">
        <v>42</v>
      </c>
      <c r="E1" s="86" t="s">
        <v>100</v>
      </c>
      <c r="F1" s="87"/>
      <c r="G1" s="86" t="s">
        <v>103</v>
      </c>
      <c r="H1" s="86" t="s">
        <v>104</v>
      </c>
      <c r="I1" s="86" t="s">
        <v>105</v>
      </c>
      <c r="J1" s="86" t="s">
        <v>104</v>
      </c>
      <c r="K1" s="87"/>
      <c r="L1" s="87"/>
      <c r="M1" s="87"/>
      <c r="N1" s="87"/>
      <c r="O1" s="87"/>
      <c r="P1" s="87"/>
      <c r="Q1" s="87"/>
      <c r="R1" s="87"/>
      <c r="S1" s="87"/>
      <c r="T1" s="87"/>
      <c r="U1" s="87"/>
      <c r="V1" s="87"/>
      <c r="W1" s="87"/>
      <c r="X1" s="87"/>
      <c r="Y1" s="87"/>
      <c r="Z1" s="87"/>
      <c r="AA1" s="87"/>
    </row>
    <row r="2">
      <c r="A2" s="90" t="s">
        <v>108</v>
      </c>
      <c r="B2" s="90" t="s">
        <v>109</v>
      </c>
      <c r="C2" s="92" t="s">
        <v>39</v>
      </c>
      <c r="D2" s="90" t="s">
        <v>108</v>
      </c>
      <c r="E2" s="93" t="s">
        <v>111</v>
      </c>
      <c r="F2" s="93"/>
      <c r="G2" s="93" t="s">
        <v>112</v>
      </c>
      <c r="H2" s="86" t="s">
        <v>113</v>
      </c>
      <c r="I2" s="86" t="s">
        <v>114</v>
      </c>
      <c r="J2" s="86" t="s">
        <v>115</v>
      </c>
      <c r="K2" s="87"/>
      <c r="L2" s="87"/>
      <c r="M2" s="87"/>
      <c r="N2" s="87"/>
      <c r="O2" s="87"/>
      <c r="P2" s="87"/>
      <c r="Q2" s="87"/>
      <c r="R2" s="87"/>
      <c r="S2" s="87"/>
      <c r="T2" s="87"/>
      <c r="U2" s="87"/>
      <c r="V2" s="87"/>
      <c r="W2" s="87"/>
      <c r="X2" s="87"/>
      <c r="Y2" s="87"/>
      <c r="Z2" s="87"/>
      <c r="AA2" s="87"/>
    </row>
    <row r="3">
      <c r="A3" s="90" t="s">
        <v>118</v>
      </c>
      <c r="B3" s="90" t="s">
        <v>119</v>
      </c>
      <c r="C3" s="92" t="s">
        <v>40</v>
      </c>
      <c r="D3" s="90" t="s">
        <v>118</v>
      </c>
      <c r="E3" s="93" t="s">
        <v>111</v>
      </c>
      <c r="F3" s="86"/>
      <c r="G3" s="86" t="s">
        <v>121</v>
      </c>
      <c r="H3" s="86" t="s">
        <v>123</v>
      </c>
      <c r="I3" s="86" t="s">
        <v>114</v>
      </c>
      <c r="J3" s="86" t="s">
        <v>115</v>
      </c>
      <c r="K3" s="87"/>
      <c r="L3" s="87"/>
      <c r="M3" s="87"/>
      <c r="N3" s="87"/>
      <c r="O3" s="87"/>
      <c r="P3" s="87"/>
      <c r="Q3" s="87"/>
      <c r="R3" s="87"/>
      <c r="S3" s="87"/>
      <c r="T3" s="87"/>
      <c r="U3" s="87"/>
      <c r="V3" s="87"/>
      <c r="W3" s="87"/>
      <c r="X3" s="87"/>
      <c r="Y3" s="87"/>
      <c r="Z3" s="87"/>
      <c r="AA3" s="87"/>
    </row>
    <row r="4">
      <c r="A4" s="90" t="s">
        <v>125</v>
      </c>
      <c r="B4" s="90" t="s">
        <v>126</v>
      </c>
      <c r="C4" s="92" t="s">
        <v>37</v>
      </c>
      <c r="D4" s="90" t="s">
        <v>125</v>
      </c>
      <c r="E4" s="93" t="s">
        <v>111</v>
      </c>
      <c r="F4" s="86"/>
      <c r="G4" s="86" t="s">
        <v>129</v>
      </c>
      <c r="H4" s="86" t="s">
        <v>130</v>
      </c>
      <c r="I4" s="86" t="s">
        <v>131</v>
      </c>
      <c r="J4" s="86" t="s">
        <v>131</v>
      </c>
      <c r="K4" s="87"/>
      <c r="L4" s="87"/>
      <c r="M4" s="87"/>
      <c r="N4" s="87"/>
      <c r="O4" s="87"/>
      <c r="P4" s="87"/>
      <c r="Q4" s="87"/>
      <c r="R4" s="87"/>
      <c r="S4" s="87"/>
      <c r="T4" s="87"/>
      <c r="U4" s="87"/>
      <c r="V4" s="87"/>
      <c r="W4" s="87"/>
      <c r="X4" s="87"/>
      <c r="Y4" s="87"/>
      <c r="Z4" s="87"/>
      <c r="AA4" s="87"/>
    </row>
    <row r="5">
      <c r="A5" s="90" t="s">
        <v>134</v>
      </c>
      <c r="B5" s="90" t="s">
        <v>135</v>
      </c>
      <c r="C5" s="92" t="s">
        <v>38</v>
      </c>
      <c r="D5" s="90" t="s">
        <v>134</v>
      </c>
      <c r="E5" s="93" t="s">
        <v>111</v>
      </c>
      <c r="F5" s="86"/>
      <c r="G5" s="86" t="s">
        <v>137</v>
      </c>
      <c r="H5" s="86" t="s">
        <v>138</v>
      </c>
      <c r="I5" s="86" t="s">
        <v>131</v>
      </c>
      <c r="J5" s="86" t="s">
        <v>131</v>
      </c>
      <c r="K5" s="87"/>
      <c r="L5" s="87"/>
      <c r="M5" s="87"/>
      <c r="N5" s="87"/>
      <c r="O5" s="87"/>
      <c r="P5" s="87"/>
      <c r="Q5" s="87"/>
      <c r="R5" s="87"/>
      <c r="S5" s="87"/>
      <c r="T5" s="87"/>
      <c r="U5" s="87"/>
      <c r="V5" s="87"/>
      <c r="W5" s="87"/>
      <c r="X5" s="87"/>
      <c r="Y5" s="87"/>
      <c r="Z5" s="87"/>
      <c r="AA5" s="87"/>
    </row>
    <row r="6">
      <c r="A6" s="90" t="s">
        <v>143</v>
      </c>
      <c r="B6" s="90" t="s">
        <v>144</v>
      </c>
      <c r="C6" s="92" t="s">
        <v>41</v>
      </c>
      <c r="D6" s="90" t="s">
        <v>143</v>
      </c>
      <c r="E6" s="93" t="s">
        <v>111</v>
      </c>
      <c r="F6" s="86"/>
      <c r="G6" s="86" t="s">
        <v>145</v>
      </c>
      <c r="H6" s="86" t="s">
        <v>146</v>
      </c>
      <c r="I6" s="86" t="s">
        <v>148</v>
      </c>
      <c r="J6" s="86" t="s">
        <v>149</v>
      </c>
      <c r="K6" s="87"/>
      <c r="L6" s="87"/>
      <c r="M6" s="87"/>
      <c r="N6" s="87"/>
      <c r="O6" s="87"/>
      <c r="P6" s="87"/>
      <c r="Q6" s="87"/>
      <c r="R6" s="87"/>
      <c r="S6" s="87"/>
      <c r="T6" s="87"/>
      <c r="U6" s="87"/>
      <c r="V6" s="87"/>
      <c r="W6" s="87"/>
      <c r="X6" s="87"/>
      <c r="Y6" s="87"/>
      <c r="Z6" s="87"/>
      <c r="AA6" s="87"/>
    </row>
    <row r="7">
      <c r="A7" s="90" t="s">
        <v>152</v>
      </c>
      <c r="B7" s="90" t="s">
        <v>153</v>
      </c>
      <c r="C7" s="92" t="s">
        <v>43</v>
      </c>
      <c r="D7" s="90" t="s">
        <v>152</v>
      </c>
      <c r="E7" s="93" t="s">
        <v>111</v>
      </c>
      <c r="F7" s="86"/>
      <c r="G7" s="86" t="s">
        <v>155</v>
      </c>
      <c r="H7" s="86" t="s">
        <v>156</v>
      </c>
      <c r="I7" s="86" t="s">
        <v>131</v>
      </c>
      <c r="J7" s="86" t="s">
        <v>131</v>
      </c>
      <c r="K7" s="87"/>
      <c r="L7" s="87"/>
      <c r="M7" s="87"/>
      <c r="N7" s="87"/>
      <c r="O7" s="87"/>
      <c r="P7" s="87"/>
      <c r="Q7" s="87"/>
      <c r="R7" s="87"/>
      <c r="S7" s="87"/>
      <c r="T7" s="87"/>
      <c r="U7" s="87"/>
      <c r="V7" s="87"/>
      <c r="W7" s="87"/>
      <c r="X7" s="87"/>
      <c r="Y7" s="87"/>
      <c r="Z7" s="87"/>
      <c r="AA7" s="87"/>
    </row>
    <row r="8">
      <c r="A8" s="90" t="s">
        <v>161</v>
      </c>
      <c r="B8" s="90" t="s">
        <v>163</v>
      </c>
      <c r="C8" s="92" t="s">
        <v>44</v>
      </c>
      <c r="D8" s="90" t="s">
        <v>161</v>
      </c>
      <c r="E8" s="93" t="s">
        <v>111</v>
      </c>
      <c r="F8" s="87"/>
      <c r="G8" s="86" t="s">
        <v>164</v>
      </c>
      <c r="H8" s="86" t="s">
        <v>123</v>
      </c>
      <c r="I8" s="86" t="s">
        <v>114</v>
      </c>
      <c r="J8" s="86" t="s">
        <v>115</v>
      </c>
      <c r="K8" s="87"/>
      <c r="L8" s="87"/>
      <c r="M8" s="87"/>
      <c r="N8" s="87"/>
      <c r="O8" s="87"/>
      <c r="P8" s="87"/>
      <c r="Q8" s="87"/>
      <c r="R8" s="87"/>
      <c r="S8" s="87"/>
      <c r="T8" s="87"/>
      <c r="U8" s="87"/>
      <c r="V8" s="87"/>
      <c r="W8" s="87"/>
      <c r="X8" s="87"/>
      <c r="Y8" s="87"/>
      <c r="Z8" s="87"/>
      <c r="AA8" s="87"/>
    </row>
    <row r="9">
      <c r="A9" s="90" t="s">
        <v>167</v>
      </c>
      <c r="B9" s="90" t="s">
        <v>169</v>
      </c>
      <c r="C9" s="92" t="s">
        <v>37</v>
      </c>
      <c r="D9" s="90" t="s">
        <v>167</v>
      </c>
      <c r="E9" s="93" t="s">
        <v>111</v>
      </c>
      <c r="F9" s="87"/>
      <c r="G9" s="86" t="s">
        <v>170</v>
      </c>
      <c r="H9" s="86" t="s">
        <v>172</v>
      </c>
      <c r="I9" s="86" t="s">
        <v>137</v>
      </c>
      <c r="J9" s="86" t="s">
        <v>138</v>
      </c>
      <c r="K9" s="87"/>
      <c r="L9" s="87"/>
      <c r="M9" s="87"/>
      <c r="N9" s="87"/>
      <c r="O9" s="87"/>
      <c r="P9" s="87"/>
      <c r="Q9" s="87"/>
      <c r="R9" s="87"/>
      <c r="S9" s="87"/>
      <c r="T9" s="87"/>
      <c r="U9" s="87"/>
      <c r="V9" s="87"/>
      <c r="W9" s="87"/>
      <c r="X9" s="87"/>
      <c r="Y9" s="87"/>
      <c r="Z9" s="87"/>
      <c r="AA9" s="87"/>
    </row>
    <row r="10">
      <c r="A10" s="90" t="s">
        <v>174</v>
      </c>
      <c r="B10" s="90" t="s">
        <v>50</v>
      </c>
      <c r="C10" s="92" t="s">
        <v>50</v>
      </c>
      <c r="D10" s="90" t="s">
        <v>174</v>
      </c>
      <c r="E10" s="86" t="s">
        <v>175</v>
      </c>
      <c r="F10" s="87"/>
      <c r="G10" s="86" t="s">
        <v>176</v>
      </c>
      <c r="H10" s="86" t="s">
        <v>177</v>
      </c>
      <c r="I10" s="86" t="s">
        <v>131</v>
      </c>
      <c r="J10" s="86" t="s">
        <v>131</v>
      </c>
      <c r="K10" s="87"/>
      <c r="L10" s="87"/>
      <c r="M10" s="87"/>
      <c r="N10" s="87"/>
      <c r="O10" s="87"/>
      <c r="P10" s="87"/>
      <c r="Q10" s="87"/>
      <c r="R10" s="87"/>
      <c r="S10" s="87"/>
      <c r="T10" s="87"/>
      <c r="U10" s="87"/>
      <c r="V10" s="87"/>
      <c r="W10" s="87"/>
      <c r="X10" s="87"/>
      <c r="Y10" s="87"/>
      <c r="Z10" s="87"/>
      <c r="AA10" s="87"/>
    </row>
    <row r="11">
      <c r="A11" s="90" t="s">
        <v>178</v>
      </c>
      <c r="B11" s="90" t="s">
        <v>49</v>
      </c>
      <c r="C11" s="92" t="s">
        <v>49</v>
      </c>
      <c r="D11" s="90" t="s">
        <v>178</v>
      </c>
      <c r="E11" s="86" t="s">
        <v>175</v>
      </c>
      <c r="F11" s="87"/>
      <c r="G11" s="86" t="s">
        <v>180</v>
      </c>
      <c r="H11" s="86" t="s">
        <v>181</v>
      </c>
      <c r="I11" s="86" t="s">
        <v>137</v>
      </c>
      <c r="J11" s="86" t="s">
        <v>138</v>
      </c>
      <c r="K11" s="87"/>
      <c r="L11" s="87"/>
      <c r="M11" s="87"/>
      <c r="N11" s="87"/>
      <c r="O11" s="87"/>
      <c r="P11" s="87"/>
      <c r="Q11" s="87"/>
      <c r="R11" s="87"/>
      <c r="S11" s="87"/>
      <c r="T11" s="87"/>
      <c r="U11" s="87"/>
      <c r="V11" s="87"/>
      <c r="W11" s="87"/>
      <c r="X11" s="87"/>
      <c r="Y11" s="87"/>
      <c r="Z11" s="87"/>
      <c r="AA11" s="87"/>
    </row>
    <row r="12">
      <c r="A12" s="90" t="s">
        <v>185</v>
      </c>
      <c r="B12" s="90" t="s">
        <v>186</v>
      </c>
      <c r="C12" s="92" t="s">
        <v>45</v>
      </c>
      <c r="D12" s="90" t="s">
        <v>185</v>
      </c>
      <c r="E12" s="86" t="s">
        <v>175</v>
      </c>
      <c r="F12" s="87"/>
      <c r="G12" s="86" t="s">
        <v>188</v>
      </c>
      <c r="H12" s="86" t="s">
        <v>172</v>
      </c>
      <c r="I12" s="86" t="s">
        <v>137</v>
      </c>
      <c r="J12" s="86" t="s">
        <v>138</v>
      </c>
      <c r="K12" s="87"/>
      <c r="L12" s="87"/>
      <c r="M12" s="87"/>
      <c r="N12" s="87"/>
      <c r="O12" s="87"/>
      <c r="P12" s="87"/>
      <c r="Q12" s="87"/>
      <c r="R12" s="87"/>
      <c r="S12" s="87"/>
      <c r="T12" s="87"/>
      <c r="U12" s="87"/>
      <c r="V12" s="87"/>
      <c r="W12" s="87"/>
      <c r="X12" s="87"/>
      <c r="Y12" s="87"/>
      <c r="Z12" s="87"/>
      <c r="AA12" s="87"/>
    </row>
    <row r="13">
      <c r="A13" s="90" t="s">
        <v>190</v>
      </c>
      <c r="B13" s="90" t="s">
        <v>191</v>
      </c>
      <c r="C13" s="87"/>
      <c r="D13" s="90" t="s">
        <v>190</v>
      </c>
      <c r="E13" s="86" t="s">
        <v>175</v>
      </c>
      <c r="F13" s="87"/>
      <c r="G13" s="86" t="s">
        <v>148</v>
      </c>
      <c r="H13" s="86" t="s">
        <v>149</v>
      </c>
      <c r="I13" s="86" t="s">
        <v>137</v>
      </c>
      <c r="J13" s="86" t="s">
        <v>138</v>
      </c>
      <c r="K13" s="87"/>
      <c r="L13" s="87"/>
      <c r="M13" s="87"/>
      <c r="N13" s="87"/>
      <c r="O13" s="87"/>
      <c r="P13" s="87"/>
      <c r="Q13" s="87"/>
      <c r="R13" s="87"/>
      <c r="S13" s="87"/>
      <c r="T13" s="87"/>
      <c r="U13" s="87"/>
      <c r="V13" s="87"/>
      <c r="W13" s="87"/>
      <c r="X13" s="87"/>
      <c r="Y13" s="87"/>
      <c r="Z13" s="87"/>
      <c r="AA13" s="87"/>
    </row>
    <row r="14">
      <c r="A14" s="90" t="s">
        <v>194</v>
      </c>
      <c r="B14" s="90" t="s">
        <v>195</v>
      </c>
      <c r="C14" s="87"/>
      <c r="D14" s="90" t="s">
        <v>194</v>
      </c>
      <c r="E14" s="86" t="s">
        <v>175</v>
      </c>
      <c r="F14" s="87"/>
      <c r="G14" s="86" t="s">
        <v>198</v>
      </c>
      <c r="H14" s="86" t="s">
        <v>199</v>
      </c>
      <c r="I14" s="86" t="s">
        <v>137</v>
      </c>
      <c r="J14" s="86" t="s">
        <v>138</v>
      </c>
      <c r="K14" s="87"/>
      <c r="L14" s="87"/>
      <c r="M14" s="87"/>
      <c r="N14" s="87"/>
      <c r="O14" s="87"/>
      <c r="P14" s="87"/>
      <c r="Q14" s="87"/>
      <c r="R14" s="87"/>
      <c r="S14" s="87"/>
      <c r="T14" s="87"/>
      <c r="U14" s="87"/>
      <c r="V14" s="87"/>
      <c r="W14" s="87"/>
      <c r="X14" s="87"/>
      <c r="Y14" s="87"/>
      <c r="Z14" s="87"/>
      <c r="AA14" s="87"/>
    </row>
    <row r="15">
      <c r="A15" s="90" t="s">
        <v>202</v>
      </c>
      <c r="B15" s="90" t="s">
        <v>204</v>
      </c>
      <c r="C15" s="87"/>
      <c r="D15" s="90" t="s">
        <v>202</v>
      </c>
      <c r="E15" s="86" t="s">
        <v>175</v>
      </c>
      <c r="F15" s="87"/>
      <c r="G15" s="86" t="s">
        <v>205</v>
      </c>
      <c r="H15" s="86" t="s">
        <v>206</v>
      </c>
      <c r="I15" s="86" t="s">
        <v>131</v>
      </c>
      <c r="J15" s="86" t="s">
        <v>131</v>
      </c>
      <c r="K15" s="87"/>
      <c r="L15" s="87"/>
      <c r="M15" s="87"/>
      <c r="N15" s="87"/>
      <c r="O15" s="87"/>
      <c r="P15" s="87"/>
      <c r="Q15" s="87"/>
      <c r="R15" s="87"/>
      <c r="S15" s="87"/>
      <c r="T15" s="87"/>
      <c r="U15" s="87"/>
      <c r="V15" s="87"/>
      <c r="W15" s="87"/>
      <c r="X15" s="87"/>
      <c r="Y15" s="87"/>
      <c r="Z15" s="87"/>
      <c r="AA15" s="87"/>
    </row>
    <row r="16">
      <c r="A16" s="90" t="s">
        <v>210</v>
      </c>
      <c r="B16" s="90" t="s">
        <v>211</v>
      </c>
      <c r="C16" s="87"/>
      <c r="D16" s="90" t="s">
        <v>210</v>
      </c>
      <c r="E16" s="86" t="s">
        <v>175</v>
      </c>
      <c r="F16" s="87"/>
      <c r="G16" s="87"/>
      <c r="H16" s="87"/>
      <c r="I16" s="87"/>
      <c r="J16" s="87"/>
      <c r="K16" s="87"/>
      <c r="L16" s="87"/>
      <c r="M16" s="87"/>
      <c r="N16" s="87"/>
      <c r="O16" s="87"/>
      <c r="P16" s="87"/>
      <c r="Q16" s="87"/>
      <c r="R16" s="87"/>
      <c r="S16" s="87"/>
      <c r="T16" s="87"/>
      <c r="U16" s="87"/>
      <c r="V16" s="87"/>
      <c r="W16" s="87"/>
      <c r="X16" s="87"/>
      <c r="Y16" s="87"/>
      <c r="Z16" s="87"/>
      <c r="AA16" s="87"/>
    </row>
    <row r="17">
      <c r="A17" s="90" t="s">
        <v>215</v>
      </c>
      <c r="B17" s="90" t="s">
        <v>216</v>
      </c>
      <c r="C17" s="87"/>
      <c r="D17" s="90" t="s">
        <v>215</v>
      </c>
      <c r="E17" s="86" t="s">
        <v>175</v>
      </c>
      <c r="F17" s="87"/>
      <c r="G17" s="87"/>
      <c r="H17" s="87"/>
      <c r="I17" s="87"/>
      <c r="J17" s="87"/>
      <c r="K17" s="87"/>
      <c r="L17" s="87"/>
      <c r="M17" s="87"/>
      <c r="N17" s="87"/>
      <c r="O17" s="87"/>
      <c r="P17" s="87"/>
      <c r="Q17" s="87"/>
      <c r="R17" s="87"/>
      <c r="S17" s="87"/>
      <c r="T17" s="87"/>
      <c r="U17" s="87"/>
      <c r="V17" s="87"/>
      <c r="W17" s="87"/>
      <c r="X17" s="87"/>
      <c r="Y17" s="87"/>
      <c r="Z17" s="87"/>
      <c r="AA17" s="87"/>
    </row>
    <row r="18">
      <c r="A18" s="90" t="s">
        <v>219</v>
      </c>
      <c r="B18" s="90" t="s">
        <v>220</v>
      </c>
      <c r="C18" s="87"/>
      <c r="D18" s="90" t="s">
        <v>219</v>
      </c>
      <c r="E18" s="86" t="s">
        <v>175</v>
      </c>
      <c r="F18" s="87"/>
      <c r="G18" s="87"/>
      <c r="H18" s="87"/>
      <c r="I18" s="87"/>
      <c r="J18" s="87"/>
      <c r="K18" s="87"/>
      <c r="L18" s="87"/>
      <c r="M18" s="87"/>
      <c r="N18" s="87"/>
      <c r="O18" s="87"/>
      <c r="P18" s="87"/>
      <c r="Q18" s="87"/>
      <c r="R18" s="87"/>
      <c r="S18" s="87"/>
      <c r="T18" s="87"/>
      <c r="U18" s="87"/>
      <c r="V18" s="87"/>
      <c r="W18" s="87"/>
      <c r="X18" s="87"/>
      <c r="Y18" s="87"/>
      <c r="Z18" s="87"/>
      <c r="AA18" s="87"/>
    </row>
    <row r="19">
      <c r="A19" s="90" t="s">
        <v>224</v>
      </c>
      <c r="B19" s="90" t="s">
        <v>225</v>
      </c>
      <c r="C19" s="87"/>
      <c r="D19" s="90" t="s">
        <v>224</v>
      </c>
      <c r="E19" s="86" t="s">
        <v>175</v>
      </c>
      <c r="F19" s="87"/>
      <c r="G19" s="87"/>
      <c r="H19" s="87"/>
      <c r="I19" s="87"/>
      <c r="J19" s="87"/>
      <c r="K19" s="87"/>
      <c r="L19" s="87"/>
      <c r="M19" s="87"/>
      <c r="N19" s="87"/>
      <c r="O19" s="87"/>
      <c r="P19" s="87"/>
      <c r="Q19" s="87"/>
      <c r="R19" s="87"/>
      <c r="S19" s="87"/>
      <c r="T19" s="87"/>
      <c r="U19" s="87"/>
      <c r="V19" s="87"/>
      <c r="W19" s="87"/>
      <c r="X19" s="87"/>
      <c r="Y19" s="87"/>
      <c r="Z19" s="87"/>
      <c r="AA19" s="87"/>
    </row>
    <row r="20">
      <c r="A20" s="90" t="s">
        <v>230</v>
      </c>
      <c r="B20" s="90" t="s">
        <v>231</v>
      </c>
      <c r="C20" s="87"/>
      <c r="D20" s="90" t="s">
        <v>230</v>
      </c>
      <c r="E20" s="86" t="s">
        <v>175</v>
      </c>
      <c r="F20" s="87"/>
      <c r="G20" s="87"/>
      <c r="H20" s="87"/>
      <c r="I20" s="87"/>
      <c r="J20" s="87"/>
      <c r="K20" s="87"/>
      <c r="L20" s="87"/>
      <c r="M20" s="87"/>
      <c r="N20" s="87"/>
      <c r="O20" s="87"/>
      <c r="P20" s="87"/>
      <c r="Q20" s="87"/>
      <c r="R20" s="87"/>
      <c r="S20" s="87"/>
      <c r="T20" s="87"/>
      <c r="U20" s="87"/>
      <c r="V20" s="87"/>
      <c r="W20" s="87"/>
      <c r="X20" s="87"/>
      <c r="Y20" s="87"/>
      <c r="Z20" s="87"/>
      <c r="AA20" s="87"/>
    </row>
    <row r="21">
      <c r="A21" s="90" t="s">
        <v>236</v>
      </c>
      <c r="B21" s="90" t="s">
        <v>238</v>
      </c>
      <c r="C21" s="87"/>
      <c r="D21" s="90" t="s">
        <v>236</v>
      </c>
      <c r="E21" s="86" t="s">
        <v>175</v>
      </c>
      <c r="F21" s="87"/>
      <c r="G21" s="87"/>
      <c r="H21" s="87"/>
      <c r="I21" s="87"/>
      <c r="J21" s="87"/>
      <c r="K21" s="87"/>
      <c r="L21" s="87"/>
      <c r="M21" s="87"/>
      <c r="N21" s="87"/>
      <c r="O21" s="87"/>
      <c r="P21" s="87"/>
      <c r="Q21" s="87"/>
      <c r="R21" s="87"/>
      <c r="S21" s="87"/>
      <c r="T21" s="87"/>
      <c r="U21" s="87"/>
      <c r="V21" s="87"/>
      <c r="W21" s="87"/>
      <c r="X21" s="87"/>
      <c r="Y21" s="87"/>
      <c r="Z21" s="87"/>
      <c r="AA21" s="87"/>
    </row>
    <row r="22">
      <c r="A22" s="90" t="s">
        <v>242</v>
      </c>
      <c r="B22" s="90" t="s">
        <v>243</v>
      </c>
      <c r="C22" s="87"/>
      <c r="D22" s="90" t="s">
        <v>242</v>
      </c>
      <c r="E22" s="86" t="s">
        <v>175</v>
      </c>
      <c r="F22" s="87"/>
      <c r="G22" s="87"/>
      <c r="H22" s="87"/>
      <c r="I22" s="87"/>
      <c r="J22" s="87"/>
      <c r="K22" s="87"/>
      <c r="L22" s="87"/>
      <c r="M22" s="87"/>
      <c r="N22" s="87"/>
      <c r="O22" s="87"/>
      <c r="P22" s="87"/>
      <c r="Q22" s="87"/>
      <c r="R22" s="87"/>
      <c r="S22" s="87"/>
      <c r="T22" s="87"/>
      <c r="U22" s="87"/>
      <c r="V22" s="87"/>
      <c r="W22" s="87"/>
      <c r="X22" s="87"/>
      <c r="Y22" s="87"/>
      <c r="Z22" s="87"/>
      <c r="AA22" s="87"/>
    </row>
    <row r="23">
      <c r="A23" s="90" t="s">
        <v>246</v>
      </c>
      <c r="B23" s="90" t="s">
        <v>248</v>
      </c>
      <c r="C23" s="87"/>
      <c r="D23" s="90" t="s">
        <v>246</v>
      </c>
      <c r="E23" s="86" t="s">
        <v>175</v>
      </c>
      <c r="F23" s="87"/>
      <c r="G23" s="87"/>
      <c r="H23" s="87"/>
      <c r="I23" s="87"/>
      <c r="J23" s="87"/>
      <c r="K23" s="87"/>
      <c r="L23" s="87"/>
      <c r="M23" s="87"/>
      <c r="N23" s="87"/>
      <c r="O23" s="87"/>
      <c r="P23" s="87"/>
      <c r="Q23" s="87"/>
      <c r="R23" s="87"/>
      <c r="S23" s="87"/>
      <c r="T23" s="87"/>
      <c r="U23" s="87"/>
      <c r="V23" s="87"/>
      <c r="W23" s="87"/>
      <c r="X23" s="87"/>
      <c r="Y23" s="87"/>
      <c r="Z23" s="87"/>
      <c r="AA23" s="87"/>
    </row>
    <row r="24">
      <c r="A24" s="90" t="s">
        <v>249</v>
      </c>
      <c r="B24" s="90" t="s">
        <v>250</v>
      </c>
      <c r="C24" s="87"/>
      <c r="D24" s="90" t="s">
        <v>249</v>
      </c>
      <c r="E24" s="86" t="s">
        <v>175</v>
      </c>
      <c r="F24" s="87"/>
      <c r="G24" s="87"/>
      <c r="H24" s="87"/>
      <c r="I24" s="87"/>
      <c r="J24" s="87"/>
      <c r="K24" s="87"/>
      <c r="L24" s="87"/>
      <c r="M24" s="87"/>
      <c r="N24" s="87"/>
      <c r="O24" s="87"/>
      <c r="P24" s="87"/>
      <c r="Q24" s="87"/>
      <c r="R24" s="87"/>
      <c r="S24" s="87"/>
      <c r="T24" s="87"/>
      <c r="U24" s="87"/>
      <c r="V24" s="87"/>
      <c r="W24" s="87"/>
      <c r="X24" s="87"/>
      <c r="Y24" s="87"/>
      <c r="Z24" s="87"/>
      <c r="AA24" s="87"/>
    </row>
    <row r="25">
      <c r="A25" s="90" t="s">
        <v>252</v>
      </c>
      <c r="B25" s="90" t="s">
        <v>254</v>
      </c>
      <c r="C25" s="87"/>
      <c r="D25" s="90" t="s">
        <v>252</v>
      </c>
      <c r="E25" s="86" t="s">
        <v>175</v>
      </c>
      <c r="F25" s="87"/>
      <c r="G25" s="87"/>
      <c r="H25" s="87"/>
      <c r="I25" s="87"/>
      <c r="J25" s="87"/>
      <c r="K25" s="87"/>
      <c r="L25" s="87"/>
      <c r="M25" s="87"/>
      <c r="N25" s="87"/>
      <c r="O25" s="87"/>
      <c r="P25" s="87"/>
      <c r="Q25" s="87"/>
      <c r="R25" s="87"/>
      <c r="S25" s="87"/>
      <c r="T25" s="87"/>
      <c r="U25" s="87"/>
      <c r="V25" s="87"/>
      <c r="W25" s="87"/>
      <c r="X25" s="87"/>
      <c r="Y25" s="87"/>
      <c r="Z25" s="87"/>
      <c r="AA25" s="87"/>
    </row>
    <row r="26">
      <c r="A26" s="90" t="s">
        <v>257</v>
      </c>
      <c r="B26" s="90" t="s">
        <v>259</v>
      </c>
      <c r="C26" s="87"/>
      <c r="D26" s="90" t="s">
        <v>257</v>
      </c>
      <c r="E26" s="86" t="s">
        <v>175</v>
      </c>
      <c r="F26" s="87"/>
      <c r="G26" s="87"/>
      <c r="H26" s="87"/>
      <c r="I26" s="87"/>
      <c r="J26" s="87"/>
      <c r="K26" s="87"/>
      <c r="L26" s="87"/>
      <c r="M26" s="87"/>
      <c r="N26" s="87"/>
      <c r="O26" s="87"/>
      <c r="P26" s="87"/>
      <c r="Q26" s="87"/>
      <c r="R26" s="87"/>
      <c r="S26" s="87"/>
      <c r="T26" s="87"/>
      <c r="U26" s="87"/>
      <c r="V26" s="87"/>
      <c r="W26" s="87"/>
      <c r="X26" s="87"/>
      <c r="Y26" s="87"/>
      <c r="Z26" s="87"/>
      <c r="AA26" s="87"/>
    </row>
    <row r="27">
      <c r="A27" s="90" t="s">
        <v>262</v>
      </c>
      <c r="B27" s="90" t="s">
        <v>263</v>
      </c>
      <c r="C27" s="87"/>
      <c r="D27" s="90" t="s">
        <v>262</v>
      </c>
      <c r="E27" s="86" t="s">
        <v>175</v>
      </c>
      <c r="F27" s="87"/>
      <c r="G27" s="87"/>
      <c r="H27" s="87"/>
      <c r="I27" s="87"/>
      <c r="J27" s="87"/>
      <c r="K27" s="87"/>
      <c r="L27" s="87"/>
      <c r="M27" s="87"/>
      <c r="N27" s="87"/>
      <c r="O27" s="87"/>
      <c r="P27" s="87"/>
      <c r="Q27" s="87"/>
      <c r="R27" s="87"/>
      <c r="S27" s="87"/>
      <c r="T27" s="87"/>
      <c r="U27" s="87"/>
      <c r="V27" s="87"/>
      <c r="W27" s="87"/>
      <c r="X27" s="87"/>
      <c r="Y27" s="87"/>
      <c r="Z27" s="87"/>
      <c r="AA27" s="87"/>
    </row>
    <row r="28">
      <c r="A28" s="90" t="s">
        <v>269</v>
      </c>
      <c r="B28" s="90" t="s">
        <v>270</v>
      </c>
      <c r="C28" s="87"/>
      <c r="D28" s="90" t="s">
        <v>269</v>
      </c>
      <c r="E28" s="86" t="s">
        <v>175</v>
      </c>
      <c r="F28" s="87"/>
      <c r="G28" s="87"/>
      <c r="H28" s="87"/>
      <c r="I28" s="87"/>
      <c r="J28" s="87"/>
      <c r="K28" s="87"/>
      <c r="L28" s="87"/>
      <c r="M28" s="87"/>
      <c r="N28" s="87"/>
      <c r="O28" s="87"/>
      <c r="P28" s="87"/>
      <c r="Q28" s="87"/>
      <c r="R28" s="87"/>
      <c r="S28" s="87"/>
      <c r="T28" s="87"/>
      <c r="U28" s="87"/>
      <c r="V28" s="87"/>
      <c r="W28" s="87"/>
      <c r="X28" s="87"/>
      <c r="Y28" s="87"/>
      <c r="Z28" s="87"/>
      <c r="AA28" s="87"/>
    </row>
    <row r="29">
      <c r="A29" s="90" t="s">
        <v>273</v>
      </c>
      <c r="B29" s="90" t="s">
        <v>274</v>
      </c>
      <c r="C29" s="87"/>
      <c r="D29" s="90" t="s">
        <v>273</v>
      </c>
      <c r="E29" s="86" t="s">
        <v>175</v>
      </c>
      <c r="F29" s="87"/>
      <c r="G29" s="87"/>
      <c r="H29" s="87"/>
      <c r="I29" s="87"/>
      <c r="J29" s="87"/>
      <c r="K29" s="87"/>
      <c r="L29" s="87"/>
      <c r="M29" s="87"/>
      <c r="N29" s="87"/>
      <c r="O29" s="87"/>
      <c r="P29" s="87"/>
      <c r="Q29" s="87"/>
      <c r="R29" s="87"/>
      <c r="S29" s="87"/>
      <c r="T29" s="87"/>
      <c r="U29" s="87"/>
      <c r="V29" s="87"/>
      <c r="W29" s="87"/>
      <c r="X29" s="87"/>
      <c r="Y29" s="87"/>
      <c r="Z29" s="87"/>
      <c r="AA29" s="87"/>
    </row>
    <row r="30">
      <c r="A30" s="90" t="s">
        <v>277</v>
      </c>
      <c r="B30" s="90" t="s">
        <v>279</v>
      </c>
      <c r="C30" s="87"/>
      <c r="D30" s="90" t="s">
        <v>277</v>
      </c>
      <c r="E30" s="86" t="s">
        <v>175</v>
      </c>
      <c r="F30" s="87"/>
      <c r="G30" s="87"/>
      <c r="H30" s="87"/>
      <c r="I30" s="87"/>
      <c r="J30" s="87"/>
      <c r="K30" s="87"/>
      <c r="L30" s="87"/>
      <c r="M30" s="87"/>
      <c r="N30" s="87"/>
      <c r="O30" s="87"/>
      <c r="P30" s="87"/>
      <c r="Q30" s="87"/>
      <c r="R30" s="87"/>
      <c r="S30" s="87"/>
      <c r="T30" s="87"/>
      <c r="U30" s="87"/>
      <c r="V30" s="87"/>
      <c r="W30" s="87"/>
      <c r="X30" s="87"/>
      <c r="Y30" s="87"/>
      <c r="Z30" s="87"/>
      <c r="AA30" s="87"/>
    </row>
    <row r="31">
      <c r="A31" s="90" t="s">
        <v>282</v>
      </c>
      <c r="B31" s="90" t="s">
        <v>283</v>
      </c>
      <c r="C31" s="87"/>
      <c r="D31" s="90" t="s">
        <v>282</v>
      </c>
      <c r="E31" s="86" t="s">
        <v>175</v>
      </c>
      <c r="F31" s="87"/>
      <c r="G31" s="87"/>
      <c r="H31" s="87"/>
      <c r="I31" s="87"/>
      <c r="J31" s="87"/>
      <c r="K31" s="87"/>
      <c r="L31" s="87"/>
      <c r="M31" s="87"/>
      <c r="N31" s="87"/>
      <c r="O31" s="87"/>
      <c r="P31" s="87"/>
      <c r="Q31" s="87"/>
      <c r="R31" s="87"/>
      <c r="S31" s="87"/>
      <c r="T31" s="87"/>
      <c r="U31" s="87"/>
      <c r="V31" s="87"/>
      <c r="W31" s="87"/>
      <c r="X31" s="87"/>
      <c r="Y31" s="87"/>
      <c r="Z31" s="87"/>
      <c r="AA31" s="87"/>
    </row>
    <row r="32">
      <c r="A32" s="90" t="s">
        <v>285</v>
      </c>
      <c r="B32" s="90" t="s">
        <v>287</v>
      </c>
      <c r="C32" s="87"/>
      <c r="D32" s="90" t="s">
        <v>285</v>
      </c>
      <c r="E32" s="86" t="s">
        <v>175</v>
      </c>
      <c r="F32" s="87"/>
      <c r="G32" s="87"/>
      <c r="H32" s="87"/>
      <c r="I32" s="87"/>
      <c r="J32" s="87"/>
      <c r="K32" s="87"/>
      <c r="L32" s="87"/>
      <c r="M32" s="87"/>
      <c r="N32" s="87"/>
      <c r="O32" s="87"/>
      <c r="P32" s="87"/>
      <c r="Q32" s="87"/>
      <c r="R32" s="87"/>
      <c r="S32" s="87"/>
      <c r="T32" s="87"/>
      <c r="U32" s="87"/>
      <c r="V32" s="87"/>
      <c r="W32" s="87"/>
      <c r="X32" s="87"/>
      <c r="Y32" s="87"/>
      <c r="Z32" s="87"/>
      <c r="AA32" s="87"/>
    </row>
    <row r="33">
      <c r="A33" s="90" t="s">
        <v>294</v>
      </c>
      <c r="B33" s="90" t="s">
        <v>296</v>
      </c>
      <c r="C33" s="87"/>
      <c r="D33" s="90" t="s">
        <v>294</v>
      </c>
      <c r="E33" s="86" t="s">
        <v>175</v>
      </c>
      <c r="F33" s="87"/>
      <c r="G33" s="87"/>
      <c r="H33" s="87"/>
      <c r="I33" s="87"/>
      <c r="J33" s="87"/>
      <c r="K33" s="87"/>
      <c r="L33" s="87"/>
      <c r="M33" s="87"/>
      <c r="N33" s="87"/>
      <c r="O33" s="87"/>
      <c r="P33" s="87"/>
      <c r="Q33" s="87"/>
      <c r="R33" s="87"/>
      <c r="S33" s="87"/>
      <c r="T33" s="87"/>
      <c r="U33" s="87"/>
      <c r="V33" s="87"/>
      <c r="W33" s="87"/>
      <c r="X33" s="87"/>
      <c r="Y33" s="87"/>
      <c r="Z33" s="87"/>
      <c r="AA33" s="87"/>
    </row>
    <row r="34">
      <c r="A34" s="90" t="s">
        <v>299</v>
      </c>
      <c r="B34" s="90" t="s">
        <v>300</v>
      </c>
      <c r="C34" s="87"/>
      <c r="D34" s="90" t="s">
        <v>299</v>
      </c>
      <c r="E34" s="86" t="s">
        <v>175</v>
      </c>
      <c r="F34" s="87"/>
      <c r="G34" s="87"/>
      <c r="H34" s="87"/>
      <c r="I34" s="87"/>
      <c r="J34" s="87"/>
      <c r="K34" s="87"/>
      <c r="L34" s="87"/>
      <c r="M34" s="87"/>
      <c r="N34" s="87"/>
      <c r="O34" s="87"/>
      <c r="P34" s="87"/>
      <c r="Q34" s="87"/>
      <c r="R34" s="87"/>
      <c r="S34" s="87"/>
      <c r="T34" s="87"/>
      <c r="U34" s="87"/>
      <c r="V34" s="87"/>
      <c r="W34" s="87"/>
      <c r="X34" s="87"/>
      <c r="Y34" s="87"/>
      <c r="Z34" s="87"/>
      <c r="AA34" s="87"/>
    </row>
    <row r="35">
      <c r="A35" s="90" t="s">
        <v>302</v>
      </c>
      <c r="B35" s="90" t="s">
        <v>303</v>
      </c>
      <c r="C35" s="87"/>
      <c r="D35" s="90" t="s">
        <v>302</v>
      </c>
      <c r="E35" s="86" t="s">
        <v>175</v>
      </c>
      <c r="F35" s="87"/>
      <c r="G35" s="87"/>
      <c r="H35" s="87"/>
      <c r="I35" s="87"/>
      <c r="J35" s="87"/>
      <c r="K35" s="87"/>
      <c r="L35" s="87"/>
      <c r="M35" s="87"/>
      <c r="N35" s="87"/>
      <c r="O35" s="87"/>
      <c r="P35" s="87"/>
      <c r="Q35" s="87"/>
      <c r="R35" s="87"/>
      <c r="S35" s="87"/>
      <c r="T35" s="87"/>
      <c r="U35" s="87"/>
      <c r="V35" s="87"/>
      <c r="W35" s="87"/>
      <c r="X35" s="87"/>
      <c r="Y35" s="87"/>
      <c r="Z35" s="87"/>
      <c r="AA35" s="87"/>
    </row>
    <row r="36">
      <c r="A36" s="90" t="s">
        <v>305</v>
      </c>
      <c r="B36" s="90" t="s">
        <v>306</v>
      </c>
      <c r="C36" s="87"/>
      <c r="D36" s="90" t="s">
        <v>305</v>
      </c>
      <c r="E36" s="86" t="s">
        <v>175</v>
      </c>
      <c r="F36" s="87"/>
      <c r="G36" s="87"/>
      <c r="H36" s="87"/>
      <c r="I36" s="87"/>
      <c r="J36" s="87"/>
      <c r="K36" s="87"/>
      <c r="L36" s="87"/>
      <c r="M36" s="87"/>
      <c r="N36" s="87"/>
      <c r="O36" s="87"/>
      <c r="P36" s="87"/>
      <c r="Q36" s="87"/>
      <c r="R36" s="87"/>
      <c r="S36" s="87"/>
      <c r="T36" s="87"/>
      <c r="U36" s="87"/>
      <c r="V36" s="87"/>
      <c r="W36" s="87"/>
      <c r="X36" s="87"/>
      <c r="Y36" s="87"/>
      <c r="Z36" s="87"/>
      <c r="AA36" s="87"/>
    </row>
    <row r="37">
      <c r="A37" s="90" t="s">
        <v>308</v>
      </c>
      <c r="B37" s="90" t="s">
        <v>309</v>
      </c>
      <c r="C37" s="87"/>
      <c r="D37" s="90" t="s">
        <v>308</v>
      </c>
      <c r="E37" s="86" t="s">
        <v>175</v>
      </c>
      <c r="F37" s="87"/>
      <c r="G37" s="87"/>
      <c r="H37" s="87"/>
      <c r="I37" s="87"/>
      <c r="J37" s="87"/>
      <c r="K37" s="87"/>
      <c r="L37" s="87"/>
      <c r="M37" s="87"/>
      <c r="N37" s="87"/>
      <c r="O37" s="87"/>
      <c r="P37" s="87"/>
      <c r="Q37" s="87"/>
      <c r="R37" s="87"/>
      <c r="S37" s="87"/>
      <c r="T37" s="87"/>
      <c r="U37" s="87"/>
      <c r="V37" s="87"/>
      <c r="W37" s="87"/>
      <c r="X37" s="87"/>
      <c r="Y37" s="87"/>
      <c r="Z37" s="87"/>
      <c r="AA37" s="87"/>
    </row>
    <row r="38">
      <c r="A38" s="90" t="s">
        <v>310</v>
      </c>
      <c r="B38" s="90" t="s">
        <v>311</v>
      </c>
      <c r="C38" s="87"/>
      <c r="D38" s="90" t="s">
        <v>310</v>
      </c>
      <c r="E38" s="86" t="s">
        <v>175</v>
      </c>
      <c r="F38" s="87"/>
      <c r="G38" s="87"/>
      <c r="H38" s="87"/>
      <c r="I38" s="87"/>
      <c r="J38" s="87"/>
      <c r="K38" s="87"/>
      <c r="L38" s="87"/>
      <c r="M38" s="87"/>
      <c r="N38" s="87"/>
      <c r="O38" s="87"/>
      <c r="P38" s="87"/>
      <c r="Q38" s="87"/>
      <c r="R38" s="87"/>
      <c r="S38" s="87"/>
      <c r="T38" s="87"/>
      <c r="U38" s="87"/>
      <c r="V38" s="87"/>
      <c r="W38" s="87"/>
      <c r="X38" s="87"/>
      <c r="Y38" s="87"/>
      <c r="Z38" s="87"/>
      <c r="AA38" s="87"/>
    </row>
    <row r="39">
      <c r="A39" s="90" t="s">
        <v>312</v>
      </c>
      <c r="B39" s="90" t="s">
        <v>313</v>
      </c>
      <c r="C39" s="87"/>
      <c r="D39" s="90" t="s">
        <v>312</v>
      </c>
      <c r="E39" s="86" t="s">
        <v>175</v>
      </c>
      <c r="F39" s="87"/>
      <c r="G39" s="87"/>
      <c r="H39" s="87"/>
      <c r="I39" s="87"/>
      <c r="J39" s="87"/>
      <c r="K39" s="87"/>
      <c r="L39" s="87"/>
      <c r="M39" s="87"/>
      <c r="N39" s="87"/>
      <c r="O39" s="87"/>
      <c r="P39" s="87"/>
      <c r="Q39" s="87"/>
      <c r="R39" s="87"/>
      <c r="S39" s="87"/>
      <c r="T39" s="87"/>
      <c r="U39" s="87"/>
      <c r="V39" s="87"/>
      <c r="W39" s="87"/>
      <c r="X39" s="87"/>
      <c r="Y39" s="87"/>
      <c r="Z39" s="87"/>
      <c r="AA39" s="87"/>
    </row>
    <row r="40">
      <c r="A40" s="90" t="s">
        <v>315</v>
      </c>
      <c r="B40" s="90" t="s">
        <v>316</v>
      </c>
      <c r="C40" s="87"/>
      <c r="D40" s="90" t="s">
        <v>315</v>
      </c>
      <c r="E40" s="86" t="s">
        <v>175</v>
      </c>
      <c r="F40" s="87"/>
      <c r="G40" s="87"/>
      <c r="H40" s="87"/>
      <c r="I40" s="87"/>
      <c r="J40" s="87"/>
      <c r="K40" s="87"/>
      <c r="L40" s="87"/>
      <c r="M40" s="87"/>
      <c r="N40" s="87"/>
      <c r="O40" s="87"/>
      <c r="P40" s="87"/>
      <c r="Q40" s="87"/>
      <c r="R40" s="87"/>
      <c r="S40" s="87"/>
      <c r="T40" s="87"/>
      <c r="U40" s="87"/>
      <c r="V40" s="87"/>
      <c r="W40" s="87"/>
      <c r="X40" s="87"/>
      <c r="Y40" s="87"/>
      <c r="Z40" s="87"/>
      <c r="AA40" s="87"/>
    </row>
    <row r="41">
      <c r="A41" s="90" t="s">
        <v>318</v>
      </c>
      <c r="B41" s="90" t="s">
        <v>319</v>
      </c>
      <c r="C41" s="87"/>
      <c r="D41" s="90" t="s">
        <v>318</v>
      </c>
      <c r="E41" s="86" t="s">
        <v>175</v>
      </c>
      <c r="F41" s="87"/>
      <c r="G41" s="87"/>
      <c r="H41" s="87"/>
      <c r="I41" s="87"/>
      <c r="J41" s="87"/>
      <c r="K41" s="87"/>
      <c r="L41" s="87"/>
      <c r="M41" s="87"/>
      <c r="N41" s="87"/>
      <c r="O41" s="87"/>
      <c r="P41" s="87"/>
      <c r="Q41" s="87"/>
      <c r="R41" s="87"/>
      <c r="S41" s="87"/>
      <c r="T41" s="87"/>
      <c r="U41" s="87"/>
      <c r="V41" s="87"/>
      <c r="W41" s="87"/>
      <c r="X41" s="87"/>
      <c r="Y41" s="87"/>
      <c r="Z41" s="87"/>
      <c r="AA41" s="87"/>
    </row>
    <row r="42">
      <c r="A42" s="90" t="s">
        <v>321</v>
      </c>
      <c r="B42" s="90" t="s">
        <v>322</v>
      </c>
      <c r="C42" s="87"/>
      <c r="D42" s="90" t="s">
        <v>321</v>
      </c>
      <c r="E42" s="86" t="s">
        <v>175</v>
      </c>
      <c r="F42" s="87"/>
      <c r="G42" s="87"/>
      <c r="H42" s="87"/>
      <c r="I42" s="87"/>
      <c r="J42" s="87"/>
      <c r="K42" s="87"/>
      <c r="L42" s="87"/>
      <c r="M42" s="87"/>
      <c r="N42" s="87"/>
      <c r="O42" s="87"/>
      <c r="P42" s="87"/>
      <c r="Q42" s="87"/>
      <c r="R42" s="87"/>
      <c r="S42" s="87"/>
      <c r="T42" s="87"/>
      <c r="U42" s="87"/>
      <c r="V42" s="87"/>
      <c r="W42" s="87"/>
      <c r="X42" s="87"/>
      <c r="Y42" s="87"/>
      <c r="Z42" s="87"/>
      <c r="AA42" s="87"/>
    </row>
    <row r="43">
      <c r="A43" s="90" t="s">
        <v>325</v>
      </c>
      <c r="B43" s="90" t="s">
        <v>326</v>
      </c>
      <c r="C43" s="87"/>
      <c r="D43" s="90" t="s">
        <v>325</v>
      </c>
      <c r="E43" s="86" t="s">
        <v>175</v>
      </c>
      <c r="F43" s="87"/>
      <c r="G43" s="87"/>
      <c r="H43" s="87"/>
      <c r="I43" s="87"/>
      <c r="J43" s="87"/>
      <c r="K43" s="87"/>
      <c r="L43" s="87"/>
      <c r="M43" s="87"/>
      <c r="N43" s="87"/>
      <c r="O43" s="87"/>
      <c r="P43" s="87"/>
      <c r="Q43" s="87"/>
      <c r="R43" s="87"/>
      <c r="S43" s="87"/>
      <c r="T43" s="87"/>
      <c r="U43" s="87"/>
      <c r="V43" s="87"/>
      <c r="W43" s="87"/>
      <c r="X43" s="87"/>
      <c r="Y43" s="87"/>
      <c r="Z43" s="87"/>
      <c r="AA43" s="87"/>
    </row>
    <row r="44">
      <c r="A44" s="90" t="s">
        <v>328</v>
      </c>
      <c r="B44" s="90" t="s">
        <v>329</v>
      </c>
      <c r="C44" s="87"/>
      <c r="D44" s="90" t="s">
        <v>328</v>
      </c>
      <c r="E44" s="86" t="s">
        <v>175</v>
      </c>
      <c r="F44" s="87"/>
      <c r="G44" s="87"/>
      <c r="H44" s="87"/>
      <c r="I44" s="87"/>
      <c r="J44" s="87"/>
      <c r="K44" s="87"/>
      <c r="L44" s="87"/>
      <c r="M44" s="87"/>
      <c r="N44" s="87"/>
      <c r="O44" s="87"/>
      <c r="P44" s="87"/>
      <c r="Q44" s="87"/>
      <c r="R44" s="87"/>
      <c r="S44" s="87"/>
      <c r="T44" s="87"/>
      <c r="U44" s="87"/>
      <c r="V44" s="87"/>
      <c r="W44" s="87"/>
      <c r="X44" s="87"/>
      <c r="Y44" s="87"/>
      <c r="Z44" s="87"/>
      <c r="AA44" s="87"/>
    </row>
    <row r="45">
      <c r="A45" s="90" t="s">
        <v>331</v>
      </c>
      <c r="B45" s="90" t="s">
        <v>332</v>
      </c>
      <c r="C45" s="87"/>
      <c r="D45" s="90" t="s">
        <v>331</v>
      </c>
      <c r="E45" s="86" t="s">
        <v>175</v>
      </c>
      <c r="F45" s="87"/>
      <c r="G45" s="87"/>
      <c r="H45" s="87"/>
      <c r="I45" s="87"/>
      <c r="J45" s="87"/>
      <c r="K45" s="87"/>
      <c r="L45" s="87"/>
      <c r="M45" s="87"/>
      <c r="N45" s="87"/>
      <c r="O45" s="87"/>
      <c r="P45" s="87"/>
      <c r="Q45" s="87"/>
      <c r="R45" s="87"/>
      <c r="S45" s="87"/>
      <c r="T45" s="87"/>
      <c r="U45" s="87"/>
      <c r="V45" s="87"/>
      <c r="W45" s="87"/>
      <c r="X45" s="87"/>
      <c r="Y45" s="87"/>
      <c r="Z45" s="87"/>
      <c r="AA45" s="87"/>
    </row>
    <row r="46">
      <c r="A46" s="90" t="s">
        <v>335</v>
      </c>
      <c r="B46" s="90" t="s">
        <v>336</v>
      </c>
      <c r="C46" s="87"/>
      <c r="D46" s="90" t="s">
        <v>335</v>
      </c>
      <c r="E46" s="86" t="s">
        <v>175</v>
      </c>
      <c r="F46" s="87"/>
      <c r="G46" s="87"/>
      <c r="H46" s="87"/>
      <c r="I46" s="87"/>
      <c r="J46" s="87"/>
      <c r="K46" s="87"/>
      <c r="L46" s="87"/>
      <c r="M46" s="87"/>
      <c r="N46" s="87"/>
      <c r="O46" s="87"/>
      <c r="P46" s="87"/>
      <c r="Q46" s="87"/>
      <c r="R46" s="87"/>
      <c r="S46" s="87"/>
      <c r="T46" s="87"/>
      <c r="U46" s="87"/>
      <c r="V46" s="87"/>
      <c r="W46" s="87"/>
      <c r="X46" s="87"/>
      <c r="Y46" s="87"/>
      <c r="Z46" s="87"/>
      <c r="AA46" s="87"/>
    </row>
    <row r="47">
      <c r="A47" s="90" t="s">
        <v>339</v>
      </c>
      <c r="B47" s="90" t="s">
        <v>340</v>
      </c>
      <c r="C47" s="87"/>
      <c r="D47" s="90" t="s">
        <v>339</v>
      </c>
      <c r="E47" s="86" t="s">
        <v>175</v>
      </c>
      <c r="F47" s="87"/>
      <c r="G47" s="87"/>
      <c r="H47" s="87"/>
      <c r="I47" s="87"/>
      <c r="J47" s="87"/>
      <c r="K47" s="87"/>
      <c r="L47" s="87"/>
      <c r="M47" s="87"/>
      <c r="N47" s="87"/>
      <c r="O47" s="87"/>
      <c r="P47" s="87"/>
      <c r="Q47" s="87"/>
      <c r="R47" s="87"/>
      <c r="S47" s="87"/>
      <c r="T47" s="87"/>
      <c r="U47" s="87"/>
      <c r="V47" s="87"/>
      <c r="W47" s="87"/>
      <c r="X47" s="87"/>
      <c r="Y47" s="87"/>
      <c r="Z47" s="87"/>
      <c r="AA47" s="87"/>
    </row>
    <row r="48">
      <c r="A48" s="90" t="s">
        <v>342</v>
      </c>
      <c r="B48" s="90" t="s">
        <v>343</v>
      </c>
      <c r="C48" s="87"/>
      <c r="D48" s="90" t="s">
        <v>342</v>
      </c>
      <c r="E48" s="86" t="s">
        <v>175</v>
      </c>
      <c r="F48" s="87"/>
      <c r="G48" s="87"/>
      <c r="H48" s="87"/>
      <c r="I48" s="87"/>
      <c r="J48" s="87"/>
      <c r="K48" s="87"/>
      <c r="L48" s="87"/>
      <c r="M48" s="87"/>
      <c r="N48" s="87"/>
      <c r="O48" s="87"/>
      <c r="P48" s="87"/>
      <c r="Q48" s="87"/>
      <c r="R48" s="87"/>
      <c r="S48" s="87"/>
      <c r="T48" s="87"/>
      <c r="U48" s="87"/>
      <c r="V48" s="87"/>
      <c r="W48" s="87"/>
      <c r="X48" s="87"/>
      <c r="Y48" s="87"/>
      <c r="Z48" s="87"/>
      <c r="AA48" s="87"/>
    </row>
    <row r="49">
      <c r="A49" s="90" t="s">
        <v>345</v>
      </c>
      <c r="B49" s="90" t="s">
        <v>346</v>
      </c>
      <c r="C49" s="87"/>
      <c r="D49" s="90" t="s">
        <v>345</v>
      </c>
      <c r="E49" s="86" t="s">
        <v>175</v>
      </c>
      <c r="F49" s="87"/>
      <c r="G49" s="87"/>
      <c r="H49" s="87"/>
      <c r="I49" s="87"/>
      <c r="J49" s="87"/>
      <c r="K49" s="87"/>
      <c r="L49" s="87"/>
      <c r="M49" s="87"/>
      <c r="N49" s="87"/>
      <c r="O49" s="87"/>
      <c r="P49" s="87"/>
      <c r="Q49" s="87"/>
      <c r="R49" s="87"/>
      <c r="S49" s="87"/>
      <c r="T49" s="87"/>
      <c r="U49" s="87"/>
      <c r="V49" s="87"/>
      <c r="W49" s="87"/>
      <c r="X49" s="87"/>
      <c r="Y49" s="87"/>
      <c r="Z49" s="87"/>
      <c r="AA49" s="87"/>
    </row>
    <row r="50">
      <c r="A50" s="90" t="s">
        <v>348</v>
      </c>
      <c r="B50" s="90" t="s">
        <v>349</v>
      </c>
      <c r="C50" s="87"/>
      <c r="D50" s="90" t="s">
        <v>348</v>
      </c>
      <c r="E50" s="86" t="s">
        <v>175</v>
      </c>
      <c r="F50" s="87"/>
      <c r="G50" s="87"/>
      <c r="H50" s="87"/>
      <c r="I50" s="87"/>
      <c r="J50" s="87"/>
      <c r="K50" s="87"/>
      <c r="L50" s="87"/>
      <c r="M50" s="87"/>
      <c r="N50" s="87"/>
      <c r="O50" s="87"/>
      <c r="P50" s="87"/>
      <c r="Q50" s="87"/>
      <c r="R50" s="87"/>
      <c r="S50" s="87"/>
      <c r="T50" s="87"/>
      <c r="U50" s="87"/>
      <c r="V50" s="87"/>
      <c r="W50" s="87"/>
      <c r="X50" s="87"/>
      <c r="Y50" s="87"/>
      <c r="Z50" s="87"/>
      <c r="AA50" s="87"/>
    </row>
    <row r="51">
      <c r="A51" s="90" t="s">
        <v>352</v>
      </c>
      <c r="B51" s="90" t="s">
        <v>353</v>
      </c>
      <c r="C51" s="87"/>
      <c r="D51" s="90" t="s">
        <v>352</v>
      </c>
      <c r="E51" s="86" t="s">
        <v>175</v>
      </c>
      <c r="F51" s="87"/>
      <c r="G51" s="87"/>
      <c r="H51" s="87"/>
      <c r="I51" s="87"/>
      <c r="J51" s="87"/>
      <c r="K51" s="87"/>
      <c r="L51" s="87"/>
      <c r="M51" s="87"/>
      <c r="N51" s="87"/>
      <c r="O51" s="87"/>
      <c r="P51" s="87"/>
      <c r="Q51" s="87"/>
      <c r="R51" s="87"/>
      <c r="S51" s="87"/>
      <c r="T51" s="87"/>
      <c r="U51" s="87"/>
      <c r="V51" s="87"/>
      <c r="W51" s="87"/>
      <c r="X51" s="87"/>
      <c r="Y51" s="87"/>
      <c r="Z51" s="87"/>
      <c r="AA51" s="87"/>
    </row>
    <row r="52">
      <c r="A52" s="90" t="s">
        <v>357</v>
      </c>
      <c r="B52" s="90" t="s">
        <v>358</v>
      </c>
      <c r="C52" s="92" t="s">
        <v>47</v>
      </c>
      <c r="D52" s="90" t="s">
        <v>357</v>
      </c>
      <c r="E52" s="86" t="s">
        <v>175</v>
      </c>
      <c r="F52" s="87"/>
      <c r="G52" s="87"/>
      <c r="H52" s="87"/>
      <c r="I52" s="87"/>
      <c r="J52" s="87"/>
      <c r="K52" s="87"/>
      <c r="L52" s="87"/>
      <c r="M52" s="87"/>
      <c r="N52" s="87"/>
      <c r="O52" s="87"/>
      <c r="P52" s="87"/>
      <c r="Q52" s="87"/>
      <c r="R52" s="87"/>
      <c r="S52" s="87"/>
      <c r="T52" s="87"/>
      <c r="U52" s="87"/>
      <c r="V52" s="87"/>
      <c r="W52" s="87"/>
      <c r="X52" s="87"/>
      <c r="Y52" s="87"/>
      <c r="Z52" s="87"/>
      <c r="AA52" s="87"/>
    </row>
    <row r="53">
      <c r="A53" s="90" t="s">
        <v>361</v>
      </c>
      <c r="B53" s="90" t="s">
        <v>54</v>
      </c>
      <c r="C53" s="90" t="s">
        <v>54</v>
      </c>
      <c r="D53" s="90" t="s">
        <v>361</v>
      </c>
      <c r="E53" s="86" t="s">
        <v>175</v>
      </c>
      <c r="F53" s="87"/>
      <c r="G53" s="87"/>
      <c r="H53" s="87"/>
      <c r="I53" s="87"/>
      <c r="J53" s="87"/>
      <c r="K53" s="87"/>
      <c r="L53" s="87"/>
      <c r="M53" s="87"/>
      <c r="N53" s="87"/>
      <c r="O53" s="87"/>
      <c r="P53" s="87"/>
      <c r="Q53" s="87"/>
      <c r="R53" s="87"/>
      <c r="S53" s="87"/>
      <c r="T53" s="87"/>
      <c r="U53" s="87"/>
      <c r="V53" s="87"/>
      <c r="W53" s="87"/>
      <c r="X53" s="87"/>
      <c r="Y53" s="87"/>
      <c r="Z53" s="87"/>
      <c r="AA53" s="87"/>
    </row>
    <row r="54">
      <c r="A54" s="90" t="s">
        <v>363</v>
      </c>
      <c r="B54" s="90" t="s">
        <v>365</v>
      </c>
      <c r="C54" s="87"/>
      <c r="D54" s="90" t="s">
        <v>363</v>
      </c>
      <c r="E54" s="86" t="s">
        <v>175</v>
      </c>
      <c r="F54" s="87"/>
      <c r="G54" s="87"/>
      <c r="H54" s="87"/>
      <c r="I54" s="87"/>
      <c r="J54" s="87"/>
      <c r="K54" s="87"/>
      <c r="L54" s="87"/>
      <c r="M54" s="87"/>
      <c r="N54" s="87"/>
      <c r="O54" s="87"/>
      <c r="P54" s="87"/>
      <c r="Q54" s="87"/>
      <c r="R54" s="87"/>
      <c r="S54" s="87"/>
      <c r="T54" s="87"/>
      <c r="U54" s="87"/>
      <c r="V54" s="87"/>
      <c r="W54" s="87"/>
      <c r="X54" s="87"/>
      <c r="Y54" s="87"/>
      <c r="Z54" s="87"/>
      <c r="AA54" s="87"/>
    </row>
    <row r="55">
      <c r="A55" s="90" t="s">
        <v>368</v>
      </c>
      <c r="B55" s="90" t="s">
        <v>369</v>
      </c>
      <c r="C55" s="87"/>
      <c r="D55" s="90" t="s">
        <v>368</v>
      </c>
      <c r="E55" s="86" t="s">
        <v>175</v>
      </c>
      <c r="F55" s="87"/>
      <c r="G55" s="87"/>
      <c r="H55" s="87"/>
      <c r="I55" s="87"/>
      <c r="J55" s="87"/>
      <c r="K55" s="87"/>
      <c r="L55" s="87"/>
      <c r="M55" s="87"/>
      <c r="N55" s="87"/>
      <c r="O55" s="87"/>
      <c r="P55" s="87"/>
      <c r="Q55" s="87"/>
      <c r="R55" s="87"/>
      <c r="S55" s="87"/>
      <c r="T55" s="87"/>
      <c r="U55" s="87"/>
      <c r="V55" s="87"/>
      <c r="W55" s="87"/>
      <c r="X55" s="87"/>
      <c r="Y55" s="87"/>
      <c r="Z55" s="87"/>
      <c r="AA55" s="87"/>
    </row>
    <row r="56">
      <c r="A56" s="90" t="s">
        <v>371</v>
      </c>
      <c r="B56" s="90" t="s">
        <v>372</v>
      </c>
      <c r="C56" s="87"/>
      <c r="D56" s="90" t="s">
        <v>371</v>
      </c>
      <c r="E56" s="86" t="s">
        <v>175</v>
      </c>
      <c r="F56" s="87"/>
      <c r="G56" s="87"/>
      <c r="H56" s="87"/>
      <c r="I56" s="87"/>
      <c r="J56" s="87"/>
      <c r="K56" s="87"/>
      <c r="L56" s="87"/>
      <c r="M56" s="87"/>
      <c r="N56" s="87"/>
      <c r="O56" s="87"/>
      <c r="P56" s="87"/>
      <c r="Q56" s="87"/>
      <c r="R56" s="87"/>
      <c r="S56" s="87"/>
      <c r="T56" s="87"/>
      <c r="U56" s="87"/>
      <c r="V56" s="87"/>
      <c r="W56" s="87"/>
      <c r="X56" s="87"/>
      <c r="Y56" s="87"/>
      <c r="Z56" s="87"/>
      <c r="AA56" s="87"/>
    </row>
    <row r="57">
      <c r="A57" s="90" t="s">
        <v>373</v>
      </c>
      <c r="B57" s="90" t="s">
        <v>375</v>
      </c>
      <c r="C57" s="87"/>
      <c r="D57" s="90" t="s">
        <v>373</v>
      </c>
      <c r="E57" s="86" t="s">
        <v>175</v>
      </c>
      <c r="F57" s="87"/>
      <c r="G57" s="87"/>
      <c r="H57" s="87"/>
      <c r="I57" s="87"/>
      <c r="J57" s="87"/>
      <c r="K57" s="87"/>
      <c r="L57" s="87"/>
      <c r="M57" s="87"/>
      <c r="N57" s="87"/>
      <c r="O57" s="87"/>
      <c r="P57" s="87"/>
      <c r="Q57" s="87"/>
      <c r="R57" s="87"/>
      <c r="S57" s="87"/>
      <c r="T57" s="87"/>
      <c r="U57" s="87"/>
      <c r="V57" s="87"/>
      <c r="W57" s="87"/>
      <c r="X57" s="87"/>
      <c r="Y57" s="87"/>
      <c r="Z57" s="87"/>
      <c r="AA57" s="87"/>
    </row>
    <row r="58">
      <c r="A58" s="90" t="s">
        <v>377</v>
      </c>
      <c r="B58" s="90" t="s">
        <v>378</v>
      </c>
      <c r="C58" s="87"/>
      <c r="D58" s="90" t="s">
        <v>377</v>
      </c>
      <c r="E58" s="86" t="s">
        <v>175</v>
      </c>
      <c r="F58" s="87"/>
      <c r="G58" s="87"/>
      <c r="H58" s="87"/>
      <c r="I58" s="87"/>
      <c r="J58" s="87"/>
      <c r="K58" s="87"/>
      <c r="L58" s="87"/>
      <c r="M58" s="87"/>
      <c r="N58" s="87"/>
      <c r="O58" s="87"/>
      <c r="P58" s="87"/>
      <c r="Q58" s="87"/>
      <c r="R58" s="87"/>
      <c r="S58" s="87"/>
      <c r="T58" s="87"/>
      <c r="U58" s="87"/>
      <c r="V58" s="87"/>
      <c r="W58" s="87"/>
      <c r="X58" s="87"/>
      <c r="Y58" s="87"/>
      <c r="Z58" s="87"/>
      <c r="AA58" s="87"/>
    </row>
    <row r="59">
      <c r="A59" s="90" t="s">
        <v>381</v>
      </c>
      <c r="B59" s="90" t="s">
        <v>382</v>
      </c>
      <c r="C59" s="87"/>
      <c r="D59" s="90" t="s">
        <v>381</v>
      </c>
      <c r="E59" s="86" t="s">
        <v>175</v>
      </c>
      <c r="F59" s="87"/>
      <c r="G59" s="87"/>
      <c r="H59" s="87"/>
      <c r="I59" s="87"/>
      <c r="J59" s="87"/>
      <c r="K59" s="87"/>
      <c r="L59" s="87"/>
      <c r="M59" s="87"/>
      <c r="N59" s="87"/>
      <c r="O59" s="87"/>
      <c r="P59" s="87"/>
      <c r="Q59" s="87"/>
      <c r="R59" s="87"/>
      <c r="S59" s="87"/>
      <c r="T59" s="87"/>
      <c r="U59" s="87"/>
      <c r="V59" s="87"/>
      <c r="W59" s="87"/>
      <c r="X59" s="87"/>
      <c r="Y59" s="87"/>
      <c r="Z59" s="87"/>
      <c r="AA59" s="87"/>
    </row>
    <row r="60">
      <c r="A60" s="90" t="s">
        <v>385</v>
      </c>
      <c r="B60" s="90" t="s">
        <v>386</v>
      </c>
      <c r="C60" s="87"/>
      <c r="D60" s="90" t="s">
        <v>385</v>
      </c>
      <c r="E60" s="86" t="s">
        <v>175</v>
      </c>
      <c r="F60" s="87"/>
      <c r="G60" s="87"/>
      <c r="H60" s="87"/>
      <c r="I60" s="87"/>
      <c r="J60" s="87"/>
      <c r="K60" s="87"/>
      <c r="L60" s="87"/>
      <c r="M60" s="87"/>
      <c r="N60" s="87"/>
      <c r="O60" s="87"/>
      <c r="P60" s="87"/>
      <c r="Q60" s="87"/>
      <c r="R60" s="87"/>
      <c r="S60" s="87"/>
      <c r="T60" s="87"/>
      <c r="U60" s="87"/>
      <c r="V60" s="87"/>
      <c r="W60" s="87"/>
      <c r="X60" s="87"/>
      <c r="Y60" s="87"/>
      <c r="Z60" s="87"/>
      <c r="AA60" s="87"/>
    </row>
    <row r="61">
      <c r="A61" s="90" t="s">
        <v>389</v>
      </c>
      <c r="B61" s="90" t="s">
        <v>390</v>
      </c>
      <c r="C61" s="87"/>
      <c r="D61" s="90" t="s">
        <v>389</v>
      </c>
      <c r="E61" s="86" t="s">
        <v>175</v>
      </c>
      <c r="F61" s="87"/>
      <c r="G61" s="87"/>
      <c r="H61" s="87"/>
      <c r="I61" s="87"/>
      <c r="J61" s="87"/>
      <c r="K61" s="87"/>
      <c r="L61" s="87"/>
      <c r="M61" s="87"/>
      <c r="N61" s="87"/>
      <c r="O61" s="87"/>
      <c r="P61" s="87"/>
      <c r="Q61" s="87"/>
      <c r="R61" s="87"/>
      <c r="S61" s="87"/>
      <c r="T61" s="87"/>
      <c r="U61" s="87"/>
      <c r="V61" s="87"/>
      <c r="W61" s="87"/>
      <c r="X61" s="87"/>
      <c r="Y61" s="87"/>
      <c r="Z61" s="87"/>
      <c r="AA61" s="87"/>
    </row>
    <row r="62">
      <c r="A62" s="90" t="s">
        <v>393</v>
      </c>
      <c r="B62" s="90" t="s">
        <v>394</v>
      </c>
      <c r="C62" s="87"/>
      <c r="D62" s="90" t="s">
        <v>393</v>
      </c>
      <c r="E62" s="86" t="s">
        <v>175</v>
      </c>
      <c r="F62" s="87"/>
      <c r="G62" s="87"/>
      <c r="H62" s="87"/>
      <c r="I62" s="87"/>
      <c r="J62" s="87"/>
      <c r="K62" s="87"/>
      <c r="L62" s="87"/>
      <c r="M62" s="87"/>
      <c r="N62" s="87"/>
      <c r="O62" s="87"/>
      <c r="P62" s="87"/>
      <c r="Q62" s="87"/>
      <c r="R62" s="87"/>
      <c r="S62" s="87"/>
      <c r="T62" s="87"/>
      <c r="U62" s="87"/>
      <c r="V62" s="87"/>
      <c r="W62" s="87"/>
      <c r="X62" s="87"/>
      <c r="Y62" s="87"/>
      <c r="Z62" s="87"/>
      <c r="AA62" s="87"/>
    </row>
    <row r="63">
      <c r="A63" s="90" t="s">
        <v>397</v>
      </c>
      <c r="B63" s="90" t="s">
        <v>398</v>
      </c>
      <c r="C63" s="87"/>
      <c r="D63" s="90" t="s">
        <v>397</v>
      </c>
      <c r="E63" s="86" t="s">
        <v>175</v>
      </c>
      <c r="F63" s="87"/>
      <c r="G63" s="87"/>
      <c r="H63" s="87"/>
      <c r="I63" s="87"/>
      <c r="J63" s="87"/>
      <c r="K63" s="87"/>
      <c r="L63" s="87"/>
      <c r="M63" s="87"/>
      <c r="N63" s="87"/>
      <c r="O63" s="87"/>
      <c r="P63" s="87"/>
      <c r="Q63" s="87"/>
      <c r="R63" s="87"/>
      <c r="S63" s="87"/>
      <c r="T63" s="87"/>
      <c r="U63" s="87"/>
      <c r="V63" s="87"/>
      <c r="W63" s="87"/>
      <c r="X63" s="87"/>
      <c r="Y63" s="87"/>
      <c r="Z63" s="87"/>
      <c r="AA63" s="87"/>
    </row>
    <row r="64">
      <c r="A64" s="90" t="s">
        <v>401</v>
      </c>
      <c r="B64" s="90" t="s">
        <v>402</v>
      </c>
      <c r="C64" s="87"/>
      <c r="D64" s="90" t="s">
        <v>401</v>
      </c>
      <c r="E64" s="86" t="s">
        <v>175</v>
      </c>
      <c r="F64" s="87"/>
      <c r="G64" s="87"/>
      <c r="H64" s="87"/>
      <c r="I64" s="87"/>
      <c r="J64" s="87"/>
      <c r="K64" s="87"/>
      <c r="L64" s="87"/>
      <c r="M64" s="87"/>
      <c r="N64" s="87"/>
      <c r="O64" s="87"/>
      <c r="P64" s="87"/>
      <c r="Q64" s="87"/>
      <c r="R64" s="87"/>
      <c r="S64" s="87"/>
      <c r="T64" s="87"/>
      <c r="U64" s="87"/>
      <c r="V64" s="87"/>
      <c r="W64" s="87"/>
      <c r="X64" s="87"/>
      <c r="Y64" s="87"/>
      <c r="Z64" s="87"/>
      <c r="AA64" s="87"/>
    </row>
    <row r="65">
      <c r="A65" s="90" t="s">
        <v>403</v>
      </c>
      <c r="B65" s="90" t="s">
        <v>404</v>
      </c>
      <c r="C65" s="87"/>
      <c r="D65" s="90" t="s">
        <v>403</v>
      </c>
      <c r="E65" s="86" t="s">
        <v>175</v>
      </c>
      <c r="F65" s="87"/>
      <c r="G65" s="87"/>
      <c r="H65" s="87"/>
      <c r="I65" s="87"/>
      <c r="J65" s="87"/>
      <c r="K65" s="87"/>
      <c r="L65" s="87"/>
      <c r="M65" s="87"/>
      <c r="N65" s="87"/>
      <c r="O65" s="87"/>
      <c r="P65" s="87"/>
      <c r="Q65" s="87"/>
      <c r="R65" s="87"/>
      <c r="S65" s="87"/>
      <c r="T65" s="87"/>
      <c r="U65" s="87"/>
      <c r="V65" s="87"/>
      <c r="W65" s="87"/>
      <c r="X65" s="87"/>
      <c r="Y65" s="87"/>
      <c r="Z65" s="87"/>
      <c r="AA65" s="87"/>
    </row>
    <row r="66">
      <c r="A66" s="90" t="s">
        <v>407</v>
      </c>
      <c r="B66" s="90" t="s">
        <v>408</v>
      </c>
      <c r="C66" s="87"/>
      <c r="D66" s="90" t="s">
        <v>407</v>
      </c>
      <c r="E66" s="86" t="s">
        <v>175</v>
      </c>
      <c r="F66" s="87"/>
      <c r="G66" s="87"/>
      <c r="H66" s="87"/>
      <c r="I66" s="87"/>
      <c r="J66" s="87"/>
      <c r="K66" s="87"/>
      <c r="L66" s="87"/>
      <c r="M66" s="87"/>
      <c r="N66" s="87"/>
      <c r="O66" s="87"/>
      <c r="P66" s="87"/>
      <c r="Q66" s="87"/>
      <c r="R66" s="87"/>
      <c r="S66" s="87"/>
      <c r="T66" s="87"/>
      <c r="U66" s="87"/>
      <c r="V66" s="87"/>
      <c r="W66" s="87"/>
      <c r="X66" s="87"/>
      <c r="Y66" s="87"/>
      <c r="Z66" s="87"/>
      <c r="AA66" s="87"/>
    </row>
    <row r="67">
      <c r="A67" s="90" t="s">
        <v>410</v>
      </c>
      <c r="B67" s="90" t="s">
        <v>411</v>
      </c>
      <c r="C67" s="87"/>
      <c r="D67" s="90" t="s">
        <v>410</v>
      </c>
      <c r="E67" s="86" t="s">
        <v>175</v>
      </c>
      <c r="F67" s="87"/>
      <c r="G67" s="87"/>
      <c r="H67" s="87"/>
      <c r="I67" s="87"/>
      <c r="J67" s="87"/>
      <c r="K67" s="87"/>
      <c r="L67" s="87"/>
      <c r="M67" s="87"/>
      <c r="N67" s="87"/>
      <c r="O67" s="87"/>
      <c r="P67" s="87"/>
      <c r="Q67" s="87"/>
      <c r="R67" s="87"/>
      <c r="S67" s="87"/>
      <c r="T67" s="87"/>
      <c r="U67" s="87"/>
      <c r="V67" s="87"/>
      <c r="W67" s="87"/>
      <c r="X67" s="87"/>
      <c r="Y67" s="87"/>
      <c r="Z67" s="87"/>
      <c r="AA67" s="87"/>
    </row>
    <row r="68">
      <c r="A68" s="90" t="s">
        <v>414</v>
      </c>
      <c r="B68" s="90" t="s">
        <v>415</v>
      </c>
      <c r="C68" s="87"/>
      <c r="D68" s="90" t="s">
        <v>414</v>
      </c>
      <c r="E68" s="86" t="s">
        <v>175</v>
      </c>
      <c r="F68" s="87"/>
      <c r="G68" s="87"/>
      <c r="H68" s="87"/>
      <c r="I68" s="87"/>
      <c r="J68" s="87"/>
      <c r="K68" s="87"/>
      <c r="L68" s="87"/>
      <c r="M68" s="87"/>
      <c r="N68" s="87"/>
      <c r="O68" s="87"/>
      <c r="P68" s="87"/>
      <c r="Q68" s="87"/>
      <c r="R68" s="87"/>
      <c r="S68" s="87"/>
      <c r="T68" s="87"/>
      <c r="U68" s="87"/>
      <c r="V68" s="87"/>
      <c r="W68" s="87"/>
      <c r="X68" s="87"/>
      <c r="Y68" s="87"/>
      <c r="Z68" s="87"/>
      <c r="AA68" s="87"/>
    </row>
    <row r="69">
      <c r="A69" s="90" t="s">
        <v>416</v>
      </c>
      <c r="B69" s="90" t="s">
        <v>417</v>
      </c>
      <c r="C69" s="87"/>
      <c r="D69" s="90" t="s">
        <v>416</v>
      </c>
      <c r="E69" s="86" t="s">
        <v>175</v>
      </c>
      <c r="F69" s="87"/>
      <c r="G69" s="87"/>
      <c r="H69" s="87"/>
      <c r="I69" s="87"/>
      <c r="J69" s="87"/>
      <c r="K69" s="87"/>
      <c r="L69" s="87"/>
      <c r="M69" s="87"/>
      <c r="N69" s="87"/>
      <c r="O69" s="87"/>
      <c r="P69" s="87"/>
      <c r="Q69" s="87"/>
      <c r="R69" s="87"/>
      <c r="S69" s="87"/>
      <c r="T69" s="87"/>
      <c r="U69" s="87"/>
      <c r="V69" s="87"/>
      <c r="W69" s="87"/>
      <c r="X69" s="87"/>
      <c r="Y69" s="87"/>
      <c r="Z69" s="87"/>
      <c r="AA69" s="87"/>
    </row>
    <row r="70">
      <c r="A70" s="90" t="s">
        <v>418</v>
      </c>
      <c r="B70" s="90" t="s">
        <v>419</v>
      </c>
      <c r="C70" s="87"/>
      <c r="D70" s="90" t="s">
        <v>418</v>
      </c>
      <c r="E70" s="86" t="s">
        <v>175</v>
      </c>
      <c r="F70" s="87"/>
      <c r="G70" s="87"/>
      <c r="H70" s="87"/>
      <c r="I70" s="87"/>
      <c r="J70" s="87"/>
      <c r="K70" s="87"/>
      <c r="L70" s="87"/>
      <c r="M70" s="87"/>
      <c r="N70" s="87"/>
      <c r="O70" s="87"/>
      <c r="P70" s="87"/>
      <c r="Q70" s="87"/>
      <c r="R70" s="87"/>
      <c r="S70" s="87"/>
      <c r="T70" s="87"/>
      <c r="U70" s="87"/>
      <c r="V70" s="87"/>
      <c r="W70" s="87"/>
      <c r="X70" s="87"/>
      <c r="Y70" s="87"/>
      <c r="Z70" s="87"/>
      <c r="AA70" s="87"/>
    </row>
    <row r="71">
      <c r="A71" s="90" t="s">
        <v>422</v>
      </c>
      <c r="B71" s="90" t="s">
        <v>423</v>
      </c>
      <c r="C71" s="87"/>
      <c r="D71" s="90" t="s">
        <v>422</v>
      </c>
      <c r="E71" s="86" t="s">
        <v>175</v>
      </c>
      <c r="F71" s="87"/>
      <c r="G71" s="87"/>
      <c r="H71" s="87"/>
      <c r="I71" s="87"/>
      <c r="J71" s="87"/>
      <c r="K71" s="87"/>
      <c r="L71" s="87"/>
      <c r="M71" s="87"/>
      <c r="N71" s="87"/>
      <c r="O71" s="87"/>
      <c r="P71" s="87"/>
      <c r="Q71" s="87"/>
      <c r="R71" s="87"/>
      <c r="S71" s="87"/>
      <c r="T71" s="87"/>
      <c r="U71" s="87"/>
      <c r="V71" s="87"/>
      <c r="W71" s="87"/>
      <c r="X71" s="87"/>
      <c r="Y71" s="87"/>
      <c r="Z71" s="87"/>
      <c r="AA71" s="87"/>
    </row>
    <row r="72">
      <c r="A72" s="90" t="s">
        <v>426</v>
      </c>
      <c r="B72" s="90" t="s">
        <v>427</v>
      </c>
      <c r="C72" s="87"/>
      <c r="D72" s="90" t="s">
        <v>426</v>
      </c>
      <c r="E72" s="86" t="s">
        <v>175</v>
      </c>
      <c r="F72" s="87"/>
      <c r="G72" s="87"/>
      <c r="H72" s="87"/>
      <c r="I72" s="87"/>
      <c r="J72" s="87"/>
      <c r="K72" s="87"/>
      <c r="L72" s="87"/>
      <c r="M72" s="87"/>
      <c r="N72" s="87"/>
      <c r="O72" s="87"/>
      <c r="P72" s="87"/>
      <c r="Q72" s="87"/>
      <c r="R72" s="87"/>
      <c r="S72" s="87"/>
      <c r="T72" s="87"/>
      <c r="U72" s="87"/>
      <c r="V72" s="87"/>
      <c r="W72" s="87"/>
      <c r="X72" s="87"/>
      <c r="Y72" s="87"/>
      <c r="Z72" s="87"/>
      <c r="AA72" s="87"/>
    </row>
    <row r="73">
      <c r="A73" s="90" t="s">
        <v>428</v>
      </c>
      <c r="B73" s="90" t="s">
        <v>430</v>
      </c>
      <c r="C73" s="87"/>
      <c r="D73" s="90" t="s">
        <v>428</v>
      </c>
      <c r="E73" s="86" t="s">
        <v>175</v>
      </c>
      <c r="F73" s="87"/>
      <c r="G73" s="87"/>
      <c r="H73" s="87"/>
      <c r="I73" s="87"/>
      <c r="J73" s="87"/>
      <c r="K73" s="87"/>
      <c r="L73" s="87"/>
      <c r="M73" s="87"/>
      <c r="N73" s="87"/>
      <c r="O73" s="87"/>
      <c r="P73" s="87"/>
      <c r="Q73" s="87"/>
      <c r="R73" s="87"/>
      <c r="S73" s="87"/>
      <c r="T73" s="87"/>
      <c r="U73" s="87"/>
      <c r="V73" s="87"/>
      <c r="W73" s="87"/>
      <c r="X73" s="87"/>
      <c r="Y73" s="87"/>
      <c r="Z73" s="87"/>
      <c r="AA73" s="87"/>
    </row>
    <row r="74">
      <c r="A74" s="90" t="s">
        <v>433</v>
      </c>
      <c r="B74" s="90" t="s">
        <v>434</v>
      </c>
      <c r="C74" s="87"/>
      <c r="D74" s="90" t="s">
        <v>433</v>
      </c>
      <c r="E74" s="86" t="s">
        <v>175</v>
      </c>
      <c r="F74" s="87"/>
      <c r="G74" s="87"/>
      <c r="H74" s="87"/>
      <c r="I74" s="87"/>
      <c r="J74" s="87"/>
      <c r="K74" s="87"/>
      <c r="L74" s="87"/>
      <c r="M74" s="87"/>
      <c r="N74" s="87"/>
      <c r="O74" s="87"/>
      <c r="P74" s="87"/>
      <c r="Q74" s="87"/>
      <c r="R74" s="87"/>
      <c r="S74" s="87"/>
      <c r="T74" s="87"/>
      <c r="U74" s="87"/>
      <c r="V74" s="87"/>
      <c r="W74" s="87"/>
      <c r="X74" s="87"/>
      <c r="Y74" s="87"/>
      <c r="Z74" s="87"/>
      <c r="AA74" s="87"/>
    </row>
    <row r="75">
      <c r="A75" s="90" t="s">
        <v>436</v>
      </c>
      <c r="B75" s="90" t="s">
        <v>437</v>
      </c>
      <c r="C75" s="87"/>
      <c r="D75" s="90" t="s">
        <v>436</v>
      </c>
      <c r="E75" s="86" t="s">
        <v>175</v>
      </c>
      <c r="F75" s="87"/>
      <c r="G75" s="87"/>
      <c r="H75" s="87"/>
      <c r="I75" s="87"/>
      <c r="J75" s="87"/>
      <c r="K75" s="87"/>
      <c r="L75" s="87"/>
      <c r="M75" s="87"/>
      <c r="N75" s="87"/>
      <c r="O75" s="87"/>
      <c r="P75" s="87"/>
      <c r="Q75" s="87"/>
      <c r="R75" s="87"/>
      <c r="S75" s="87"/>
      <c r="T75" s="87"/>
      <c r="U75" s="87"/>
      <c r="V75" s="87"/>
      <c r="W75" s="87"/>
      <c r="X75" s="87"/>
      <c r="Y75" s="87"/>
      <c r="Z75" s="87"/>
      <c r="AA75" s="87"/>
    </row>
    <row r="76">
      <c r="A76" s="90" t="s">
        <v>440</v>
      </c>
      <c r="B76" s="90" t="s">
        <v>441</v>
      </c>
      <c r="C76" s="87"/>
      <c r="D76" s="90" t="s">
        <v>440</v>
      </c>
      <c r="E76" s="86" t="s">
        <v>175</v>
      </c>
      <c r="F76" s="87"/>
      <c r="G76" s="87"/>
      <c r="H76" s="87"/>
      <c r="I76" s="87"/>
      <c r="J76" s="87"/>
      <c r="K76" s="87"/>
      <c r="L76" s="87"/>
      <c r="M76" s="87"/>
      <c r="N76" s="87"/>
      <c r="O76" s="87"/>
      <c r="P76" s="87"/>
      <c r="Q76" s="87"/>
      <c r="R76" s="87"/>
      <c r="S76" s="87"/>
      <c r="T76" s="87"/>
      <c r="U76" s="87"/>
      <c r="V76" s="87"/>
      <c r="W76" s="87"/>
      <c r="X76" s="87"/>
      <c r="Y76" s="87"/>
      <c r="Z76" s="87"/>
      <c r="AA76" s="87"/>
    </row>
    <row r="77">
      <c r="A77" s="90" t="s">
        <v>443</v>
      </c>
      <c r="B77" s="90" t="s">
        <v>444</v>
      </c>
      <c r="C77" s="87"/>
      <c r="D77" s="90" t="s">
        <v>443</v>
      </c>
      <c r="E77" s="86" t="s">
        <v>175</v>
      </c>
      <c r="F77" s="87"/>
      <c r="G77" s="87"/>
      <c r="H77" s="87"/>
      <c r="I77" s="87"/>
      <c r="J77" s="87"/>
      <c r="K77" s="87"/>
      <c r="L77" s="87"/>
      <c r="M77" s="87"/>
      <c r="N77" s="87"/>
      <c r="O77" s="87"/>
      <c r="P77" s="87"/>
      <c r="Q77" s="87"/>
      <c r="R77" s="87"/>
      <c r="S77" s="87"/>
      <c r="T77" s="87"/>
      <c r="U77" s="87"/>
      <c r="V77" s="87"/>
      <c r="W77" s="87"/>
      <c r="X77" s="87"/>
      <c r="Y77" s="87"/>
      <c r="Z77" s="87"/>
      <c r="AA77" s="87"/>
    </row>
    <row r="78">
      <c r="A78" s="90" t="s">
        <v>446</v>
      </c>
      <c r="B78" s="90" t="s">
        <v>447</v>
      </c>
      <c r="C78" s="87"/>
      <c r="D78" s="90" t="s">
        <v>446</v>
      </c>
      <c r="E78" s="86" t="s">
        <v>175</v>
      </c>
      <c r="F78" s="87"/>
      <c r="G78" s="87"/>
      <c r="H78" s="87"/>
      <c r="I78" s="87"/>
      <c r="J78" s="87"/>
      <c r="K78" s="87"/>
      <c r="L78" s="87"/>
      <c r="M78" s="87"/>
      <c r="N78" s="87"/>
      <c r="O78" s="87"/>
      <c r="P78" s="87"/>
      <c r="Q78" s="87"/>
      <c r="R78" s="87"/>
      <c r="S78" s="87"/>
      <c r="T78" s="87"/>
      <c r="U78" s="87"/>
      <c r="V78" s="87"/>
      <c r="W78" s="87"/>
      <c r="X78" s="87"/>
      <c r="Y78" s="87"/>
      <c r="Z78" s="87"/>
      <c r="AA78" s="87"/>
    </row>
    <row r="79">
      <c r="A79" s="90" t="s">
        <v>449</v>
      </c>
      <c r="B79" s="90" t="s">
        <v>450</v>
      </c>
      <c r="C79" s="87"/>
      <c r="D79" s="90" t="s">
        <v>449</v>
      </c>
      <c r="E79" s="86" t="s">
        <v>175</v>
      </c>
      <c r="F79" s="87"/>
      <c r="G79" s="87"/>
      <c r="H79" s="87"/>
      <c r="I79" s="87"/>
      <c r="J79" s="87"/>
      <c r="K79" s="87"/>
      <c r="L79" s="87"/>
      <c r="M79" s="87"/>
      <c r="N79" s="87"/>
      <c r="O79" s="87"/>
      <c r="P79" s="87"/>
      <c r="Q79" s="87"/>
      <c r="R79" s="87"/>
      <c r="S79" s="87"/>
      <c r="T79" s="87"/>
      <c r="U79" s="87"/>
      <c r="V79" s="87"/>
      <c r="W79" s="87"/>
      <c r="X79" s="87"/>
      <c r="Y79" s="87"/>
      <c r="Z79" s="87"/>
      <c r="AA79" s="87"/>
    </row>
    <row r="80">
      <c r="A80" s="90" t="s">
        <v>453</v>
      </c>
      <c r="B80" s="90" t="s">
        <v>454</v>
      </c>
      <c r="C80" s="87"/>
      <c r="D80" s="90" t="s">
        <v>453</v>
      </c>
      <c r="E80" s="86" t="s">
        <v>175</v>
      </c>
      <c r="F80" s="87"/>
      <c r="G80" s="87"/>
      <c r="H80" s="87"/>
      <c r="I80" s="87"/>
      <c r="J80" s="87"/>
      <c r="K80" s="87"/>
      <c r="L80" s="87"/>
      <c r="M80" s="87"/>
      <c r="N80" s="87"/>
      <c r="O80" s="87"/>
      <c r="P80" s="87"/>
      <c r="Q80" s="87"/>
      <c r="R80" s="87"/>
      <c r="S80" s="87"/>
      <c r="T80" s="87"/>
      <c r="U80" s="87"/>
      <c r="V80" s="87"/>
      <c r="W80" s="87"/>
      <c r="X80" s="87"/>
      <c r="Y80" s="87"/>
      <c r="Z80" s="87"/>
      <c r="AA80" s="87"/>
    </row>
    <row r="81">
      <c r="A81" s="90" t="s">
        <v>455</v>
      </c>
      <c r="B81" s="90" t="s">
        <v>456</v>
      </c>
      <c r="C81" s="87"/>
      <c r="D81" s="90" t="s">
        <v>455</v>
      </c>
      <c r="E81" s="86" t="s">
        <v>175</v>
      </c>
      <c r="F81" s="87"/>
      <c r="G81" s="87"/>
      <c r="H81" s="87"/>
      <c r="I81" s="87"/>
      <c r="J81" s="87"/>
      <c r="K81" s="87"/>
      <c r="L81" s="87"/>
      <c r="M81" s="87"/>
      <c r="N81" s="87"/>
      <c r="O81" s="87"/>
      <c r="P81" s="87"/>
      <c r="Q81" s="87"/>
      <c r="R81" s="87"/>
      <c r="S81" s="87"/>
      <c r="T81" s="87"/>
      <c r="U81" s="87"/>
      <c r="V81" s="87"/>
      <c r="W81" s="87"/>
      <c r="X81" s="87"/>
      <c r="Y81" s="87"/>
      <c r="Z81" s="87"/>
      <c r="AA81" s="87"/>
    </row>
    <row r="82">
      <c r="A82" s="90" t="s">
        <v>458</v>
      </c>
      <c r="B82" s="90" t="s">
        <v>459</v>
      </c>
      <c r="C82" s="87"/>
      <c r="D82" s="90" t="s">
        <v>458</v>
      </c>
      <c r="E82" s="86" t="s">
        <v>175</v>
      </c>
      <c r="F82" s="87"/>
      <c r="G82" s="87"/>
      <c r="H82" s="87"/>
      <c r="I82" s="87"/>
      <c r="J82" s="87"/>
      <c r="K82" s="87"/>
      <c r="L82" s="87"/>
      <c r="M82" s="87"/>
      <c r="N82" s="87"/>
      <c r="O82" s="87"/>
      <c r="P82" s="87"/>
      <c r="Q82" s="87"/>
      <c r="R82" s="87"/>
      <c r="S82" s="87"/>
      <c r="T82" s="87"/>
      <c r="U82" s="87"/>
      <c r="V82" s="87"/>
      <c r="W82" s="87"/>
      <c r="X82" s="87"/>
      <c r="Y82" s="87"/>
      <c r="Z82" s="87"/>
      <c r="AA82" s="87"/>
    </row>
    <row r="83">
      <c r="A83" s="90" t="s">
        <v>462</v>
      </c>
      <c r="B83" s="90" t="s">
        <v>463</v>
      </c>
      <c r="C83" s="87"/>
      <c r="D83" s="90" t="s">
        <v>462</v>
      </c>
      <c r="E83" s="86" t="s">
        <v>175</v>
      </c>
      <c r="F83" s="87"/>
      <c r="G83" s="87"/>
      <c r="H83" s="87"/>
      <c r="I83" s="87"/>
      <c r="J83" s="87"/>
      <c r="K83" s="87"/>
      <c r="L83" s="87"/>
      <c r="M83" s="87"/>
      <c r="N83" s="87"/>
      <c r="O83" s="87"/>
      <c r="P83" s="87"/>
      <c r="Q83" s="87"/>
      <c r="R83" s="87"/>
      <c r="S83" s="87"/>
      <c r="T83" s="87"/>
      <c r="U83" s="87"/>
      <c r="V83" s="87"/>
      <c r="W83" s="87"/>
      <c r="X83" s="87"/>
      <c r="Y83" s="87"/>
      <c r="Z83" s="87"/>
      <c r="AA83" s="87"/>
    </row>
    <row r="84">
      <c r="A84" s="90" t="s">
        <v>466</v>
      </c>
      <c r="B84" s="90" t="s">
        <v>463</v>
      </c>
      <c r="C84" s="87"/>
      <c r="D84" s="90" t="s">
        <v>466</v>
      </c>
      <c r="E84" s="86" t="s">
        <v>175</v>
      </c>
      <c r="F84" s="87"/>
      <c r="G84" s="87"/>
      <c r="H84" s="87"/>
      <c r="I84" s="87"/>
      <c r="J84" s="87"/>
      <c r="K84" s="87"/>
      <c r="L84" s="87"/>
      <c r="M84" s="87"/>
      <c r="N84" s="87"/>
      <c r="O84" s="87"/>
      <c r="P84" s="87"/>
      <c r="Q84" s="87"/>
      <c r="R84" s="87"/>
      <c r="S84" s="87"/>
      <c r="T84" s="87"/>
      <c r="U84" s="87"/>
      <c r="V84" s="87"/>
      <c r="W84" s="87"/>
      <c r="X84" s="87"/>
      <c r="Y84" s="87"/>
      <c r="Z84" s="87"/>
      <c r="AA84" s="87"/>
    </row>
    <row r="85">
      <c r="A85" s="90" t="s">
        <v>468</v>
      </c>
      <c r="B85" s="90" t="s">
        <v>469</v>
      </c>
      <c r="C85" s="87"/>
      <c r="D85" s="90" t="s">
        <v>468</v>
      </c>
      <c r="E85" s="86" t="s">
        <v>175</v>
      </c>
      <c r="F85" s="87"/>
      <c r="G85" s="87"/>
      <c r="H85" s="87"/>
      <c r="I85" s="87"/>
      <c r="J85" s="87"/>
      <c r="K85" s="87"/>
      <c r="L85" s="87"/>
      <c r="M85" s="87"/>
      <c r="N85" s="87"/>
      <c r="O85" s="87"/>
      <c r="P85" s="87"/>
      <c r="Q85" s="87"/>
      <c r="R85" s="87"/>
      <c r="S85" s="87"/>
      <c r="T85" s="87"/>
      <c r="U85" s="87"/>
      <c r="V85" s="87"/>
      <c r="W85" s="87"/>
      <c r="X85" s="87"/>
      <c r="Y85" s="87"/>
      <c r="Z85" s="87"/>
      <c r="AA85" s="87"/>
    </row>
    <row r="86">
      <c r="A86" s="90" t="s">
        <v>470</v>
      </c>
      <c r="B86" s="90" t="s">
        <v>471</v>
      </c>
      <c r="C86" s="87"/>
      <c r="D86" s="90" t="s">
        <v>470</v>
      </c>
      <c r="E86" s="86" t="s">
        <v>175</v>
      </c>
      <c r="F86" s="87"/>
      <c r="G86" s="87"/>
      <c r="H86" s="87"/>
      <c r="I86" s="87"/>
      <c r="J86" s="87"/>
      <c r="K86" s="87"/>
      <c r="L86" s="87"/>
      <c r="M86" s="87"/>
      <c r="N86" s="87"/>
      <c r="O86" s="87"/>
      <c r="P86" s="87"/>
      <c r="Q86" s="87"/>
      <c r="R86" s="87"/>
      <c r="S86" s="87"/>
      <c r="T86" s="87"/>
      <c r="U86" s="87"/>
      <c r="V86" s="87"/>
      <c r="W86" s="87"/>
      <c r="X86" s="87"/>
      <c r="Y86" s="87"/>
      <c r="Z86" s="87"/>
      <c r="AA86" s="87"/>
    </row>
    <row r="87">
      <c r="A87" s="90" t="s">
        <v>474</v>
      </c>
      <c r="B87" s="90" t="s">
        <v>475</v>
      </c>
      <c r="C87" s="87"/>
      <c r="D87" s="90" t="s">
        <v>474</v>
      </c>
      <c r="E87" s="86" t="s">
        <v>175</v>
      </c>
      <c r="F87" s="87"/>
      <c r="G87" s="87"/>
      <c r="H87" s="87"/>
      <c r="I87" s="87"/>
      <c r="J87" s="87"/>
      <c r="K87" s="87"/>
      <c r="L87" s="87"/>
      <c r="M87" s="87"/>
      <c r="N87" s="87"/>
      <c r="O87" s="87"/>
      <c r="P87" s="87"/>
      <c r="Q87" s="87"/>
      <c r="R87" s="87"/>
      <c r="S87" s="87"/>
      <c r="T87" s="87"/>
      <c r="U87" s="87"/>
      <c r="V87" s="87"/>
      <c r="W87" s="87"/>
      <c r="X87" s="87"/>
      <c r="Y87" s="87"/>
      <c r="Z87" s="87"/>
      <c r="AA87" s="87"/>
    </row>
    <row r="88">
      <c r="A88" s="90" t="s">
        <v>479</v>
      </c>
      <c r="B88" s="90" t="s">
        <v>480</v>
      </c>
      <c r="C88" s="87"/>
      <c r="D88" s="90" t="s">
        <v>479</v>
      </c>
      <c r="E88" s="86" t="s">
        <v>175</v>
      </c>
      <c r="F88" s="87"/>
      <c r="G88" s="87"/>
      <c r="H88" s="87"/>
      <c r="I88" s="87"/>
      <c r="J88" s="87"/>
      <c r="K88" s="87"/>
      <c r="L88" s="87"/>
      <c r="M88" s="87"/>
      <c r="N88" s="87"/>
      <c r="O88" s="87"/>
      <c r="P88" s="87"/>
      <c r="Q88" s="87"/>
      <c r="R88" s="87"/>
      <c r="S88" s="87"/>
      <c r="T88" s="87"/>
      <c r="U88" s="87"/>
      <c r="V88" s="87"/>
      <c r="W88" s="87"/>
      <c r="X88" s="87"/>
      <c r="Y88" s="87"/>
      <c r="Z88" s="87"/>
      <c r="AA88" s="87"/>
    </row>
    <row r="89">
      <c r="A89" s="90" t="s">
        <v>481</v>
      </c>
      <c r="B89" s="90" t="s">
        <v>482</v>
      </c>
      <c r="C89" s="87"/>
      <c r="D89" s="90" t="s">
        <v>481</v>
      </c>
      <c r="E89" s="86" t="s">
        <v>175</v>
      </c>
      <c r="F89" s="87"/>
      <c r="G89" s="87"/>
      <c r="H89" s="87"/>
      <c r="I89" s="87"/>
      <c r="J89" s="87"/>
      <c r="K89" s="87"/>
      <c r="L89" s="87"/>
      <c r="M89" s="87"/>
      <c r="N89" s="87"/>
      <c r="O89" s="87"/>
      <c r="P89" s="87"/>
      <c r="Q89" s="87"/>
      <c r="R89" s="87"/>
      <c r="S89" s="87"/>
      <c r="T89" s="87"/>
      <c r="U89" s="87"/>
      <c r="V89" s="87"/>
      <c r="W89" s="87"/>
      <c r="X89" s="87"/>
      <c r="Y89" s="87"/>
      <c r="Z89" s="87"/>
      <c r="AA89" s="87"/>
    </row>
    <row r="90">
      <c r="A90" s="90" t="s">
        <v>484</v>
      </c>
      <c r="B90" s="90" t="s">
        <v>485</v>
      </c>
      <c r="C90" s="87"/>
      <c r="D90" s="90" t="s">
        <v>484</v>
      </c>
      <c r="E90" s="86" t="s">
        <v>175</v>
      </c>
      <c r="F90" s="87"/>
      <c r="G90" s="87"/>
      <c r="H90" s="87"/>
      <c r="I90" s="87"/>
      <c r="J90" s="87"/>
      <c r="K90" s="87"/>
      <c r="L90" s="87"/>
      <c r="M90" s="87"/>
      <c r="N90" s="87"/>
      <c r="O90" s="87"/>
      <c r="P90" s="87"/>
      <c r="Q90" s="87"/>
      <c r="R90" s="87"/>
      <c r="S90" s="87"/>
      <c r="T90" s="87"/>
      <c r="U90" s="87"/>
      <c r="V90" s="87"/>
      <c r="W90" s="87"/>
      <c r="X90" s="87"/>
      <c r="Y90" s="87"/>
      <c r="Z90" s="87"/>
      <c r="AA90" s="87"/>
    </row>
    <row r="91">
      <c r="A91" s="90" t="s">
        <v>488</v>
      </c>
      <c r="B91" s="90" t="s">
        <v>489</v>
      </c>
      <c r="C91" s="87"/>
      <c r="D91" s="90" t="s">
        <v>488</v>
      </c>
      <c r="E91" s="86" t="s">
        <v>175</v>
      </c>
      <c r="F91" s="87"/>
      <c r="G91" s="87"/>
      <c r="H91" s="87"/>
      <c r="I91" s="87"/>
      <c r="J91" s="87"/>
      <c r="K91" s="87"/>
      <c r="L91" s="87"/>
      <c r="M91" s="87"/>
      <c r="N91" s="87"/>
      <c r="O91" s="87"/>
      <c r="P91" s="87"/>
      <c r="Q91" s="87"/>
      <c r="R91" s="87"/>
      <c r="S91" s="87"/>
      <c r="T91" s="87"/>
      <c r="U91" s="87"/>
      <c r="V91" s="87"/>
      <c r="W91" s="87"/>
      <c r="X91" s="87"/>
      <c r="Y91" s="87"/>
      <c r="Z91" s="87"/>
      <c r="AA91" s="87"/>
    </row>
    <row r="92">
      <c r="A92" s="90" t="s">
        <v>492</v>
      </c>
      <c r="B92" s="90" t="s">
        <v>493</v>
      </c>
      <c r="C92" s="87"/>
      <c r="D92" s="90" t="s">
        <v>492</v>
      </c>
      <c r="E92" s="86" t="s">
        <v>175</v>
      </c>
      <c r="F92" s="87"/>
      <c r="G92" s="87"/>
      <c r="H92" s="87"/>
      <c r="I92" s="87"/>
      <c r="J92" s="87"/>
      <c r="K92" s="87"/>
      <c r="L92" s="87"/>
      <c r="M92" s="87"/>
      <c r="N92" s="87"/>
      <c r="O92" s="87"/>
      <c r="P92" s="87"/>
      <c r="Q92" s="87"/>
      <c r="R92" s="87"/>
      <c r="S92" s="87"/>
      <c r="T92" s="87"/>
      <c r="U92" s="87"/>
      <c r="V92" s="87"/>
      <c r="W92" s="87"/>
      <c r="X92" s="87"/>
      <c r="Y92" s="87"/>
      <c r="Z92" s="87"/>
      <c r="AA92" s="87"/>
    </row>
    <row r="93">
      <c r="A93" s="90" t="s">
        <v>494</v>
      </c>
      <c r="B93" s="90" t="s">
        <v>495</v>
      </c>
      <c r="C93" s="87"/>
      <c r="D93" s="90" t="s">
        <v>494</v>
      </c>
      <c r="E93" s="86" t="s">
        <v>175</v>
      </c>
      <c r="F93" s="87"/>
      <c r="G93" s="87"/>
      <c r="H93" s="87"/>
      <c r="I93" s="87"/>
      <c r="J93" s="87"/>
      <c r="K93" s="87"/>
      <c r="L93" s="87"/>
      <c r="M93" s="87"/>
      <c r="N93" s="87"/>
      <c r="O93" s="87"/>
      <c r="P93" s="87"/>
      <c r="Q93" s="87"/>
      <c r="R93" s="87"/>
      <c r="S93" s="87"/>
      <c r="T93" s="87"/>
      <c r="U93" s="87"/>
      <c r="V93" s="87"/>
      <c r="W93" s="87"/>
      <c r="X93" s="87"/>
      <c r="Y93" s="87"/>
      <c r="Z93" s="87"/>
      <c r="AA93" s="87"/>
    </row>
    <row r="94">
      <c r="A94" s="90" t="s">
        <v>498</v>
      </c>
      <c r="B94" s="90" t="s">
        <v>499</v>
      </c>
      <c r="C94" s="87"/>
      <c r="D94" s="90" t="s">
        <v>498</v>
      </c>
      <c r="E94" s="86" t="s">
        <v>175</v>
      </c>
      <c r="F94" s="87"/>
      <c r="G94" s="87"/>
      <c r="H94" s="87"/>
      <c r="I94" s="87"/>
      <c r="J94" s="87"/>
      <c r="K94" s="87"/>
      <c r="L94" s="87"/>
      <c r="M94" s="87"/>
      <c r="N94" s="87"/>
      <c r="O94" s="87"/>
      <c r="P94" s="87"/>
      <c r="Q94" s="87"/>
      <c r="R94" s="87"/>
      <c r="S94" s="87"/>
      <c r="T94" s="87"/>
      <c r="U94" s="87"/>
      <c r="V94" s="87"/>
      <c r="W94" s="87"/>
      <c r="X94" s="87"/>
      <c r="Y94" s="87"/>
      <c r="Z94" s="87"/>
      <c r="AA94" s="87"/>
    </row>
    <row r="95">
      <c r="A95" s="90" t="s">
        <v>500</v>
      </c>
      <c r="B95" s="90" t="s">
        <v>501</v>
      </c>
      <c r="C95" s="87"/>
      <c r="D95" s="90" t="s">
        <v>500</v>
      </c>
      <c r="E95" s="86" t="s">
        <v>175</v>
      </c>
      <c r="F95" s="87"/>
      <c r="G95" s="87"/>
      <c r="H95" s="87"/>
      <c r="I95" s="87"/>
      <c r="J95" s="87"/>
      <c r="K95" s="87"/>
      <c r="L95" s="87"/>
      <c r="M95" s="87"/>
      <c r="N95" s="87"/>
      <c r="O95" s="87"/>
      <c r="P95" s="87"/>
      <c r="Q95" s="87"/>
      <c r="R95" s="87"/>
      <c r="S95" s="87"/>
      <c r="T95" s="87"/>
      <c r="U95" s="87"/>
      <c r="V95" s="87"/>
      <c r="W95" s="87"/>
      <c r="X95" s="87"/>
      <c r="Y95" s="87"/>
      <c r="Z95" s="87"/>
      <c r="AA95" s="87"/>
    </row>
    <row r="96">
      <c r="A96" s="90" t="s">
        <v>505</v>
      </c>
      <c r="B96" s="90" t="s">
        <v>506</v>
      </c>
      <c r="C96" s="87"/>
      <c r="D96" s="90" t="s">
        <v>505</v>
      </c>
      <c r="E96" s="86" t="s">
        <v>175</v>
      </c>
      <c r="F96" s="87"/>
      <c r="G96" s="87"/>
      <c r="H96" s="87"/>
      <c r="I96" s="87"/>
      <c r="J96" s="87"/>
      <c r="K96" s="87"/>
      <c r="L96" s="87"/>
      <c r="M96" s="87"/>
      <c r="N96" s="87"/>
      <c r="O96" s="87"/>
      <c r="P96" s="87"/>
      <c r="Q96" s="87"/>
      <c r="R96" s="87"/>
      <c r="S96" s="87"/>
      <c r="T96" s="87"/>
      <c r="U96" s="87"/>
      <c r="V96" s="87"/>
      <c r="W96" s="87"/>
      <c r="X96" s="87"/>
      <c r="Y96" s="87"/>
      <c r="Z96" s="87"/>
      <c r="AA96" s="87"/>
    </row>
    <row r="97">
      <c r="A97" s="90" t="s">
        <v>508</v>
      </c>
      <c r="B97" s="90" t="s">
        <v>509</v>
      </c>
      <c r="C97" s="87"/>
      <c r="D97" s="90" t="s">
        <v>508</v>
      </c>
      <c r="E97" s="86" t="s">
        <v>175</v>
      </c>
      <c r="F97" s="87"/>
      <c r="G97" s="87"/>
      <c r="H97" s="87"/>
      <c r="I97" s="87"/>
      <c r="J97" s="87"/>
      <c r="K97" s="87"/>
      <c r="L97" s="87"/>
      <c r="M97" s="87"/>
      <c r="N97" s="87"/>
      <c r="O97" s="87"/>
      <c r="P97" s="87"/>
      <c r="Q97" s="87"/>
      <c r="R97" s="87"/>
      <c r="S97" s="87"/>
      <c r="T97" s="87"/>
      <c r="U97" s="87"/>
      <c r="V97" s="87"/>
      <c r="W97" s="87"/>
      <c r="X97" s="87"/>
      <c r="Y97" s="87"/>
      <c r="Z97" s="87"/>
      <c r="AA97" s="87"/>
    </row>
    <row r="98">
      <c r="A98" s="90" t="s">
        <v>512</v>
      </c>
      <c r="B98" s="90" t="s">
        <v>513</v>
      </c>
      <c r="C98" s="87"/>
      <c r="D98" s="90" t="s">
        <v>512</v>
      </c>
      <c r="E98" s="86" t="s">
        <v>175</v>
      </c>
      <c r="F98" s="87"/>
      <c r="G98" s="87"/>
      <c r="H98" s="87"/>
      <c r="I98" s="87"/>
      <c r="J98" s="87"/>
      <c r="K98" s="87"/>
      <c r="L98" s="87"/>
      <c r="M98" s="87"/>
      <c r="N98" s="87"/>
      <c r="O98" s="87"/>
      <c r="P98" s="87"/>
      <c r="Q98" s="87"/>
      <c r="R98" s="87"/>
      <c r="S98" s="87"/>
      <c r="T98" s="87"/>
      <c r="U98" s="87"/>
      <c r="V98" s="87"/>
      <c r="W98" s="87"/>
      <c r="X98" s="87"/>
      <c r="Y98" s="87"/>
      <c r="Z98" s="87"/>
      <c r="AA98" s="87"/>
    </row>
    <row r="99">
      <c r="A99" s="90" t="s">
        <v>517</v>
      </c>
      <c r="B99" s="90" t="s">
        <v>518</v>
      </c>
      <c r="C99" s="87"/>
      <c r="D99" s="90" t="s">
        <v>517</v>
      </c>
      <c r="E99" s="86" t="s">
        <v>175</v>
      </c>
      <c r="F99" s="87"/>
      <c r="G99" s="87"/>
      <c r="H99" s="87"/>
      <c r="I99" s="87"/>
      <c r="J99" s="87"/>
      <c r="K99" s="87"/>
      <c r="L99" s="87"/>
      <c r="M99" s="87"/>
      <c r="N99" s="87"/>
      <c r="O99" s="87"/>
      <c r="P99" s="87"/>
      <c r="Q99" s="87"/>
      <c r="R99" s="87"/>
      <c r="S99" s="87"/>
      <c r="T99" s="87"/>
      <c r="U99" s="87"/>
      <c r="V99" s="87"/>
      <c r="W99" s="87"/>
      <c r="X99" s="87"/>
      <c r="Y99" s="87"/>
      <c r="Z99" s="87"/>
      <c r="AA99" s="87"/>
    </row>
    <row r="100">
      <c r="A100" s="90" t="s">
        <v>520</v>
      </c>
      <c r="B100" s="90" t="s">
        <v>521</v>
      </c>
      <c r="C100" s="87"/>
      <c r="D100" s="90" t="s">
        <v>520</v>
      </c>
      <c r="E100" s="86" t="s">
        <v>175</v>
      </c>
      <c r="F100" s="87"/>
      <c r="G100" s="87"/>
      <c r="H100" s="87"/>
      <c r="I100" s="87"/>
      <c r="J100" s="87"/>
      <c r="K100" s="87"/>
      <c r="L100" s="87"/>
      <c r="M100" s="87"/>
      <c r="N100" s="87"/>
      <c r="O100" s="87"/>
      <c r="P100" s="87"/>
      <c r="Q100" s="87"/>
      <c r="R100" s="87"/>
      <c r="S100" s="87"/>
      <c r="T100" s="87"/>
      <c r="U100" s="87"/>
      <c r="V100" s="87"/>
      <c r="W100" s="87"/>
      <c r="X100" s="87"/>
      <c r="Y100" s="87"/>
      <c r="Z100" s="87"/>
      <c r="AA100" s="87"/>
    </row>
    <row r="101">
      <c r="A101" s="90" t="s">
        <v>524</v>
      </c>
      <c r="B101" s="90" t="s">
        <v>525</v>
      </c>
      <c r="C101" s="87"/>
      <c r="D101" s="90" t="s">
        <v>524</v>
      </c>
      <c r="E101" s="86" t="s">
        <v>175</v>
      </c>
      <c r="F101" s="87"/>
      <c r="G101" s="87"/>
      <c r="H101" s="87"/>
      <c r="I101" s="87"/>
      <c r="J101" s="87"/>
      <c r="K101" s="87"/>
      <c r="L101" s="87"/>
      <c r="M101" s="87"/>
      <c r="N101" s="87"/>
      <c r="O101" s="87"/>
      <c r="P101" s="87"/>
      <c r="Q101" s="87"/>
      <c r="R101" s="87"/>
      <c r="S101" s="87"/>
      <c r="T101" s="87"/>
      <c r="U101" s="87"/>
      <c r="V101" s="87"/>
      <c r="W101" s="87"/>
      <c r="X101" s="87"/>
      <c r="Y101" s="87"/>
      <c r="Z101" s="87"/>
      <c r="AA101" s="87"/>
    </row>
    <row r="102">
      <c r="A102" s="90" t="s">
        <v>527</v>
      </c>
      <c r="B102" s="90" t="s">
        <v>528</v>
      </c>
      <c r="C102" s="87"/>
      <c r="D102" s="90" t="s">
        <v>527</v>
      </c>
      <c r="E102" s="86" t="s">
        <v>175</v>
      </c>
      <c r="F102" s="87"/>
      <c r="G102" s="87"/>
      <c r="H102" s="87"/>
      <c r="I102" s="87"/>
      <c r="J102" s="87"/>
      <c r="K102" s="87"/>
      <c r="L102" s="87"/>
      <c r="M102" s="87"/>
      <c r="N102" s="87"/>
      <c r="O102" s="87"/>
      <c r="P102" s="87"/>
      <c r="Q102" s="87"/>
      <c r="R102" s="87"/>
      <c r="S102" s="87"/>
      <c r="T102" s="87"/>
      <c r="U102" s="87"/>
      <c r="V102" s="87"/>
      <c r="W102" s="87"/>
      <c r="X102" s="87"/>
      <c r="Y102" s="87"/>
      <c r="Z102" s="87"/>
      <c r="AA102" s="87"/>
    </row>
    <row r="103">
      <c r="A103" s="90" t="s">
        <v>531</v>
      </c>
      <c r="B103" s="90" t="s">
        <v>532</v>
      </c>
      <c r="C103" s="87"/>
      <c r="D103" s="90" t="s">
        <v>531</v>
      </c>
      <c r="E103" s="86" t="s">
        <v>175</v>
      </c>
      <c r="F103" s="87"/>
      <c r="G103" s="87"/>
      <c r="H103" s="87"/>
      <c r="I103" s="87"/>
      <c r="J103" s="87"/>
      <c r="K103" s="87"/>
      <c r="L103" s="87"/>
      <c r="M103" s="87"/>
      <c r="N103" s="87"/>
      <c r="O103" s="87"/>
      <c r="P103" s="87"/>
      <c r="Q103" s="87"/>
      <c r="R103" s="87"/>
      <c r="S103" s="87"/>
      <c r="T103" s="87"/>
      <c r="U103" s="87"/>
      <c r="V103" s="87"/>
      <c r="W103" s="87"/>
      <c r="X103" s="87"/>
      <c r="Y103" s="87"/>
      <c r="Z103" s="87"/>
      <c r="AA103" s="87"/>
    </row>
    <row r="104">
      <c r="A104" s="90" t="s">
        <v>534</v>
      </c>
      <c r="B104" s="90" t="s">
        <v>536</v>
      </c>
      <c r="C104" s="87"/>
      <c r="D104" s="90" t="s">
        <v>534</v>
      </c>
      <c r="E104" s="86" t="s">
        <v>175</v>
      </c>
      <c r="F104" s="87"/>
      <c r="G104" s="87"/>
      <c r="H104" s="87"/>
      <c r="I104" s="87"/>
      <c r="J104" s="87"/>
      <c r="K104" s="87"/>
      <c r="L104" s="87"/>
      <c r="M104" s="87"/>
      <c r="N104" s="87"/>
      <c r="O104" s="87"/>
      <c r="P104" s="87"/>
      <c r="Q104" s="87"/>
      <c r="R104" s="87"/>
      <c r="S104" s="87"/>
      <c r="T104" s="87"/>
      <c r="U104" s="87"/>
      <c r="V104" s="87"/>
      <c r="W104" s="87"/>
      <c r="X104" s="87"/>
      <c r="Y104" s="87"/>
      <c r="Z104" s="87"/>
      <c r="AA104" s="87"/>
    </row>
    <row r="105">
      <c r="A105" s="90" t="s">
        <v>537</v>
      </c>
      <c r="B105" s="90" t="s">
        <v>538</v>
      </c>
      <c r="C105" s="87"/>
      <c r="D105" s="90" t="s">
        <v>537</v>
      </c>
      <c r="E105" s="86" t="s">
        <v>175</v>
      </c>
      <c r="F105" s="87"/>
      <c r="G105" s="87"/>
      <c r="H105" s="87"/>
      <c r="I105" s="87"/>
      <c r="J105" s="87"/>
      <c r="K105" s="87"/>
      <c r="L105" s="87"/>
      <c r="M105" s="87"/>
      <c r="N105" s="87"/>
      <c r="O105" s="87"/>
      <c r="P105" s="87"/>
      <c r="Q105" s="87"/>
      <c r="R105" s="87"/>
      <c r="S105" s="87"/>
      <c r="T105" s="87"/>
      <c r="U105" s="87"/>
      <c r="V105" s="87"/>
      <c r="W105" s="87"/>
      <c r="X105" s="87"/>
      <c r="Y105" s="87"/>
      <c r="Z105" s="87"/>
      <c r="AA105" s="87"/>
    </row>
    <row r="106">
      <c r="A106" s="90" t="s">
        <v>540</v>
      </c>
      <c r="B106" s="90" t="s">
        <v>541</v>
      </c>
      <c r="C106" s="87"/>
      <c r="D106" s="90" t="s">
        <v>540</v>
      </c>
      <c r="E106" s="86" t="s">
        <v>175</v>
      </c>
      <c r="F106" s="87"/>
      <c r="G106" s="87"/>
      <c r="H106" s="87"/>
      <c r="I106" s="87"/>
      <c r="J106" s="87"/>
      <c r="K106" s="87"/>
      <c r="L106" s="87"/>
      <c r="M106" s="87"/>
      <c r="N106" s="87"/>
      <c r="O106" s="87"/>
      <c r="P106" s="87"/>
      <c r="Q106" s="87"/>
      <c r="R106" s="87"/>
      <c r="S106" s="87"/>
      <c r="T106" s="87"/>
      <c r="U106" s="87"/>
      <c r="V106" s="87"/>
      <c r="W106" s="87"/>
      <c r="X106" s="87"/>
      <c r="Y106" s="87"/>
      <c r="Z106" s="87"/>
      <c r="AA106" s="87"/>
    </row>
    <row r="107">
      <c r="A107" s="90" t="s">
        <v>544</v>
      </c>
      <c r="B107" s="90" t="s">
        <v>545</v>
      </c>
      <c r="C107" s="87"/>
      <c r="D107" s="90" t="s">
        <v>544</v>
      </c>
      <c r="E107" s="86" t="s">
        <v>175</v>
      </c>
      <c r="F107" s="87"/>
      <c r="G107" s="87"/>
      <c r="H107" s="87"/>
      <c r="I107" s="87"/>
      <c r="J107" s="87"/>
      <c r="K107" s="87"/>
      <c r="L107" s="87"/>
      <c r="M107" s="87"/>
      <c r="N107" s="87"/>
      <c r="O107" s="87"/>
      <c r="P107" s="87"/>
      <c r="Q107" s="87"/>
      <c r="R107" s="87"/>
      <c r="S107" s="87"/>
      <c r="T107" s="87"/>
      <c r="U107" s="87"/>
      <c r="V107" s="87"/>
      <c r="W107" s="87"/>
      <c r="X107" s="87"/>
      <c r="Y107" s="87"/>
      <c r="Z107" s="87"/>
      <c r="AA107" s="87"/>
    </row>
    <row r="108">
      <c r="A108" s="90" t="s">
        <v>548</v>
      </c>
      <c r="B108" s="90" t="s">
        <v>549</v>
      </c>
      <c r="C108" s="87"/>
      <c r="D108" s="90" t="s">
        <v>548</v>
      </c>
      <c r="E108" s="86" t="s">
        <v>175</v>
      </c>
      <c r="F108" s="87"/>
      <c r="G108" s="87"/>
      <c r="H108" s="87"/>
      <c r="I108" s="87"/>
      <c r="J108" s="87"/>
      <c r="K108" s="87"/>
      <c r="L108" s="87"/>
      <c r="M108" s="87"/>
      <c r="N108" s="87"/>
      <c r="O108" s="87"/>
      <c r="P108" s="87"/>
      <c r="Q108" s="87"/>
      <c r="R108" s="87"/>
      <c r="S108" s="87"/>
      <c r="T108" s="87"/>
      <c r="U108" s="87"/>
      <c r="V108" s="87"/>
      <c r="W108" s="87"/>
      <c r="X108" s="87"/>
      <c r="Y108" s="87"/>
      <c r="Z108" s="87"/>
      <c r="AA108" s="87"/>
    </row>
    <row r="109">
      <c r="A109" s="90" t="s">
        <v>552</v>
      </c>
      <c r="B109" s="90" t="s">
        <v>553</v>
      </c>
      <c r="C109" s="87"/>
      <c r="D109" s="90" t="s">
        <v>552</v>
      </c>
      <c r="E109" s="86" t="s">
        <v>175</v>
      </c>
      <c r="F109" s="87"/>
      <c r="G109" s="87"/>
      <c r="H109" s="87"/>
      <c r="I109" s="87"/>
      <c r="J109" s="87"/>
      <c r="K109" s="87"/>
      <c r="L109" s="87"/>
      <c r="M109" s="87"/>
      <c r="N109" s="87"/>
      <c r="O109" s="87"/>
      <c r="P109" s="87"/>
      <c r="Q109" s="87"/>
      <c r="R109" s="87"/>
      <c r="S109" s="87"/>
      <c r="T109" s="87"/>
      <c r="U109" s="87"/>
      <c r="V109" s="87"/>
      <c r="W109" s="87"/>
      <c r="X109" s="87"/>
      <c r="Y109" s="87"/>
      <c r="Z109" s="87"/>
      <c r="AA109" s="87"/>
    </row>
    <row r="110">
      <c r="A110" s="90" t="s">
        <v>555</v>
      </c>
      <c r="B110" s="90" t="s">
        <v>556</v>
      </c>
      <c r="C110" s="87"/>
      <c r="D110" s="90" t="s">
        <v>555</v>
      </c>
      <c r="E110" s="86" t="s">
        <v>175</v>
      </c>
      <c r="F110" s="87"/>
      <c r="G110" s="87"/>
      <c r="H110" s="87"/>
      <c r="I110" s="87"/>
      <c r="J110" s="87"/>
      <c r="K110" s="87"/>
      <c r="L110" s="87"/>
      <c r="M110" s="87"/>
      <c r="N110" s="87"/>
      <c r="O110" s="87"/>
      <c r="P110" s="87"/>
      <c r="Q110" s="87"/>
      <c r="R110" s="87"/>
      <c r="S110" s="87"/>
      <c r="T110" s="87"/>
      <c r="U110" s="87"/>
      <c r="V110" s="87"/>
      <c r="W110" s="87"/>
      <c r="X110" s="87"/>
      <c r="Y110" s="87"/>
      <c r="Z110" s="87"/>
      <c r="AA110" s="87"/>
    </row>
    <row r="111">
      <c r="A111" s="90" t="s">
        <v>560</v>
      </c>
      <c r="B111" s="90" t="s">
        <v>561</v>
      </c>
      <c r="C111" s="87"/>
      <c r="D111" s="90" t="s">
        <v>560</v>
      </c>
      <c r="E111" s="86" t="s">
        <v>175</v>
      </c>
      <c r="F111" s="87"/>
      <c r="G111" s="87"/>
      <c r="H111" s="87"/>
      <c r="I111" s="87"/>
      <c r="J111" s="87"/>
      <c r="K111" s="87"/>
      <c r="L111" s="87"/>
      <c r="M111" s="87"/>
      <c r="N111" s="87"/>
      <c r="O111" s="87"/>
      <c r="P111" s="87"/>
      <c r="Q111" s="87"/>
      <c r="R111" s="87"/>
      <c r="S111" s="87"/>
      <c r="T111" s="87"/>
      <c r="U111" s="87"/>
      <c r="V111" s="87"/>
      <c r="W111" s="87"/>
      <c r="X111" s="87"/>
      <c r="Y111" s="87"/>
      <c r="Z111" s="87"/>
      <c r="AA111" s="87"/>
    </row>
    <row r="112">
      <c r="A112" s="90" t="s">
        <v>564</v>
      </c>
      <c r="B112" s="90" t="s">
        <v>565</v>
      </c>
      <c r="C112" s="87"/>
      <c r="D112" s="90" t="s">
        <v>564</v>
      </c>
      <c r="E112" s="86" t="s">
        <v>175</v>
      </c>
      <c r="F112" s="87"/>
      <c r="G112" s="87"/>
      <c r="H112" s="87"/>
      <c r="I112" s="87"/>
      <c r="J112" s="87"/>
      <c r="K112" s="87"/>
      <c r="L112" s="87"/>
      <c r="M112" s="87"/>
      <c r="N112" s="87"/>
      <c r="O112" s="87"/>
      <c r="P112" s="87"/>
      <c r="Q112" s="87"/>
      <c r="R112" s="87"/>
      <c r="S112" s="87"/>
      <c r="T112" s="87"/>
      <c r="U112" s="87"/>
      <c r="V112" s="87"/>
      <c r="W112" s="87"/>
      <c r="X112" s="87"/>
      <c r="Y112" s="87"/>
      <c r="Z112" s="87"/>
      <c r="AA112" s="87"/>
    </row>
    <row r="113">
      <c r="A113" s="90" t="s">
        <v>568</v>
      </c>
      <c r="B113" s="90" t="s">
        <v>569</v>
      </c>
      <c r="C113" s="87"/>
      <c r="D113" s="90" t="s">
        <v>568</v>
      </c>
      <c r="E113" s="86" t="s">
        <v>175</v>
      </c>
      <c r="F113" s="87"/>
      <c r="G113" s="87"/>
      <c r="H113" s="87"/>
      <c r="I113" s="87"/>
      <c r="J113" s="87"/>
      <c r="K113" s="87"/>
      <c r="L113" s="87"/>
      <c r="M113" s="87"/>
      <c r="N113" s="87"/>
      <c r="O113" s="87"/>
      <c r="P113" s="87"/>
      <c r="Q113" s="87"/>
      <c r="R113" s="87"/>
      <c r="S113" s="87"/>
      <c r="T113" s="87"/>
      <c r="U113" s="87"/>
      <c r="V113" s="87"/>
      <c r="W113" s="87"/>
      <c r="X113" s="87"/>
      <c r="Y113" s="87"/>
      <c r="Z113" s="87"/>
      <c r="AA113" s="87"/>
    </row>
    <row r="114">
      <c r="A114" s="90" t="s">
        <v>571</v>
      </c>
      <c r="B114" s="90" t="s">
        <v>572</v>
      </c>
      <c r="C114" s="87"/>
      <c r="D114" s="90" t="s">
        <v>571</v>
      </c>
      <c r="E114" s="86" t="s">
        <v>175</v>
      </c>
      <c r="F114" s="87"/>
      <c r="G114" s="87"/>
      <c r="H114" s="87"/>
      <c r="I114" s="87"/>
      <c r="J114" s="87"/>
      <c r="K114" s="87"/>
      <c r="L114" s="87"/>
      <c r="M114" s="87"/>
      <c r="N114" s="87"/>
      <c r="O114" s="87"/>
      <c r="P114" s="87"/>
      <c r="Q114" s="87"/>
      <c r="R114" s="87"/>
      <c r="S114" s="87"/>
      <c r="T114" s="87"/>
      <c r="U114" s="87"/>
      <c r="V114" s="87"/>
      <c r="W114" s="87"/>
      <c r="X114" s="87"/>
      <c r="Y114" s="87"/>
      <c r="Z114" s="87"/>
      <c r="AA114" s="87"/>
    </row>
    <row r="115">
      <c r="A115" s="90" t="s">
        <v>575</v>
      </c>
      <c r="B115" s="90" t="s">
        <v>576</v>
      </c>
      <c r="C115" s="87"/>
      <c r="D115" s="90" t="s">
        <v>575</v>
      </c>
      <c r="E115" s="86" t="s">
        <v>175</v>
      </c>
      <c r="F115" s="87"/>
      <c r="G115" s="87"/>
      <c r="H115" s="87"/>
      <c r="I115" s="87"/>
      <c r="J115" s="87"/>
      <c r="K115" s="87"/>
      <c r="L115" s="87"/>
      <c r="M115" s="87"/>
      <c r="N115" s="87"/>
      <c r="O115" s="87"/>
      <c r="P115" s="87"/>
      <c r="Q115" s="87"/>
      <c r="R115" s="87"/>
      <c r="S115" s="87"/>
      <c r="T115" s="87"/>
      <c r="U115" s="87"/>
      <c r="V115" s="87"/>
      <c r="W115" s="87"/>
      <c r="X115" s="87"/>
      <c r="Y115" s="87"/>
      <c r="Z115" s="87"/>
      <c r="AA115" s="87"/>
    </row>
    <row r="116">
      <c r="A116" s="90" t="s">
        <v>577</v>
      </c>
      <c r="B116" s="90" t="s">
        <v>578</v>
      </c>
      <c r="C116" s="87"/>
      <c r="D116" s="90" t="s">
        <v>577</v>
      </c>
      <c r="E116" s="86" t="s">
        <v>175</v>
      </c>
      <c r="F116" s="87"/>
      <c r="G116" s="87"/>
      <c r="H116" s="87"/>
      <c r="I116" s="87"/>
      <c r="J116" s="87"/>
      <c r="K116" s="87"/>
      <c r="L116" s="87"/>
      <c r="M116" s="87"/>
      <c r="N116" s="87"/>
      <c r="O116" s="87"/>
      <c r="P116" s="87"/>
      <c r="Q116" s="87"/>
      <c r="R116" s="87"/>
      <c r="S116" s="87"/>
      <c r="T116" s="87"/>
      <c r="U116" s="87"/>
      <c r="V116" s="87"/>
      <c r="W116" s="87"/>
      <c r="X116" s="87"/>
      <c r="Y116" s="87"/>
      <c r="Z116" s="87"/>
      <c r="AA116" s="87"/>
    </row>
    <row r="117">
      <c r="A117" s="90" t="s">
        <v>581</v>
      </c>
      <c r="B117" s="90" t="s">
        <v>582</v>
      </c>
      <c r="C117" s="87"/>
      <c r="D117" s="90" t="s">
        <v>581</v>
      </c>
      <c r="E117" s="86" t="s">
        <v>175</v>
      </c>
      <c r="F117" s="87"/>
      <c r="G117" s="87"/>
      <c r="H117" s="87"/>
      <c r="I117" s="87"/>
      <c r="J117" s="87"/>
      <c r="K117" s="87"/>
      <c r="L117" s="87"/>
      <c r="M117" s="87"/>
      <c r="N117" s="87"/>
      <c r="O117" s="87"/>
      <c r="P117" s="87"/>
      <c r="Q117" s="87"/>
      <c r="R117" s="87"/>
      <c r="S117" s="87"/>
      <c r="T117" s="87"/>
      <c r="U117" s="87"/>
      <c r="V117" s="87"/>
      <c r="W117" s="87"/>
      <c r="X117" s="87"/>
      <c r="Y117" s="87"/>
      <c r="Z117" s="87"/>
      <c r="AA117" s="87"/>
    </row>
    <row r="118">
      <c r="A118" s="90" t="s">
        <v>583</v>
      </c>
      <c r="B118" s="90" t="s">
        <v>584</v>
      </c>
      <c r="C118" s="87"/>
      <c r="D118" s="90" t="s">
        <v>583</v>
      </c>
      <c r="E118" s="86" t="s">
        <v>175</v>
      </c>
      <c r="F118" s="87"/>
      <c r="G118" s="87"/>
      <c r="H118" s="87"/>
      <c r="I118" s="87"/>
      <c r="J118" s="87"/>
      <c r="K118" s="87"/>
      <c r="L118" s="87"/>
      <c r="M118" s="87"/>
      <c r="N118" s="87"/>
      <c r="O118" s="87"/>
      <c r="P118" s="87"/>
      <c r="Q118" s="87"/>
      <c r="R118" s="87"/>
      <c r="S118" s="87"/>
      <c r="T118" s="87"/>
      <c r="U118" s="87"/>
      <c r="V118" s="87"/>
      <c r="W118" s="87"/>
      <c r="X118" s="87"/>
      <c r="Y118" s="87"/>
      <c r="Z118" s="87"/>
      <c r="AA118" s="87"/>
    </row>
    <row r="119">
      <c r="A119" s="90" t="s">
        <v>586</v>
      </c>
      <c r="B119" s="90" t="s">
        <v>587</v>
      </c>
      <c r="C119" s="87"/>
      <c r="D119" s="90" t="s">
        <v>586</v>
      </c>
      <c r="E119" s="86" t="s">
        <v>175</v>
      </c>
      <c r="F119" s="87"/>
      <c r="G119" s="87"/>
      <c r="H119" s="87"/>
      <c r="I119" s="87"/>
      <c r="J119" s="87"/>
      <c r="K119" s="87"/>
      <c r="L119" s="87"/>
      <c r="M119" s="87"/>
      <c r="N119" s="87"/>
      <c r="O119" s="87"/>
      <c r="P119" s="87"/>
      <c r="Q119" s="87"/>
      <c r="R119" s="87"/>
      <c r="S119" s="87"/>
      <c r="T119" s="87"/>
      <c r="U119" s="87"/>
      <c r="V119" s="87"/>
      <c r="W119" s="87"/>
      <c r="X119" s="87"/>
      <c r="Y119" s="87"/>
      <c r="Z119" s="87"/>
      <c r="AA119" s="87"/>
    </row>
    <row r="120">
      <c r="A120" s="90" t="s">
        <v>590</v>
      </c>
      <c r="B120" s="90" t="s">
        <v>591</v>
      </c>
      <c r="C120" s="87"/>
      <c r="D120" s="90" t="s">
        <v>590</v>
      </c>
      <c r="E120" s="86" t="s">
        <v>175</v>
      </c>
      <c r="F120" s="87"/>
      <c r="G120" s="87"/>
      <c r="H120" s="87"/>
      <c r="I120" s="87"/>
      <c r="J120" s="87"/>
      <c r="K120" s="87"/>
      <c r="L120" s="87"/>
      <c r="M120" s="87"/>
      <c r="N120" s="87"/>
      <c r="O120" s="87"/>
      <c r="P120" s="87"/>
      <c r="Q120" s="87"/>
      <c r="R120" s="87"/>
      <c r="S120" s="87"/>
      <c r="T120" s="87"/>
      <c r="U120" s="87"/>
      <c r="V120" s="87"/>
      <c r="W120" s="87"/>
      <c r="X120" s="87"/>
      <c r="Y120" s="87"/>
      <c r="Z120" s="87"/>
      <c r="AA120" s="87"/>
    </row>
    <row r="121">
      <c r="A121" s="90" t="s">
        <v>593</v>
      </c>
      <c r="B121" s="90" t="s">
        <v>594</v>
      </c>
      <c r="C121" s="87"/>
      <c r="D121" s="90" t="s">
        <v>593</v>
      </c>
      <c r="E121" s="86" t="s">
        <v>175</v>
      </c>
      <c r="F121" s="87"/>
      <c r="G121" s="87"/>
      <c r="H121" s="87"/>
      <c r="I121" s="87"/>
      <c r="J121" s="87"/>
      <c r="K121" s="87"/>
      <c r="L121" s="87"/>
      <c r="M121" s="87"/>
      <c r="N121" s="87"/>
      <c r="O121" s="87"/>
      <c r="P121" s="87"/>
      <c r="Q121" s="87"/>
      <c r="R121" s="87"/>
      <c r="S121" s="87"/>
      <c r="T121" s="87"/>
      <c r="U121" s="87"/>
      <c r="V121" s="87"/>
      <c r="W121" s="87"/>
      <c r="X121" s="87"/>
      <c r="Y121" s="87"/>
      <c r="Z121" s="87"/>
      <c r="AA121" s="87"/>
    </row>
    <row r="122">
      <c r="A122" s="90" t="s">
        <v>596</v>
      </c>
      <c r="B122" s="90" t="s">
        <v>597</v>
      </c>
      <c r="C122" s="87"/>
      <c r="D122" s="90" t="s">
        <v>596</v>
      </c>
      <c r="E122" s="86" t="s">
        <v>175</v>
      </c>
      <c r="F122" s="87"/>
      <c r="G122" s="87"/>
      <c r="H122" s="87"/>
      <c r="I122" s="87"/>
      <c r="J122" s="87"/>
      <c r="K122" s="87"/>
      <c r="L122" s="87"/>
      <c r="M122" s="87"/>
      <c r="N122" s="87"/>
      <c r="O122" s="87"/>
      <c r="P122" s="87"/>
      <c r="Q122" s="87"/>
      <c r="R122" s="87"/>
      <c r="S122" s="87"/>
      <c r="T122" s="87"/>
      <c r="U122" s="87"/>
      <c r="V122" s="87"/>
      <c r="W122" s="87"/>
      <c r="X122" s="87"/>
      <c r="Y122" s="87"/>
      <c r="Z122" s="87"/>
      <c r="AA122" s="87"/>
    </row>
    <row r="123">
      <c r="A123" s="90" t="s">
        <v>600</v>
      </c>
      <c r="B123" s="90" t="s">
        <v>601</v>
      </c>
      <c r="C123" s="87"/>
      <c r="D123" s="90" t="s">
        <v>600</v>
      </c>
      <c r="E123" s="86" t="s">
        <v>175</v>
      </c>
      <c r="F123" s="87"/>
      <c r="G123" s="87"/>
      <c r="H123" s="87"/>
      <c r="I123" s="87"/>
      <c r="J123" s="87"/>
      <c r="K123" s="87"/>
      <c r="L123" s="87"/>
      <c r="M123" s="87"/>
      <c r="N123" s="87"/>
      <c r="O123" s="87"/>
      <c r="P123" s="87"/>
      <c r="Q123" s="87"/>
      <c r="R123" s="87"/>
      <c r="S123" s="87"/>
      <c r="T123" s="87"/>
      <c r="U123" s="87"/>
      <c r="V123" s="87"/>
      <c r="W123" s="87"/>
      <c r="X123" s="87"/>
      <c r="Y123" s="87"/>
      <c r="Z123" s="87"/>
      <c r="AA123" s="87"/>
    </row>
    <row r="124">
      <c r="A124" s="90" t="s">
        <v>604</v>
      </c>
      <c r="B124" s="90" t="s">
        <v>605</v>
      </c>
      <c r="C124" s="87"/>
      <c r="D124" s="90" t="s">
        <v>604</v>
      </c>
      <c r="E124" s="86" t="s">
        <v>175</v>
      </c>
      <c r="F124" s="87"/>
      <c r="G124" s="87"/>
      <c r="H124" s="87"/>
      <c r="I124" s="87"/>
      <c r="J124" s="87"/>
      <c r="K124" s="87"/>
      <c r="L124" s="87"/>
      <c r="M124" s="87"/>
      <c r="N124" s="87"/>
      <c r="O124" s="87"/>
      <c r="P124" s="87"/>
      <c r="Q124" s="87"/>
      <c r="R124" s="87"/>
      <c r="S124" s="87"/>
      <c r="T124" s="87"/>
      <c r="U124" s="87"/>
      <c r="V124" s="87"/>
      <c r="W124" s="87"/>
      <c r="X124" s="87"/>
      <c r="Y124" s="87"/>
      <c r="Z124" s="87"/>
      <c r="AA124" s="87"/>
    </row>
    <row r="125">
      <c r="A125" s="90" t="s">
        <v>606</v>
      </c>
      <c r="B125" s="90" t="s">
        <v>607</v>
      </c>
      <c r="C125" s="87"/>
      <c r="D125" s="90" t="s">
        <v>606</v>
      </c>
      <c r="E125" s="86" t="s">
        <v>175</v>
      </c>
      <c r="F125" s="87"/>
      <c r="G125" s="87"/>
      <c r="H125" s="87"/>
      <c r="I125" s="87"/>
      <c r="J125" s="87"/>
      <c r="K125" s="87"/>
      <c r="L125" s="87"/>
      <c r="M125" s="87"/>
      <c r="N125" s="87"/>
      <c r="O125" s="87"/>
      <c r="P125" s="87"/>
      <c r="Q125" s="87"/>
      <c r="R125" s="87"/>
      <c r="S125" s="87"/>
      <c r="T125" s="87"/>
      <c r="U125" s="87"/>
      <c r="V125" s="87"/>
      <c r="W125" s="87"/>
      <c r="X125" s="87"/>
      <c r="Y125" s="87"/>
      <c r="Z125" s="87"/>
      <c r="AA125" s="87"/>
    </row>
    <row r="126">
      <c r="A126" s="90" t="s">
        <v>609</v>
      </c>
      <c r="B126" s="90" t="s">
        <v>610</v>
      </c>
      <c r="C126" s="87"/>
      <c r="D126" s="90" t="s">
        <v>609</v>
      </c>
      <c r="E126" s="86" t="s">
        <v>175</v>
      </c>
      <c r="F126" s="87"/>
      <c r="G126" s="87"/>
      <c r="H126" s="87"/>
      <c r="I126" s="87"/>
      <c r="J126" s="87"/>
      <c r="K126" s="87"/>
      <c r="L126" s="87"/>
      <c r="M126" s="87"/>
      <c r="N126" s="87"/>
      <c r="O126" s="87"/>
      <c r="P126" s="87"/>
      <c r="Q126" s="87"/>
      <c r="R126" s="87"/>
      <c r="S126" s="87"/>
      <c r="T126" s="87"/>
      <c r="U126" s="87"/>
      <c r="V126" s="87"/>
      <c r="W126" s="87"/>
      <c r="X126" s="87"/>
      <c r="Y126" s="87"/>
      <c r="Z126" s="87"/>
      <c r="AA126" s="87"/>
    </row>
    <row r="127">
      <c r="A127" s="90" t="s">
        <v>613</v>
      </c>
      <c r="B127" s="90" t="s">
        <v>614</v>
      </c>
      <c r="C127" s="87"/>
      <c r="D127" s="90" t="s">
        <v>613</v>
      </c>
      <c r="E127" s="86" t="s">
        <v>175</v>
      </c>
      <c r="F127" s="87"/>
      <c r="G127" s="87"/>
      <c r="H127" s="87"/>
      <c r="I127" s="87"/>
      <c r="J127" s="87"/>
      <c r="K127" s="87"/>
      <c r="L127" s="87"/>
      <c r="M127" s="87"/>
      <c r="N127" s="87"/>
      <c r="O127" s="87"/>
      <c r="P127" s="87"/>
      <c r="Q127" s="87"/>
      <c r="R127" s="87"/>
      <c r="S127" s="87"/>
      <c r="T127" s="87"/>
      <c r="U127" s="87"/>
      <c r="V127" s="87"/>
      <c r="W127" s="87"/>
      <c r="X127" s="87"/>
      <c r="Y127" s="87"/>
      <c r="Z127" s="87"/>
      <c r="AA127" s="87"/>
    </row>
    <row r="128">
      <c r="A128" s="90" t="s">
        <v>617</v>
      </c>
      <c r="B128" s="90" t="s">
        <v>618</v>
      </c>
      <c r="C128" s="87"/>
      <c r="D128" s="90" t="s">
        <v>617</v>
      </c>
      <c r="E128" s="86" t="s">
        <v>175</v>
      </c>
      <c r="F128" s="87"/>
      <c r="G128" s="87"/>
      <c r="H128" s="87"/>
      <c r="I128" s="87"/>
      <c r="J128" s="87"/>
      <c r="K128" s="87"/>
      <c r="L128" s="87"/>
      <c r="M128" s="87"/>
      <c r="N128" s="87"/>
      <c r="O128" s="87"/>
      <c r="P128" s="87"/>
      <c r="Q128" s="87"/>
      <c r="R128" s="87"/>
      <c r="S128" s="87"/>
      <c r="T128" s="87"/>
      <c r="U128" s="87"/>
      <c r="V128" s="87"/>
      <c r="W128" s="87"/>
      <c r="X128" s="87"/>
      <c r="Y128" s="87"/>
      <c r="Z128" s="87"/>
      <c r="AA128" s="87"/>
    </row>
    <row r="129">
      <c r="A129" s="90" t="s">
        <v>621</v>
      </c>
      <c r="B129" s="90" t="s">
        <v>622</v>
      </c>
      <c r="C129" s="87"/>
      <c r="D129" s="90" t="s">
        <v>621</v>
      </c>
      <c r="E129" s="86" t="s">
        <v>175</v>
      </c>
      <c r="F129" s="87"/>
      <c r="G129" s="87"/>
      <c r="H129" s="87"/>
      <c r="I129" s="87"/>
      <c r="J129" s="87"/>
      <c r="K129" s="87"/>
      <c r="L129" s="87"/>
      <c r="M129" s="87"/>
      <c r="N129" s="87"/>
      <c r="O129" s="87"/>
      <c r="P129" s="87"/>
      <c r="Q129" s="87"/>
      <c r="R129" s="87"/>
      <c r="S129" s="87"/>
      <c r="T129" s="87"/>
      <c r="U129" s="87"/>
      <c r="V129" s="87"/>
      <c r="W129" s="87"/>
      <c r="X129" s="87"/>
      <c r="Y129" s="87"/>
      <c r="Z129" s="87"/>
      <c r="AA129" s="87"/>
    </row>
    <row r="130">
      <c r="A130" s="90" t="s">
        <v>625</v>
      </c>
      <c r="B130" s="90" t="s">
        <v>626</v>
      </c>
      <c r="C130" s="87"/>
      <c r="D130" s="90" t="s">
        <v>625</v>
      </c>
      <c r="E130" s="86" t="s">
        <v>175</v>
      </c>
      <c r="F130" s="87"/>
      <c r="G130" s="87"/>
      <c r="H130" s="87"/>
      <c r="I130" s="87"/>
      <c r="J130" s="87"/>
      <c r="K130" s="87"/>
      <c r="L130" s="87"/>
      <c r="M130" s="87"/>
      <c r="N130" s="87"/>
      <c r="O130" s="87"/>
      <c r="P130" s="87"/>
      <c r="Q130" s="87"/>
      <c r="R130" s="87"/>
      <c r="S130" s="87"/>
      <c r="T130" s="87"/>
      <c r="U130" s="87"/>
      <c r="V130" s="87"/>
      <c r="W130" s="87"/>
      <c r="X130" s="87"/>
      <c r="Y130" s="87"/>
      <c r="Z130" s="87"/>
      <c r="AA130" s="87"/>
    </row>
    <row r="131">
      <c r="A131" s="90" t="s">
        <v>628</v>
      </c>
      <c r="B131" s="90" t="s">
        <v>629</v>
      </c>
      <c r="C131" s="87"/>
      <c r="D131" s="90" t="s">
        <v>628</v>
      </c>
      <c r="E131" s="86" t="s">
        <v>175</v>
      </c>
      <c r="F131" s="87"/>
      <c r="G131" s="87"/>
      <c r="H131" s="87"/>
      <c r="I131" s="87"/>
      <c r="J131" s="87"/>
      <c r="K131" s="87"/>
      <c r="L131" s="87"/>
      <c r="M131" s="87"/>
      <c r="N131" s="87"/>
      <c r="O131" s="87"/>
      <c r="P131" s="87"/>
      <c r="Q131" s="87"/>
      <c r="R131" s="87"/>
      <c r="S131" s="87"/>
      <c r="T131" s="87"/>
      <c r="U131" s="87"/>
      <c r="V131" s="87"/>
      <c r="W131" s="87"/>
      <c r="X131" s="87"/>
      <c r="Y131" s="87"/>
      <c r="Z131" s="87"/>
      <c r="AA131" s="87"/>
    </row>
    <row r="132">
      <c r="A132" s="90" t="s">
        <v>632</v>
      </c>
      <c r="B132" s="90" t="s">
        <v>633</v>
      </c>
      <c r="C132" s="87"/>
      <c r="D132" s="90" t="s">
        <v>632</v>
      </c>
      <c r="E132" s="86" t="s">
        <v>175</v>
      </c>
      <c r="F132" s="87"/>
      <c r="G132" s="87"/>
      <c r="H132" s="87"/>
      <c r="I132" s="87"/>
      <c r="J132" s="87"/>
      <c r="K132" s="87"/>
      <c r="L132" s="87"/>
      <c r="M132" s="87"/>
      <c r="N132" s="87"/>
      <c r="O132" s="87"/>
      <c r="P132" s="87"/>
      <c r="Q132" s="87"/>
      <c r="R132" s="87"/>
      <c r="S132" s="87"/>
      <c r="T132" s="87"/>
      <c r="U132" s="87"/>
      <c r="V132" s="87"/>
      <c r="W132" s="87"/>
      <c r="X132" s="87"/>
      <c r="Y132" s="87"/>
      <c r="Z132" s="87"/>
      <c r="AA132" s="87"/>
    </row>
    <row r="133">
      <c r="A133" s="90" t="s">
        <v>634</v>
      </c>
      <c r="B133" s="90" t="s">
        <v>635</v>
      </c>
      <c r="C133" s="87"/>
      <c r="D133" s="90" t="s">
        <v>634</v>
      </c>
      <c r="E133" s="86" t="s">
        <v>175</v>
      </c>
      <c r="F133" s="87"/>
      <c r="G133" s="87"/>
      <c r="H133" s="87"/>
      <c r="I133" s="87"/>
      <c r="J133" s="87"/>
      <c r="K133" s="87"/>
      <c r="L133" s="87"/>
      <c r="M133" s="87"/>
      <c r="N133" s="87"/>
      <c r="O133" s="87"/>
      <c r="P133" s="87"/>
      <c r="Q133" s="87"/>
      <c r="R133" s="87"/>
      <c r="S133" s="87"/>
      <c r="T133" s="87"/>
      <c r="U133" s="87"/>
      <c r="V133" s="87"/>
      <c r="W133" s="87"/>
      <c r="X133" s="87"/>
      <c r="Y133" s="87"/>
      <c r="Z133" s="87"/>
      <c r="AA133" s="87"/>
    </row>
    <row r="134">
      <c r="A134" s="90" t="s">
        <v>640</v>
      </c>
      <c r="B134" s="90" t="s">
        <v>641</v>
      </c>
      <c r="C134" s="87"/>
      <c r="D134" s="90" t="s">
        <v>640</v>
      </c>
      <c r="E134" s="86" t="s">
        <v>175</v>
      </c>
      <c r="F134" s="87"/>
      <c r="G134" s="87"/>
      <c r="H134" s="87"/>
      <c r="I134" s="87"/>
      <c r="J134" s="87"/>
      <c r="K134" s="87"/>
      <c r="L134" s="87"/>
      <c r="M134" s="87"/>
      <c r="N134" s="87"/>
      <c r="O134" s="87"/>
      <c r="P134" s="87"/>
      <c r="Q134" s="87"/>
      <c r="R134" s="87"/>
      <c r="S134" s="87"/>
      <c r="T134" s="87"/>
      <c r="U134" s="87"/>
      <c r="V134" s="87"/>
      <c r="W134" s="87"/>
      <c r="X134" s="87"/>
      <c r="Y134" s="87"/>
      <c r="Z134" s="87"/>
      <c r="AA134" s="87"/>
    </row>
    <row r="135">
      <c r="A135" s="90" t="s">
        <v>642</v>
      </c>
      <c r="B135" s="90" t="s">
        <v>643</v>
      </c>
      <c r="C135" s="87"/>
      <c r="D135" s="90" t="s">
        <v>642</v>
      </c>
      <c r="E135" s="86" t="s">
        <v>175</v>
      </c>
      <c r="F135" s="87"/>
      <c r="G135" s="87"/>
      <c r="H135" s="87"/>
      <c r="I135" s="87"/>
      <c r="J135" s="87"/>
      <c r="K135" s="87"/>
      <c r="L135" s="87"/>
      <c r="M135" s="87"/>
      <c r="N135" s="87"/>
      <c r="O135" s="87"/>
      <c r="P135" s="87"/>
      <c r="Q135" s="87"/>
      <c r="R135" s="87"/>
      <c r="S135" s="87"/>
      <c r="T135" s="87"/>
      <c r="U135" s="87"/>
      <c r="V135" s="87"/>
      <c r="W135" s="87"/>
      <c r="X135" s="87"/>
      <c r="Y135" s="87"/>
      <c r="Z135" s="87"/>
      <c r="AA135" s="87"/>
    </row>
    <row r="136">
      <c r="A136" s="90" t="s">
        <v>646</v>
      </c>
      <c r="B136" s="90" t="s">
        <v>647</v>
      </c>
      <c r="C136" s="87"/>
      <c r="D136" s="90" t="s">
        <v>646</v>
      </c>
      <c r="E136" s="86" t="s">
        <v>175</v>
      </c>
      <c r="F136" s="87"/>
      <c r="G136" s="87"/>
      <c r="H136" s="87"/>
      <c r="I136" s="87"/>
      <c r="J136" s="87"/>
      <c r="K136" s="87"/>
      <c r="L136" s="87"/>
      <c r="M136" s="87"/>
      <c r="N136" s="87"/>
      <c r="O136" s="87"/>
      <c r="P136" s="87"/>
      <c r="Q136" s="87"/>
      <c r="R136" s="87"/>
      <c r="S136" s="87"/>
      <c r="T136" s="87"/>
      <c r="U136" s="87"/>
      <c r="V136" s="87"/>
      <c r="W136" s="87"/>
      <c r="X136" s="87"/>
      <c r="Y136" s="87"/>
      <c r="Z136" s="87"/>
      <c r="AA136" s="87"/>
    </row>
    <row r="137">
      <c r="A137" s="90" t="s">
        <v>649</v>
      </c>
      <c r="B137" s="90" t="s">
        <v>651</v>
      </c>
      <c r="C137" s="87"/>
      <c r="D137" s="90" t="s">
        <v>649</v>
      </c>
      <c r="E137" s="86" t="s">
        <v>175</v>
      </c>
      <c r="F137" s="87"/>
      <c r="G137" s="87"/>
      <c r="H137" s="87"/>
      <c r="I137" s="87"/>
      <c r="J137" s="87"/>
      <c r="K137" s="87"/>
      <c r="L137" s="87"/>
      <c r="M137" s="87"/>
      <c r="N137" s="87"/>
      <c r="O137" s="87"/>
      <c r="P137" s="87"/>
      <c r="Q137" s="87"/>
      <c r="R137" s="87"/>
      <c r="S137" s="87"/>
      <c r="T137" s="87"/>
      <c r="U137" s="87"/>
      <c r="V137" s="87"/>
      <c r="W137" s="87"/>
      <c r="X137" s="87"/>
      <c r="Y137" s="87"/>
      <c r="Z137" s="87"/>
      <c r="AA137" s="87"/>
    </row>
    <row r="138">
      <c r="A138" s="90" t="s">
        <v>653</v>
      </c>
      <c r="B138" s="90" t="s">
        <v>655</v>
      </c>
      <c r="C138" s="87"/>
      <c r="D138" s="90" t="s">
        <v>653</v>
      </c>
      <c r="E138" s="86" t="s">
        <v>175</v>
      </c>
      <c r="F138" s="87"/>
      <c r="G138" s="87"/>
      <c r="H138" s="87"/>
      <c r="I138" s="87"/>
      <c r="J138" s="87"/>
      <c r="K138" s="87"/>
      <c r="L138" s="87"/>
      <c r="M138" s="87"/>
      <c r="N138" s="87"/>
      <c r="O138" s="87"/>
      <c r="P138" s="87"/>
      <c r="Q138" s="87"/>
      <c r="R138" s="87"/>
      <c r="S138" s="87"/>
      <c r="T138" s="87"/>
      <c r="U138" s="87"/>
      <c r="V138" s="87"/>
      <c r="W138" s="87"/>
      <c r="X138" s="87"/>
      <c r="Y138" s="87"/>
      <c r="Z138" s="87"/>
      <c r="AA138" s="87"/>
    </row>
    <row r="139">
      <c r="A139" s="90" t="s">
        <v>656</v>
      </c>
      <c r="B139" s="90" t="s">
        <v>657</v>
      </c>
      <c r="C139" s="87"/>
      <c r="D139" s="90" t="s">
        <v>656</v>
      </c>
      <c r="E139" s="86" t="s">
        <v>175</v>
      </c>
      <c r="F139" s="87"/>
      <c r="G139" s="87"/>
      <c r="H139" s="87"/>
      <c r="I139" s="87"/>
      <c r="J139" s="87"/>
      <c r="K139" s="87"/>
      <c r="L139" s="87"/>
      <c r="M139" s="87"/>
      <c r="N139" s="87"/>
      <c r="O139" s="87"/>
      <c r="P139" s="87"/>
      <c r="Q139" s="87"/>
      <c r="R139" s="87"/>
      <c r="S139" s="87"/>
      <c r="T139" s="87"/>
      <c r="U139" s="87"/>
      <c r="V139" s="87"/>
      <c r="W139" s="87"/>
      <c r="X139" s="87"/>
      <c r="Y139" s="87"/>
      <c r="Z139" s="87"/>
      <c r="AA139" s="87"/>
    </row>
    <row r="140">
      <c r="A140" s="90" t="s">
        <v>658</v>
      </c>
      <c r="B140" s="90" t="s">
        <v>659</v>
      </c>
      <c r="C140" s="87"/>
      <c r="D140" s="90" t="s">
        <v>658</v>
      </c>
      <c r="E140" s="86" t="s">
        <v>175</v>
      </c>
      <c r="F140" s="87"/>
      <c r="G140" s="87"/>
      <c r="H140" s="87"/>
      <c r="I140" s="87"/>
      <c r="J140" s="87"/>
      <c r="K140" s="87"/>
      <c r="L140" s="87"/>
      <c r="M140" s="87"/>
      <c r="N140" s="87"/>
      <c r="O140" s="87"/>
      <c r="P140" s="87"/>
      <c r="Q140" s="87"/>
      <c r="R140" s="87"/>
      <c r="S140" s="87"/>
      <c r="T140" s="87"/>
      <c r="U140" s="87"/>
      <c r="V140" s="87"/>
      <c r="W140" s="87"/>
      <c r="X140" s="87"/>
      <c r="Y140" s="87"/>
      <c r="Z140" s="87"/>
      <c r="AA140" s="87"/>
    </row>
    <row r="141">
      <c r="A141" s="90" t="s">
        <v>661</v>
      </c>
      <c r="B141" s="90" t="s">
        <v>662</v>
      </c>
      <c r="C141" s="87"/>
      <c r="D141" s="90" t="s">
        <v>661</v>
      </c>
      <c r="E141" s="86" t="s">
        <v>175</v>
      </c>
      <c r="F141" s="87"/>
      <c r="G141" s="87"/>
      <c r="H141" s="87"/>
      <c r="I141" s="87"/>
      <c r="J141" s="87"/>
      <c r="K141" s="87"/>
      <c r="L141" s="87"/>
      <c r="M141" s="87"/>
      <c r="N141" s="87"/>
      <c r="O141" s="87"/>
      <c r="P141" s="87"/>
      <c r="Q141" s="87"/>
      <c r="R141" s="87"/>
      <c r="S141" s="87"/>
      <c r="T141" s="87"/>
      <c r="U141" s="87"/>
      <c r="V141" s="87"/>
      <c r="W141" s="87"/>
      <c r="X141" s="87"/>
      <c r="Y141" s="87"/>
      <c r="Z141" s="87"/>
      <c r="AA141" s="87"/>
    </row>
    <row r="142">
      <c r="A142" s="90" t="s">
        <v>665</v>
      </c>
      <c r="B142" s="90" t="s">
        <v>666</v>
      </c>
      <c r="C142" s="87"/>
      <c r="D142" s="90" t="s">
        <v>665</v>
      </c>
      <c r="E142" s="86" t="s">
        <v>175</v>
      </c>
      <c r="F142" s="87"/>
      <c r="G142" s="87"/>
      <c r="H142" s="87"/>
      <c r="I142" s="87"/>
      <c r="J142" s="87"/>
      <c r="K142" s="87"/>
      <c r="L142" s="87"/>
      <c r="M142" s="87"/>
      <c r="N142" s="87"/>
      <c r="O142" s="87"/>
      <c r="P142" s="87"/>
      <c r="Q142" s="87"/>
      <c r="R142" s="87"/>
      <c r="S142" s="87"/>
      <c r="T142" s="87"/>
      <c r="U142" s="87"/>
      <c r="V142" s="87"/>
      <c r="W142" s="87"/>
      <c r="X142" s="87"/>
      <c r="Y142" s="87"/>
      <c r="Z142" s="87"/>
      <c r="AA142" s="87"/>
    </row>
    <row r="143">
      <c r="A143" s="90" t="s">
        <v>669</v>
      </c>
      <c r="B143" s="90" t="s">
        <v>670</v>
      </c>
      <c r="C143" s="87"/>
      <c r="D143" s="90" t="s">
        <v>669</v>
      </c>
      <c r="E143" s="86" t="s">
        <v>175</v>
      </c>
      <c r="F143" s="87"/>
      <c r="G143" s="87"/>
      <c r="H143" s="87"/>
      <c r="I143" s="87"/>
      <c r="J143" s="87"/>
      <c r="K143" s="87"/>
      <c r="L143" s="87"/>
      <c r="M143" s="87"/>
      <c r="N143" s="87"/>
      <c r="O143" s="87"/>
      <c r="P143" s="87"/>
      <c r="Q143" s="87"/>
      <c r="R143" s="87"/>
      <c r="S143" s="87"/>
      <c r="T143" s="87"/>
      <c r="U143" s="87"/>
      <c r="V143" s="87"/>
      <c r="W143" s="87"/>
      <c r="X143" s="87"/>
      <c r="Y143" s="87"/>
      <c r="Z143" s="87"/>
      <c r="AA143" s="87"/>
    </row>
    <row r="144">
      <c r="A144" s="90" t="s">
        <v>672</v>
      </c>
      <c r="B144" s="90" t="s">
        <v>673</v>
      </c>
      <c r="C144" s="87"/>
      <c r="D144" s="90" t="s">
        <v>672</v>
      </c>
      <c r="E144" s="86" t="s">
        <v>175</v>
      </c>
      <c r="F144" s="87"/>
      <c r="G144" s="87"/>
      <c r="H144" s="87"/>
      <c r="I144" s="87"/>
      <c r="J144" s="87"/>
      <c r="K144" s="87"/>
      <c r="L144" s="87"/>
      <c r="M144" s="87"/>
      <c r="N144" s="87"/>
      <c r="O144" s="87"/>
      <c r="P144" s="87"/>
      <c r="Q144" s="87"/>
      <c r="R144" s="87"/>
      <c r="S144" s="87"/>
      <c r="T144" s="87"/>
      <c r="U144" s="87"/>
      <c r="V144" s="87"/>
      <c r="W144" s="87"/>
      <c r="X144" s="87"/>
      <c r="Y144" s="87"/>
      <c r="Z144" s="87"/>
      <c r="AA144" s="87"/>
    </row>
    <row r="145">
      <c r="A145" s="90" t="s">
        <v>675</v>
      </c>
      <c r="B145" s="90" t="s">
        <v>676</v>
      </c>
      <c r="C145" s="87"/>
      <c r="D145" s="90" t="s">
        <v>675</v>
      </c>
      <c r="E145" s="86" t="s">
        <v>175</v>
      </c>
      <c r="F145" s="87"/>
      <c r="G145" s="87"/>
      <c r="H145" s="87"/>
      <c r="I145" s="87"/>
      <c r="J145" s="87"/>
      <c r="K145" s="87"/>
      <c r="L145" s="87"/>
      <c r="M145" s="87"/>
      <c r="N145" s="87"/>
      <c r="O145" s="87"/>
      <c r="P145" s="87"/>
      <c r="Q145" s="87"/>
      <c r="R145" s="87"/>
      <c r="S145" s="87"/>
      <c r="T145" s="87"/>
      <c r="U145" s="87"/>
      <c r="V145" s="87"/>
      <c r="W145" s="87"/>
      <c r="X145" s="87"/>
      <c r="Y145" s="87"/>
      <c r="Z145" s="87"/>
      <c r="AA145" s="87"/>
    </row>
    <row r="146">
      <c r="A146" s="90" t="s">
        <v>679</v>
      </c>
      <c r="B146" s="90" t="s">
        <v>680</v>
      </c>
      <c r="C146" s="87"/>
      <c r="D146" s="90" t="s">
        <v>679</v>
      </c>
      <c r="E146" s="86" t="s">
        <v>175</v>
      </c>
      <c r="F146" s="87"/>
      <c r="G146" s="87"/>
      <c r="H146" s="87"/>
      <c r="I146" s="87"/>
      <c r="J146" s="87"/>
      <c r="K146" s="87"/>
      <c r="L146" s="87"/>
      <c r="M146" s="87"/>
      <c r="N146" s="87"/>
      <c r="O146" s="87"/>
      <c r="P146" s="87"/>
      <c r="Q146" s="87"/>
      <c r="R146" s="87"/>
      <c r="S146" s="87"/>
      <c r="T146" s="87"/>
      <c r="U146" s="87"/>
      <c r="V146" s="87"/>
      <c r="W146" s="87"/>
      <c r="X146" s="87"/>
      <c r="Y146" s="87"/>
      <c r="Z146" s="87"/>
      <c r="AA146" s="87"/>
    </row>
    <row r="147">
      <c r="A147" s="90" t="s">
        <v>683</v>
      </c>
      <c r="B147" s="90" t="s">
        <v>684</v>
      </c>
      <c r="C147" s="87"/>
      <c r="D147" s="90" t="s">
        <v>683</v>
      </c>
      <c r="E147" s="86" t="s">
        <v>175</v>
      </c>
      <c r="F147" s="87"/>
      <c r="G147" s="87"/>
      <c r="H147" s="87"/>
      <c r="I147" s="87"/>
      <c r="J147" s="87"/>
      <c r="K147" s="87"/>
      <c r="L147" s="87"/>
      <c r="M147" s="87"/>
      <c r="N147" s="87"/>
      <c r="O147" s="87"/>
      <c r="P147" s="87"/>
      <c r="Q147" s="87"/>
      <c r="R147" s="87"/>
      <c r="S147" s="87"/>
      <c r="T147" s="87"/>
      <c r="U147" s="87"/>
      <c r="V147" s="87"/>
      <c r="W147" s="87"/>
      <c r="X147" s="87"/>
      <c r="Y147" s="87"/>
      <c r="Z147" s="87"/>
      <c r="AA147" s="87"/>
    </row>
    <row r="148">
      <c r="A148" s="90" t="s">
        <v>685</v>
      </c>
      <c r="B148" s="90" t="s">
        <v>686</v>
      </c>
      <c r="C148" s="87"/>
      <c r="D148" s="90" t="s">
        <v>685</v>
      </c>
      <c r="E148" s="86" t="s">
        <v>175</v>
      </c>
      <c r="F148" s="87"/>
      <c r="G148" s="87"/>
      <c r="H148" s="87"/>
      <c r="I148" s="87"/>
      <c r="J148" s="87"/>
      <c r="K148" s="87"/>
      <c r="L148" s="87"/>
      <c r="M148" s="87"/>
      <c r="N148" s="87"/>
      <c r="O148" s="87"/>
      <c r="P148" s="87"/>
      <c r="Q148" s="87"/>
      <c r="R148" s="87"/>
      <c r="S148" s="87"/>
      <c r="T148" s="87"/>
      <c r="U148" s="87"/>
      <c r="V148" s="87"/>
      <c r="W148" s="87"/>
      <c r="X148" s="87"/>
      <c r="Y148" s="87"/>
      <c r="Z148" s="87"/>
      <c r="AA148" s="87"/>
    </row>
    <row r="149">
      <c r="A149" s="90" t="s">
        <v>688</v>
      </c>
      <c r="B149" s="90" t="s">
        <v>689</v>
      </c>
      <c r="C149" s="87"/>
      <c r="D149" s="90" t="s">
        <v>688</v>
      </c>
      <c r="E149" s="86" t="s">
        <v>175</v>
      </c>
      <c r="F149" s="87"/>
      <c r="G149" s="87"/>
      <c r="H149" s="87"/>
      <c r="I149" s="87"/>
      <c r="J149" s="87"/>
      <c r="K149" s="87"/>
      <c r="L149" s="87"/>
      <c r="M149" s="87"/>
      <c r="N149" s="87"/>
      <c r="O149" s="87"/>
      <c r="P149" s="87"/>
      <c r="Q149" s="87"/>
      <c r="R149" s="87"/>
      <c r="S149" s="87"/>
      <c r="T149" s="87"/>
      <c r="U149" s="87"/>
      <c r="V149" s="87"/>
      <c r="W149" s="87"/>
      <c r="X149" s="87"/>
      <c r="Y149" s="87"/>
      <c r="Z149" s="87"/>
      <c r="AA149" s="87"/>
    </row>
    <row r="150">
      <c r="A150" s="90" t="s">
        <v>692</v>
      </c>
      <c r="B150" s="90" t="s">
        <v>693</v>
      </c>
      <c r="C150" s="87"/>
      <c r="D150" s="90" t="s">
        <v>692</v>
      </c>
      <c r="E150" s="86" t="s">
        <v>175</v>
      </c>
      <c r="F150" s="87"/>
      <c r="G150" s="87"/>
      <c r="H150" s="87"/>
      <c r="I150" s="87"/>
      <c r="J150" s="87"/>
      <c r="K150" s="87"/>
      <c r="L150" s="87"/>
      <c r="M150" s="87"/>
      <c r="N150" s="87"/>
      <c r="O150" s="87"/>
      <c r="P150" s="87"/>
      <c r="Q150" s="87"/>
      <c r="R150" s="87"/>
      <c r="S150" s="87"/>
      <c r="T150" s="87"/>
      <c r="U150" s="87"/>
      <c r="V150" s="87"/>
      <c r="W150" s="87"/>
      <c r="X150" s="87"/>
      <c r="Y150" s="87"/>
      <c r="Z150" s="87"/>
      <c r="AA150" s="87"/>
    </row>
    <row r="151">
      <c r="A151" s="90" t="s">
        <v>694</v>
      </c>
      <c r="B151" s="90" t="s">
        <v>695</v>
      </c>
      <c r="C151" s="87"/>
      <c r="D151" s="90" t="s">
        <v>694</v>
      </c>
      <c r="E151" s="86" t="s">
        <v>175</v>
      </c>
      <c r="F151" s="87"/>
      <c r="G151" s="87"/>
      <c r="H151" s="87"/>
      <c r="I151" s="87"/>
      <c r="J151" s="87"/>
      <c r="K151" s="87"/>
      <c r="L151" s="87"/>
      <c r="M151" s="87"/>
      <c r="N151" s="87"/>
      <c r="O151" s="87"/>
      <c r="P151" s="87"/>
      <c r="Q151" s="87"/>
      <c r="R151" s="87"/>
      <c r="S151" s="87"/>
      <c r="T151" s="87"/>
      <c r="U151" s="87"/>
      <c r="V151" s="87"/>
      <c r="W151" s="87"/>
      <c r="X151" s="87"/>
      <c r="Y151" s="87"/>
      <c r="Z151" s="87"/>
      <c r="AA151" s="87"/>
    </row>
    <row r="152">
      <c r="A152" s="90" t="s">
        <v>696</v>
      </c>
      <c r="B152" s="90" t="s">
        <v>697</v>
      </c>
      <c r="C152" s="87"/>
      <c r="D152" s="90" t="s">
        <v>696</v>
      </c>
      <c r="E152" s="86" t="s">
        <v>175</v>
      </c>
      <c r="F152" s="87"/>
      <c r="G152" s="87"/>
      <c r="H152" s="87"/>
      <c r="I152" s="87"/>
      <c r="J152" s="87"/>
      <c r="K152" s="87"/>
      <c r="L152" s="87"/>
      <c r="M152" s="87"/>
      <c r="N152" s="87"/>
      <c r="O152" s="87"/>
      <c r="P152" s="87"/>
      <c r="Q152" s="87"/>
      <c r="R152" s="87"/>
      <c r="S152" s="87"/>
      <c r="T152" s="87"/>
      <c r="U152" s="87"/>
      <c r="V152" s="87"/>
      <c r="W152" s="87"/>
      <c r="X152" s="87"/>
      <c r="Y152" s="87"/>
      <c r="Z152" s="87"/>
      <c r="AA152" s="87"/>
    </row>
    <row r="153">
      <c r="A153" s="90" t="s">
        <v>699</v>
      </c>
      <c r="B153" s="90" t="s">
        <v>700</v>
      </c>
      <c r="C153" s="87"/>
      <c r="D153" s="90" t="s">
        <v>699</v>
      </c>
      <c r="E153" s="86" t="s">
        <v>175</v>
      </c>
      <c r="F153" s="87"/>
      <c r="G153" s="87"/>
      <c r="H153" s="87"/>
      <c r="I153" s="87"/>
      <c r="J153" s="87"/>
      <c r="K153" s="87"/>
      <c r="L153" s="87"/>
      <c r="M153" s="87"/>
      <c r="N153" s="87"/>
      <c r="O153" s="87"/>
      <c r="P153" s="87"/>
      <c r="Q153" s="87"/>
      <c r="R153" s="87"/>
      <c r="S153" s="87"/>
      <c r="T153" s="87"/>
      <c r="U153" s="87"/>
      <c r="V153" s="87"/>
      <c r="W153" s="87"/>
      <c r="X153" s="87"/>
      <c r="Y153" s="87"/>
      <c r="Z153" s="87"/>
      <c r="AA153" s="87"/>
    </row>
    <row r="154">
      <c r="A154" s="90" t="s">
        <v>703</v>
      </c>
      <c r="B154" s="90" t="s">
        <v>704</v>
      </c>
      <c r="C154" s="87"/>
      <c r="D154" s="90" t="s">
        <v>703</v>
      </c>
      <c r="E154" s="86" t="s">
        <v>175</v>
      </c>
      <c r="F154" s="87"/>
      <c r="G154" s="87"/>
      <c r="H154" s="87"/>
      <c r="I154" s="87"/>
      <c r="J154" s="87"/>
      <c r="K154" s="87"/>
      <c r="L154" s="87"/>
      <c r="M154" s="87"/>
      <c r="N154" s="87"/>
      <c r="O154" s="87"/>
      <c r="P154" s="87"/>
      <c r="Q154" s="87"/>
      <c r="R154" s="87"/>
      <c r="S154" s="87"/>
      <c r="T154" s="87"/>
      <c r="U154" s="87"/>
      <c r="V154" s="87"/>
      <c r="W154" s="87"/>
      <c r="X154" s="87"/>
      <c r="Y154" s="87"/>
      <c r="Z154" s="87"/>
      <c r="AA154" s="87"/>
    </row>
    <row r="155">
      <c r="A155" s="90" t="s">
        <v>706</v>
      </c>
      <c r="B155" s="90" t="s">
        <v>708</v>
      </c>
      <c r="C155" s="87"/>
      <c r="D155" s="90" t="s">
        <v>706</v>
      </c>
      <c r="E155" s="86" t="s">
        <v>175</v>
      </c>
      <c r="F155" s="87"/>
      <c r="G155" s="87"/>
      <c r="H155" s="87"/>
      <c r="I155" s="87"/>
      <c r="J155" s="87"/>
      <c r="K155" s="87"/>
      <c r="L155" s="87"/>
      <c r="M155" s="87"/>
      <c r="N155" s="87"/>
      <c r="O155" s="87"/>
      <c r="P155" s="87"/>
      <c r="Q155" s="87"/>
      <c r="R155" s="87"/>
      <c r="S155" s="87"/>
      <c r="T155" s="87"/>
      <c r="U155" s="87"/>
      <c r="V155" s="87"/>
      <c r="W155" s="87"/>
      <c r="X155" s="87"/>
      <c r="Y155" s="87"/>
      <c r="Z155" s="87"/>
      <c r="AA155" s="87"/>
    </row>
    <row r="156">
      <c r="A156" s="90" t="s">
        <v>709</v>
      </c>
      <c r="B156" s="90" t="s">
        <v>710</v>
      </c>
      <c r="C156" s="87"/>
      <c r="D156" s="90" t="s">
        <v>709</v>
      </c>
      <c r="E156" s="86" t="s">
        <v>175</v>
      </c>
      <c r="F156" s="87"/>
      <c r="G156" s="87"/>
      <c r="H156" s="87"/>
      <c r="I156" s="87"/>
      <c r="J156" s="87"/>
      <c r="K156" s="87"/>
      <c r="L156" s="87"/>
      <c r="M156" s="87"/>
      <c r="N156" s="87"/>
      <c r="O156" s="87"/>
      <c r="P156" s="87"/>
      <c r="Q156" s="87"/>
      <c r="R156" s="87"/>
      <c r="S156" s="87"/>
      <c r="T156" s="87"/>
      <c r="U156" s="87"/>
      <c r="V156" s="87"/>
      <c r="W156" s="87"/>
      <c r="X156" s="87"/>
      <c r="Y156" s="87"/>
      <c r="Z156" s="87"/>
      <c r="AA156" s="87"/>
    </row>
    <row r="157">
      <c r="A157" s="90" t="s">
        <v>712</v>
      </c>
      <c r="B157" s="90" t="s">
        <v>713</v>
      </c>
      <c r="C157" s="87"/>
      <c r="D157" s="90" t="s">
        <v>712</v>
      </c>
      <c r="E157" s="86" t="s">
        <v>175</v>
      </c>
      <c r="F157" s="87"/>
      <c r="G157" s="87"/>
      <c r="H157" s="87"/>
      <c r="I157" s="87"/>
      <c r="J157" s="87"/>
      <c r="K157" s="87"/>
      <c r="L157" s="87"/>
      <c r="M157" s="87"/>
      <c r="N157" s="87"/>
      <c r="O157" s="87"/>
      <c r="P157" s="87"/>
      <c r="Q157" s="87"/>
      <c r="R157" s="87"/>
      <c r="S157" s="87"/>
      <c r="T157" s="87"/>
      <c r="U157" s="87"/>
      <c r="V157" s="87"/>
      <c r="W157" s="87"/>
      <c r="X157" s="87"/>
      <c r="Y157" s="87"/>
      <c r="Z157" s="87"/>
      <c r="AA157" s="87"/>
    </row>
    <row r="158">
      <c r="A158" s="90" t="s">
        <v>715</v>
      </c>
      <c r="B158" s="90" t="s">
        <v>716</v>
      </c>
      <c r="C158" s="87"/>
      <c r="D158" s="90" t="s">
        <v>715</v>
      </c>
      <c r="E158" s="86" t="s">
        <v>175</v>
      </c>
      <c r="F158" s="87"/>
      <c r="G158" s="87"/>
      <c r="H158" s="87"/>
      <c r="I158" s="87"/>
      <c r="J158" s="87"/>
      <c r="K158" s="87"/>
      <c r="L158" s="87"/>
      <c r="M158" s="87"/>
      <c r="N158" s="87"/>
      <c r="O158" s="87"/>
      <c r="P158" s="87"/>
      <c r="Q158" s="87"/>
      <c r="R158" s="87"/>
      <c r="S158" s="87"/>
      <c r="T158" s="87"/>
      <c r="U158" s="87"/>
      <c r="V158" s="87"/>
      <c r="W158" s="87"/>
      <c r="X158" s="87"/>
      <c r="Y158" s="87"/>
      <c r="Z158" s="87"/>
      <c r="AA158" s="87"/>
    </row>
    <row r="159">
      <c r="A159" s="90" t="s">
        <v>718</v>
      </c>
      <c r="B159" s="90" t="s">
        <v>719</v>
      </c>
      <c r="C159" s="87"/>
      <c r="D159" s="90" t="s">
        <v>718</v>
      </c>
      <c r="E159" s="86" t="s">
        <v>175</v>
      </c>
      <c r="F159" s="87"/>
      <c r="G159" s="87"/>
      <c r="H159" s="87"/>
      <c r="I159" s="87"/>
      <c r="J159" s="87"/>
      <c r="K159" s="87"/>
      <c r="L159" s="87"/>
      <c r="M159" s="87"/>
      <c r="N159" s="87"/>
      <c r="O159" s="87"/>
      <c r="P159" s="87"/>
      <c r="Q159" s="87"/>
      <c r="R159" s="87"/>
      <c r="S159" s="87"/>
      <c r="T159" s="87"/>
      <c r="U159" s="87"/>
      <c r="V159" s="87"/>
      <c r="W159" s="87"/>
      <c r="X159" s="87"/>
      <c r="Y159" s="87"/>
      <c r="Z159" s="87"/>
      <c r="AA159" s="87"/>
    </row>
    <row r="160">
      <c r="A160" s="90" t="s">
        <v>722</v>
      </c>
      <c r="B160" s="90" t="s">
        <v>723</v>
      </c>
      <c r="C160" s="87"/>
      <c r="D160" s="90" t="s">
        <v>722</v>
      </c>
      <c r="E160" s="86" t="s">
        <v>175</v>
      </c>
      <c r="F160" s="87"/>
      <c r="G160" s="87"/>
      <c r="H160" s="87"/>
      <c r="I160" s="87"/>
      <c r="J160" s="87"/>
      <c r="K160" s="87"/>
      <c r="L160" s="87"/>
      <c r="M160" s="87"/>
      <c r="N160" s="87"/>
      <c r="O160" s="87"/>
      <c r="P160" s="87"/>
      <c r="Q160" s="87"/>
      <c r="R160" s="87"/>
      <c r="S160" s="87"/>
      <c r="T160" s="87"/>
      <c r="U160" s="87"/>
      <c r="V160" s="87"/>
      <c r="W160" s="87"/>
      <c r="X160" s="87"/>
      <c r="Y160" s="87"/>
      <c r="Z160" s="87"/>
      <c r="AA160" s="87"/>
    </row>
    <row r="161">
      <c r="A161" s="90" t="s">
        <v>724</v>
      </c>
      <c r="B161" s="90" t="s">
        <v>725</v>
      </c>
      <c r="C161" s="87"/>
      <c r="D161" s="90" t="s">
        <v>724</v>
      </c>
      <c r="E161" s="86" t="s">
        <v>175</v>
      </c>
      <c r="F161" s="87"/>
      <c r="G161" s="87"/>
      <c r="H161" s="87"/>
      <c r="I161" s="87"/>
      <c r="J161" s="87"/>
      <c r="K161" s="87"/>
      <c r="L161" s="87"/>
      <c r="M161" s="87"/>
      <c r="N161" s="87"/>
      <c r="O161" s="87"/>
      <c r="P161" s="87"/>
      <c r="Q161" s="87"/>
      <c r="R161" s="87"/>
      <c r="S161" s="87"/>
      <c r="T161" s="87"/>
      <c r="U161" s="87"/>
      <c r="V161" s="87"/>
      <c r="W161" s="87"/>
      <c r="X161" s="87"/>
      <c r="Y161" s="87"/>
      <c r="Z161" s="87"/>
      <c r="AA161" s="87"/>
    </row>
    <row r="162">
      <c r="A162" s="90" t="s">
        <v>726</v>
      </c>
      <c r="B162" s="90" t="s">
        <v>727</v>
      </c>
      <c r="C162" s="87"/>
      <c r="D162" s="90" t="s">
        <v>726</v>
      </c>
      <c r="E162" s="86" t="s">
        <v>175</v>
      </c>
      <c r="F162" s="87"/>
      <c r="G162" s="87"/>
      <c r="H162" s="87"/>
      <c r="I162" s="87"/>
      <c r="J162" s="87"/>
      <c r="K162" s="87"/>
      <c r="L162" s="87"/>
      <c r="M162" s="87"/>
      <c r="N162" s="87"/>
      <c r="O162" s="87"/>
      <c r="P162" s="87"/>
      <c r="Q162" s="87"/>
      <c r="R162" s="87"/>
      <c r="S162" s="87"/>
      <c r="T162" s="87"/>
      <c r="U162" s="87"/>
      <c r="V162" s="87"/>
      <c r="W162" s="87"/>
      <c r="X162" s="87"/>
      <c r="Y162" s="87"/>
      <c r="Z162" s="87"/>
      <c r="AA162" s="87"/>
    </row>
    <row r="163">
      <c r="A163" s="90" t="s">
        <v>729</v>
      </c>
      <c r="B163" s="90" t="s">
        <v>730</v>
      </c>
      <c r="C163" s="87"/>
      <c r="D163" s="90" t="s">
        <v>729</v>
      </c>
      <c r="E163" s="86" t="s">
        <v>175</v>
      </c>
      <c r="F163" s="87"/>
      <c r="G163" s="87"/>
      <c r="H163" s="87"/>
      <c r="I163" s="87"/>
      <c r="J163" s="87"/>
      <c r="K163" s="87"/>
      <c r="L163" s="87"/>
      <c r="M163" s="87"/>
      <c r="N163" s="87"/>
      <c r="O163" s="87"/>
      <c r="P163" s="87"/>
      <c r="Q163" s="87"/>
      <c r="R163" s="87"/>
      <c r="S163" s="87"/>
      <c r="T163" s="87"/>
      <c r="U163" s="87"/>
      <c r="V163" s="87"/>
      <c r="W163" s="87"/>
      <c r="X163" s="87"/>
      <c r="Y163" s="87"/>
      <c r="Z163" s="87"/>
      <c r="AA163" s="87"/>
    </row>
    <row r="164">
      <c r="A164" s="90" t="s">
        <v>731</v>
      </c>
      <c r="B164" s="90" t="s">
        <v>733</v>
      </c>
      <c r="C164" s="87"/>
      <c r="D164" s="90" t="s">
        <v>731</v>
      </c>
      <c r="E164" s="86" t="s">
        <v>175</v>
      </c>
      <c r="F164" s="87"/>
      <c r="G164" s="87"/>
      <c r="H164" s="87"/>
      <c r="I164" s="87"/>
      <c r="J164" s="87"/>
      <c r="K164" s="87"/>
      <c r="L164" s="87"/>
      <c r="M164" s="87"/>
      <c r="N164" s="87"/>
      <c r="O164" s="87"/>
      <c r="P164" s="87"/>
      <c r="Q164" s="87"/>
      <c r="R164" s="87"/>
      <c r="S164" s="87"/>
      <c r="T164" s="87"/>
      <c r="U164" s="87"/>
      <c r="V164" s="87"/>
      <c r="W164" s="87"/>
      <c r="X164" s="87"/>
      <c r="Y164" s="87"/>
      <c r="Z164" s="87"/>
      <c r="AA164" s="87"/>
    </row>
    <row r="165">
      <c r="A165" s="90" t="s">
        <v>734</v>
      </c>
      <c r="B165" s="90" t="s">
        <v>735</v>
      </c>
      <c r="C165" s="87"/>
      <c r="D165" s="90" t="s">
        <v>734</v>
      </c>
      <c r="E165" s="86" t="s">
        <v>175</v>
      </c>
      <c r="F165" s="87"/>
      <c r="G165" s="87"/>
      <c r="H165" s="87"/>
      <c r="I165" s="87"/>
      <c r="J165" s="87"/>
      <c r="K165" s="87"/>
      <c r="L165" s="87"/>
      <c r="M165" s="87"/>
      <c r="N165" s="87"/>
      <c r="O165" s="87"/>
      <c r="P165" s="87"/>
      <c r="Q165" s="87"/>
      <c r="R165" s="87"/>
      <c r="S165" s="87"/>
      <c r="T165" s="87"/>
      <c r="U165" s="87"/>
      <c r="V165" s="87"/>
      <c r="W165" s="87"/>
      <c r="X165" s="87"/>
      <c r="Y165" s="87"/>
      <c r="Z165" s="87"/>
      <c r="AA165" s="87"/>
    </row>
    <row r="166">
      <c r="A166" s="90" t="s">
        <v>736</v>
      </c>
      <c r="B166" s="90" t="s">
        <v>737</v>
      </c>
      <c r="C166" s="87"/>
      <c r="D166" s="90" t="s">
        <v>736</v>
      </c>
      <c r="E166" s="86" t="s">
        <v>175</v>
      </c>
      <c r="F166" s="87"/>
      <c r="G166" s="87"/>
      <c r="H166" s="87"/>
      <c r="I166" s="87"/>
      <c r="J166" s="87"/>
      <c r="K166" s="87"/>
      <c r="L166" s="87"/>
      <c r="M166" s="87"/>
      <c r="N166" s="87"/>
      <c r="O166" s="87"/>
      <c r="P166" s="87"/>
      <c r="Q166" s="87"/>
      <c r="R166" s="87"/>
      <c r="S166" s="87"/>
      <c r="T166" s="87"/>
      <c r="U166" s="87"/>
      <c r="V166" s="87"/>
      <c r="W166" s="87"/>
      <c r="X166" s="87"/>
      <c r="Y166" s="87"/>
      <c r="Z166" s="87"/>
      <c r="AA166" s="87"/>
    </row>
    <row r="167">
      <c r="A167" s="90" t="s">
        <v>739</v>
      </c>
      <c r="B167" s="90" t="s">
        <v>740</v>
      </c>
      <c r="C167" s="87"/>
      <c r="D167" s="90" t="s">
        <v>739</v>
      </c>
      <c r="E167" s="86" t="s">
        <v>175</v>
      </c>
      <c r="F167" s="87"/>
      <c r="G167" s="87"/>
      <c r="H167" s="87"/>
      <c r="I167" s="87"/>
      <c r="J167" s="87"/>
      <c r="K167" s="87"/>
      <c r="L167" s="87"/>
      <c r="M167" s="87"/>
      <c r="N167" s="87"/>
      <c r="O167" s="87"/>
      <c r="P167" s="87"/>
      <c r="Q167" s="87"/>
      <c r="R167" s="87"/>
      <c r="S167" s="87"/>
      <c r="T167" s="87"/>
      <c r="U167" s="87"/>
      <c r="V167" s="87"/>
      <c r="W167" s="87"/>
      <c r="X167" s="87"/>
      <c r="Y167" s="87"/>
      <c r="Z167" s="87"/>
      <c r="AA167" s="87"/>
    </row>
    <row r="168">
      <c r="A168" s="90" t="s">
        <v>743</v>
      </c>
      <c r="B168" s="90" t="s">
        <v>744</v>
      </c>
      <c r="C168" s="87"/>
      <c r="D168" s="90" t="s">
        <v>743</v>
      </c>
      <c r="E168" s="86" t="s">
        <v>175</v>
      </c>
      <c r="F168" s="87"/>
      <c r="G168" s="87"/>
      <c r="H168" s="87"/>
      <c r="I168" s="87"/>
      <c r="J168" s="87"/>
      <c r="K168" s="87"/>
      <c r="L168" s="87"/>
      <c r="M168" s="87"/>
      <c r="N168" s="87"/>
      <c r="O168" s="87"/>
      <c r="P168" s="87"/>
      <c r="Q168" s="87"/>
      <c r="R168" s="87"/>
      <c r="S168" s="87"/>
      <c r="T168" s="87"/>
      <c r="U168" s="87"/>
      <c r="V168" s="87"/>
      <c r="W168" s="87"/>
      <c r="X168" s="87"/>
      <c r="Y168" s="87"/>
      <c r="Z168" s="87"/>
      <c r="AA168" s="87"/>
    </row>
    <row r="169">
      <c r="A169" s="90" t="s">
        <v>746</v>
      </c>
      <c r="B169" s="90" t="s">
        <v>748</v>
      </c>
      <c r="C169" s="87"/>
      <c r="D169" s="90" t="s">
        <v>746</v>
      </c>
      <c r="E169" s="86" t="s">
        <v>175</v>
      </c>
      <c r="F169" s="87"/>
      <c r="G169" s="87"/>
      <c r="H169" s="87"/>
      <c r="I169" s="87"/>
      <c r="J169" s="87"/>
      <c r="K169" s="87"/>
      <c r="L169" s="87"/>
      <c r="M169" s="87"/>
      <c r="N169" s="87"/>
      <c r="O169" s="87"/>
      <c r="P169" s="87"/>
      <c r="Q169" s="87"/>
      <c r="R169" s="87"/>
      <c r="S169" s="87"/>
      <c r="T169" s="87"/>
      <c r="U169" s="87"/>
      <c r="V169" s="87"/>
      <c r="W169" s="87"/>
      <c r="X169" s="87"/>
      <c r="Y169" s="87"/>
      <c r="Z169" s="87"/>
      <c r="AA169" s="87"/>
    </row>
    <row r="170">
      <c r="A170" s="90" t="s">
        <v>749</v>
      </c>
      <c r="B170" s="90" t="s">
        <v>750</v>
      </c>
      <c r="C170" s="87"/>
      <c r="D170" s="90" t="s">
        <v>749</v>
      </c>
      <c r="E170" s="86" t="s">
        <v>175</v>
      </c>
      <c r="F170" s="87"/>
      <c r="G170" s="87"/>
      <c r="H170" s="87"/>
      <c r="I170" s="87"/>
      <c r="J170" s="87"/>
      <c r="K170" s="87"/>
      <c r="L170" s="87"/>
      <c r="M170" s="87"/>
      <c r="N170" s="87"/>
      <c r="O170" s="87"/>
      <c r="P170" s="87"/>
      <c r="Q170" s="87"/>
      <c r="R170" s="87"/>
      <c r="S170" s="87"/>
      <c r="T170" s="87"/>
      <c r="U170" s="87"/>
      <c r="V170" s="87"/>
      <c r="W170" s="87"/>
      <c r="X170" s="87"/>
      <c r="Y170" s="87"/>
      <c r="Z170" s="87"/>
      <c r="AA170" s="87"/>
    </row>
    <row r="171">
      <c r="A171" s="90" t="s">
        <v>751</v>
      </c>
      <c r="B171" s="90" t="s">
        <v>752</v>
      </c>
      <c r="C171" s="87"/>
      <c r="D171" s="90" t="s">
        <v>751</v>
      </c>
      <c r="E171" s="86" t="s">
        <v>175</v>
      </c>
      <c r="F171" s="87"/>
      <c r="G171" s="87"/>
      <c r="H171" s="87"/>
      <c r="I171" s="87"/>
      <c r="J171" s="87"/>
      <c r="K171" s="87"/>
      <c r="L171" s="87"/>
      <c r="M171" s="87"/>
      <c r="N171" s="87"/>
      <c r="O171" s="87"/>
      <c r="P171" s="87"/>
      <c r="Q171" s="87"/>
      <c r="R171" s="87"/>
      <c r="S171" s="87"/>
      <c r="T171" s="87"/>
      <c r="U171" s="87"/>
      <c r="V171" s="87"/>
      <c r="W171" s="87"/>
      <c r="X171" s="87"/>
      <c r="Y171" s="87"/>
      <c r="Z171" s="87"/>
      <c r="AA171" s="87"/>
    </row>
    <row r="172">
      <c r="A172" s="90" t="s">
        <v>754</v>
      </c>
      <c r="B172" s="90" t="s">
        <v>755</v>
      </c>
      <c r="C172" s="87"/>
      <c r="D172" s="90" t="s">
        <v>754</v>
      </c>
      <c r="E172" s="86" t="s">
        <v>175</v>
      </c>
      <c r="F172" s="87"/>
      <c r="G172" s="87"/>
      <c r="H172" s="87"/>
      <c r="I172" s="87"/>
      <c r="J172" s="87"/>
      <c r="K172" s="87"/>
      <c r="L172" s="87"/>
      <c r="M172" s="87"/>
      <c r="N172" s="87"/>
      <c r="O172" s="87"/>
      <c r="P172" s="87"/>
      <c r="Q172" s="87"/>
      <c r="R172" s="87"/>
      <c r="S172" s="87"/>
      <c r="T172" s="87"/>
      <c r="U172" s="87"/>
      <c r="V172" s="87"/>
      <c r="W172" s="87"/>
      <c r="X172" s="87"/>
      <c r="Y172" s="87"/>
      <c r="Z172" s="87"/>
      <c r="AA172" s="87"/>
    </row>
    <row r="173">
      <c r="A173" s="90" t="s">
        <v>756</v>
      </c>
      <c r="B173" s="90" t="s">
        <v>757</v>
      </c>
      <c r="C173" s="87"/>
      <c r="D173" s="90" t="s">
        <v>756</v>
      </c>
      <c r="E173" s="86" t="s">
        <v>175</v>
      </c>
      <c r="F173" s="87"/>
      <c r="G173" s="87"/>
      <c r="H173" s="87"/>
      <c r="I173" s="87"/>
      <c r="J173" s="87"/>
      <c r="K173" s="87"/>
      <c r="L173" s="87"/>
      <c r="M173" s="87"/>
      <c r="N173" s="87"/>
      <c r="O173" s="87"/>
      <c r="P173" s="87"/>
      <c r="Q173" s="87"/>
      <c r="R173" s="87"/>
      <c r="S173" s="87"/>
      <c r="T173" s="87"/>
      <c r="U173" s="87"/>
      <c r="V173" s="87"/>
      <c r="W173" s="87"/>
      <c r="X173" s="87"/>
      <c r="Y173" s="87"/>
      <c r="Z173" s="87"/>
      <c r="AA173" s="87"/>
    </row>
    <row r="174">
      <c r="A174" s="90" t="s">
        <v>759</v>
      </c>
      <c r="B174" s="90" t="s">
        <v>760</v>
      </c>
      <c r="C174" s="87"/>
      <c r="D174" s="90" t="s">
        <v>759</v>
      </c>
      <c r="E174" s="86" t="s">
        <v>175</v>
      </c>
      <c r="F174" s="87"/>
      <c r="G174" s="87"/>
      <c r="H174" s="87"/>
      <c r="I174" s="87"/>
      <c r="J174" s="87"/>
      <c r="K174" s="87"/>
      <c r="L174" s="87"/>
      <c r="M174" s="87"/>
      <c r="N174" s="87"/>
      <c r="O174" s="87"/>
      <c r="P174" s="87"/>
      <c r="Q174" s="87"/>
      <c r="R174" s="87"/>
      <c r="S174" s="87"/>
      <c r="T174" s="87"/>
      <c r="U174" s="87"/>
      <c r="V174" s="87"/>
      <c r="W174" s="87"/>
      <c r="X174" s="87"/>
      <c r="Y174" s="87"/>
      <c r="Z174" s="87"/>
      <c r="AA174" s="87"/>
    </row>
    <row r="175">
      <c r="A175" s="90" t="s">
        <v>761</v>
      </c>
      <c r="B175" s="90" t="s">
        <v>762</v>
      </c>
      <c r="C175" s="87"/>
      <c r="D175" s="90" t="s">
        <v>761</v>
      </c>
      <c r="E175" s="86" t="s">
        <v>175</v>
      </c>
      <c r="F175" s="87"/>
      <c r="G175" s="87"/>
      <c r="H175" s="87"/>
      <c r="I175" s="87"/>
      <c r="J175" s="87"/>
      <c r="K175" s="87"/>
      <c r="L175" s="87"/>
      <c r="M175" s="87"/>
      <c r="N175" s="87"/>
      <c r="O175" s="87"/>
      <c r="P175" s="87"/>
      <c r="Q175" s="87"/>
      <c r="R175" s="87"/>
      <c r="S175" s="87"/>
      <c r="T175" s="87"/>
      <c r="U175" s="87"/>
      <c r="V175" s="87"/>
      <c r="W175" s="87"/>
      <c r="X175" s="87"/>
      <c r="Y175" s="87"/>
      <c r="Z175" s="87"/>
      <c r="AA175" s="87"/>
    </row>
    <row r="176">
      <c r="A176" s="90" t="s">
        <v>765</v>
      </c>
      <c r="B176" s="90" t="s">
        <v>766</v>
      </c>
      <c r="C176" s="87"/>
      <c r="D176" s="90" t="s">
        <v>765</v>
      </c>
      <c r="E176" s="86" t="s">
        <v>175</v>
      </c>
      <c r="F176" s="87"/>
      <c r="G176" s="87"/>
      <c r="H176" s="87"/>
      <c r="I176" s="87"/>
      <c r="J176" s="87"/>
      <c r="K176" s="87"/>
      <c r="L176" s="87"/>
      <c r="M176" s="87"/>
      <c r="N176" s="87"/>
      <c r="O176" s="87"/>
      <c r="P176" s="87"/>
      <c r="Q176" s="87"/>
      <c r="R176" s="87"/>
      <c r="S176" s="87"/>
      <c r="T176" s="87"/>
      <c r="U176" s="87"/>
      <c r="V176" s="87"/>
      <c r="W176" s="87"/>
      <c r="X176" s="87"/>
      <c r="Y176" s="87"/>
      <c r="Z176" s="87"/>
      <c r="AA176" s="87"/>
    </row>
    <row r="177">
      <c r="A177" s="90" t="s">
        <v>768</v>
      </c>
      <c r="B177" s="90" t="s">
        <v>769</v>
      </c>
      <c r="C177" s="87"/>
      <c r="D177" s="90" t="s">
        <v>768</v>
      </c>
      <c r="E177" s="86" t="s">
        <v>175</v>
      </c>
      <c r="F177" s="87"/>
      <c r="G177" s="87"/>
      <c r="H177" s="87"/>
      <c r="I177" s="87"/>
      <c r="J177" s="87"/>
      <c r="K177" s="87"/>
      <c r="L177" s="87"/>
      <c r="M177" s="87"/>
      <c r="N177" s="87"/>
      <c r="O177" s="87"/>
      <c r="P177" s="87"/>
      <c r="Q177" s="87"/>
      <c r="R177" s="87"/>
      <c r="S177" s="87"/>
      <c r="T177" s="87"/>
      <c r="U177" s="87"/>
      <c r="V177" s="87"/>
      <c r="W177" s="87"/>
      <c r="X177" s="87"/>
      <c r="Y177" s="87"/>
      <c r="Z177" s="87"/>
      <c r="AA177" s="87"/>
    </row>
    <row r="178">
      <c r="A178" s="90" t="s">
        <v>771</v>
      </c>
      <c r="B178" s="90" t="s">
        <v>772</v>
      </c>
      <c r="C178" s="87"/>
      <c r="D178" s="90" t="s">
        <v>771</v>
      </c>
      <c r="E178" s="86" t="s">
        <v>175</v>
      </c>
      <c r="F178" s="87"/>
      <c r="G178" s="87"/>
      <c r="H178" s="87"/>
      <c r="I178" s="87"/>
      <c r="J178" s="87"/>
      <c r="K178" s="87"/>
      <c r="L178" s="87"/>
      <c r="M178" s="87"/>
      <c r="N178" s="87"/>
      <c r="O178" s="87"/>
      <c r="P178" s="87"/>
      <c r="Q178" s="87"/>
      <c r="R178" s="87"/>
      <c r="S178" s="87"/>
      <c r="T178" s="87"/>
      <c r="U178" s="87"/>
      <c r="V178" s="87"/>
      <c r="W178" s="87"/>
      <c r="X178" s="87"/>
      <c r="Y178" s="87"/>
      <c r="Z178" s="87"/>
      <c r="AA178" s="87"/>
    </row>
    <row r="179">
      <c r="A179" s="90" t="s">
        <v>773</v>
      </c>
      <c r="B179" s="90" t="s">
        <v>774</v>
      </c>
      <c r="C179" s="87"/>
      <c r="D179" s="90" t="s">
        <v>773</v>
      </c>
      <c r="E179" s="86" t="s">
        <v>175</v>
      </c>
      <c r="F179" s="87"/>
      <c r="G179" s="87"/>
      <c r="H179" s="87"/>
      <c r="I179" s="87"/>
      <c r="J179" s="87"/>
      <c r="K179" s="87"/>
      <c r="L179" s="87"/>
      <c r="M179" s="87"/>
      <c r="N179" s="87"/>
      <c r="O179" s="87"/>
      <c r="P179" s="87"/>
      <c r="Q179" s="87"/>
      <c r="R179" s="87"/>
      <c r="S179" s="87"/>
      <c r="T179" s="87"/>
      <c r="U179" s="87"/>
      <c r="V179" s="87"/>
      <c r="W179" s="87"/>
      <c r="X179" s="87"/>
      <c r="Y179" s="87"/>
      <c r="Z179" s="87"/>
      <c r="AA179" s="87"/>
    </row>
    <row r="180">
      <c r="A180" s="90" t="s">
        <v>775</v>
      </c>
      <c r="B180" s="90" t="s">
        <v>776</v>
      </c>
      <c r="C180" s="87"/>
      <c r="D180" s="90" t="s">
        <v>775</v>
      </c>
      <c r="E180" s="86" t="s">
        <v>175</v>
      </c>
      <c r="F180" s="87"/>
      <c r="G180" s="87"/>
      <c r="H180" s="87"/>
      <c r="I180" s="87"/>
      <c r="J180" s="87"/>
      <c r="K180" s="87"/>
      <c r="L180" s="87"/>
      <c r="M180" s="87"/>
      <c r="N180" s="87"/>
      <c r="O180" s="87"/>
      <c r="P180" s="87"/>
      <c r="Q180" s="87"/>
      <c r="R180" s="87"/>
      <c r="S180" s="87"/>
      <c r="T180" s="87"/>
      <c r="U180" s="87"/>
      <c r="V180" s="87"/>
      <c r="W180" s="87"/>
      <c r="X180" s="87"/>
      <c r="Y180" s="87"/>
      <c r="Z180" s="87"/>
      <c r="AA180" s="87"/>
    </row>
    <row r="181">
      <c r="A181" s="90" t="s">
        <v>777</v>
      </c>
      <c r="B181" s="90" t="s">
        <v>778</v>
      </c>
      <c r="C181" s="87"/>
      <c r="D181" s="90" t="s">
        <v>777</v>
      </c>
      <c r="E181" s="86" t="s">
        <v>175</v>
      </c>
      <c r="F181" s="87"/>
      <c r="G181" s="87"/>
      <c r="H181" s="87"/>
      <c r="I181" s="87"/>
      <c r="J181" s="87"/>
      <c r="K181" s="87"/>
      <c r="L181" s="87"/>
      <c r="M181" s="87"/>
      <c r="N181" s="87"/>
      <c r="O181" s="87"/>
      <c r="P181" s="87"/>
      <c r="Q181" s="87"/>
      <c r="R181" s="87"/>
      <c r="S181" s="87"/>
      <c r="T181" s="87"/>
      <c r="U181" s="87"/>
      <c r="V181" s="87"/>
      <c r="W181" s="87"/>
      <c r="X181" s="87"/>
      <c r="Y181" s="87"/>
      <c r="Z181" s="87"/>
      <c r="AA181" s="87"/>
    </row>
    <row r="182">
      <c r="A182" s="90" t="s">
        <v>779</v>
      </c>
      <c r="B182" s="90" t="s">
        <v>780</v>
      </c>
      <c r="C182" s="87"/>
      <c r="D182" s="90" t="s">
        <v>779</v>
      </c>
      <c r="E182" s="86" t="s">
        <v>175</v>
      </c>
      <c r="F182" s="87"/>
      <c r="G182" s="87"/>
      <c r="H182" s="87"/>
      <c r="I182" s="87"/>
      <c r="J182" s="87"/>
      <c r="K182" s="87"/>
      <c r="L182" s="87"/>
      <c r="M182" s="87"/>
      <c r="N182" s="87"/>
      <c r="O182" s="87"/>
      <c r="P182" s="87"/>
      <c r="Q182" s="87"/>
      <c r="R182" s="87"/>
      <c r="S182" s="87"/>
      <c r="T182" s="87"/>
      <c r="U182" s="87"/>
      <c r="V182" s="87"/>
      <c r="W182" s="87"/>
      <c r="X182" s="87"/>
      <c r="Y182" s="87"/>
      <c r="Z182" s="87"/>
      <c r="AA182" s="87"/>
    </row>
    <row r="183">
      <c r="A183" s="90" t="s">
        <v>781</v>
      </c>
      <c r="B183" s="90" t="s">
        <v>782</v>
      </c>
      <c r="C183" s="87"/>
      <c r="D183" s="90" t="s">
        <v>781</v>
      </c>
      <c r="E183" s="86" t="s">
        <v>175</v>
      </c>
      <c r="F183" s="87"/>
      <c r="G183" s="87"/>
      <c r="H183" s="87"/>
      <c r="I183" s="87"/>
      <c r="J183" s="87"/>
      <c r="K183" s="87"/>
      <c r="L183" s="87"/>
      <c r="M183" s="87"/>
      <c r="N183" s="87"/>
      <c r="O183" s="87"/>
      <c r="P183" s="87"/>
      <c r="Q183" s="87"/>
      <c r="R183" s="87"/>
      <c r="S183" s="87"/>
      <c r="T183" s="87"/>
      <c r="U183" s="87"/>
      <c r="V183" s="87"/>
      <c r="W183" s="87"/>
      <c r="X183" s="87"/>
      <c r="Y183" s="87"/>
      <c r="Z183" s="87"/>
      <c r="AA183" s="87"/>
    </row>
    <row r="184">
      <c r="A184" s="90" t="s">
        <v>783</v>
      </c>
      <c r="B184" s="90" t="s">
        <v>784</v>
      </c>
      <c r="C184" s="87"/>
      <c r="D184" s="90" t="s">
        <v>783</v>
      </c>
      <c r="E184" s="86" t="s">
        <v>175</v>
      </c>
      <c r="F184" s="87"/>
      <c r="G184" s="87"/>
      <c r="H184" s="87"/>
      <c r="I184" s="87"/>
      <c r="J184" s="87"/>
      <c r="K184" s="87"/>
      <c r="L184" s="87"/>
      <c r="M184" s="87"/>
      <c r="N184" s="87"/>
      <c r="O184" s="87"/>
      <c r="P184" s="87"/>
      <c r="Q184" s="87"/>
      <c r="R184" s="87"/>
      <c r="S184" s="87"/>
      <c r="T184" s="87"/>
      <c r="U184" s="87"/>
      <c r="V184" s="87"/>
      <c r="W184" s="87"/>
      <c r="X184" s="87"/>
      <c r="Y184" s="87"/>
      <c r="Z184" s="87"/>
      <c r="AA184" s="87"/>
    </row>
    <row r="185">
      <c r="A185" s="90" t="s">
        <v>785</v>
      </c>
      <c r="B185" s="90" t="s">
        <v>786</v>
      </c>
      <c r="C185" s="87"/>
      <c r="D185" s="90" t="s">
        <v>785</v>
      </c>
      <c r="E185" s="86" t="s">
        <v>175</v>
      </c>
      <c r="F185" s="87"/>
      <c r="G185" s="87"/>
      <c r="H185" s="87"/>
      <c r="I185" s="87"/>
      <c r="J185" s="87"/>
      <c r="K185" s="87"/>
      <c r="L185" s="87"/>
      <c r="M185" s="87"/>
      <c r="N185" s="87"/>
      <c r="O185" s="87"/>
      <c r="P185" s="87"/>
      <c r="Q185" s="87"/>
      <c r="R185" s="87"/>
      <c r="S185" s="87"/>
      <c r="T185" s="87"/>
      <c r="U185" s="87"/>
      <c r="V185" s="87"/>
      <c r="W185" s="87"/>
      <c r="X185" s="87"/>
      <c r="Y185" s="87"/>
      <c r="Z185" s="87"/>
      <c r="AA185" s="87"/>
    </row>
    <row r="186">
      <c r="A186" s="90" t="s">
        <v>788</v>
      </c>
      <c r="B186" s="90" t="s">
        <v>789</v>
      </c>
      <c r="C186" s="87"/>
      <c r="D186" s="90" t="s">
        <v>788</v>
      </c>
      <c r="E186" s="86" t="s">
        <v>175</v>
      </c>
      <c r="F186" s="87"/>
      <c r="G186" s="87"/>
      <c r="H186" s="87"/>
      <c r="I186" s="87"/>
      <c r="J186" s="87"/>
      <c r="K186" s="87"/>
      <c r="L186" s="87"/>
      <c r="M186" s="87"/>
      <c r="N186" s="87"/>
      <c r="O186" s="87"/>
      <c r="P186" s="87"/>
      <c r="Q186" s="87"/>
      <c r="R186" s="87"/>
      <c r="S186" s="87"/>
      <c r="T186" s="87"/>
      <c r="U186" s="87"/>
      <c r="V186" s="87"/>
      <c r="W186" s="87"/>
      <c r="X186" s="87"/>
      <c r="Y186" s="87"/>
      <c r="Z186" s="87"/>
      <c r="AA186" s="87"/>
    </row>
    <row r="187">
      <c r="A187" s="90" t="s">
        <v>790</v>
      </c>
      <c r="B187" s="90" t="s">
        <v>791</v>
      </c>
      <c r="C187" s="87"/>
      <c r="D187" s="90" t="s">
        <v>790</v>
      </c>
      <c r="E187" s="86" t="s">
        <v>175</v>
      </c>
      <c r="F187" s="87"/>
      <c r="G187" s="87"/>
      <c r="H187" s="87"/>
      <c r="I187" s="87"/>
      <c r="J187" s="87"/>
      <c r="K187" s="87"/>
      <c r="L187" s="87"/>
      <c r="M187" s="87"/>
      <c r="N187" s="87"/>
      <c r="O187" s="87"/>
      <c r="P187" s="87"/>
      <c r="Q187" s="87"/>
      <c r="R187" s="87"/>
      <c r="S187" s="87"/>
      <c r="T187" s="87"/>
      <c r="U187" s="87"/>
      <c r="V187" s="87"/>
      <c r="W187" s="87"/>
      <c r="X187" s="87"/>
      <c r="Y187" s="87"/>
      <c r="Z187" s="87"/>
      <c r="AA187" s="87"/>
    </row>
    <row r="188">
      <c r="A188" s="90" t="s">
        <v>792</v>
      </c>
      <c r="B188" s="90" t="s">
        <v>793</v>
      </c>
      <c r="C188" s="87"/>
      <c r="D188" s="90" t="s">
        <v>792</v>
      </c>
      <c r="E188" s="86" t="s">
        <v>175</v>
      </c>
      <c r="F188" s="87"/>
      <c r="G188" s="87"/>
      <c r="H188" s="87"/>
      <c r="I188" s="87"/>
      <c r="J188" s="87"/>
      <c r="K188" s="87"/>
      <c r="L188" s="87"/>
      <c r="M188" s="87"/>
      <c r="N188" s="87"/>
      <c r="O188" s="87"/>
      <c r="P188" s="87"/>
      <c r="Q188" s="87"/>
      <c r="R188" s="87"/>
      <c r="S188" s="87"/>
      <c r="T188" s="87"/>
      <c r="U188" s="87"/>
      <c r="V188" s="87"/>
      <c r="W188" s="87"/>
      <c r="X188" s="87"/>
      <c r="Y188" s="87"/>
      <c r="Z188" s="87"/>
      <c r="AA188" s="87"/>
    </row>
    <row r="189">
      <c r="A189" s="90" t="s">
        <v>794</v>
      </c>
      <c r="B189" s="90" t="s">
        <v>795</v>
      </c>
      <c r="C189" s="87"/>
      <c r="D189" s="90" t="s">
        <v>794</v>
      </c>
      <c r="E189" s="86" t="s">
        <v>175</v>
      </c>
      <c r="F189" s="87"/>
      <c r="G189" s="87"/>
      <c r="H189" s="87"/>
      <c r="I189" s="87"/>
      <c r="J189" s="87"/>
      <c r="K189" s="87"/>
      <c r="L189" s="87"/>
      <c r="M189" s="87"/>
      <c r="N189" s="87"/>
      <c r="O189" s="87"/>
      <c r="P189" s="87"/>
      <c r="Q189" s="87"/>
      <c r="R189" s="87"/>
      <c r="S189" s="87"/>
      <c r="T189" s="87"/>
      <c r="U189" s="87"/>
      <c r="V189" s="87"/>
      <c r="W189" s="87"/>
      <c r="X189" s="87"/>
      <c r="Y189" s="87"/>
      <c r="Z189" s="87"/>
      <c r="AA189" s="87"/>
    </row>
    <row r="190">
      <c r="A190" s="90" t="s">
        <v>797</v>
      </c>
      <c r="B190" s="90" t="s">
        <v>798</v>
      </c>
      <c r="C190" s="87"/>
      <c r="D190" s="90" t="s">
        <v>797</v>
      </c>
      <c r="E190" s="86" t="s">
        <v>175</v>
      </c>
      <c r="F190" s="87"/>
      <c r="G190" s="87"/>
      <c r="H190" s="87"/>
      <c r="I190" s="87"/>
      <c r="J190" s="87"/>
      <c r="K190" s="87"/>
      <c r="L190" s="87"/>
      <c r="M190" s="87"/>
      <c r="N190" s="87"/>
      <c r="O190" s="87"/>
      <c r="P190" s="87"/>
      <c r="Q190" s="87"/>
      <c r="R190" s="87"/>
      <c r="S190" s="87"/>
      <c r="T190" s="87"/>
      <c r="U190" s="87"/>
      <c r="V190" s="87"/>
      <c r="W190" s="87"/>
      <c r="X190" s="87"/>
      <c r="Y190" s="87"/>
      <c r="Z190" s="87"/>
      <c r="AA190" s="87"/>
    </row>
    <row r="191">
      <c r="A191" s="90" t="s">
        <v>799</v>
      </c>
      <c r="B191" s="90" t="s">
        <v>800</v>
      </c>
      <c r="C191" s="87"/>
      <c r="D191" s="90" t="s">
        <v>799</v>
      </c>
      <c r="E191" s="86" t="s">
        <v>175</v>
      </c>
      <c r="F191" s="87"/>
      <c r="G191" s="87"/>
      <c r="H191" s="87"/>
      <c r="I191" s="87"/>
      <c r="J191" s="87"/>
      <c r="K191" s="87"/>
      <c r="L191" s="87"/>
      <c r="M191" s="87"/>
      <c r="N191" s="87"/>
      <c r="O191" s="87"/>
      <c r="P191" s="87"/>
      <c r="Q191" s="87"/>
      <c r="R191" s="87"/>
      <c r="S191" s="87"/>
      <c r="T191" s="87"/>
      <c r="U191" s="87"/>
      <c r="V191" s="87"/>
      <c r="W191" s="87"/>
      <c r="X191" s="87"/>
      <c r="Y191" s="87"/>
      <c r="Z191" s="87"/>
      <c r="AA191" s="87"/>
    </row>
    <row r="192">
      <c r="A192" s="90" t="s">
        <v>801</v>
      </c>
      <c r="B192" s="90" t="s">
        <v>802</v>
      </c>
      <c r="C192" s="87"/>
      <c r="D192" s="90" t="s">
        <v>801</v>
      </c>
      <c r="E192" s="86" t="s">
        <v>175</v>
      </c>
      <c r="F192" s="87"/>
      <c r="G192" s="87"/>
      <c r="H192" s="87"/>
      <c r="I192" s="87"/>
      <c r="J192" s="87"/>
      <c r="K192" s="87"/>
      <c r="L192" s="87"/>
      <c r="M192" s="87"/>
      <c r="N192" s="87"/>
      <c r="O192" s="87"/>
      <c r="P192" s="87"/>
      <c r="Q192" s="87"/>
      <c r="R192" s="87"/>
      <c r="S192" s="87"/>
      <c r="T192" s="87"/>
      <c r="U192" s="87"/>
      <c r="V192" s="87"/>
      <c r="W192" s="87"/>
      <c r="X192" s="87"/>
      <c r="Y192" s="87"/>
      <c r="Z192" s="87"/>
      <c r="AA192" s="87"/>
    </row>
    <row r="193">
      <c r="A193" s="90" t="s">
        <v>804</v>
      </c>
      <c r="B193" s="90" t="s">
        <v>805</v>
      </c>
      <c r="C193" s="87"/>
      <c r="D193" s="90" t="s">
        <v>804</v>
      </c>
      <c r="E193" s="86" t="s">
        <v>175</v>
      </c>
      <c r="F193" s="87"/>
      <c r="G193" s="87"/>
      <c r="H193" s="87"/>
      <c r="I193" s="87"/>
      <c r="J193" s="87"/>
      <c r="K193" s="87"/>
      <c r="L193" s="87"/>
      <c r="M193" s="87"/>
      <c r="N193" s="87"/>
      <c r="O193" s="87"/>
      <c r="P193" s="87"/>
      <c r="Q193" s="87"/>
      <c r="R193" s="87"/>
      <c r="S193" s="87"/>
      <c r="T193" s="87"/>
      <c r="U193" s="87"/>
      <c r="V193" s="87"/>
      <c r="W193" s="87"/>
      <c r="X193" s="87"/>
      <c r="Y193" s="87"/>
      <c r="Z193" s="87"/>
      <c r="AA193" s="87"/>
    </row>
    <row r="194">
      <c r="A194" s="90" t="s">
        <v>806</v>
      </c>
      <c r="B194" s="90" t="s">
        <v>807</v>
      </c>
      <c r="C194" s="87"/>
      <c r="D194" s="90" t="s">
        <v>806</v>
      </c>
      <c r="E194" s="86" t="s">
        <v>175</v>
      </c>
      <c r="F194" s="87"/>
      <c r="G194" s="87"/>
      <c r="H194" s="87"/>
      <c r="I194" s="87"/>
      <c r="J194" s="87"/>
      <c r="K194" s="87"/>
      <c r="L194" s="87"/>
      <c r="M194" s="87"/>
      <c r="N194" s="87"/>
      <c r="O194" s="87"/>
      <c r="P194" s="87"/>
      <c r="Q194" s="87"/>
      <c r="R194" s="87"/>
      <c r="S194" s="87"/>
      <c r="T194" s="87"/>
      <c r="U194" s="87"/>
      <c r="V194" s="87"/>
      <c r="W194" s="87"/>
      <c r="X194" s="87"/>
      <c r="Y194" s="87"/>
      <c r="Z194" s="87"/>
      <c r="AA194" s="87"/>
    </row>
    <row r="195">
      <c r="A195" s="90" t="s">
        <v>808</v>
      </c>
      <c r="B195" s="90" t="s">
        <v>809</v>
      </c>
      <c r="C195" s="87"/>
      <c r="D195" s="90" t="s">
        <v>808</v>
      </c>
      <c r="E195" s="86" t="s">
        <v>175</v>
      </c>
      <c r="F195" s="87"/>
      <c r="G195" s="87"/>
      <c r="H195" s="87"/>
      <c r="I195" s="87"/>
      <c r="J195" s="87"/>
      <c r="K195" s="87"/>
      <c r="L195" s="87"/>
      <c r="M195" s="87"/>
      <c r="N195" s="87"/>
      <c r="O195" s="87"/>
      <c r="P195" s="87"/>
      <c r="Q195" s="87"/>
      <c r="R195" s="87"/>
      <c r="S195" s="87"/>
      <c r="T195" s="87"/>
      <c r="U195" s="87"/>
      <c r="V195" s="87"/>
      <c r="W195" s="87"/>
      <c r="X195" s="87"/>
      <c r="Y195" s="87"/>
      <c r="Z195" s="87"/>
      <c r="AA195" s="87"/>
    </row>
    <row r="196">
      <c r="A196" s="90" t="s">
        <v>810</v>
      </c>
      <c r="B196" s="90" t="s">
        <v>811</v>
      </c>
      <c r="C196" s="87"/>
      <c r="D196" s="90" t="s">
        <v>810</v>
      </c>
      <c r="E196" s="86" t="s">
        <v>175</v>
      </c>
      <c r="F196" s="87"/>
      <c r="G196" s="87"/>
      <c r="H196" s="87"/>
      <c r="I196" s="87"/>
      <c r="J196" s="87"/>
      <c r="K196" s="87"/>
      <c r="L196" s="87"/>
      <c r="M196" s="87"/>
      <c r="N196" s="87"/>
      <c r="O196" s="87"/>
      <c r="P196" s="87"/>
      <c r="Q196" s="87"/>
      <c r="R196" s="87"/>
      <c r="S196" s="87"/>
      <c r="T196" s="87"/>
      <c r="U196" s="87"/>
      <c r="V196" s="87"/>
      <c r="W196" s="87"/>
      <c r="X196" s="87"/>
      <c r="Y196" s="87"/>
      <c r="Z196" s="87"/>
      <c r="AA196" s="87"/>
    </row>
    <row r="197">
      <c r="A197" s="90" t="s">
        <v>813</v>
      </c>
      <c r="B197" s="90" t="s">
        <v>814</v>
      </c>
      <c r="C197" s="87"/>
      <c r="D197" s="90" t="s">
        <v>813</v>
      </c>
      <c r="E197" s="86" t="s">
        <v>175</v>
      </c>
      <c r="F197" s="87"/>
      <c r="G197" s="87"/>
      <c r="H197" s="87"/>
      <c r="I197" s="87"/>
      <c r="J197" s="87"/>
      <c r="K197" s="87"/>
      <c r="L197" s="87"/>
      <c r="M197" s="87"/>
      <c r="N197" s="87"/>
      <c r="O197" s="87"/>
      <c r="P197" s="87"/>
      <c r="Q197" s="87"/>
      <c r="R197" s="87"/>
      <c r="S197" s="87"/>
      <c r="T197" s="87"/>
      <c r="U197" s="87"/>
      <c r="V197" s="87"/>
      <c r="W197" s="87"/>
      <c r="X197" s="87"/>
      <c r="Y197" s="87"/>
      <c r="Z197" s="87"/>
      <c r="AA197" s="87"/>
    </row>
    <row r="198">
      <c r="A198" s="90" t="s">
        <v>815</v>
      </c>
      <c r="B198" s="90" t="s">
        <v>816</v>
      </c>
      <c r="C198" s="87"/>
      <c r="D198" s="90" t="s">
        <v>815</v>
      </c>
      <c r="E198" s="86" t="s">
        <v>175</v>
      </c>
      <c r="F198" s="87"/>
      <c r="G198" s="87"/>
      <c r="H198" s="87"/>
      <c r="I198" s="87"/>
      <c r="J198" s="87"/>
      <c r="K198" s="87"/>
      <c r="L198" s="87"/>
      <c r="M198" s="87"/>
      <c r="N198" s="87"/>
      <c r="O198" s="87"/>
      <c r="P198" s="87"/>
      <c r="Q198" s="87"/>
      <c r="R198" s="87"/>
      <c r="S198" s="87"/>
      <c r="T198" s="87"/>
      <c r="U198" s="87"/>
      <c r="V198" s="87"/>
      <c r="W198" s="87"/>
      <c r="X198" s="87"/>
      <c r="Y198" s="87"/>
      <c r="Z198" s="87"/>
      <c r="AA198" s="87"/>
    </row>
    <row r="199">
      <c r="A199" s="90" t="s">
        <v>817</v>
      </c>
      <c r="B199" s="90" t="s">
        <v>818</v>
      </c>
      <c r="C199" s="87"/>
      <c r="D199" s="90" t="s">
        <v>817</v>
      </c>
      <c r="E199" s="86" t="s">
        <v>175</v>
      </c>
      <c r="F199" s="87"/>
      <c r="G199" s="87"/>
      <c r="H199" s="87"/>
      <c r="I199" s="87"/>
      <c r="J199" s="87"/>
      <c r="K199" s="87"/>
      <c r="L199" s="87"/>
      <c r="M199" s="87"/>
      <c r="N199" s="87"/>
      <c r="O199" s="87"/>
      <c r="P199" s="87"/>
      <c r="Q199" s="87"/>
      <c r="R199" s="87"/>
      <c r="S199" s="87"/>
      <c r="T199" s="87"/>
      <c r="U199" s="87"/>
      <c r="V199" s="87"/>
      <c r="W199" s="87"/>
      <c r="X199" s="87"/>
      <c r="Y199" s="87"/>
      <c r="Z199" s="87"/>
      <c r="AA199" s="87"/>
    </row>
    <row r="200">
      <c r="A200" s="90" t="s">
        <v>821</v>
      </c>
      <c r="B200" s="90" t="s">
        <v>822</v>
      </c>
      <c r="C200" s="87"/>
      <c r="D200" s="90" t="s">
        <v>821</v>
      </c>
      <c r="E200" s="86" t="s">
        <v>175</v>
      </c>
      <c r="F200" s="87"/>
      <c r="G200" s="87"/>
      <c r="H200" s="87"/>
      <c r="I200" s="87"/>
      <c r="J200" s="87"/>
      <c r="K200" s="87"/>
      <c r="L200" s="87"/>
      <c r="M200" s="87"/>
      <c r="N200" s="87"/>
      <c r="O200" s="87"/>
      <c r="P200" s="87"/>
      <c r="Q200" s="87"/>
      <c r="R200" s="87"/>
      <c r="S200" s="87"/>
      <c r="T200" s="87"/>
      <c r="U200" s="87"/>
      <c r="V200" s="87"/>
      <c r="W200" s="87"/>
      <c r="X200" s="87"/>
      <c r="Y200" s="87"/>
      <c r="Z200" s="87"/>
      <c r="AA200" s="87"/>
    </row>
    <row r="201">
      <c r="A201" s="90" t="s">
        <v>823</v>
      </c>
      <c r="B201" s="90" t="s">
        <v>824</v>
      </c>
      <c r="C201" s="87"/>
      <c r="D201" s="90" t="s">
        <v>823</v>
      </c>
      <c r="E201" s="86" t="s">
        <v>175</v>
      </c>
      <c r="F201" s="87"/>
      <c r="G201" s="87"/>
      <c r="H201" s="87"/>
      <c r="I201" s="87"/>
      <c r="J201" s="87"/>
      <c r="K201" s="87"/>
      <c r="L201" s="87"/>
      <c r="M201" s="87"/>
      <c r="N201" s="87"/>
      <c r="O201" s="87"/>
      <c r="P201" s="87"/>
      <c r="Q201" s="87"/>
      <c r="R201" s="87"/>
      <c r="S201" s="87"/>
      <c r="T201" s="87"/>
      <c r="U201" s="87"/>
      <c r="V201" s="87"/>
      <c r="W201" s="87"/>
      <c r="X201" s="87"/>
      <c r="Y201" s="87"/>
      <c r="Z201" s="87"/>
      <c r="AA201" s="87"/>
    </row>
    <row r="202">
      <c r="A202" s="90" t="s">
        <v>825</v>
      </c>
      <c r="B202" s="90" t="s">
        <v>826</v>
      </c>
      <c r="C202" s="87"/>
      <c r="D202" s="90" t="s">
        <v>825</v>
      </c>
      <c r="E202" s="86" t="s">
        <v>175</v>
      </c>
      <c r="F202" s="87"/>
      <c r="G202" s="87"/>
      <c r="H202" s="87"/>
      <c r="I202" s="87"/>
      <c r="J202" s="87"/>
      <c r="K202" s="87"/>
      <c r="L202" s="87"/>
      <c r="M202" s="87"/>
      <c r="N202" s="87"/>
      <c r="O202" s="87"/>
      <c r="P202" s="87"/>
      <c r="Q202" s="87"/>
      <c r="R202" s="87"/>
      <c r="S202" s="87"/>
      <c r="T202" s="87"/>
      <c r="U202" s="87"/>
      <c r="V202" s="87"/>
      <c r="W202" s="87"/>
      <c r="X202" s="87"/>
      <c r="Y202" s="87"/>
      <c r="Z202" s="87"/>
      <c r="AA202" s="87"/>
    </row>
    <row r="203">
      <c r="A203" s="90" t="s">
        <v>828</v>
      </c>
      <c r="B203" s="90" t="s">
        <v>829</v>
      </c>
      <c r="C203" s="87"/>
      <c r="D203" s="90" t="s">
        <v>828</v>
      </c>
      <c r="E203" s="86" t="s">
        <v>175</v>
      </c>
      <c r="F203" s="87"/>
      <c r="G203" s="87"/>
      <c r="H203" s="87"/>
      <c r="I203" s="87"/>
      <c r="J203" s="87"/>
      <c r="K203" s="87"/>
      <c r="L203" s="87"/>
      <c r="M203" s="87"/>
      <c r="N203" s="87"/>
      <c r="O203" s="87"/>
      <c r="P203" s="87"/>
      <c r="Q203" s="87"/>
      <c r="R203" s="87"/>
      <c r="S203" s="87"/>
      <c r="T203" s="87"/>
      <c r="U203" s="87"/>
      <c r="V203" s="87"/>
      <c r="W203" s="87"/>
      <c r="X203" s="87"/>
      <c r="Y203" s="87"/>
      <c r="Z203" s="87"/>
      <c r="AA203" s="87"/>
    </row>
    <row r="204">
      <c r="A204" s="90" t="s">
        <v>830</v>
      </c>
      <c r="B204" s="90" t="s">
        <v>831</v>
      </c>
      <c r="C204" s="87"/>
      <c r="D204" s="90" t="s">
        <v>830</v>
      </c>
      <c r="E204" s="86" t="s">
        <v>175</v>
      </c>
      <c r="F204" s="87"/>
      <c r="G204" s="87"/>
      <c r="H204" s="87"/>
      <c r="I204" s="87"/>
      <c r="J204" s="87"/>
      <c r="K204" s="87"/>
      <c r="L204" s="87"/>
      <c r="M204" s="87"/>
      <c r="N204" s="87"/>
      <c r="O204" s="87"/>
      <c r="P204" s="87"/>
      <c r="Q204" s="87"/>
      <c r="R204" s="87"/>
      <c r="S204" s="87"/>
      <c r="T204" s="87"/>
      <c r="U204" s="87"/>
      <c r="V204" s="87"/>
      <c r="W204" s="87"/>
      <c r="X204" s="87"/>
      <c r="Y204" s="87"/>
      <c r="Z204" s="87"/>
      <c r="AA204" s="87"/>
    </row>
    <row r="205">
      <c r="A205" s="90" t="s">
        <v>833</v>
      </c>
      <c r="B205" s="90" t="s">
        <v>834</v>
      </c>
      <c r="C205" s="87"/>
      <c r="D205" s="90" t="s">
        <v>833</v>
      </c>
      <c r="E205" s="86" t="s">
        <v>175</v>
      </c>
      <c r="F205" s="87"/>
      <c r="G205" s="87"/>
      <c r="H205" s="87"/>
      <c r="I205" s="87"/>
      <c r="J205" s="87"/>
      <c r="K205" s="87"/>
      <c r="L205" s="87"/>
      <c r="M205" s="87"/>
      <c r="N205" s="87"/>
      <c r="O205" s="87"/>
      <c r="P205" s="87"/>
      <c r="Q205" s="87"/>
      <c r="R205" s="87"/>
      <c r="S205" s="87"/>
      <c r="T205" s="87"/>
      <c r="U205" s="87"/>
      <c r="V205" s="87"/>
      <c r="W205" s="87"/>
      <c r="X205" s="87"/>
      <c r="Y205" s="87"/>
      <c r="Z205" s="87"/>
      <c r="AA205" s="87"/>
    </row>
    <row r="206">
      <c r="A206" s="90" t="s">
        <v>836</v>
      </c>
      <c r="B206" s="90" t="s">
        <v>837</v>
      </c>
      <c r="C206" s="87"/>
      <c r="D206" s="90" t="s">
        <v>836</v>
      </c>
      <c r="E206" s="86" t="s">
        <v>175</v>
      </c>
      <c r="F206" s="87"/>
      <c r="G206" s="87"/>
      <c r="H206" s="87"/>
      <c r="I206" s="87"/>
      <c r="J206" s="87"/>
      <c r="K206" s="87"/>
      <c r="L206" s="87"/>
      <c r="M206" s="87"/>
      <c r="N206" s="87"/>
      <c r="O206" s="87"/>
      <c r="P206" s="87"/>
      <c r="Q206" s="87"/>
      <c r="R206" s="87"/>
      <c r="S206" s="87"/>
      <c r="T206" s="87"/>
      <c r="U206" s="87"/>
      <c r="V206" s="87"/>
      <c r="W206" s="87"/>
      <c r="X206" s="87"/>
      <c r="Y206" s="87"/>
      <c r="Z206" s="87"/>
      <c r="AA206" s="87"/>
    </row>
    <row r="207">
      <c r="A207" s="90" t="s">
        <v>838</v>
      </c>
      <c r="B207" s="90" t="s">
        <v>839</v>
      </c>
      <c r="C207" s="87"/>
      <c r="D207" s="90" t="s">
        <v>838</v>
      </c>
      <c r="E207" s="86" t="s">
        <v>175</v>
      </c>
      <c r="F207" s="87"/>
      <c r="G207" s="87"/>
      <c r="H207" s="87"/>
      <c r="I207" s="87"/>
      <c r="J207" s="87"/>
      <c r="K207" s="87"/>
      <c r="L207" s="87"/>
      <c r="M207" s="87"/>
      <c r="N207" s="87"/>
      <c r="O207" s="87"/>
      <c r="P207" s="87"/>
      <c r="Q207" s="87"/>
      <c r="R207" s="87"/>
      <c r="S207" s="87"/>
      <c r="T207" s="87"/>
      <c r="U207" s="87"/>
      <c r="V207" s="87"/>
      <c r="W207" s="87"/>
      <c r="X207" s="87"/>
      <c r="Y207" s="87"/>
      <c r="Z207" s="87"/>
      <c r="AA207" s="87"/>
    </row>
    <row r="208">
      <c r="A208" s="90" t="s">
        <v>840</v>
      </c>
      <c r="B208" s="90" t="s">
        <v>841</v>
      </c>
      <c r="C208" s="87"/>
      <c r="D208" s="90" t="s">
        <v>840</v>
      </c>
      <c r="E208" s="86" t="s">
        <v>175</v>
      </c>
      <c r="F208" s="87"/>
      <c r="G208" s="87"/>
      <c r="H208" s="87"/>
      <c r="I208" s="87"/>
      <c r="J208" s="87"/>
      <c r="K208" s="87"/>
      <c r="L208" s="87"/>
      <c r="M208" s="87"/>
      <c r="N208" s="87"/>
      <c r="O208" s="87"/>
      <c r="P208" s="87"/>
      <c r="Q208" s="87"/>
      <c r="R208" s="87"/>
      <c r="S208" s="87"/>
      <c r="T208" s="87"/>
      <c r="U208" s="87"/>
      <c r="V208" s="87"/>
      <c r="W208" s="87"/>
      <c r="X208" s="87"/>
      <c r="Y208" s="87"/>
      <c r="Z208" s="87"/>
      <c r="AA208" s="87"/>
    </row>
    <row r="209">
      <c r="A209" s="90" t="s">
        <v>844</v>
      </c>
      <c r="B209" s="90" t="s">
        <v>845</v>
      </c>
      <c r="C209" s="87"/>
      <c r="D209" s="90" t="s">
        <v>844</v>
      </c>
      <c r="E209" s="86" t="s">
        <v>175</v>
      </c>
      <c r="F209" s="87"/>
      <c r="G209" s="87"/>
      <c r="H209" s="87"/>
      <c r="I209" s="87"/>
      <c r="J209" s="87"/>
      <c r="K209" s="87"/>
      <c r="L209" s="87"/>
      <c r="M209" s="87"/>
      <c r="N209" s="87"/>
      <c r="O209" s="87"/>
      <c r="P209" s="87"/>
      <c r="Q209" s="87"/>
      <c r="R209" s="87"/>
      <c r="S209" s="87"/>
      <c r="T209" s="87"/>
      <c r="U209" s="87"/>
      <c r="V209" s="87"/>
      <c r="W209" s="87"/>
      <c r="X209" s="87"/>
      <c r="Y209" s="87"/>
      <c r="Z209" s="87"/>
      <c r="AA209" s="87"/>
    </row>
    <row r="210">
      <c r="A210" s="90" t="s">
        <v>846</v>
      </c>
      <c r="B210" s="90" t="s">
        <v>847</v>
      </c>
      <c r="C210" s="87"/>
      <c r="D210" s="90" t="s">
        <v>846</v>
      </c>
      <c r="E210" s="86" t="s">
        <v>175</v>
      </c>
      <c r="F210" s="87"/>
      <c r="G210" s="87"/>
      <c r="H210" s="87"/>
      <c r="I210" s="87"/>
      <c r="J210" s="87"/>
      <c r="K210" s="87"/>
      <c r="L210" s="87"/>
      <c r="M210" s="87"/>
      <c r="N210" s="87"/>
      <c r="O210" s="87"/>
      <c r="P210" s="87"/>
      <c r="Q210" s="87"/>
      <c r="R210" s="87"/>
      <c r="S210" s="87"/>
      <c r="T210" s="87"/>
      <c r="U210" s="87"/>
      <c r="V210" s="87"/>
      <c r="W210" s="87"/>
      <c r="X210" s="87"/>
      <c r="Y210" s="87"/>
      <c r="Z210" s="87"/>
      <c r="AA210" s="87"/>
    </row>
    <row r="211">
      <c r="A211" s="90" t="s">
        <v>848</v>
      </c>
      <c r="B211" s="90" t="s">
        <v>849</v>
      </c>
      <c r="C211" s="87"/>
      <c r="D211" s="90" t="s">
        <v>848</v>
      </c>
      <c r="E211" s="86" t="s">
        <v>175</v>
      </c>
      <c r="F211" s="87"/>
      <c r="G211" s="87"/>
      <c r="H211" s="87"/>
      <c r="I211" s="87"/>
      <c r="J211" s="87"/>
      <c r="K211" s="87"/>
      <c r="L211" s="87"/>
      <c r="M211" s="87"/>
      <c r="N211" s="87"/>
      <c r="O211" s="87"/>
      <c r="P211" s="87"/>
      <c r="Q211" s="87"/>
      <c r="R211" s="87"/>
      <c r="S211" s="87"/>
      <c r="T211" s="87"/>
      <c r="U211" s="87"/>
      <c r="V211" s="87"/>
      <c r="W211" s="87"/>
      <c r="X211" s="87"/>
      <c r="Y211" s="87"/>
      <c r="Z211" s="87"/>
      <c r="AA211" s="87"/>
    </row>
    <row r="212">
      <c r="A212" s="90" t="s">
        <v>850</v>
      </c>
      <c r="B212" s="90" t="s">
        <v>851</v>
      </c>
      <c r="C212" s="87"/>
      <c r="D212" s="90" t="s">
        <v>850</v>
      </c>
      <c r="E212" s="86" t="s">
        <v>175</v>
      </c>
      <c r="F212" s="87"/>
      <c r="G212" s="87"/>
      <c r="H212" s="87"/>
      <c r="I212" s="87"/>
      <c r="J212" s="87"/>
      <c r="K212" s="87"/>
      <c r="L212" s="87"/>
      <c r="M212" s="87"/>
      <c r="N212" s="87"/>
      <c r="O212" s="87"/>
      <c r="P212" s="87"/>
      <c r="Q212" s="87"/>
      <c r="R212" s="87"/>
      <c r="S212" s="87"/>
      <c r="T212" s="87"/>
      <c r="U212" s="87"/>
      <c r="V212" s="87"/>
      <c r="W212" s="87"/>
      <c r="X212" s="87"/>
      <c r="Y212" s="87"/>
      <c r="Z212" s="87"/>
      <c r="AA212" s="87"/>
    </row>
    <row r="213">
      <c r="A213" s="90" t="s">
        <v>852</v>
      </c>
      <c r="B213" s="90" t="s">
        <v>853</v>
      </c>
      <c r="C213" s="87"/>
      <c r="D213" s="90" t="s">
        <v>852</v>
      </c>
      <c r="E213" s="86" t="s">
        <v>175</v>
      </c>
      <c r="F213" s="87"/>
      <c r="G213" s="87"/>
      <c r="H213" s="87"/>
      <c r="I213" s="87"/>
      <c r="J213" s="87"/>
      <c r="K213" s="87"/>
      <c r="L213" s="87"/>
      <c r="M213" s="87"/>
      <c r="N213" s="87"/>
      <c r="O213" s="87"/>
      <c r="P213" s="87"/>
      <c r="Q213" s="87"/>
      <c r="R213" s="87"/>
      <c r="S213" s="87"/>
      <c r="T213" s="87"/>
      <c r="U213" s="87"/>
      <c r="V213" s="87"/>
      <c r="W213" s="87"/>
      <c r="X213" s="87"/>
      <c r="Y213" s="87"/>
      <c r="Z213" s="87"/>
      <c r="AA213" s="87"/>
    </row>
    <row r="214">
      <c r="A214" s="90" t="s">
        <v>855</v>
      </c>
      <c r="B214" s="90" t="s">
        <v>856</v>
      </c>
      <c r="C214" s="87"/>
      <c r="D214" s="90" t="s">
        <v>855</v>
      </c>
      <c r="E214" s="86" t="s">
        <v>175</v>
      </c>
      <c r="F214" s="87"/>
      <c r="G214" s="87"/>
      <c r="H214" s="87"/>
      <c r="I214" s="87"/>
      <c r="J214" s="87"/>
      <c r="K214" s="87"/>
      <c r="L214" s="87"/>
      <c r="M214" s="87"/>
      <c r="N214" s="87"/>
      <c r="O214" s="87"/>
      <c r="P214" s="87"/>
      <c r="Q214" s="87"/>
      <c r="R214" s="87"/>
      <c r="S214" s="87"/>
      <c r="T214" s="87"/>
      <c r="U214" s="87"/>
      <c r="V214" s="87"/>
      <c r="W214" s="87"/>
      <c r="X214" s="87"/>
      <c r="Y214" s="87"/>
      <c r="Z214" s="87"/>
      <c r="AA214" s="87"/>
    </row>
    <row r="215">
      <c r="A215" s="90" t="s">
        <v>858</v>
      </c>
      <c r="B215" s="90" t="s">
        <v>859</v>
      </c>
      <c r="C215" s="87"/>
      <c r="D215" s="90" t="s">
        <v>858</v>
      </c>
      <c r="E215" s="86" t="s">
        <v>175</v>
      </c>
      <c r="F215" s="87"/>
      <c r="G215" s="87"/>
      <c r="H215" s="87"/>
      <c r="I215" s="87"/>
      <c r="J215" s="87"/>
      <c r="K215" s="87"/>
      <c r="L215" s="87"/>
      <c r="M215" s="87"/>
      <c r="N215" s="87"/>
      <c r="O215" s="87"/>
      <c r="P215" s="87"/>
      <c r="Q215" s="87"/>
      <c r="R215" s="87"/>
      <c r="S215" s="87"/>
      <c r="T215" s="87"/>
      <c r="U215" s="87"/>
      <c r="V215" s="87"/>
      <c r="W215" s="87"/>
      <c r="X215" s="87"/>
      <c r="Y215" s="87"/>
      <c r="Z215" s="87"/>
      <c r="AA215" s="87"/>
    </row>
    <row r="216">
      <c r="A216" s="90" t="s">
        <v>860</v>
      </c>
      <c r="B216" s="90" t="s">
        <v>861</v>
      </c>
      <c r="C216" s="87"/>
      <c r="D216" s="90" t="s">
        <v>860</v>
      </c>
      <c r="E216" s="86" t="s">
        <v>175</v>
      </c>
      <c r="F216" s="87"/>
      <c r="G216" s="87"/>
      <c r="H216" s="87"/>
      <c r="I216" s="87"/>
      <c r="J216" s="87"/>
      <c r="K216" s="87"/>
      <c r="L216" s="87"/>
      <c r="M216" s="87"/>
      <c r="N216" s="87"/>
      <c r="O216" s="87"/>
      <c r="P216" s="87"/>
      <c r="Q216" s="87"/>
      <c r="R216" s="87"/>
      <c r="S216" s="87"/>
      <c r="T216" s="87"/>
      <c r="U216" s="87"/>
      <c r="V216" s="87"/>
      <c r="W216" s="87"/>
      <c r="X216" s="87"/>
      <c r="Y216" s="87"/>
      <c r="Z216" s="87"/>
      <c r="AA216" s="87"/>
    </row>
    <row r="217">
      <c r="A217" s="90" t="s">
        <v>862</v>
      </c>
      <c r="B217" s="90" t="s">
        <v>863</v>
      </c>
      <c r="C217" s="87"/>
      <c r="D217" s="90" t="s">
        <v>862</v>
      </c>
      <c r="E217" s="86" t="s">
        <v>175</v>
      </c>
      <c r="F217" s="87"/>
      <c r="G217" s="87"/>
      <c r="H217" s="87"/>
      <c r="I217" s="87"/>
      <c r="J217" s="87"/>
      <c r="K217" s="87"/>
      <c r="L217" s="87"/>
      <c r="M217" s="87"/>
      <c r="N217" s="87"/>
      <c r="O217" s="87"/>
      <c r="P217" s="87"/>
      <c r="Q217" s="87"/>
      <c r="R217" s="87"/>
      <c r="S217" s="87"/>
      <c r="T217" s="87"/>
      <c r="U217" s="87"/>
      <c r="V217" s="87"/>
      <c r="W217" s="87"/>
      <c r="X217" s="87"/>
      <c r="Y217" s="87"/>
      <c r="Z217" s="87"/>
      <c r="AA217" s="87"/>
    </row>
    <row r="218">
      <c r="A218" s="90" t="s">
        <v>865</v>
      </c>
      <c r="B218" s="90" t="s">
        <v>867</v>
      </c>
      <c r="C218" s="87"/>
      <c r="D218" s="90" t="s">
        <v>865</v>
      </c>
      <c r="E218" s="86" t="s">
        <v>175</v>
      </c>
      <c r="F218" s="87"/>
      <c r="G218" s="87"/>
      <c r="H218" s="87"/>
      <c r="I218" s="87"/>
      <c r="J218" s="87"/>
      <c r="K218" s="87"/>
      <c r="L218" s="87"/>
      <c r="M218" s="87"/>
      <c r="N218" s="87"/>
      <c r="O218" s="87"/>
      <c r="P218" s="87"/>
      <c r="Q218" s="87"/>
      <c r="R218" s="87"/>
      <c r="S218" s="87"/>
      <c r="T218" s="87"/>
      <c r="U218" s="87"/>
      <c r="V218" s="87"/>
      <c r="W218" s="87"/>
      <c r="X218" s="87"/>
      <c r="Y218" s="87"/>
      <c r="Z218" s="87"/>
      <c r="AA218" s="87"/>
    </row>
    <row r="219">
      <c r="A219" s="90" t="s">
        <v>868</v>
      </c>
      <c r="B219" s="90" t="s">
        <v>869</v>
      </c>
      <c r="C219" s="87"/>
      <c r="D219" s="90" t="s">
        <v>868</v>
      </c>
      <c r="E219" s="86" t="s">
        <v>175</v>
      </c>
      <c r="F219" s="87"/>
      <c r="G219" s="87"/>
      <c r="H219" s="87"/>
      <c r="I219" s="87"/>
      <c r="J219" s="87"/>
      <c r="K219" s="87"/>
      <c r="L219" s="87"/>
      <c r="M219" s="87"/>
      <c r="N219" s="87"/>
      <c r="O219" s="87"/>
      <c r="P219" s="87"/>
      <c r="Q219" s="87"/>
      <c r="R219" s="87"/>
      <c r="S219" s="87"/>
      <c r="T219" s="87"/>
      <c r="U219" s="87"/>
      <c r="V219" s="87"/>
      <c r="W219" s="87"/>
      <c r="X219" s="87"/>
      <c r="Y219" s="87"/>
      <c r="Z219" s="87"/>
      <c r="AA219" s="87"/>
    </row>
    <row r="220">
      <c r="A220" s="90" t="s">
        <v>871</v>
      </c>
      <c r="B220" s="90" t="s">
        <v>872</v>
      </c>
      <c r="C220" s="87"/>
      <c r="D220" s="90" t="s">
        <v>871</v>
      </c>
      <c r="E220" s="86" t="s">
        <v>175</v>
      </c>
      <c r="F220" s="87"/>
      <c r="G220" s="87"/>
      <c r="H220" s="87"/>
      <c r="I220" s="87"/>
      <c r="J220" s="87"/>
      <c r="K220" s="87"/>
      <c r="L220" s="87"/>
      <c r="M220" s="87"/>
      <c r="N220" s="87"/>
      <c r="O220" s="87"/>
      <c r="P220" s="87"/>
      <c r="Q220" s="87"/>
      <c r="R220" s="87"/>
      <c r="S220" s="87"/>
      <c r="T220" s="87"/>
      <c r="U220" s="87"/>
      <c r="V220" s="87"/>
      <c r="W220" s="87"/>
      <c r="X220" s="87"/>
      <c r="Y220" s="87"/>
      <c r="Z220" s="87"/>
      <c r="AA220" s="87"/>
    </row>
    <row r="221">
      <c r="A221" s="90" t="s">
        <v>874</v>
      </c>
      <c r="B221" s="90" t="s">
        <v>875</v>
      </c>
      <c r="C221" s="87"/>
      <c r="D221" s="90" t="s">
        <v>874</v>
      </c>
      <c r="E221" s="86" t="s">
        <v>175</v>
      </c>
      <c r="F221" s="87"/>
      <c r="G221" s="87"/>
      <c r="H221" s="87"/>
      <c r="I221" s="87"/>
      <c r="J221" s="87"/>
      <c r="K221" s="87"/>
      <c r="L221" s="87"/>
      <c r="M221" s="87"/>
      <c r="N221" s="87"/>
      <c r="O221" s="87"/>
      <c r="P221" s="87"/>
      <c r="Q221" s="87"/>
      <c r="R221" s="87"/>
      <c r="S221" s="87"/>
      <c r="T221" s="87"/>
      <c r="U221" s="87"/>
      <c r="V221" s="87"/>
      <c r="W221" s="87"/>
      <c r="X221" s="87"/>
      <c r="Y221" s="87"/>
      <c r="Z221" s="87"/>
      <c r="AA221" s="87"/>
    </row>
    <row r="222">
      <c r="A222" s="90" t="s">
        <v>876</v>
      </c>
      <c r="B222" s="90" t="s">
        <v>877</v>
      </c>
      <c r="C222" s="87"/>
      <c r="D222" s="90" t="s">
        <v>876</v>
      </c>
      <c r="E222" s="86" t="s">
        <v>175</v>
      </c>
      <c r="F222" s="87"/>
      <c r="G222" s="87"/>
      <c r="H222" s="87"/>
      <c r="I222" s="87"/>
      <c r="J222" s="87"/>
      <c r="K222" s="87"/>
      <c r="L222" s="87"/>
      <c r="M222" s="87"/>
      <c r="N222" s="87"/>
      <c r="O222" s="87"/>
      <c r="P222" s="87"/>
      <c r="Q222" s="87"/>
      <c r="R222" s="87"/>
      <c r="S222" s="87"/>
      <c r="T222" s="87"/>
      <c r="U222" s="87"/>
      <c r="V222" s="87"/>
      <c r="W222" s="87"/>
      <c r="X222" s="87"/>
      <c r="Y222" s="87"/>
      <c r="Z222" s="87"/>
      <c r="AA222" s="87"/>
    </row>
    <row r="223">
      <c r="A223" s="90" t="s">
        <v>880</v>
      </c>
      <c r="B223" s="90" t="s">
        <v>881</v>
      </c>
      <c r="C223" s="87"/>
      <c r="D223" s="90" t="s">
        <v>880</v>
      </c>
      <c r="E223" s="86" t="s">
        <v>175</v>
      </c>
      <c r="F223" s="87"/>
      <c r="G223" s="87"/>
      <c r="H223" s="87"/>
      <c r="I223" s="87"/>
      <c r="J223" s="87"/>
      <c r="K223" s="87"/>
      <c r="L223" s="87"/>
      <c r="M223" s="87"/>
      <c r="N223" s="87"/>
      <c r="O223" s="87"/>
      <c r="P223" s="87"/>
      <c r="Q223" s="87"/>
      <c r="R223" s="87"/>
      <c r="S223" s="87"/>
      <c r="T223" s="87"/>
      <c r="U223" s="87"/>
      <c r="V223" s="87"/>
      <c r="W223" s="87"/>
      <c r="X223" s="87"/>
      <c r="Y223" s="87"/>
      <c r="Z223" s="87"/>
      <c r="AA223" s="87"/>
    </row>
    <row r="224">
      <c r="A224" s="90" t="s">
        <v>883</v>
      </c>
      <c r="B224" s="90" t="s">
        <v>884</v>
      </c>
      <c r="C224" s="87"/>
      <c r="D224" s="90" t="s">
        <v>883</v>
      </c>
      <c r="E224" s="86" t="s">
        <v>175</v>
      </c>
      <c r="F224" s="87"/>
      <c r="G224" s="87"/>
      <c r="H224" s="87"/>
      <c r="I224" s="87"/>
      <c r="J224" s="87"/>
      <c r="K224" s="87"/>
      <c r="L224" s="87"/>
      <c r="M224" s="87"/>
      <c r="N224" s="87"/>
      <c r="O224" s="87"/>
      <c r="P224" s="87"/>
      <c r="Q224" s="87"/>
      <c r="R224" s="87"/>
      <c r="S224" s="87"/>
      <c r="T224" s="87"/>
      <c r="U224" s="87"/>
      <c r="V224" s="87"/>
      <c r="W224" s="87"/>
      <c r="X224" s="87"/>
      <c r="Y224" s="87"/>
      <c r="Z224" s="87"/>
      <c r="AA224" s="87"/>
    </row>
    <row r="225">
      <c r="A225" s="90" t="s">
        <v>885</v>
      </c>
      <c r="B225" s="90" t="s">
        <v>886</v>
      </c>
      <c r="C225" s="87"/>
      <c r="D225" s="90" t="s">
        <v>885</v>
      </c>
      <c r="E225" s="86" t="s">
        <v>175</v>
      </c>
      <c r="F225" s="87"/>
      <c r="G225" s="87"/>
      <c r="H225" s="87"/>
      <c r="I225" s="87"/>
      <c r="J225" s="87"/>
      <c r="K225" s="87"/>
      <c r="L225" s="87"/>
      <c r="M225" s="87"/>
      <c r="N225" s="87"/>
      <c r="O225" s="87"/>
      <c r="P225" s="87"/>
      <c r="Q225" s="87"/>
      <c r="R225" s="87"/>
      <c r="S225" s="87"/>
      <c r="T225" s="87"/>
      <c r="U225" s="87"/>
      <c r="V225" s="87"/>
      <c r="W225" s="87"/>
      <c r="X225" s="87"/>
      <c r="Y225" s="87"/>
      <c r="Z225" s="87"/>
      <c r="AA225" s="87"/>
    </row>
    <row r="226">
      <c r="A226" s="90" t="s">
        <v>887</v>
      </c>
      <c r="B226" s="90" t="s">
        <v>888</v>
      </c>
      <c r="C226" s="87"/>
      <c r="D226" s="90" t="s">
        <v>887</v>
      </c>
      <c r="E226" s="86" t="s">
        <v>175</v>
      </c>
      <c r="F226" s="87"/>
      <c r="G226" s="87"/>
      <c r="H226" s="87"/>
      <c r="I226" s="87"/>
      <c r="J226" s="87"/>
      <c r="K226" s="87"/>
      <c r="L226" s="87"/>
      <c r="M226" s="87"/>
      <c r="N226" s="87"/>
      <c r="O226" s="87"/>
      <c r="P226" s="87"/>
      <c r="Q226" s="87"/>
      <c r="R226" s="87"/>
      <c r="S226" s="87"/>
      <c r="T226" s="87"/>
      <c r="U226" s="87"/>
      <c r="V226" s="87"/>
      <c r="W226" s="87"/>
      <c r="X226" s="87"/>
      <c r="Y226" s="87"/>
      <c r="Z226" s="87"/>
      <c r="AA226" s="87"/>
    </row>
    <row r="227">
      <c r="A227" s="90" t="s">
        <v>891</v>
      </c>
      <c r="B227" s="90" t="s">
        <v>892</v>
      </c>
      <c r="C227" s="87"/>
      <c r="D227" s="90" t="s">
        <v>891</v>
      </c>
      <c r="E227" s="86" t="s">
        <v>175</v>
      </c>
      <c r="F227" s="87"/>
      <c r="G227" s="87"/>
      <c r="H227" s="87"/>
      <c r="I227" s="87"/>
      <c r="J227" s="87"/>
      <c r="K227" s="87"/>
      <c r="L227" s="87"/>
      <c r="M227" s="87"/>
      <c r="N227" s="87"/>
      <c r="O227" s="87"/>
      <c r="P227" s="87"/>
      <c r="Q227" s="87"/>
      <c r="R227" s="87"/>
      <c r="S227" s="87"/>
      <c r="T227" s="87"/>
      <c r="U227" s="87"/>
      <c r="V227" s="87"/>
      <c r="W227" s="87"/>
      <c r="X227" s="87"/>
      <c r="Y227" s="87"/>
      <c r="Z227" s="87"/>
      <c r="AA227" s="87"/>
    </row>
    <row r="228">
      <c r="A228" s="90" t="s">
        <v>893</v>
      </c>
      <c r="B228" s="90" t="s">
        <v>894</v>
      </c>
      <c r="C228" s="87"/>
      <c r="D228" s="90" t="s">
        <v>893</v>
      </c>
      <c r="E228" s="86" t="s">
        <v>175</v>
      </c>
      <c r="F228" s="87"/>
      <c r="G228" s="87"/>
      <c r="H228" s="87"/>
      <c r="I228" s="87"/>
      <c r="J228" s="87"/>
      <c r="K228" s="87"/>
      <c r="L228" s="87"/>
      <c r="M228" s="87"/>
      <c r="N228" s="87"/>
      <c r="O228" s="87"/>
      <c r="P228" s="87"/>
      <c r="Q228" s="87"/>
      <c r="R228" s="87"/>
      <c r="S228" s="87"/>
      <c r="T228" s="87"/>
      <c r="U228" s="87"/>
      <c r="V228" s="87"/>
      <c r="W228" s="87"/>
      <c r="X228" s="87"/>
      <c r="Y228" s="87"/>
      <c r="Z228" s="87"/>
      <c r="AA228" s="87"/>
    </row>
    <row r="229">
      <c r="A229" s="90" t="s">
        <v>895</v>
      </c>
      <c r="B229" s="90" t="s">
        <v>896</v>
      </c>
      <c r="C229" s="87"/>
      <c r="D229" s="90" t="s">
        <v>895</v>
      </c>
      <c r="E229" s="86" t="s">
        <v>175</v>
      </c>
      <c r="F229" s="87"/>
      <c r="G229" s="87"/>
      <c r="H229" s="87"/>
      <c r="I229" s="87"/>
      <c r="J229" s="87"/>
      <c r="K229" s="87"/>
      <c r="L229" s="87"/>
      <c r="M229" s="87"/>
      <c r="N229" s="87"/>
      <c r="O229" s="87"/>
      <c r="P229" s="87"/>
      <c r="Q229" s="87"/>
      <c r="R229" s="87"/>
      <c r="S229" s="87"/>
      <c r="T229" s="87"/>
      <c r="U229" s="87"/>
      <c r="V229" s="87"/>
      <c r="W229" s="87"/>
      <c r="X229" s="87"/>
      <c r="Y229" s="87"/>
      <c r="Z229" s="87"/>
      <c r="AA229" s="87"/>
    </row>
    <row r="230">
      <c r="A230" s="90" t="s">
        <v>897</v>
      </c>
      <c r="B230" s="90" t="s">
        <v>898</v>
      </c>
      <c r="C230" s="87"/>
      <c r="D230" s="90" t="s">
        <v>897</v>
      </c>
      <c r="E230" s="86" t="s">
        <v>175</v>
      </c>
      <c r="F230" s="87"/>
      <c r="G230" s="87"/>
      <c r="H230" s="87"/>
      <c r="I230" s="87"/>
      <c r="J230" s="87"/>
      <c r="K230" s="87"/>
      <c r="L230" s="87"/>
      <c r="M230" s="87"/>
      <c r="N230" s="87"/>
      <c r="O230" s="87"/>
      <c r="P230" s="87"/>
      <c r="Q230" s="87"/>
      <c r="R230" s="87"/>
      <c r="S230" s="87"/>
      <c r="T230" s="87"/>
      <c r="U230" s="87"/>
      <c r="V230" s="87"/>
      <c r="W230" s="87"/>
      <c r="X230" s="87"/>
      <c r="Y230" s="87"/>
      <c r="Z230" s="87"/>
      <c r="AA230" s="87"/>
    </row>
    <row r="231">
      <c r="A231" s="90" t="s">
        <v>899</v>
      </c>
      <c r="B231" s="90" t="s">
        <v>900</v>
      </c>
      <c r="C231" s="87"/>
      <c r="D231" s="90" t="s">
        <v>899</v>
      </c>
      <c r="E231" s="86" t="s">
        <v>175</v>
      </c>
      <c r="F231" s="87"/>
      <c r="G231" s="87"/>
      <c r="H231" s="87"/>
      <c r="I231" s="87"/>
      <c r="J231" s="87"/>
      <c r="K231" s="87"/>
      <c r="L231" s="87"/>
      <c r="M231" s="87"/>
      <c r="N231" s="87"/>
      <c r="O231" s="87"/>
      <c r="P231" s="87"/>
      <c r="Q231" s="87"/>
      <c r="R231" s="87"/>
      <c r="S231" s="87"/>
      <c r="T231" s="87"/>
      <c r="U231" s="87"/>
      <c r="V231" s="87"/>
      <c r="W231" s="87"/>
      <c r="X231" s="87"/>
      <c r="Y231" s="87"/>
      <c r="Z231" s="87"/>
      <c r="AA231" s="87"/>
    </row>
    <row r="232">
      <c r="A232" s="90" t="s">
        <v>902</v>
      </c>
      <c r="B232" s="90" t="s">
        <v>903</v>
      </c>
      <c r="C232" s="87"/>
      <c r="D232" s="90" t="s">
        <v>902</v>
      </c>
      <c r="E232" s="86" t="s">
        <v>175</v>
      </c>
      <c r="F232" s="87"/>
      <c r="G232" s="87"/>
      <c r="H232" s="87"/>
      <c r="I232" s="87"/>
      <c r="J232" s="87"/>
      <c r="K232" s="87"/>
      <c r="L232" s="87"/>
      <c r="M232" s="87"/>
      <c r="N232" s="87"/>
      <c r="O232" s="87"/>
      <c r="P232" s="87"/>
      <c r="Q232" s="87"/>
      <c r="R232" s="87"/>
      <c r="S232" s="87"/>
      <c r="T232" s="87"/>
      <c r="U232" s="87"/>
      <c r="V232" s="87"/>
      <c r="W232" s="87"/>
      <c r="X232" s="87"/>
      <c r="Y232" s="87"/>
      <c r="Z232" s="87"/>
      <c r="AA232" s="87"/>
    </row>
    <row r="233">
      <c r="A233" s="90" t="s">
        <v>904</v>
      </c>
      <c r="B233" s="90" t="s">
        <v>905</v>
      </c>
      <c r="C233" s="87"/>
      <c r="D233" s="90" t="s">
        <v>904</v>
      </c>
      <c r="E233" s="86" t="s">
        <v>175</v>
      </c>
      <c r="F233" s="87"/>
      <c r="G233" s="87"/>
      <c r="H233" s="87"/>
      <c r="I233" s="87"/>
      <c r="J233" s="87"/>
      <c r="K233" s="87"/>
      <c r="L233" s="87"/>
      <c r="M233" s="87"/>
      <c r="N233" s="87"/>
      <c r="O233" s="87"/>
      <c r="P233" s="87"/>
      <c r="Q233" s="87"/>
      <c r="R233" s="87"/>
      <c r="S233" s="87"/>
      <c r="T233" s="87"/>
      <c r="U233" s="87"/>
      <c r="V233" s="87"/>
      <c r="W233" s="87"/>
      <c r="X233" s="87"/>
      <c r="Y233" s="87"/>
      <c r="Z233" s="87"/>
      <c r="AA233" s="87"/>
    </row>
    <row r="234">
      <c r="A234" s="90" t="s">
        <v>907</v>
      </c>
      <c r="B234" s="90" t="s">
        <v>908</v>
      </c>
      <c r="C234" s="87"/>
      <c r="D234" s="90" t="s">
        <v>907</v>
      </c>
      <c r="E234" s="86" t="s">
        <v>175</v>
      </c>
      <c r="F234" s="87"/>
      <c r="G234" s="87"/>
      <c r="H234" s="87"/>
      <c r="I234" s="87"/>
      <c r="J234" s="87"/>
      <c r="K234" s="87"/>
      <c r="L234" s="87"/>
      <c r="M234" s="87"/>
      <c r="N234" s="87"/>
      <c r="O234" s="87"/>
      <c r="P234" s="87"/>
      <c r="Q234" s="87"/>
      <c r="R234" s="87"/>
      <c r="S234" s="87"/>
      <c r="T234" s="87"/>
      <c r="U234" s="87"/>
      <c r="V234" s="87"/>
      <c r="W234" s="87"/>
      <c r="X234" s="87"/>
      <c r="Y234" s="87"/>
      <c r="Z234" s="87"/>
      <c r="AA234" s="87"/>
    </row>
    <row r="235">
      <c r="A235" s="90" t="s">
        <v>909</v>
      </c>
      <c r="B235" s="90" t="s">
        <v>910</v>
      </c>
      <c r="C235" s="87"/>
      <c r="D235" s="90" t="s">
        <v>909</v>
      </c>
      <c r="E235" s="86" t="s">
        <v>175</v>
      </c>
      <c r="F235" s="87"/>
      <c r="G235" s="87"/>
      <c r="H235" s="87"/>
      <c r="I235" s="87"/>
      <c r="J235" s="87"/>
      <c r="K235" s="87"/>
      <c r="L235" s="87"/>
      <c r="M235" s="87"/>
      <c r="N235" s="87"/>
      <c r="O235" s="87"/>
      <c r="P235" s="87"/>
      <c r="Q235" s="87"/>
      <c r="R235" s="87"/>
      <c r="S235" s="87"/>
      <c r="T235" s="87"/>
      <c r="U235" s="87"/>
      <c r="V235" s="87"/>
      <c r="W235" s="87"/>
      <c r="X235" s="87"/>
      <c r="Y235" s="87"/>
      <c r="Z235" s="87"/>
      <c r="AA235" s="87"/>
    </row>
    <row r="236">
      <c r="A236" s="90" t="s">
        <v>911</v>
      </c>
      <c r="B236" s="90" t="s">
        <v>912</v>
      </c>
      <c r="C236" s="87"/>
      <c r="D236" s="90" t="s">
        <v>911</v>
      </c>
      <c r="E236" s="86" t="s">
        <v>175</v>
      </c>
      <c r="F236" s="87"/>
      <c r="G236" s="87"/>
      <c r="H236" s="87"/>
      <c r="I236" s="87"/>
      <c r="J236" s="87"/>
      <c r="K236" s="87"/>
      <c r="L236" s="87"/>
      <c r="M236" s="87"/>
      <c r="N236" s="87"/>
      <c r="O236" s="87"/>
      <c r="P236" s="87"/>
      <c r="Q236" s="87"/>
      <c r="R236" s="87"/>
      <c r="S236" s="87"/>
      <c r="T236" s="87"/>
      <c r="U236" s="87"/>
      <c r="V236" s="87"/>
      <c r="W236" s="87"/>
      <c r="X236" s="87"/>
      <c r="Y236" s="87"/>
      <c r="Z236" s="87"/>
      <c r="AA236" s="87"/>
    </row>
    <row r="237">
      <c r="A237" s="90" t="s">
        <v>913</v>
      </c>
      <c r="B237" s="90" t="s">
        <v>914</v>
      </c>
      <c r="C237" s="87"/>
      <c r="D237" s="90" t="s">
        <v>913</v>
      </c>
      <c r="E237" s="86" t="s">
        <v>175</v>
      </c>
      <c r="F237" s="87"/>
      <c r="G237" s="87"/>
      <c r="H237" s="87"/>
      <c r="I237" s="87"/>
      <c r="J237" s="87"/>
      <c r="K237" s="87"/>
      <c r="L237" s="87"/>
      <c r="M237" s="87"/>
      <c r="N237" s="87"/>
      <c r="O237" s="87"/>
      <c r="P237" s="87"/>
      <c r="Q237" s="87"/>
      <c r="R237" s="87"/>
      <c r="S237" s="87"/>
      <c r="T237" s="87"/>
      <c r="U237" s="87"/>
      <c r="V237" s="87"/>
      <c r="W237" s="87"/>
      <c r="X237" s="87"/>
      <c r="Y237" s="87"/>
      <c r="Z237" s="87"/>
      <c r="AA237" s="87"/>
    </row>
    <row r="238">
      <c r="A238" s="90" t="s">
        <v>916</v>
      </c>
      <c r="B238" s="90" t="s">
        <v>917</v>
      </c>
      <c r="C238" s="87"/>
      <c r="D238" s="90" t="s">
        <v>916</v>
      </c>
      <c r="E238" s="86" t="s">
        <v>175</v>
      </c>
      <c r="F238" s="87"/>
      <c r="G238" s="87"/>
      <c r="H238" s="87"/>
      <c r="I238" s="87"/>
      <c r="J238" s="87"/>
      <c r="K238" s="87"/>
      <c r="L238" s="87"/>
      <c r="M238" s="87"/>
      <c r="N238" s="87"/>
      <c r="O238" s="87"/>
      <c r="P238" s="87"/>
      <c r="Q238" s="87"/>
      <c r="R238" s="87"/>
      <c r="S238" s="87"/>
      <c r="T238" s="87"/>
      <c r="U238" s="87"/>
      <c r="V238" s="87"/>
      <c r="W238" s="87"/>
      <c r="X238" s="87"/>
      <c r="Y238" s="87"/>
      <c r="Z238" s="87"/>
      <c r="AA238" s="87"/>
    </row>
    <row r="239">
      <c r="A239" s="90" t="s">
        <v>918</v>
      </c>
      <c r="B239" s="90" t="s">
        <v>919</v>
      </c>
      <c r="C239" s="87"/>
      <c r="D239" s="90" t="s">
        <v>918</v>
      </c>
      <c r="E239" s="86" t="s">
        <v>175</v>
      </c>
      <c r="F239" s="87"/>
      <c r="G239" s="87"/>
      <c r="H239" s="87"/>
      <c r="I239" s="87"/>
      <c r="J239" s="87"/>
      <c r="K239" s="87"/>
      <c r="L239" s="87"/>
      <c r="M239" s="87"/>
      <c r="N239" s="87"/>
      <c r="O239" s="87"/>
      <c r="P239" s="87"/>
      <c r="Q239" s="87"/>
      <c r="R239" s="87"/>
      <c r="S239" s="87"/>
      <c r="T239" s="87"/>
      <c r="U239" s="87"/>
      <c r="V239" s="87"/>
      <c r="W239" s="87"/>
      <c r="X239" s="87"/>
      <c r="Y239" s="87"/>
      <c r="Z239" s="87"/>
      <c r="AA239" s="87"/>
    </row>
    <row r="240">
      <c r="A240" s="90" t="s">
        <v>46</v>
      </c>
      <c r="B240" s="90" t="s">
        <v>48</v>
      </c>
      <c r="C240" s="87"/>
      <c r="D240" s="90" t="s">
        <v>46</v>
      </c>
      <c r="E240" s="86" t="s">
        <v>175</v>
      </c>
      <c r="F240" s="87"/>
      <c r="G240" s="87"/>
      <c r="H240" s="87"/>
      <c r="I240" s="87"/>
      <c r="J240" s="87"/>
      <c r="K240" s="87"/>
      <c r="L240" s="87"/>
      <c r="M240" s="87"/>
      <c r="N240" s="87"/>
      <c r="O240" s="87"/>
      <c r="P240" s="87"/>
      <c r="Q240" s="87"/>
      <c r="R240" s="87"/>
      <c r="S240" s="87"/>
      <c r="T240" s="87"/>
      <c r="U240" s="87"/>
      <c r="V240" s="87"/>
      <c r="W240" s="87"/>
      <c r="X240" s="87"/>
      <c r="Y240" s="87"/>
      <c r="Z240" s="87"/>
      <c r="AA240" s="87"/>
    </row>
    <row r="241">
      <c r="A241" s="90" t="s">
        <v>921</v>
      </c>
      <c r="B241" s="90" t="s">
        <v>922</v>
      </c>
      <c r="C241" s="87"/>
      <c r="D241" s="90" t="s">
        <v>921</v>
      </c>
      <c r="E241" s="86" t="s">
        <v>175</v>
      </c>
      <c r="F241" s="87"/>
      <c r="G241" s="87"/>
      <c r="H241" s="87"/>
      <c r="I241" s="87"/>
      <c r="J241" s="87"/>
      <c r="K241" s="87"/>
      <c r="L241" s="87"/>
      <c r="M241" s="87"/>
      <c r="N241" s="87"/>
      <c r="O241" s="87"/>
      <c r="P241" s="87"/>
      <c r="Q241" s="87"/>
      <c r="R241" s="87"/>
      <c r="S241" s="87"/>
      <c r="T241" s="87"/>
      <c r="U241" s="87"/>
      <c r="V241" s="87"/>
      <c r="W241" s="87"/>
      <c r="X241" s="87"/>
      <c r="Y241" s="87"/>
      <c r="Z241" s="87"/>
      <c r="AA241" s="87"/>
    </row>
    <row r="242">
      <c r="A242" s="90" t="s">
        <v>923</v>
      </c>
      <c r="B242" s="90" t="s">
        <v>924</v>
      </c>
      <c r="C242" s="87"/>
      <c r="D242" s="90" t="s">
        <v>923</v>
      </c>
      <c r="E242" s="86" t="s">
        <v>175</v>
      </c>
      <c r="F242" s="87"/>
      <c r="G242" s="87"/>
      <c r="H242" s="87"/>
      <c r="I242" s="87"/>
      <c r="J242" s="87"/>
      <c r="K242" s="87"/>
      <c r="L242" s="87"/>
      <c r="M242" s="87"/>
      <c r="N242" s="87"/>
      <c r="O242" s="87"/>
      <c r="P242" s="87"/>
      <c r="Q242" s="87"/>
      <c r="R242" s="87"/>
      <c r="S242" s="87"/>
      <c r="T242" s="87"/>
      <c r="U242" s="87"/>
      <c r="V242" s="87"/>
      <c r="W242" s="87"/>
      <c r="X242" s="87"/>
      <c r="Y242" s="87"/>
      <c r="Z242" s="87"/>
      <c r="AA242" s="87"/>
    </row>
    <row r="243">
      <c r="A243" s="90" t="s">
        <v>925</v>
      </c>
      <c r="B243" s="90" t="s">
        <v>926</v>
      </c>
      <c r="C243" s="87"/>
      <c r="D243" s="90" t="s">
        <v>925</v>
      </c>
      <c r="E243" s="86" t="s">
        <v>175</v>
      </c>
      <c r="F243" s="87"/>
      <c r="G243" s="87"/>
      <c r="H243" s="87"/>
      <c r="I243" s="87"/>
      <c r="J243" s="87"/>
      <c r="K243" s="87"/>
      <c r="L243" s="87"/>
      <c r="M243" s="87"/>
      <c r="N243" s="87"/>
      <c r="O243" s="87"/>
      <c r="P243" s="87"/>
      <c r="Q243" s="87"/>
      <c r="R243" s="87"/>
      <c r="S243" s="87"/>
      <c r="T243" s="87"/>
      <c r="U243" s="87"/>
      <c r="V243" s="87"/>
      <c r="W243" s="87"/>
      <c r="X243" s="87"/>
      <c r="Y243" s="87"/>
      <c r="Z243" s="87"/>
      <c r="AA243" s="87"/>
    </row>
    <row r="244">
      <c r="A244" s="90" t="s">
        <v>927</v>
      </c>
      <c r="B244" s="90" t="s">
        <v>928</v>
      </c>
      <c r="C244" s="87"/>
      <c r="D244" s="90" t="s">
        <v>927</v>
      </c>
      <c r="E244" s="86" t="s">
        <v>175</v>
      </c>
      <c r="F244" s="87"/>
      <c r="G244" s="87"/>
      <c r="H244" s="87"/>
      <c r="I244" s="87"/>
      <c r="J244" s="87"/>
      <c r="K244" s="87"/>
      <c r="L244" s="87"/>
      <c r="M244" s="87"/>
      <c r="N244" s="87"/>
      <c r="O244" s="87"/>
      <c r="P244" s="87"/>
      <c r="Q244" s="87"/>
      <c r="R244" s="87"/>
      <c r="S244" s="87"/>
      <c r="T244" s="87"/>
      <c r="U244" s="87"/>
      <c r="V244" s="87"/>
      <c r="W244" s="87"/>
      <c r="X244" s="87"/>
      <c r="Y244" s="87"/>
      <c r="Z244" s="87"/>
      <c r="AA244" s="87"/>
    </row>
    <row r="245">
      <c r="A245" s="90" t="s">
        <v>930</v>
      </c>
      <c r="B245" s="90" t="s">
        <v>931</v>
      </c>
      <c r="C245" s="87"/>
      <c r="D245" s="90" t="s">
        <v>930</v>
      </c>
      <c r="E245" s="86" t="s">
        <v>175</v>
      </c>
      <c r="F245" s="87"/>
      <c r="G245" s="87"/>
      <c r="H245" s="87"/>
      <c r="I245" s="87"/>
      <c r="J245" s="87"/>
      <c r="K245" s="87"/>
      <c r="L245" s="87"/>
      <c r="M245" s="87"/>
      <c r="N245" s="87"/>
      <c r="O245" s="87"/>
      <c r="P245" s="87"/>
      <c r="Q245" s="87"/>
      <c r="R245" s="87"/>
      <c r="S245" s="87"/>
      <c r="T245" s="87"/>
      <c r="U245" s="87"/>
      <c r="V245" s="87"/>
      <c r="W245" s="87"/>
      <c r="X245" s="87"/>
      <c r="Y245" s="87"/>
      <c r="Z245" s="87"/>
      <c r="AA245" s="87"/>
    </row>
    <row r="246">
      <c r="A246" s="90" t="s">
        <v>932</v>
      </c>
      <c r="B246" s="90" t="s">
        <v>933</v>
      </c>
      <c r="C246" s="87"/>
      <c r="D246" s="90" t="s">
        <v>932</v>
      </c>
      <c r="E246" s="86" t="s">
        <v>175</v>
      </c>
      <c r="F246" s="87"/>
      <c r="G246" s="87"/>
      <c r="H246" s="87"/>
      <c r="I246" s="87"/>
      <c r="J246" s="87"/>
      <c r="K246" s="87"/>
      <c r="L246" s="87"/>
      <c r="M246" s="87"/>
      <c r="N246" s="87"/>
      <c r="O246" s="87"/>
      <c r="P246" s="87"/>
      <c r="Q246" s="87"/>
      <c r="R246" s="87"/>
      <c r="S246" s="87"/>
      <c r="T246" s="87"/>
      <c r="U246" s="87"/>
      <c r="V246" s="87"/>
      <c r="W246" s="87"/>
      <c r="X246" s="87"/>
      <c r="Y246" s="87"/>
      <c r="Z246" s="87"/>
      <c r="AA246" s="87"/>
    </row>
    <row r="247">
      <c r="A247" s="90" t="s">
        <v>934</v>
      </c>
      <c r="B247" s="90" t="s">
        <v>935</v>
      </c>
      <c r="C247" s="87"/>
      <c r="D247" s="90" t="s">
        <v>934</v>
      </c>
      <c r="E247" s="86" t="s">
        <v>175</v>
      </c>
      <c r="F247" s="87"/>
      <c r="G247" s="87"/>
      <c r="H247" s="87"/>
      <c r="I247" s="87"/>
      <c r="J247" s="87"/>
      <c r="K247" s="87"/>
      <c r="L247" s="87"/>
      <c r="M247" s="87"/>
      <c r="N247" s="87"/>
      <c r="O247" s="87"/>
      <c r="P247" s="87"/>
      <c r="Q247" s="87"/>
      <c r="R247" s="87"/>
      <c r="S247" s="87"/>
      <c r="T247" s="87"/>
      <c r="U247" s="87"/>
      <c r="V247" s="87"/>
      <c r="W247" s="87"/>
      <c r="X247" s="87"/>
      <c r="Y247" s="87"/>
      <c r="Z247" s="87"/>
      <c r="AA247" s="87"/>
    </row>
    <row r="248">
      <c r="A248" s="90" t="s">
        <v>938</v>
      </c>
      <c r="B248" s="90" t="s">
        <v>939</v>
      </c>
      <c r="C248" s="87"/>
      <c r="D248" s="90" t="s">
        <v>938</v>
      </c>
      <c r="E248" s="86" t="s">
        <v>175</v>
      </c>
      <c r="F248" s="87"/>
      <c r="G248" s="87"/>
      <c r="H248" s="87"/>
      <c r="I248" s="87"/>
      <c r="J248" s="87"/>
      <c r="K248" s="87"/>
      <c r="L248" s="87"/>
      <c r="M248" s="87"/>
      <c r="N248" s="87"/>
      <c r="O248" s="87"/>
      <c r="P248" s="87"/>
      <c r="Q248" s="87"/>
      <c r="R248" s="87"/>
      <c r="S248" s="87"/>
      <c r="T248" s="87"/>
      <c r="U248" s="87"/>
      <c r="V248" s="87"/>
      <c r="W248" s="87"/>
      <c r="X248" s="87"/>
      <c r="Y248" s="87"/>
      <c r="Z248" s="87"/>
      <c r="AA248" s="87"/>
    </row>
    <row r="249">
      <c r="A249" s="90" t="s">
        <v>940</v>
      </c>
      <c r="B249" s="90" t="s">
        <v>941</v>
      </c>
      <c r="C249" s="87"/>
      <c r="D249" s="90" t="s">
        <v>940</v>
      </c>
      <c r="E249" s="86" t="s">
        <v>175</v>
      </c>
      <c r="F249" s="87"/>
      <c r="G249" s="87"/>
      <c r="H249" s="87"/>
      <c r="I249" s="87"/>
      <c r="J249" s="87"/>
      <c r="K249" s="87"/>
      <c r="L249" s="87"/>
      <c r="M249" s="87"/>
      <c r="N249" s="87"/>
      <c r="O249" s="87"/>
      <c r="P249" s="87"/>
      <c r="Q249" s="87"/>
      <c r="R249" s="87"/>
      <c r="S249" s="87"/>
      <c r="T249" s="87"/>
      <c r="U249" s="87"/>
      <c r="V249" s="87"/>
      <c r="W249" s="87"/>
      <c r="X249" s="87"/>
      <c r="Y249" s="87"/>
      <c r="Z249" s="87"/>
      <c r="AA249" s="87"/>
    </row>
    <row r="250">
      <c r="A250" s="90" t="s">
        <v>943</v>
      </c>
      <c r="B250" s="90" t="s">
        <v>944</v>
      </c>
      <c r="C250" s="87"/>
      <c r="D250" s="90" t="s">
        <v>943</v>
      </c>
      <c r="E250" s="86" t="s">
        <v>175</v>
      </c>
      <c r="F250" s="87"/>
      <c r="G250" s="87"/>
      <c r="H250" s="87"/>
      <c r="I250" s="87"/>
      <c r="J250" s="87"/>
      <c r="K250" s="87"/>
      <c r="L250" s="87"/>
      <c r="M250" s="87"/>
      <c r="N250" s="87"/>
      <c r="O250" s="87"/>
      <c r="P250" s="87"/>
      <c r="Q250" s="87"/>
      <c r="R250" s="87"/>
      <c r="S250" s="87"/>
      <c r="T250" s="87"/>
      <c r="U250" s="87"/>
      <c r="V250" s="87"/>
      <c r="W250" s="87"/>
      <c r="X250" s="87"/>
      <c r="Y250" s="87"/>
      <c r="Z250" s="87"/>
      <c r="AA250" s="87"/>
    </row>
    <row r="251">
      <c r="A251" s="90" t="s">
        <v>945</v>
      </c>
      <c r="B251" s="90" t="s">
        <v>946</v>
      </c>
      <c r="C251" s="87"/>
      <c r="D251" s="90" t="s">
        <v>945</v>
      </c>
      <c r="E251" s="86" t="s">
        <v>175</v>
      </c>
      <c r="F251" s="87"/>
      <c r="G251" s="87"/>
      <c r="H251" s="87"/>
      <c r="I251" s="87"/>
      <c r="J251" s="87"/>
      <c r="K251" s="87"/>
      <c r="L251" s="87"/>
      <c r="M251" s="87"/>
      <c r="N251" s="87"/>
      <c r="O251" s="87"/>
      <c r="P251" s="87"/>
      <c r="Q251" s="87"/>
      <c r="R251" s="87"/>
      <c r="S251" s="87"/>
      <c r="T251" s="87"/>
      <c r="U251" s="87"/>
      <c r="V251" s="87"/>
      <c r="W251" s="87"/>
      <c r="X251" s="87"/>
      <c r="Y251" s="87"/>
      <c r="Z251" s="87"/>
      <c r="AA251" s="87"/>
    </row>
    <row r="252">
      <c r="A252" s="90" t="s">
        <v>948</v>
      </c>
      <c r="B252" s="90" t="s">
        <v>950</v>
      </c>
      <c r="C252" s="87"/>
      <c r="D252" s="90" t="s">
        <v>948</v>
      </c>
      <c r="E252" s="86" t="s">
        <v>175</v>
      </c>
      <c r="F252" s="87"/>
      <c r="G252" s="87"/>
      <c r="H252" s="87"/>
      <c r="I252" s="87"/>
      <c r="J252" s="87"/>
      <c r="K252" s="87"/>
      <c r="L252" s="87"/>
      <c r="M252" s="87"/>
      <c r="N252" s="87"/>
      <c r="O252" s="87"/>
      <c r="P252" s="87"/>
      <c r="Q252" s="87"/>
      <c r="R252" s="87"/>
      <c r="S252" s="87"/>
      <c r="T252" s="87"/>
      <c r="U252" s="87"/>
      <c r="V252" s="87"/>
      <c r="W252" s="87"/>
      <c r="X252" s="87"/>
      <c r="Y252" s="87"/>
      <c r="Z252" s="87"/>
      <c r="AA252" s="87"/>
    </row>
    <row r="253">
      <c r="A253" s="90" t="s">
        <v>951</v>
      </c>
      <c r="B253" s="90" t="s">
        <v>952</v>
      </c>
      <c r="C253" s="87"/>
      <c r="D253" s="90" t="s">
        <v>951</v>
      </c>
      <c r="E253" s="86" t="s">
        <v>175</v>
      </c>
      <c r="F253" s="87"/>
      <c r="G253" s="87"/>
      <c r="H253" s="87"/>
      <c r="I253" s="87"/>
      <c r="J253" s="87"/>
      <c r="K253" s="87"/>
      <c r="L253" s="87"/>
      <c r="M253" s="87"/>
      <c r="N253" s="87"/>
      <c r="O253" s="87"/>
      <c r="P253" s="87"/>
      <c r="Q253" s="87"/>
      <c r="R253" s="87"/>
      <c r="S253" s="87"/>
      <c r="T253" s="87"/>
      <c r="U253" s="87"/>
      <c r="V253" s="87"/>
      <c r="W253" s="87"/>
      <c r="X253" s="87"/>
      <c r="Y253" s="87"/>
      <c r="Z253" s="87"/>
      <c r="AA253" s="87"/>
    </row>
    <row r="254">
      <c r="A254" s="90" t="s">
        <v>953</v>
      </c>
      <c r="B254" s="90" t="s">
        <v>954</v>
      </c>
      <c r="C254" s="87"/>
      <c r="D254" s="90" t="s">
        <v>953</v>
      </c>
      <c r="E254" s="86" t="s">
        <v>175</v>
      </c>
      <c r="F254" s="87"/>
      <c r="G254" s="87"/>
      <c r="H254" s="87"/>
      <c r="I254" s="87"/>
      <c r="J254" s="87"/>
      <c r="K254" s="87"/>
      <c r="L254" s="87"/>
      <c r="M254" s="87"/>
      <c r="N254" s="87"/>
      <c r="O254" s="87"/>
      <c r="P254" s="87"/>
      <c r="Q254" s="87"/>
      <c r="R254" s="87"/>
      <c r="S254" s="87"/>
      <c r="T254" s="87"/>
      <c r="U254" s="87"/>
      <c r="V254" s="87"/>
      <c r="W254" s="87"/>
      <c r="X254" s="87"/>
      <c r="Y254" s="87"/>
      <c r="Z254" s="87"/>
      <c r="AA254" s="87"/>
    </row>
    <row r="255">
      <c r="A255" s="90" t="s">
        <v>956</v>
      </c>
      <c r="B255" s="90" t="s">
        <v>957</v>
      </c>
      <c r="C255" s="87"/>
      <c r="D255" s="90" t="s">
        <v>956</v>
      </c>
      <c r="E255" s="86" t="s">
        <v>175</v>
      </c>
      <c r="F255" s="87"/>
      <c r="G255" s="87"/>
      <c r="H255" s="87"/>
      <c r="I255" s="87"/>
      <c r="J255" s="87"/>
      <c r="K255" s="87"/>
      <c r="L255" s="87"/>
      <c r="M255" s="87"/>
      <c r="N255" s="87"/>
      <c r="O255" s="87"/>
      <c r="P255" s="87"/>
      <c r="Q255" s="87"/>
      <c r="R255" s="87"/>
      <c r="S255" s="87"/>
      <c r="T255" s="87"/>
      <c r="U255" s="87"/>
      <c r="V255" s="87"/>
      <c r="W255" s="87"/>
      <c r="X255" s="87"/>
      <c r="Y255" s="87"/>
      <c r="Z255" s="87"/>
      <c r="AA255" s="87"/>
    </row>
    <row r="256">
      <c r="A256" s="90" t="s">
        <v>959</v>
      </c>
      <c r="B256" s="90" t="s">
        <v>960</v>
      </c>
      <c r="C256" s="87"/>
      <c r="D256" s="90" t="s">
        <v>959</v>
      </c>
      <c r="E256" s="86" t="s">
        <v>175</v>
      </c>
      <c r="F256" s="87"/>
      <c r="G256" s="87"/>
      <c r="H256" s="87"/>
      <c r="I256" s="87"/>
      <c r="J256" s="87"/>
      <c r="K256" s="87"/>
      <c r="L256" s="87"/>
      <c r="M256" s="87"/>
      <c r="N256" s="87"/>
      <c r="O256" s="87"/>
      <c r="P256" s="87"/>
      <c r="Q256" s="87"/>
      <c r="R256" s="87"/>
      <c r="S256" s="87"/>
      <c r="T256" s="87"/>
      <c r="U256" s="87"/>
      <c r="V256" s="87"/>
      <c r="W256" s="87"/>
      <c r="X256" s="87"/>
      <c r="Y256" s="87"/>
      <c r="Z256" s="87"/>
      <c r="AA256" s="87"/>
    </row>
    <row r="257">
      <c r="A257" s="90" t="s">
        <v>961</v>
      </c>
      <c r="B257" s="90" t="s">
        <v>962</v>
      </c>
      <c r="C257" s="87"/>
      <c r="D257" s="90" t="s">
        <v>961</v>
      </c>
      <c r="E257" s="86" t="s">
        <v>175</v>
      </c>
      <c r="F257" s="87"/>
      <c r="G257" s="87"/>
      <c r="H257" s="87"/>
      <c r="I257" s="87"/>
      <c r="J257" s="87"/>
      <c r="K257" s="87"/>
      <c r="L257" s="87"/>
      <c r="M257" s="87"/>
      <c r="N257" s="87"/>
      <c r="O257" s="87"/>
      <c r="P257" s="87"/>
      <c r="Q257" s="87"/>
      <c r="R257" s="87"/>
      <c r="S257" s="87"/>
      <c r="T257" s="87"/>
      <c r="U257" s="87"/>
      <c r="V257" s="87"/>
      <c r="W257" s="87"/>
      <c r="X257" s="87"/>
      <c r="Y257" s="87"/>
      <c r="Z257" s="87"/>
      <c r="AA257" s="87"/>
    </row>
    <row r="258">
      <c r="A258" s="90" t="s">
        <v>965</v>
      </c>
      <c r="B258" s="90" t="s">
        <v>966</v>
      </c>
      <c r="C258" s="87"/>
      <c r="D258" s="90" t="s">
        <v>965</v>
      </c>
      <c r="E258" s="86" t="s">
        <v>175</v>
      </c>
      <c r="F258" s="87"/>
      <c r="G258" s="87"/>
      <c r="H258" s="87"/>
      <c r="I258" s="87"/>
      <c r="J258" s="87"/>
      <c r="K258" s="87"/>
      <c r="L258" s="87"/>
      <c r="M258" s="87"/>
      <c r="N258" s="87"/>
      <c r="O258" s="87"/>
      <c r="P258" s="87"/>
      <c r="Q258" s="87"/>
      <c r="R258" s="87"/>
      <c r="S258" s="87"/>
      <c r="T258" s="87"/>
      <c r="U258" s="87"/>
      <c r="V258" s="87"/>
      <c r="W258" s="87"/>
      <c r="X258" s="87"/>
      <c r="Y258" s="87"/>
      <c r="Z258" s="87"/>
      <c r="AA258" s="87"/>
    </row>
    <row r="259">
      <c r="A259" s="90" t="s">
        <v>968</v>
      </c>
      <c r="B259" s="90" t="s">
        <v>969</v>
      </c>
      <c r="C259" s="87"/>
      <c r="D259" s="90" t="s">
        <v>968</v>
      </c>
      <c r="E259" s="86" t="s">
        <v>175</v>
      </c>
      <c r="F259" s="87"/>
      <c r="G259" s="87"/>
      <c r="H259" s="87"/>
      <c r="I259" s="87"/>
      <c r="J259" s="87"/>
      <c r="K259" s="87"/>
      <c r="L259" s="87"/>
      <c r="M259" s="87"/>
      <c r="N259" s="87"/>
      <c r="O259" s="87"/>
      <c r="P259" s="87"/>
      <c r="Q259" s="87"/>
      <c r="R259" s="87"/>
      <c r="S259" s="87"/>
      <c r="T259" s="87"/>
      <c r="U259" s="87"/>
      <c r="V259" s="87"/>
      <c r="W259" s="87"/>
      <c r="X259" s="87"/>
      <c r="Y259" s="87"/>
      <c r="Z259" s="87"/>
      <c r="AA259" s="87"/>
    </row>
    <row r="260">
      <c r="A260" s="90" t="s">
        <v>971</v>
      </c>
      <c r="B260" s="90" t="s">
        <v>972</v>
      </c>
      <c r="C260" s="87"/>
      <c r="D260" s="90" t="s">
        <v>971</v>
      </c>
      <c r="E260" s="86" t="s">
        <v>175</v>
      </c>
      <c r="F260" s="87"/>
      <c r="G260" s="87"/>
      <c r="H260" s="87"/>
      <c r="I260" s="87"/>
      <c r="J260" s="87"/>
      <c r="K260" s="87"/>
      <c r="L260" s="87"/>
      <c r="M260" s="87"/>
      <c r="N260" s="87"/>
      <c r="O260" s="87"/>
      <c r="P260" s="87"/>
      <c r="Q260" s="87"/>
      <c r="R260" s="87"/>
      <c r="S260" s="87"/>
      <c r="T260" s="87"/>
      <c r="U260" s="87"/>
      <c r="V260" s="87"/>
      <c r="W260" s="87"/>
      <c r="X260" s="87"/>
      <c r="Y260" s="87"/>
      <c r="Z260" s="87"/>
      <c r="AA260" s="87"/>
    </row>
    <row r="261">
      <c r="A261" s="90" t="s">
        <v>975</v>
      </c>
      <c r="B261" s="90" t="s">
        <v>976</v>
      </c>
      <c r="C261" s="87"/>
      <c r="D261" s="90" t="s">
        <v>975</v>
      </c>
      <c r="E261" s="86" t="s">
        <v>175</v>
      </c>
      <c r="F261" s="87"/>
      <c r="G261" s="87"/>
      <c r="H261" s="87"/>
      <c r="I261" s="87"/>
      <c r="J261" s="87"/>
      <c r="K261" s="87"/>
      <c r="L261" s="87"/>
      <c r="M261" s="87"/>
      <c r="N261" s="87"/>
      <c r="O261" s="87"/>
      <c r="P261" s="87"/>
      <c r="Q261" s="87"/>
      <c r="R261" s="87"/>
      <c r="S261" s="87"/>
      <c r="T261" s="87"/>
      <c r="U261" s="87"/>
      <c r="V261" s="87"/>
      <c r="W261" s="87"/>
      <c r="X261" s="87"/>
      <c r="Y261" s="87"/>
      <c r="Z261" s="87"/>
      <c r="AA261" s="87"/>
    </row>
    <row r="262">
      <c r="A262" s="90" t="s">
        <v>977</v>
      </c>
      <c r="B262" s="90" t="s">
        <v>978</v>
      </c>
      <c r="C262" s="87"/>
      <c r="D262" s="90" t="s">
        <v>977</v>
      </c>
      <c r="E262" s="86" t="s">
        <v>175</v>
      </c>
      <c r="F262" s="87"/>
      <c r="G262" s="87"/>
      <c r="H262" s="87"/>
      <c r="I262" s="87"/>
      <c r="J262" s="87"/>
      <c r="K262" s="87"/>
      <c r="L262" s="87"/>
      <c r="M262" s="87"/>
      <c r="N262" s="87"/>
      <c r="O262" s="87"/>
      <c r="P262" s="87"/>
      <c r="Q262" s="87"/>
      <c r="R262" s="87"/>
      <c r="S262" s="87"/>
      <c r="T262" s="87"/>
      <c r="U262" s="87"/>
      <c r="V262" s="87"/>
      <c r="W262" s="87"/>
      <c r="X262" s="87"/>
      <c r="Y262" s="87"/>
      <c r="Z262" s="87"/>
      <c r="AA262" s="87"/>
    </row>
    <row r="263">
      <c r="A263" s="90" t="s">
        <v>979</v>
      </c>
      <c r="B263" s="90" t="s">
        <v>980</v>
      </c>
      <c r="C263" s="87"/>
      <c r="D263" s="90" t="s">
        <v>979</v>
      </c>
      <c r="E263" s="86" t="s">
        <v>175</v>
      </c>
      <c r="F263" s="87"/>
      <c r="G263" s="87"/>
      <c r="H263" s="87"/>
      <c r="I263" s="87"/>
      <c r="J263" s="87"/>
      <c r="K263" s="87"/>
      <c r="L263" s="87"/>
      <c r="M263" s="87"/>
      <c r="N263" s="87"/>
      <c r="O263" s="87"/>
      <c r="P263" s="87"/>
      <c r="Q263" s="87"/>
      <c r="R263" s="87"/>
      <c r="S263" s="87"/>
      <c r="T263" s="87"/>
      <c r="U263" s="87"/>
      <c r="V263" s="87"/>
      <c r="W263" s="87"/>
      <c r="X263" s="87"/>
      <c r="Y263" s="87"/>
      <c r="Z263" s="87"/>
      <c r="AA263" s="87"/>
    </row>
    <row r="264">
      <c r="A264" s="90" t="s">
        <v>983</v>
      </c>
      <c r="B264" s="90" t="s">
        <v>984</v>
      </c>
      <c r="C264" s="87"/>
      <c r="D264" s="90" t="s">
        <v>983</v>
      </c>
      <c r="E264" s="86" t="s">
        <v>175</v>
      </c>
      <c r="F264" s="87"/>
      <c r="G264" s="87"/>
      <c r="H264" s="87"/>
      <c r="I264" s="87"/>
      <c r="J264" s="87"/>
      <c r="K264" s="87"/>
      <c r="L264" s="87"/>
      <c r="M264" s="87"/>
      <c r="N264" s="87"/>
      <c r="O264" s="87"/>
      <c r="P264" s="87"/>
      <c r="Q264" s="87"/>
      <c r="R264" s="87"/>
      <c r="S264" s="87"/>
      <c r="T264" s="87"/>
      <c r="U264" s="87"/>
      <c r="V264" s="87"/>
      <c r="W264" s="87"/>
      <c r="X264" s="87"/>
      <c r="Y264" s="87"/>
      <c r="Z264" s="87"/>
      <c r="AA264" s="87"/>
    </row>
    <row r="265">
      <c r="A265" s="90" t="s">
        <v>985</v>
      </c>
      <c r="B265" s="90" t="s">
        <v>986</v>
      </c>
      <c r="C265" s="87"/>
      <c r="D265" s="90" t="s">
        <v>985</v>
      </c>
      <c r="E265" s="86" t="s">
        <v>175</v>
      </c>
      <c r="F265" s="87"/>
      <c r="G265" s="87"/>
      <c r="H265" s="87"/>
      <c r="I265" s="87"/>
      <c r="J265" s="87"/>
      <c r="K265" s="87"/>
      <c r="L265" s="87"/>
      <c r="M265" s="87"/>
      <c r="N265" s="87"/>
      <c r="O265" s="87"/>
      <c r="P265" s="87"/>
      <c r="Q265" s="87"/>
      <c r="R265" s="87"/>
      <c r="S265" s="87"/>
      <c r="T265" s="87"/>
      <c r="U265" s="87"/>
      <c r="V265" s="87"/>
      <c r="W265" s="87"/>
      <c r="X265" s="87"/>
      <c r="Y265" s="87"/>
      <c r="Z265" s="87"/>
      <c r="AA265" s="87"/>
    </row>
    <row r="266">
      <c r="A266" s="90" t="s">
        <v>989</v>
      </c>
      <c r="B266" s="90" t="s">
        <v>990</v>
      </c>
      <c r="C266" s="87"/>
      <c r="D266" s="90" t="s">
        <v>989</v>
      </c>
      <c r="E266" s="86" t="s">
        <v>175</v>
      </c>
      <c r="F266" s="87"/>
      <c r="G266" s="87"/>
      <c r="H266" s="87"/>
      <c r="I266" s="87"/>
      <c r="J266" s="87"/>
      <c r="K266" s="87"/>
      <c r="L266" s="87"/>
      <c r="M266" s="87"/>
      <c r="N266" s="87"/>
      <c r="O266" s="87"/>
      <c r="P266" s="87"/>
      <c r="Q266" s="87"/>
      <c r="R266" s="87"/>
      <c r="S266" s="87"/>
      <c r="T266" s="87"/>
      <c r="U266" s="87"/>
      <c r="V266" s="87"/>
      <c r="W266" s="87"/>
      <c r="X266" s="87"/>
      <c r="Y266" s="87"/>
      <c r="Z266" s="87"/>
      <c r="AA266" s="87"/>
    </row>
    <row r="267">
      <c r="A267" s="90" t="s">
        <v>991</v>
      </c>
      <c r="B267" s="90" t="s">
        <v>992</v>
      </c>
      <c r="C267" s="87"/>
      <c r="D267" s="90" t="s">
        <v>991</v>
      </c>
      <c r="E267" s="86" t="s">
        <v>175</v>
      </c>
      <c r="F267" s="87"/>
      <c r="G267" s="87"/>
      <c r="H267" s="87"/>
      <c r="I267" s="87"/>
      <c r="J267" s="87"/>
      <c r="K267" s="87"/>
      <c r="L267" s="87"/>
      <c r="M267" s="87"/>
      <c r="N267" s="87"/>
      <c r="O267" s="87"/>
      <c r="P267" s="87"/>
      <c r="Q267" s="87"/>
      <c r="R267" s="87"/>
      <c r="S267" s="87"/>
      <c r="T267" s="87"/>
      <c r="U267" s="87"/>
      <c r="V267" s="87"/>
      <c r="W267" s="87"/>
      <c r="X267" s="87"/>
      <c r="Y267" s="87"/>
      <c r="Z267" s="87"/>
      <c r="AA267" s="87"/>
    </row>
    <row r="268">
      <c r="A268" s="90" t="s">
        <v>993</v>
      </c>
      <c r="B268" s="90" t="s">
        <v>994</v>
      </c>
      <c r="C268" s="87"/>
      <c r="D268" s="90" t="s">
        <v>993</v>
      </c>
      <c r="E268" s="86" t="s">
        <v>175</v>
      </c>
      <c r="F268" s="87"/>
      <c r="G268" s="87"/>
      <c r="H268" s="87"/>
      <c r="I268" s="87"/>
      <c r="J268" s="87"/>
      <c r="K268" s="87"/>
      <c r="L268" s="87"/>
      <c r="M268" s="87"/>
      <c r="N268" s="87"/>
      <c r="O268" s="87"/>
      <c r="P268" s="87"/>
      <c r="Q268" s="87"/>
      <c r="R268" s="87"/>
      <c r="S268" s="87"/>
      <c r="T268" s="87"/>
      <c r="U268" s="87"/>
      <c r="V268" s="87"/>
      <c r="W268" s="87"/>
      <c r="X268" s="87"/>
      <c r="Y268" s="87"/>
      <c r="Z268" s="87"/>
      <c r="AA268" s="87"/>
    </row>
    <row r="269">
      <c r="A269" s="90" t="s">
        <v>996</v>
      </c>
      <c r="B269" s="90" t="s">
        <v>997</v>
      </c>
      <c r="C269" s="87"/>
      <c r="D269" s="90" t="s">
        <v>996</v>
      </c>
      <c r="E269" s="86" t="s">
        <v>175</v>
      </c>
      <c r="F269" s="87"/>
      <c r="G269" s="87"/>
      <c r="H269" s="87"/>
      <c r="I269" s="87"/>
      <c r="J269" s="87"/>
      <c r="K269" s="87"/>
      <c r="L269" s="87"/>
      <c r="M269" s="87"/>
      <c r="N269" s="87"/>
      <c r="O269" s="87"/>
      <c r="P269" s="87"/>
      <c r="Q269" s="87"/>
      <c r="R269" s="87"/>
      <c r="S269" s="87"/>
      <c r="T269" s="87"/>
      <c r="U269" s="87"/>
      <c r="V269" s="87"/>
      <c r="W269" s="87"/>
      <c r="X269" s="87"/>
      <c r="Y269" s="87"/>
      <c r="Z269" s="87"/>
      <c r="AA269" s="87"/>
    </row>
    <row r="270">
      <c r="A270" s="90" t="s">
        <v>998</v>
      </c>
      <c r="B270" s="90" t="s">
        <v>999</v>
      </c>
      <c r="C270" s="87"/>
      <c r="D270" s="90" t="s">
        <v>998</v>
      </c>
      <c r="E270" s="86" t="s">
        <v>175</v>
      </c>
      <c r="F270" s="87"/>
      <c r="G270" s="87"/>
      <c r="H270" s="87"/>
      <c r="I270" s="87"/>
      <c r="J270" s="87"/>
      <c r="K270" s="87"/>
      <c r="L270" s="87"/>
      <c r="M270" s="87"/>
      <c r="N270" s="87"/>
      <c r="O270" s="87"/>
      <c r="P270" s="87"/>
      <c r="Q270" s="87"/>
      <c r="R270" s="87"/>
      <c r="S270" s="87"/>
      <c r="T270" s="87"/>
      <c r="U270" s="87"/>
      <c r="V270" s="87"/>
      <c r="W270" s="87"/>
      <c r="X270" s="87"/>
      <c r="Y270" s="87"/>
      <c r="Z270" s="87"/>
      <c r="AA270" s="87"/>
    </row>
    <row r="271">
      <c r="A271" s="90" t="s">
        <v>1002</v>
      </c>
      <c r="B271" s="90" t="s">
        <v>1003</v>
      </c>
      <c r="C271" s="87"/>
      <c r="D271" s="90" t="s">
        <v>1002</v>
      </c>
      <c r="E271" s="86" t="s">
        <v>175</v>
      </c>
      <c r="F271" s="87"/>
      <c r="G271" s="87"/>
      <c r="H271" s="87"/>
      <c r="I271" s="87"/>
      <c r="J271" s="87"/>
      <c r="K271" s="87"/>
      <c r="L271" s="87"/>
      <c r="M271" s="87"/>
      <c r="N271" s="87"/>
      <c r="O271" s="87"/>
      <c r="P271" s="87"/>
      <c r="Q271" s="87"/>
      <c r="R271" s="87"/>
      <c r="S271" s="87"/>
      <c r="T271" s="87"/>
      <c r="U271" s="87"/>
      <c r="V271" s="87"/>
      <c r="W271" s="87"/>
      <c r="X271" s="87"/>
      <c r="Y271" s="87"/>
      <c r="Z271" s="87"/>
      <c r="AA271" s="87"/>
    </row>
    <row r="272">
      <c r="A272" s="90" t="s">
        <v>1004</v>
      </c>
      <c r="B272" s="90" t="s">
        <v>1006</v>
      </c>
      <c r="C272" s="87"/>
      <c r="D272" s="90" t="s">
        <v>1004</v>
      </c>
      <c r="E272" s="86" t="s">
        <v>175</v>
      </c>
      <c r="F272" s="87"/>
      <c r="G272" s="87"/>
      <c r="H272" s="87"/>
      <c r="I272" s="87"/>
      <c r="J272" s="87"/>
      <c r="K272" s="87"/>
      <c r="L272" s="87"/>
      <c r="M272" s="87"/>
      <c r="N272" s="87"/>
      <c r="O272" s="87"/>
      <c r="P272" s="87"/>
      <c r="Q272" s="87"/>
      <c r="R272" s="87"/>
      <c r="S272" s="87"/>
      <c r="T272" s="87"/>
      <c r="U272" s="87"/>
      <c r="V272" s="87"/>
      <c r="W272" s="87"/>
      <c r="X272" s="87"/>
      <c r="Y272" s="87"/>
      <c r="Z272" s="87"/>
      <c r="AA272" s="87"/>
    </row>
    <row r="273">
      <c r="A273" s="90" t="s">
        <v>1008</v>
      </c>
      <c r="B273" s="90" t="s">
        <v>1009</v>
      </c>
      <c r="C273" s="87"/>
      <c r="D273" s="90" t="s">
        <v>1008</v>
      </c>
      <c r="E273" s="86" t="s">
        <v>175</v>
      </c>
      <c r="F273" s="87"/>
      <c r="G273" s="87"/>
      <c r="H273" s="87"/>
      <c r="I273" s="87"/>
      <c r="J273" s="87"/>
      <c r="K273" s="87"/>
      <c r="L273" s="87"/>
      <c r="M273" s="87"/>
      <c r="N273" s="87"/>
      <c r="O273" s="87"/>
      <c r="P273" s="87"/>
      <c r="Q273" s="87"/>
      <c r="R273" s="87"/>
      <c r="S273" s="87"/>
      <c r="T273" s="87"/>
      <c r="U273" s="87"/>
      <c r="V273" s="87"/>
      <c r="W273" s="87"/>
      <c r="X273" s="87"/>
      <c r="Y273" s="87"/>
      <c r="Z273" s="87"/>
      <c r="AA273" s="87"/>
    </row>
    <row r="274">
      <c r="A274" s="90" t="s">
        <v>1010</v>
      </c>
      <c r="B274" s="90" t="s">
        <v>1011</v>
      </c>
      <c r="C274" s="87"/>
      <c r="D274" s="90" t="s">
        <v>1010</v>
      </c>
      <c r="E274" s="86" t="s">
        <v>175</v>
      </c>
      <c r="F274" s="87"/>
      <c r="G274" s="87"/>
      <c r="H274" s="87"/>
      <c r="I274" s="87"/>
      <c r="J274" s="87"/>
      <c r="K274" s="87"/>
      <c r="L274" s="87"/>
      <c r="M274" s="87"/>
      <c r="N274" s="87"/>
      <c r="O274" s="87"/>
      <c r="P274" s="87"/>
      <c r="Q274" s="87"/>
      <c r="R274" s="87"/>
      <c r="S274" s="87"/>
      <c r="T274" s="87"/>
      <c r="U274" s="87"/>
      <c r="V274" s="87"/>
      <c r="W274" s="87"/>
      <c r="X274" s="87"/>
      <c r="Y274" s="87"/>
      <c r="Z274" s="87"/>
      <c r="AA274" s="87"/>
    </row>
    <row r="275">
      <c r="A275" s="90" t="s">
        <v>1012</v>
      </c>
      <c r="B275" s="90" t="s">
        <v>1013</v>
      </c>
      <c r="C275" s="87"/>
      <c r="D275" s="90" t="s">
        <v>1012</v>
      </c>
      <c r="E275" s="86" t="s">
        <v>175</v>
      </c>
      <c r="F275" s="87"/>
      <c r="G275" s="87"/>
      <c r="H275" s="87"/>
      <c r="I275" s="87"/>
      <c r="J275" s="87"/>
      <c r="K275" s="87"/>
      <c r="L275" s="87"/>
      <c r="M275" s="87"/>
      <c r="N275" s="87"/>
      <c r="O275" s="87"/>
      <c r="P275" s="87"/>
      <c r="Q275" s="87"/>
      <c r="R275" s="87"/>
      <c r="S275" s="87"/>
      <c r="T275" s="87"/>
      <c r="U275" s="87"/>
      <c r="V275" s="87"/>
      <c r="W275" s="87"/>
      <c r="X275" s="87"/>
      <c r="Y275" s="87"/>
      <c r="Z275" s="87"/>
      <c r="AA275" s="87"/>
    </row>
    <row r="276">
      <c r="A276" s="90" t="s">
        <v>1015</v>
      </c>
      <c r="B276" s="90" t="s">
        <v>1016</v>
      </c>
      <c r="C276" s="87"/>
      <c r="D276" s="90" t="s">
        <v>1015</v>
      </c>
      <c r="E276" s="86" t="s">
        <v>175</v>
      </c>
      <c r="F276" s="87"/>
      <c r="G276" s="87"/>
      <c r="H276" s="87"/>
      <c r="I276" s="87"/>
      <c r="J276" s="87"/>
      <c r="K276" s="87"/>
      <c r="L276" s="87"/>
      <c r="M276" s="87"/>
      <c r="N276" s="87"/>
      <c r="O276" s="87"/>
      <c r="P276" s="87"/>
      <c r="Q276" s="87"/>
      <c r="R276" s="87"/>
      <c r="S276" s="87"/>
      <c r="T276" s="87"/>
      <c r="U276" s="87"/>
      <c r="V276" s="87"/>
      <c r="W276" s="87"/>
      <c r="X276" s="87"/>
      <c r="Y276" s="87"/>
      <c r="Z276" s="87"/>
      <c r="AA276" s="87"/>
    </row>
    <row r="277">
      <c r="A277" s="90" t="s">
        <v>1017</v>
      </c>
      <c r="B277" s="90" t="s">
        <v>1018</v>
      </c>
      <c r="C277" s="87"/>
      <c r="D277" s="90" t="s">
        <v>1017</v>
      </c>
      <c r="E277" s="86" t="s">
        <v>175</v>
      </c>
      <c r="F277" s="87"/>
      <c r="G277" s="87"/>
      <c r="H277" s="87"/>
      <c r="I277" s="87"/>
      <c r="J277" s="87"/>
      <c r="K277" s="87"/>
      <c r="L277" s="87"/>
      <c r="M277" s="87"/>
      <c r="N277" s="87"/>
      <c r="O277" s="87"/>
      <c r="P277" s="87"/>
      <c r="Q277" s="87"/>
      <c r="R277" s="87"/>
      <c r="S277" s="87"/>
      <c r="T277" s="87"/>
      <c r="U277" s="87"/>
      <c r="V277" s="87"/>
      <c r="W277" s="87"/>
      <c r="X277" s="87"/>
      <c r="Y277" s="87"/>
      <c r="Z277" s="87"/>
      <c r="AA277" s="87"/>
    </row>
    <row r="278">
      <c r="A278" s="90" t="s">
        <v>1020</v>
      </c>
      <c r="B278" s="90" t="s">
        <v>1022</v>
      </c>
      <c r="C278" s="87"/>
      <c r="D278" s="90" t="s">
        <v>1020</v>
      </c>
      <c r="E278" s="86" t="s">
        <v>175</v>
      </c>
      <c r="F278" s="87"/>
      <c r="G278" s="87"/>
      <c r="H278" s="87"/>
      <c r="I278" s="87"/>
      <c r="J278" s="87"/>
      <c r="K278" s="87"/>
      <c r="L278" s="87"/>
      <c r="M278" s="87"/>
      <c r="N278" s="87"/>
      <c r="O278" s="87"/>
      <c r="P278" s="87"/>
      <c r="Q278" s="87"/>
      <c r="R278" s="87"/>
      <c r="S278" s="87"/>
      <c r="T278" s="87"/>
      <c r="U278" s="87"/>
      <c r="V278" s="87"/>
      <c r="W278" s="87"/>
      <c r="X278" s="87"/>
      <c r="Y278" s="87"/>
      <c r="Z278" s="87"/>
      <c r="AA278" s="87"/>
    </row>
    <row r="279">
      <c r="A279" s="90" t="s">
        <v>1023</v>
      </c>
      <c r="B279" s="90" t="s">
        <v>1024</v>
      </c>
      <c r="C279" s="87"/>
      <c r="D279" s="90" t="s">
        <v>1023</v>
      </c>
      <c r="E279" s="86" t="s">
        <v>175</v>
      </c>
      <c r="F279" s="87"/>
      <c r="G279" s="87"/>
      <c r="H279" s="87"/>
      <c r="I279" s="87"/>
      <c r="J279" s="87"/>
      <c r="K279" s="87"/>
      <c r="L279" s="87"/>
      <c r="M279" s="87"/>
      <c r="N279" s="87"/>
      <c r="O279" s="87"/>
      <c r="P279" s="87"/>
      <c r="Q279" s="87"/>
      <c r="R279" s="87"/>
      <c r="S279" s="87"/>
      <c r="T279" s="87"/>
      <c r="U279" s="87"/>
      <c r="V279" s="87"/>
      <c r="W279" s="87"/>
      <c r="X279" s="87"/>
      <c r="Y279" s="87"/>
      <c r="Z279" s="87"/>
      <c r="AA279" s="87"/>
    </row>
    <row r="280">
      <c r="A280" s="90" t="s">
        <v>1026</v>
      </c>
      <c r="B280" s="90" t="s">
        <v>1027</v>
      </c>
      <c r="C280" s="87"/>
      <c r="D280" s="90" t="s">
        <v>1026</v>
      </c>
      <c r="E280" s="86" t="s">
        <v>175</v>
      </c>
      <c r="F280" s="87"/>
      <c r="G280" s="87"/>
      <c r="H280" s="87"/>
      <c r="I280" s="87"/>
      <c r="J280" s="87"/>
      <c r="K280" s="87"/>
      <c r="L280" s="87"/>
      <c r="M280" s="87"/>
      <c r="N280" s="87"/>
      <c r="O280" s="87"/>
      <c r="P280" s="87"/>
      <c r="Q280" s="87"/>
      <c r="R280" s="87"/>
      <c r="S280" s="87"/>
      <c r="T280" s="87"/>
      <c r="U280" s="87"/>
      <c r="V280" s="87"/>
      <c r="W280" s="87"/>
      <c r="X280" s="87"/>
      <c r="Y280" s="87"/>
      <c r="Z280" s="87"/>
      <c r="AA280" s="87"/>
    </row>
    <row r="281">
      <c r="A281" s="90" t="s">
        <v>1028</v>
      </c>
      <c r="B281" s="90" t="s">
        <v>1029</v>
      </c>
      <c r="C281" s="87"/>
      <c r="D281" s="90" t="s">
        <v>1028</v>
      </c>
      <c r="E281" s="86" t="s">
        <v>175</v>
      </c>
      <c r="F281" s="87"/>
      <c r="G281" s="87"/>
      <c r="H281" s="87"/>
      <c r="I281" s="87"/>
      <c r="J281" s="87"/>
      <c r="K281" s="87"/>
      <c r="L281" s="87"/>
      <c r="M281" s="87"/>
      <c r="N281" s="87"/>
      <c r="O281" s="87"/>
      <c r="P281" s="87"/>
      <c r="Q281" s="87"/>
      <c r="R281" s="87"/>
      <c r="S281" s="87"/>
      <c r="T281" s="87"/>
      <c r="U281" s="87"/>
      <c r="V281" s="87"/>
      <c r="W281" s="87"/>
      <c r="X281" s="87"/>
      <c r="Y281" s="87"/>
      <c r="Z281" s="87"/>
      <c r="AA281" s="87"/>
    </row>
    <row r="282">
      <c r="A282" s="90" t="s">
        <v>1032</v>
      </c>
      <c r="B282" s="90" t="s">
        <v>1033</v>
      </c>
      <c r="C282" s="87"/>
      <c r="D282" s="90" t="s">
        <v>1032</v>
      </c>
      <c r="E282" s="86" t="s">
        <v>175</v>
      </c>
      <c r="F282" s="87"/>
      <c r="G282" s="87"/>
      <c r="H282" s="87"/>
      <c r="I282" s="87"/>
      <c r="J282" s="87"/>
      <c r="K282" s="87"/>
      <c r="L282" s="87"/>
      <c r="M282" s="87"/>
      <c r="N282" s="87"/>
      <c r="O282" s="87"/>
      <c r="P282" s="87"/>
      <c r="Q282" s="87"/>
      <c r="R282" s="87"/>
      <c r="S282" s="87"/>
      <c r="T282" s="87"/>
      <c r="U282" s="87"/>
      <c r="V282" s="87"/>
      <c r="W282" s="87"/>
      <c r="X282" s="87"/>
      <c r="Y282" s="87"/>
      <c r="Z282" s="87"/>
      <c r="AA282" s="87"/>
    </row>
    <row r="283">
      <c r="A283" s="90" t="s">
        <v>1035</v>
      </c>
      <c r="B283" s="90" t="s">
        <v>1036</v>
      </c>
      <c r="C283" s="87"/>
      <c r="D283" s="90" t="s">
        <v>1035</v>
      </c>
      <c r="E283" s="86" t="s">
        <v>175</v>
      </c>
      <c r="F283" s="87"/>
      <c r="G283" s="87"/>
      <c r="H283" s="87"/>
      <c r="I283" s="87"/>
      <c r="J283" s="87"/>
      <c r="K283" s="87"/>
      <c r="L283" s="87"/>
      <c r="M283" s="87"/>
      <c r="N283" s="87"/>
      <c r="O283" s="87"/>
      <c r="P283" s="87"/>
      <c r="Q283" s="87"/>
      <c r="R283" s="87"/>
      <c r="S283" s="87"/>
      <c r="T283" s="87"/>
      <c r="U283" s="87"/>
      <c r="V283" s="87"/>
      <c r="W283" s="87"/>
      <c r="X283" s="87"/>
      <c r="Y283" s="87"/>
      <c r="Z283" s="87"/>
      <c r="AA283" s="87"/>
    </row>
    <row r="284">
      <c r="A284" s="90" t="s">
        <v>1038</v>
      </c>
      <c r="B284" s="90" t="s">
        <v>1040</v>
      </c>
      <c r="C284" s="87"/>
      <c r="D284" s="90" t="s">
        <v>1038</v>
      </c>
      <c r="E284" s="86" t="s">
        <v>175</v>
      </c>
      <c r="F284" s="87"/>
      <c r="G284" s="87"/>
      <c r="H284" s="87"/>
      <c r="I284" s="87"/>
      <c r="J284" s="87"/>
      <c r="K284" s="87"/>
      <c r="L284" s="87"/>
      <c r="M284" s="87"/>
      <c r="N284" s="87"/>
      <c r="O284" s="87"/>
      <c r="P284" s="87"/>
      <c r="Q284" s="87"/>
      <c r="R284" s="87"/>
      <c r="S284" s="87"/>
      <c r="T284" s="87"/>
      <c r="U284" s="87"/>
      <c r="V284" s="87"/>
      <c r="W284" s="87"/>
      <c r="X284" s="87"/>
      <c r="Y284" s="87"/>
      <c r="Z284" s="87"/>
      <c r="AA284" s="87"/>
    </row>
    <row r="285">
      <c r="A285" s="90" t="s">
        <v>1041</v>
      </c>
      <c r="B285" s="90" t="s">
        <v>1042</v>
      </c>
      <c r="C285" s="87"/>
      <c r="D285" s="90" t="s">
        <v>1041</v>
      </c>
      <c r="E285" s="86" t="s">
        <v>175</v>
      </c>
      <c r="F285" s="87"/>
      <c r="G285" s="87"/>
      <c r="H285" s="87"/>
      <c r="I285" s="87"/>
      <c r="J285" s="87"/>
      <c r="K285" s="87"/>
      <c r="L285" s="87"/>
      <c r="M285" s="87"/>
      <c r="N285" s="87"/>
      <c r="O285" s="87"/>
      <c r="P285" s="87"/>
      <c r="Q285" s="87"/>
      <c r="R285" s="87"/>
      <c r="S285" s="87"/>
      <c r="T285" s="87"/>
      <c r="U285" s="87"/>
      <c r="V285" s="87"/>
      <c r="W285" s="87"/>
      <c r="X285" s="87"/>
      <c r="Y285" s="87"/>
      <c r="Z285" s="87"/>
      <c r="AA285" s="87"/>
    </row>
    <row r="286">
      <c r="A286" s="90" t="s">
        <v>1045</v>
      </c>
      <c r="B286" s="90" t="s">
        <v>1046</v>
      </c>
      <c r="C286" s="87"/>
      <c r="D286" s="90" t="s">
        <v>1045</v>
      </c>
      <c r="E286" s="86" t="s">
        <v>175</v>
      </c>
      <c r="F286" s="87"/>
      <c r="G286" s="87"/>
      <c r="H286" s="87"/>
      <c r="I286" s="87"/>
      <c r="J286" s="87"/>
      <c r="K286" s="87"/>
      <c r="L286" s="87"/>
      <c r="M286" s="87"/>
      <c r="N286" s="87"/>
      <c r="O286" s="87"/>
      <c r="P286" s="87"/>
      <c r="Q286" s="87"/>
      <c r="R286" s="87"/>
      <c r="S286" s="87"/>
      <c r="T286" s="87"/>
      <c r="U286" s="87"/>
      <c r="V286" s="87"/>
      <c r="W286" s="87"/>
      <c r="X286" s="87"/>
      <c r="Y286" s="87"/>
      <c r="Z286" s="87"/>
      <c r="AA286" s="87"/>
    </row>
    <row r="287">
      <c r="A287" s="90" t="s">
        <v>1047</v>
      </c>
      <c r="B287" s="90" t="s">
        <v>1048</v>
      </c>
      <c r="C287" s="87"/>
      <c r="D287" s="90" t="s">
        <v>1047</v>
      </c>
      <c r="E287" s="86" t="s">
        <v>175</v>
      </c>
      <c r="F287" s="87"/>
      <c r="G287" s="87"/>
      <c r="H287" s="87"/>
      <c r="I287" s="87"/>
      <c r="J287" s="87"/>
      <c r="K287" s="87"/>
      <c r="L287" s="87"/>
      <c r="M287" s="87"/>
      <c r="N287" s="87"/>
      <c r="O287" s="87"/>
      <c r="P287" s="87"/>
      <c r="Q287" s="87"/>
      <c r="R287" s="87"/>
      <c r="S287" s="87"/>
      <c r="T287" s="87"/>
      <c r="U287" s="87"/>
      <c r="V287" s="87"/>
      <c r="W287" s="87"/>
      <c r="X287" s="87"/>
      <c r="Y287" s="87"/>
      <c r="Z287" s="87"/>
      <c r="AA287" s="87"/>
    </row>
    <row r="288">
      <c r="A288" s="90" t="s">
        <v>1051</v>
      </c>
      <c r="B288" s="90" t="s">
        <v>1052</v>
      </c>
      <c r="C288" s="87"/>
      <c r="D288" s="90" t="s">
        <v>1051</v>
      </c>
      <c r="E288" s="86" t="s">
        <v>175</v>
      </c>
      <c r="F288" s="87"/>
      <c r="G288" s="87"/>
      <c r="H288" s="87"/>
      <c r="I288" s="87"/>
      <c r="J288" s="87"/>
      <c r="K288" s="87"/>
      <c r="L288" s="87"/>
      <c r="M288" s="87"/>
      <c r="N288" s="87"/>
      <c r="O288" s="87"/>
      <c r="P288" s="87"/>
      <c r="Q288" s="87"/>
      <c r="R288" s="87"/>
      <c r="S288" s="87"/>
      <c r="T288" s="87"/>
      <c r="U288" s="87"/>
      <c r="V288" s="87"/>
      <c r="W288" s="87"/>
      <c r="X288" s="87"/>
      <c r="Y288" s="87"/>
      <c r="Z288" s="87"/>
      <c r="AA288" s="87"/>
    </row>
    <row r="289">
      <c r="A289" s="90" t="s">
        <v>1038</v>
      </c>
      <c r="B289" s="90" t="s">
        <v>1053</v>
      </c>
      <c r="C289" s="87"/>
      <c r="D289" s="90" t="s">
        <v>1038</v>
      </c>
      <c r="E289" s="86" t="s">
        <v>175</v>
      </c>
      <c r="F289" s="87"/>
      <c r="G289" s="87"/>
      <c r="H289" s="87"/>
      <c r="I289" s="87"/>
      <c r="J289" s="87"/>
      <c r="K289" s="87"/>
      <c r="L289" s="87"/>
      <c r="M289" s="87"/>
      <c r="N289" s="87"/>
      <c r="O289" s="87"/>
      <c r="P289" s="87"/>
      <c r="Q289" s="87"/>
      <c r="R289" s="87"/>
      <c r="S289" s="87"/>
      <c r="T289" s="87"/>
      <c r="U289" s="87"/>
      <c r="V289" s="87"/>
      <c r="W289" s="87"/>
      <c r="X289" s="87"/>
      <c r="Y289" s="87"/>
      <c r="Z289" s="87"/>
      <c r="AA289" s="87"/>
    </row>
    <row r="290">
      <c r="A290" s="90" t="s">
        <v>1055</v>
      </c>
      <c r="B290" s="90" t="s">
        <v>1056</v>
      </c>
      <c r="C290" s="87"/>
      <c r="D290" s="90" t="s">
        <v>1055</v>
      </c>
      <c r="E290" s="86" t="s">
        <v>175</v>
      </c>
      <c r="F290" s="87"/>
      <c r="G290" s="87"/>
      <c r="H290" s="87"/>
      <c r="I290" s="87"/>
      <c r="J290" s="87"/>
      <c r="K290" s="87"/>
      <c r="L290" s="87"/>
      <c r="M290" s="87"/>
      <c r="N290" s="87"/>
      <c r="O290" s="87"/>
      <c r="P290" s="87"/>
      <c r="Q290" s="87"/>
      <c r="R290" s="87"/>
      <c r="S290" s="87"/>
      <c r="T290" s="87"/>
      <c r="U290" s="87"/>
      <c r="V290" s="87"/>
      <c r="W290" s="87"/>
      <c r="X290" s="87"/>
      <c r="Y290" s="87"/>
      <c r="Z290" s="87"/>
      <c r="AA290" s="87"/>
    </row>
    <row r="291">
      <c r="A291" s="90" t="s">
        <v>1058</v>
      </c>
      <c r="B291" s="90" t="s">
        <v>1059</v>
      </c>
      <c r="C291" s="87"/>
      <c r="D291" s="90" t="s">
        <v>1058</v>
      </c>
      <c r="E291" s="86" t="s">
        <v>175</v>
      </c>
      <c r="F291" s="87"/>
      <c r="G291" s="87"/>
      <c r="H291" s="87"/>
      <c r="I291" s="87"/>
      <c r="J291" s="87"/>
      <c r="K291" s="87"/>
      <c r="L291" s="87"/>
      <c r="M291" s="87"/>
      <c r="N291" s="87"/>
      <c r="O291" s="87"/>
      <c r="P291" s="87"/>
      <c r="Q291" s="87"/>
      <c r="R291" s="87"/>
      <c r="S291" s="87"/>
      <c r="T291" s="87"/>
      <c r="U291" s="87"/>
      <c r="V291" s="87"/>
      <c r="W291" s="87"/>
      <c r="X291" s="87"/>
      <c r="Y291" s="87"/>
      <c r="Z291" s="87"/>
      <c r="AA291" s="87"/>
    </row>
    <row r="292">
      <c r="A292" s="90" t="s">
        <v>1060</v>
      </c>
      <c r="B292" s="90" t="s">
        <v>1061</v>
      </c>
      <c r="C292" s="87"/>
      <c r="D292" s="90" t="s">
        <v>1060</v>
      </c>
      <c r="E292" s="86" t="s">
        <v>175</v>
      </c>
      <c r="F292" s="87"/>
      <c r="G292" s="87"/>
      <c r="H292" s="87"/>
      <c r="I292" s="87"/>
      <c r="J292" s="87"/>
      <c r="K292" s="87"/>
      <c r="L292" s="87"/>
      <c r="M292" s="87"/>
      <c r="N292" s="87"/>
      <c r="O292" s="87"/>
      <c r="P292" s="87"/>
      <c r="Q292" s="87"/>
      <c r="R292" s="87"/>
      <c r="S292" s="87"/>
      <c r="T292" s="87"/>
      <c r="U292" s="87"/>
      <c r="V292" s="87"/>
      <c r="W292" s="87"/>
      <c r="X292" s="87"/>
      <c r="Y292" s="87"/>
      <c r="Z292" s="87"/>
      <c r="AA292" s="87"/>
    </row>
    <row r="293">
      <c r="A293" s="90" t="s">
        <v>1063</v>
      </c>
      <c r="B293" s="90" t="s">
        <v>1064</v>
      </c>
      <c r="C293" s="87"/>
      <c r="D293" s="90" t="s">
        <v>1063</v>
      </c>
      <c r="E293" s="86" t="s">
        <v>175</v>
      </c>
      <c r="F293" s="87"/>
      <c r="G293" s="87"/>
      <c r="H293" s="87"/>
      <c r="I293" s="87"/>
      <c r="J293" s="87"/>
      <c r="K293" s="87"/>
      <c r="L293" s="87"/>
      <c r="M293" s="87"/>
      <c r="N293" s="87"/>
      <c r="O293" s="87"/>
      <c r="P293" s="87"/>
      <c r="Q293" s="87"/>
      <c r="R293" s="87"/>
      <c r="S293" s="87"/>
      <c r="T293" s="87"/>
      <c r="U293" s="87"/>
      <c r="V293" s="87"/>
      <c r="W293" s="87"/>
      <c r="X293" s="87"/>
      <c r="Y293" s="87"/>
      <c r="Z293" s="87"/>
      <c r="AA293" s="87"/>
    </row>
    <row r="294">
      <c r="A294" s="90" t="s">
        <v>1066</v>
      </c>
      <c r="B294" s="90" t="s">
        <v>1067</v>
      </c>
      <c r="C294" s="87"/>
      <c r="D294" s="90" t="s">
        <v>1066</v>
      </c>
      <c r="E294" s="86" t="s">
        <v>175</v>
      </c>
      <c r="F294" s="87"/>
      <c r="G294" s="87"/>
      <c r="H294" s="87"/>
      <c r="I294" s="87"/>
      <c r="J294" s="87"/>
      <c r="K294" s="87"/>
      <c r="L294" s="87"/>
      <c r="M294" s="87"/>
      <c r="N294" s="87"/>
      <c r="O294" s="87"/>
      <c r="P294" s="87"/>
      <c r="Q294" s="87"/>
      <c r="R294" s="87"/>
      <c r="S294" s="87"/>
      <c r="T294" s="87"/>
      <c r="U294" s="87"/>
      <c r="V294" s="87"/>
      <c r="W294" s="87"/>
      <c r="X294" s="87"/>
      <c r="Y294" s="87"/>
      <c r="Z294" s="87"/>
      <c r="AA294" s="87"/>
    </row>
    <row r="295">
      <c r="A295" s="90" t="s">
        <v>1068</v>
      </c>
      <c r="B295" s="90" t="s">
        <v>1069</v>
      </c>
      <c r="C295" s="87"/>
      <c r="D295" s="90" t="s">
        <v>1068</v>
      </c>
      <c r="E295" s="86" t="s">
        <v>175</v>
      </c>
      <c r="F295" s="87"/>
      <c r="G295" s="87"/>
      <c r="H295" s="87"/>
      <c r="I295" s="87"/>
      <c r="J295" s="87"/>
      <c r="K295" s="87"/>
      <c r="L295" s="87"/>
      <c r="M295" s="87"/>
      <c r="N295" s="87"/>
      <c r="O295" s="87"/>
      <c r="P295" s="87"/>
      <c r="Q295" s="87"/>
      <c r="R295" s="87"/>
      <c r="S295" s="87"/>
      <c r="T295" s="87"/>
      <c r="U295" s="87"/>
      <c r="V295" s="87"/>
      <c r="W295" s="87"/>
      <c r="X295" s="87"/>
      <c r="Y295" s="87"/>
      <c r="Z295" s="87"/>
      <c r="AA295" s="87"/>
    </row>
    <row r="296">
      <c r="A296" s="90" t="s">
        <v>1072</v>
      </c>
      <c r="B296" s="90" t="s">
        <v>1073</v>
      </c>
      <c r="C296" s="87"/>
      <c r="D296" s="90" t="s">
        <v>1072</v>
      </c>
      <c r="E296" s="86" t="s">
        <v>175</v>
      </c>
      <c r="F296" s="87"/>
      <c r="G296" s="87"/>
      <c r="H296" s="87"/>
      <c r="I296" s="87"/>
      <c r="J296" s="87"/>
      <c r="K296" s="87"/>
      <c r="L296" s="87"/>
      <c r="M296" s="87"/>
      <c r="N296" s="87"/>
      <c r="O296" s="87"/>
      <c r="P296" s="87"/>
      <c r="Q296" s="87"/>
      <c r="R296" s="87"/>
      <c r="S296" s="87"/>
      <c r="T296" s="87"/>
      <c r="U296" s="87"/>
      <c r="V296" s="87"/>
      <c r="W296" s="87"/>
      <c r="X296" s="87"/>
      <c r="Y296" s="87"/>
      <c r="Z296" s="87"/>
      <c r="AA296" s="87"/>
    </row>
    <row r="297">
      <c r="A297" s="90" t="s">
        <v>1074</v>
      </c>
      <c r="B297" s="90" t="s">
        <v>1076</v>
      </c>
      <c r="C297" s="87"/>
      <c r="D297" s="90" t="s">
        <v>1074</v>
      </c>
      <c r="E297" s="86" t="s">
        <v>175</v>
      </c>
      <c r="F297" s="87"/>
      <c r="G297" s="87"/>
      <c r="H297" s="87"/>
      <c r="I297" s="87"/>
      <c r="J297" s="87"/>
      <c r="K297" s="87"/>
      <c r="L297" s="87"/>
      <c r="M297" s="87"/>
      <c r="N297" s="87"/>
      <c r="O297" s="87"/>
      <c r="P297" s="87"/>
      <c r="Q297" s="87"/>
      <c r="R297" s="87"/>
      <c r="S297" s="87"/>
      <c r="T297" s="87"/>
      <c r="U297" s="87"/>
      <c r="V297" s="87"/>
      <c r="W297" s="87"/>
      <c r="X297" s="87"/>
      <c r="Y297" s="87"/>
      <c r="Z297" s="87"/>
      <c r="AA297" s="87"/>
    </row>
    <row r="298">
      <c r="A298" s="90" t="s">
        <v>1077</v>
      </c>
      <c r="B298" s="90" t="s">
        <v>1078</v>
      </c>
      <c r="C298" s="87"/>
      <c r="D298" s="90" t="s">
        <v>1077</v>
      </c>
      <c r="E298" s="86" t="s">
        <v>175</v>
      </c>
      <c r="F298" s="87"/>
      <c r="G298" s="87"/>
      <c r="H298" s="87"/>
      <c r="I298" s="87"/>
      <c r="J298" s="87"/>
      <c r="K298" s="87"/>
      <c r="L298" s="87"/>
      <c r="M298" s="87"/>
      <c r="N298" s="87"/>
      <c r="O298" s="87"/>
      <c r="P298" s="87"/>
      <c r="Q298" s="87"/>
      <c r="R298" s="87"/>
      <c r="S298" s="87"/>
      <c r="T298" s="87"/>
      <c r="U298" s="87"/>
      <c r="V298" s="87"/>
      <c r="W298" s="87"/>
      <c r="X298" s="87"/>
      <c r="Y298" s="87"/>
      <c r="Z298" s="87"/>
      <c r="AA298" s="87"/>
    </row>
    <row r="299">
      <c r="A299" s="90" t="s">
        <v>1079</v>
      </c>
      <c r="B299" s="90" t="s">
        <v>1080</v>
      </c>
      <c r="C299" s="87"/>
      <c r="D299" s="90" t="s">
        <v>1079</v>
      </c>
      <c r="E299" s="86" t="s">
        <v>175</v>
      </c>
      <c r="F299" s="87"/>
      <c r="G299" s="87"/>
      <c r="H299" s="87"/>
      <c r="I299" s="87"/>
      <c r="J299" s="87"/>
      <c r="K299" s="87"/>
      <c r="L299" s="87"/>
      <c r="M299" s="87"/>
      <c r="N299" s="87"/>
      <c r="O299" s="87"/>
      <c r="P299" s="87"/>
      <c r="Q299" s="87"/>
      <c r="R299" s="87"/>
      <c r="S299" s="87"/>
      <c r="T299" s="87"/>
      <c r="U299" s="87"/>
      <c r="V299" s="87"/>
      <c r="W299" s="87"/>
      <c r="X299" s="87"/>
      <c r="Y299" s="87"/>
      <c r="Z299" s="87"/>
      <c r="AA299" s="87"/>
    </row>
    <row r="300">
      <c r="A300" s="90" t="s">
        <v>1081</v>
      </c>
      <c r="B300" s="90" t="s">
        <v>1083</v>
      </c>
      <c r="C300" s="87"/>
      <c r="D300" s="90" t="s">
        <v>1081</v>
      </c>
      <c r="E300" s="86" t="s">
        <v>175</v>
      </c>
      <c r="F300" s="87"/>
      <c r="G300" s="87"/>
      <c r="H300" s="87"/>
      <c r="I300" s="87"/>
      <c r="J300" s="87"/>
      <c r="K300" s="87"/>
      <c r="L300" s="87"/>
      <c r="M300" s="87"/>
      <c r="N300" s="87"/>
      <c r="O300" s="87"/>
      <c r="P300" s="87"/>
      <c r="Q300" s="87"/>
      <c r="R300" s="87"/>
      <c r="S300" s="87"/>
      <c r="T300" s="87"/>
      <c r="U300" s="87"/>
      <c r="V300" s="87"/>
      <c r="W300" s="87"/>
      <c r="X300" s="87"/>
      <c r="Y300" s="87"/>
      <c r="Z300" s="87"/>
      <c r="AA300" s="87"/>
    </row>
    <row r="301">
      <c r="A301" s="90" t="s">
        <v>1085</v>
      </c>
      <c r="B301" s="90" t="s">
        <v>1086</v>
      </c>
      <c r="C301" s="87"/>
      <c r="D301" s="90" t="s">
        <v>1085</v>
      </c>
      <c r="E301" s="86" t="s">
        <v>175</v>
      </c>
      <c r="F301" s="87"/>
      <c r="G301" s="87"/>
      <c r="H301" s="87"/>
      <c r="I301" s="87"/>
      <c r="J301" s="87"/>
      <c r="K301" s="87"/>
      <c r="L301" s="87"/>
      <c r="M301" s="87"/>
      <c r="N301" s="87"/>
      <c r="O301" s="87"/>
      <c r="P301" s="87"/>
      <c r="Q301" s="87"/>
      <c r="R301" s="87"/>
      <c r="S301" s="87"/>
      <c r="T301" s="87"/>
      <c r="U301" s="87"/>
      <c r="V301" s="87"/>
      <c r="W301" s="87"/>
      <c r="X301" s="87"/>
      <c r="Y301" s="87"/>
      <c r="Z301" s="87"/>
      <c r="AA301" s="87"/>
    </row>
    <row r="302">
      <c r="A302" s="90" t="s">
        <v>1087</v>
      </c>
      <c r="B302" s="90" t="s">
        <v>1089</v>
      </c>
      <c r="C302" s="87"/>
      <c r="D302" s="90" t="s">
        <v>1087</v>
      </c>
      <c r="E302" s="86" t="s">
        <v>175</v>
      </c>
      <c r="F302" s="87"/>
      <c r="G302" s="87"/>
      <c r="H302" s="87"/>
      <c r="I302" s="87"/>
      <c r="J302" s="87"/>
      <c r="K302" s="87"/>
      <c r="L302" s="87"/>
      <c r="M302" s="87"/>
      <c r="N302" s="87"/>
      <c r="O302" s="87"/>
      <c r="P302" s="87"/>
      <c r="Q302" s="87"/>
      <c r="R302" s="87"/>
      <c r="S302" s="87"/>
      <c r="T302" s="87"/>
      <c r="U302" s="87"/>
      <c r="V302" s="87"/>
      <c r="W302" s="87"/>
      <c r="X302" s="87"/>
      <c r="Y302" s="87"/>
      <c r="Z302" s="87"/>
      <c r="AA302" s="87"/>
    </row>
    <row r="303">
      <c r="A303" s="90" t="s">
        <v>1091</v>
      </c>
      <c r="B303" s="90" t="s">
        <v>1092</v>
      </c>
      <c r="C303" s="87"/>
      <c r="D303" s="90" t="s">
        <v>1091</v>
      </c>
      <c r="E303" s="86" t="s">
        <v>175</v>
      </c>
      <c r="F303" s="87"/>
      <c r="G303" s="87"/>
      <c r="H303" s="87"/>
      <c r="I303" s="87"/>
      <c r="J303" s="87"/>
      <c r="K303" s="87"/>
      <c r="L303" s="87"/>
      <c r="M303" s="87"/>
      <c r="N303" s="87"/>
      <c r="O303" s="87"/>
      <c r="P303" s="87"/>
      <c r="Q303" s="87"/>
      <c r="R303" s="87"/>
      <c r="S303" s="87"/>
      <c r="T303" s="87"/>
      <c r="U303" s="87"/>
      <c r="V303" s="87"/>
      <c r="W303" s="87"/>
      <c r="X303" s="87"/>
      <c r="Y303" s="87"/>
      <c r="Z303" s="87"/>
      <c r="AA303" s="87"/>
    </row>
    <row r="304">
      <c r="A304" s="90" t="s">
        <v>1095</v>
      </c>
      <c r="B304" s="90" t="s">
        <v>1096</v>
      </c>
      <c r="C304" s="87"/>
      <c r="D304" s="90" t="s">
        <v>1095</v>
      </c>
      <c r="E304" s="86" t="s">
        <v>175</v>
      </c>
      <c r="F304" s="87"/>
      <c r="G304" s="87"/>
      <c r="H304" s="87"/>
      <c r="I304" s="87"/>
      <c r="J304" s="87"/>
      <c r="K304" s="87"/>
      <c r="L304" s="87"/>
      <c r="M304" s="87"/>
      <c r="N304" s="87"/>
      <c r="O304" s="87"/>
      <c r="P304" s="87"/>
      <c r="Q304" s="87"/>
      <c r="R304" s="87"/>
      <c r="S304" s="87"/>
      <c r="T304" s="87"/>
      <c r="U304" s="87"/>
      <c r="V304" s="87"/>
      <c r="W304" s="87"/>
      <c r="X304" s="87"/>
      <c r="Y304" s="87"/>
      <c r="Z304" s="87"/>
      <c r="AA304" s="87"/>
    </row>
    <row r="305">
      <c r="A305" s="90" t="s">
        <v>1097</v>
      </c>
      <c r="B305" s="90" t="s">
        <v>1098</v>
      </c>
      <c r="C305" s="87"/>
      <c r="D305" s="90" t="s">
        <v>1097</v>
      </c>
      <c r="E305" s="86" t="s">
        <v>175</v>
      </c>
      <c r="F305" s="87"/>
      <c r="G305" s="87"/>
      <c r="H305" s="87"/>
      <c r="I305" s="87"/>
      <c r="J305" s="87"/>
      <c r="K305" s="87"/>
      <c r="L305" s="87"/>
      <c r="M305" s="87"/>
      <c r="N305" s="87"/>
      <c r="O305" s="87"/>
      <c r="P305" s="87"/>
      <c r="Q305" s="87"/>
      <c r="R305" s="87"/>
      <c r="S305" s="87"/>
      <c r="T305" s="87"/>
      <c r="U305" s="87"/>
      <c r="V305" s="87"/>
      <c r="W305" s="87"/>
      <c r="X305" s="87"/>
      <c r="Y305" s="87"/>
      <c r="Z305" s="87"/>
      <c r="AA305" s="87"/>
    </row>
    <row r="306">
      <c r="A306" s="90" t="s">
        <v>1099</v>
      </c>
      <c r="B306" s="90" t="s">
        <v>1100</v>
      </c>
      <c r="C306" s="87"/>
      <c r="D306" s="90" t="s">
        <v>1099</v>
      </c>
      <c r="E306" s="86" t="s">
        <v>175</v>
      </c>
      <c r="F306" s="87"/>
      <c r="G306" s="87"/>
      <c r="H306" s="87"/>
      <c r="I306" s="87"/>
      <c r="J306" s="87"/>
      <c r="K306" s="87"/>
      <c r="L306" s="87"/>
      <c r="M306" s="87"/>
      <c r="N306" s="87"/>
      <c r="O306" s="87"/>
      <c r="P306" s="87"/>
      <c r="Q306" s="87"/>
      <c r="R306" s="87"/>
      <c r="S306" s="87"/>
      <c r="T306" s="87"/>
      <c r="U306" s="87"/>
      <c r="V306" s="87"/>
      <c r="W306" s="87"/>
      <c r="X306" s="87"/>
      <c r="Y306" s="87"/>
      <c r="Z306" s="87"/>
      <c r="AA306" s="87"/>
    </row>
    <row r="307">
      <c r="A307" s="90" t="s">
        <v>1102</v>
      </c>
      <c r="B307" s="90" t="s">
        <v>1103</v>
      </c>
      <c r="C307" s="87"/>
      <c r="D307" s="90" t="s">
        <v>1102</v>
      </c>
      <c r="E307" s="86" t="s">
        <v>175</v>
      </c>
      <c r="F307" s="87"/>
      <c r="G307" s="87"/>
      <c r="H307" s="87"/>
      <c r="I307" s="87"/>
      <c r="J307" s="87"/>
      <c r="K307" s="87"/>
      <c r="L307" s="87"/>
      <c r="M307" s="87"/>
      <c r="N307" s="87"/>
      <c r="O307" s="87"/>
      <c r="P307" s="87"/>
      <c r="Q307" s="87"/>
      <c r="R307" s="87"/>
      <c r="S307" s="87"/>
      <c r="T307" s="87"/>
      <c r="U307" s="87"/>
      <c r="V307" s="87"/>
      <c r="W307" s="87"/>
      <c r="X307" s="87"/>
      <c r="Y307" s="87"/>
      <c r="Z307" s="87"/>
      <c r="AA307" s="87"/>
    </row>
    <row r="308">
      <c r="A308" s="90" t="s">
        <v>1105</v>
      </c>
      <c r="B308" s="90" t="s">
        <v>1106</v>
      </c>
      <c r="C308" s="87"/>
      <c r="D308" s="90" t="s">
        <v>1105</v>
      </c>
      <c r="E308" s="86" t="s">
        <v>175</v>
      </c>
      <c r="F308" s="87"/>
      <c r="G308" s="87"/>
      <c r="H308" s="87"/>
      <c r="I308" s="87"/>
      <c r="J308" s="87"/>
      <c r="K308" s="87"/>
      <c r="L308" s="87"/>
      <c r="M308" s="87"/>
      <c r="N308" s="87"/>
      <c r="O308" s="87"/>
      <c r="P308" s="87"/>
      <c r="Q308" s="87"/>
      <c r="R308" s="87"/>
      <c r="S308" s="87"/>
      <c r="T308" s="87"/>
      <c r="U308" s="87"/>
      <c r="V308" s="87"/>
      <c r="W308" s="87"/>
      <c r="X308" s="87"/>
      <c r="Y308" s="87"/>
      <c r="Z308" s="87"/>
      <c r="AA308" s="87"/>
    </row>
    <row r="309">
      <c r="A309" s="90" t="s">
        <v>1107</v>
      </c>
      <c r="B309" s="90" t="s">
        <v>1108</v>
      </c>
      <c r="C309" s="87"/>
      <c r="D309" s="90" t="s">
        <v>1107</v>
      </c>
      <c r="E309" s="86" t="s">
        <v>175</v>
      </c>
      <c r="F309" s="87"/>
      <c r="G309" s="87"/>
      <c r="H309" s="87"/>
      <c r="I309" s="87"/>
      <c r="J309" s="87"/>
      <c r="K309" s="87"/>
      <c r="L309" s="87"/>
      <c r="M309" s="87"/>
      <c r="N309" s="87"/>
      <c r="O309" s="87"/>
      <c r="P309" s="87"/>
      <c r="Q309" s="87"/>
      <c r="R309" s="87"/>
      <c r="S309" s="87"/>
      <c r="T309" s="87"/>
      <c r="U309" s="87"/>
      <c r="V309" s="87"/>
      <c r="W309" s="87"/>
      <c r="X309" s="87"/>
      <c r="Y309" s="87"/>
      <c r="Z309" s="87"/>
      <c r="AA309" s="87"/>
    </row>
    <row r="310">
      <c r="A310" s="90" t="s">
        <v>1110</v>
      </c>
      <c r="B310" s="90" t="s">
        <v>1111</v>
      </c>
      <c r="C310" s="87"/>
      <c r="D310" s="90" t="s">
        <v>1110</v>
      </c>
      <c r="E310" s="86" t="s">
        <v>175</v>
      </c>
      <c r="F310" s="87"/>
      <c r="G310" s="87"/>
      <c r="H310" s="87"/>
      <c r="I310" s="87"/>
      <c r="J310" s="87"/>
      <c r="K310" s="87"/>
      <c r="L310" s="87"/>
      <c r="M310" s="87"/>
      <c r="N310" s="87"/>
      <c r="O310" s="87"/>
      <c r="P310" s="87"/>
      <c r="Q310" s="87"/>
      <c r="R310" s="87"/>
      <c r="S310" s="87"/>
      <c r="T310" s="87"/>
      <c r="U310" s="87"/>
      <c r="V310" s="87"/>
      <c r="W310" s="87"/>
      <c r="X310" s="87"/>
      <c r="Y310" s="87"/>
      <c r="Z310" s="87"/>
      <c r="AA310" s="87"/>
    </row>
    <row r="311">
      <c r="A311" s="90" t="s">
        <v>1112</v>
      </c>
      <c r="B311" s="90" t="s">
        <v>1113</v>
      </c>
      <c r="C311" s="87"/>
      <c r="D311" s="90" t="s">
        <v>1112</v>
      </c>
      <c r="E311" s="86" t="s">
        <v>175</v>
      </c>
      <c r="F311" s="87"/>
      <c r="G311" s="87"/>
      <c r="H311" s="87"/>
      <c r="I311" s="87"/>
      <c r="J311" s="87"/>
      <c r="K311" s="87"/>
      <c r="L311" s="87"/>
      <c r="M311" s="87"/>
      <c r="N311" s="87"/>
      <c r="O311" s="87"/>
      <c r="P311" s="87"/>
      <c r="Q311" s="87"/>
      <c r="R311" s="87"/>
      <c r="S311" s="87"/>
      <c r="T311" s="87"/>
      <c r="U311" s="87"/>
      <c r="V311" s="87"/>
      <c r="W311" s="87"/>
      <c r="X311" s="87"/>
      <c r="Y311" s="87"/>
      <c r="Z311" s="87"/>
      <c r="AA311" s="87"/>
    </row>
    <row r="312">
      <c r="A312" s="90" t="s">
        <v>1116</v>
      </c>
      <c r="B312" s="90" t="s">
        <v>1117</v>
      </c>
      <c r="C312" s="87"/>
      <c r="D312" s="90" t="s">
        <v>1116</v>
      </c>
      <c r="E312" s="86" t="s">
        <v>175</v>
      </c>
      <c r="F312" s="87"/>
      <c r="G312" s="87"/>
      <c r="H312" s="87"/>
      <c r="I312" s="87"/>
      <c r="J312" s="87"/>
      <c r="K312" s="87"/>
      <c r="L312" s="87"/>
      <c r="M312" s="87"/>
      <c r="N312" s="87"/>
      <c r="O312" s="87"/>
      <c r="P312" s="87"/>
      <c r="Q312" s="87"/>
      <c r="R312" s="87"/>
      <c r="S312" s="87"/>
      <c r="T312" s="87"/>
      <c r="U312" s="87"/>
      <c r="V312" s="87"/>
      <c r="W312" s="87"/>
      <c r="X312" s="87"/>
      <c r="Y312" s="87"/>
      <c r="Z312" s="87"/>
      <c r="AA312" s="87"/>
    </row>
    <row r="313">
      <c r="A313" s="90" t="s">
        <v>1118</v>
      </c>
      <c r="B313" s="90" t="s">
        <v>1119</v>
      </c>
      <c r="C313" s="87"/>
      <c r="D313" s="90" t="s">
        <v>1118</v>
      </c>
      <c r="E313" s="86" t="s">
        <v>175</v>
      </c>
      <c r="F313" s="87"/>
      <c r="G313" s="87"/>
      <c r="H313" s="87"/>
      <c r="I313" s="87"/>
      <c r="J313" s="87"/>
      <c r="K313" s="87"/>
      <c r="L313" s="87"/>
      <c r="M313" s="87"/>
      <c r="N313" s="87"/>
      <c r="O313" s="87"/>
      <c r="P313" s="87"/>
      <c r="Q313" s="87"/>
      <c r="R313" s="87"/>
      <c r="S313" s="87"/>
      <c r="T313" s="87"/>
      <c r="U313" s="87"/>
      <c r="V313" s="87"/>
      <c r="W313" s="87"/>
      <c r="X313" s="87"/>
      <c r="Y313" s="87"/>
      <c r="Z313" s="87"/>
      <c r="AA313" s="87"/>
    </row>
    <row r="314">
      <c r="A314" s="90" t="s">
        <v>1120</v>
      </c>
      <c r="B314" s="90" t="s">
        <v>1121</v>
      </c>
      <c r="C314" s="87"/>
      <c r="D314" s="90" t="s">
        <v>1120</v>
      </c>
      <c r="E314" s="86" t="s">
        <v>175</v>
      </c>
      <c r="F314" s="87"/>
      <c r="G314" s="87"/>
      <c r="H314" s="87"/>
      <c r="I314" s="87"/>
      <c r="J314" s="87"/>
      <c r="K314" s="87"/>
      <c r="L314" s="87"/>
      <c r="M314" s="87"/>
      <c r="N314" s="87"/>
      <c r="O314" s="87"/>
      <c r="P314" s="87"/>
      <c r="Q314" s="87"/>
      <c r="R314" s="87"/>
      <c r="S314" s="87"/>
      <c r="T314" s="87"/>
      <c r="U314" s="87"/>
      <c r="V314" s="87"/>
      <c r="W314" s="87"/>
      <c r="X314" s="87"/>
      <c r="Y314" s="87"/>
      <c r="Z314" s="87"/>
      <c r="AA314" s="87"/>
    </row>
    <row r="315">
      <c r="A315" s="90" t="s">
        <v>1123</v>
      </c>
      <c r="B315" s="90" t="s">
        <v>1124</v>
      </c>
      <c r="C315" s="87"/>
      <c r="D315" s="90" t="s">
        <v>1123</v>
      </c>
      <c r="E315" s="86" t="s">
        <v>175</v>
      </c>
      <c r="F315" s="87"/>
      <c r="G315" s="87"/>
      <c r="H315" s="87"/>
      <c r="I315" s="87"/>
      <c r="J315" s="87"/>
      <c r="K315" s="87"/>
      <c r="L315" s="87"/>
      <c r="M315" s="87"/>
      <c r="N315" s="87"/>
      <c r="O315" s="87"/>
      <c r="P315" s="87"/>
      <c r="Q315" s="87"/>
      <c r="R315" s="87"/>
      <c r="S315" s="87"/>
      <c r="T315" s="87"/>
      <c r="U315" s="87"/>
      <c r="V315" s="87"/>
      <c r="W315" s="87"/>
      <c r="X315" s="87"/>
      <c r="Y315" s="87"/>
      <c r="Z315" s="87"/>
      <c r="AA315" s="87"/>
    </row>
    <row r="316">
      <c r="A316" s="90" t="s">
        <v>1125</v>
      </c>
      <c r="B316" s="90" t="s">
        <v>1126</v>
      </c>
      <c r="C316" s="87"/>
      <c r="D316" s="90" t="s">
        <v>1125</v>
      </c>
      <c r="E316" s="86" t="s">
        <v>175</v>
      </c>
      <c r="F316" s="87"/>
      <c r="G316" s="87"/>
      <c r="H316" s="87"/>
      <c r="I316" s="87"/>
      <c r="J316" s="87"/>
      <c r="K316" s="87"/>
      <c r="L316" s="87"/>
      <c r="M316" s="87"/>
      <c r="N316" s="87"/>
      <c r="O316" s="87"/>
      <c r="P316" s="87"/>
      <c r="Q316" s="87"/>
      <c r="R316" s="87"/>
      <c r="S316" s="87"/>
      <c r="T316" s="87"/>
      <c r="U316" s="87"/>
      <c r="V316" s="87"/>
      <c r="W316" s="87"/>
      <c r="X316" s="87"/>
      <c r="Y316" s="87"/>
      <c r="Z316" s="87"/>
      <c r="AA316" s="87"/>
    </row>
    <row r="317">
      <c r="A317" s="90" t="s">
        <v>1127</v>
      </c>
      <c r="B317" s="90" t="s">
        <v>1128</v>
      </c>
      <c r="C317" s="87"/>
      <c r="D317" s="90" t="s">
        <v>1127</v>
      </c>
      <c r="E317" s="86" t="s">
        <v>175</v>
      </c>
      <c r="F317" s="87"/>
      <c r="G317" s="87"/>
      <c r="H317" s="87"/>
      <c r="I317" s="87"/>
      <c r="J317" s="87"/>
      <c r="K317" s="87"/>
      <c r="L317" s="87"/>
      <c r="M317" s="87"/>
      <c r="N317" s="87"/>
      <c r="O317" s="87"/>
      <c r="P317" s="87"/>
      <c r="Q317" s="87"/>
      <c r="R317" s="87"/>
      <c r="S317" s="87"/>
      <c r="T317" s="87"/>
      <c r="U317" s="87"/>
      <c r="V317" s="87"/>
      <c r="W317" s="87"/>
      <c r="X317" s="87"/>
      <c r="Y317" s="87"/>
      <c r="Z317" s="87"/>
      <c r="AA317" s="87"/>
    </row>
    <row r="318">
      <c r="A318" s="90" t="s">
        <v>1130</v>
      </c>
      <c r="B318" s="90" t="s">
        <v>1131</v>
      </c>
      <c r="C318" s="87"/>
      <c r="D318" s="90" t="s">
        <v>1130</v>
      </c>
      <c r="E318" s="86" t="s">
        <v>175</v>
      </c>
      <c r="F318" s="87"/>
      <c r="G318" s="87"/>
      <c r="H318" s="87"/>
      <c r="I318" s="87"/>
      <c r="J318" s="87"/>
      <c r="K318" s="87"/>
      <c r="L318" s="87"/>
      <c r="M318" s="87"/>
      <c r="N318" s="87"/>
      <c r="O318" s="87"/>
      <c r="P318" s="87"/>
      <c r="Q318" s="87"/>
      <c r="R318" s="87"/>
      <c r="S318" s="87"/>
      <c r="T318" s="87"/>
      <c r="U318" s="87"/>
      <c r="V318" s="87"/>
      <c r="W318" s="87"/>
      <c r="X318" s="87"/>
      <c r="Y318" s="87"/>
      <c r="Z318" s="87"/>
      <c r="AA318" s="87"/>
    </row>
    <row r="319">
      <c r="A319" s="90" t="s">
        <v>1132</v>
      </c>
      <c r="B319" s="90" t="s">
        <v>1133</v>
      </c>
      <c r="C319" s="87"/>
      <c r="D319" s="90" t="s">
        <v>1132</v>
      </c>
      <c r="E319" s="86" t="s">
        <v>175</v>
      </c>
      <c r="F319" s="87"/>
      <c r="G319" s="87"/>
      <c r="H319" s="87"/>
      <c r="I319" s="87"/>
      <c r="J319" s="87"/>
      <c r="K319" s="87"/>
      <c r="L319" s="87"/>
      <c r="M319" s="87"/>
      <c r="N319" s="87"/>
      <c r="O319" s="87"/>
      <c r="P319" s="87"/>
      <c r="Q319" s="87"/>
      <c r="R319" s="87"/>
      <c r="S319" s="87"/>
      <c r="T319" s="87"/>
      <c r="U319" s="87"/>
      <c r="V319" s="87"/>
      <c r="W319" s="87"/>
      <c r="X319" s="87"/>
      <c r="Y319" s="87"/>
      <c r="Z319" s="87"/>
      <c r="AA319" s="87"/>
    </row>
    <row r="320">
      <c r="A320" s="90" t="s">
        <v>1136</v>
      </c>
      <c r="B320" s="90" t="s">
        <v>1137</v>
      </c>
      <c r="C320" s="87"/>
      <c r="D320" s="90" t="s">
        <v>1136</v>
      </c>
      <c r="E320" s="86" t="s">
        <v>175</v>
      </c>
      <c r="F320" s="87"/>
      <c r="G320" s="87"/>
      <c r="H320" s="87"/>
      <c r="I320" s="87"/>
      <c r="J320" s="87"/>
      <c r="K320" s="87"/>
      <c r="L320" s="87"/>
      <c r="M320" s="87"/>
      <c r="N320" s="87"/>
      <c r="O320" s="87"/>
      <c r="P320" s="87"/>
      <c r="Q320" s="87"/>
      <c r="R320" s="87"/>
      <c r="S320" s="87"/>
      <c r="T320" s="87"/>
      <c r="U320" s="87"/>
      <c r="V320" s="87"/>
      <c r="W320" s="87"/>
      <c r="X320" s="87"/>
      <c r="Y320" s="87"/>
      <c r="Z320" s="87"/>
      <c r="AA320" s="87"/>
    </row>
    <row r="321">
      <c r="A321" s="90" t="s">
        <v>1139</v>
      </c>
      <c r="B321" s="90" t="s">
        <v>1140</v>
      </c>
      <c r="C321" s="87"/>
      <c r="D321" s="90" t="s">
        <v>1139</v>
      </c>
      <c r="E321" s="86" t="s">
        <v>175</v>
      </c>
      <c r="F321" s="87"/>
      <c r="G321" s="87"/>
      <c r="H321" s="87"/>
      <c r="I321" s="87"/>
      <c r="J321" s="87"/>
      <c r="K321" s="87"/>
      <c r="L321" s="87"/>
      <c r="M321" s="87"/>
      <c r="N321" s="87"/>
      <c r="O321" s="87"/>
      <c r="P321" s="87"/>
      <c r="Q321" s="87"/>
      <c r="R321" s="87"/>
      <c r="S321" s="87"/>
      <c r="T321" s="87"/>
      <c r="U321" s="87"/>
      <c r="V321" s="87"/>
      <c r="W321" s="87"/>
      <c r="X321" s="87"/>
      <c r="Y321" s="87"/>
      <c r="Z321" s="87"/>
      <c r="AA321" s="87"/>
    </row>
    <row r="322">
      <c r="A322" s="90" t="s">
        <v>1142</v>
      </c>
      <c r="B322" s="90" t="s">
        <v>1143</v>
      </c>
      <c r="C322" s="87"/>
      <c r="D322" s="90" t="s">
        <v>1142</v>
      </c>
      <c r="E322" s="86" t="s">
        <v>175</v>
      </c>
      <c r="F322" s="87"/>
      <c r="G322" s="87"/>
      <c r="H322" s="87"/>
      <c r="I322" s="87"/>
      <c r="J322" s="87"/>
      <c r="K322" s="87"/>
      <c r="L322" s="87"/>
      <c r="M322" s="87"/>
      <c r="N322" s="87"/>
      <c r="O322" s="87"/>
      <c r="P322" s="87"/>
      <c r="Q322" s="87"/>
      <c r="R322" s="87"/>
      <c r="S322" s="87"/>
      <c r="T322" s="87"/>
      <c r="U322" s="87"/>
      <c r="V322" s="87"/>
      <c r="W322" s="87"/>
      <c r="X322" s="87"/>
      <c r="Y322" s="87"/>
      <c r="Z322" s="87"/>
      <c r="AA322" s="87"/>
    </row>
    <row r="323">
      <c r="A323" s="90" t="s">
        <v>1146</v>
      </c>
      <c r="B323" s="90" t="s">
        <v>1147</v>
      </c>
      <c r="C323" s="87"/>
      <c r="D323" s="90" t="s">
        <v>1146</v>
      </c>
      <c r="E323" s="86" t="s">
        <v>175</v>
      </c>
      <c r="F323" s="87"/>
      <c r="G323" s="87"/>
      <c r="H323" s="87"/>
      <c r="I323" s="87"/>
      <c r="J323" s="87"/>
      <c r="K323" s="87"/>
      <c r="L323" s="87"/>
      <c r="M323" s="87"/>
      <c r="N323" s="87"/>
      <c r="O323" s="87"/>
      <c r="P323" s="87"/>
      <c r="Q323" s="87"/>
      <c r="R323" s="87"/>
      <c r="S323" s="87"/>
      <c r="T323" s="87"/>
      <c r="U323" s="87"/>
      <c r="V323" s="87"/>
      <c r="W323" s="87"/>
      <c r="X323" s="87"/>
      <c r="Y323" s="87"/>
      <c r="Z323" s="87"/>
      <c r="AA323" s="87"/>
    </row>
    <row r="324">
      <c r="A324" s="90" t="s">
        <v>1148</v>
      </c>
      <c r="B324" s="90" t="s">
        <v>1149</v>
      </c>
      <c r="C324" s="87"/>
      <c r="D324" s="90" t="s">
        <v>1148</v>
      </c>
      <c r="E324" s="86" t="s">
        <v>175</v>
      </c>
      <c r="F324" s="87"/>
      <c r="G324" s="87"/>
      <c r="H324" s="87"/>
      <c r="I324" s="87"/>
      <c r="J324" s="87"/>
      <c r="K324" s="87"/>
      <c r="L324" s="87"/>
      <c r="M324" s="87"/>
      <c r="N324" s="87"/>
      <c r="O324" s="87"/>
      <c r="P324" s="87"/>
      <c r="Q324" s="87"/>
      <c r="R324" s="87"/>
      <c r="S324" s="87"/>
      <c r="T324" s="87"/>
      <c r="U324" s="87"/>
      <c r="V324" s="87"/>
      <c r="W324" s="87"/>
      <c r="X324" s="87"/>
      <c r="Y324" s="87"/>
      <c r="Z324" s="87"/>
      <c r="AA324" s="87"/>
    </row>
    <row r="325">
      <c r="A325" s="90" t="s">
        <v>1150</v>
      </c>
      <c r="B325" s="90" t="s">
        <v>1151</v>
      </c>
      <c r="C325" s="87"/>
      <c r="D325" s="90" t="s">
        <v>1150</v>
      </c>
      <c r="E325" s="86" t="s">
        <v>175</v>
      </c>
      <c r="F325" s="87"/>
      <c r="G325" s="87"/>
      <c r="H325" s="87"/>
      <c r="I325" s="87"/>
      <c r="J325" s="87"/>
      <c r="K325" s="87"/>
      <c r="L325" s="87"/>
      <c r="M325" s="87"/>
      <c r="N325" s="87"/>
      <c r="O325" s="87"/>
      <c r="P325" s="87"/>
      <c r="Q325" s="87"/>
      <c r="R325" s="87"/>
      <c r="S325" s="87"/>
      <c r="T325" s="87"/>
      <c r="U325" s="87"/>
      <c r="V325" s="87"/>
      <c r="W325" s="87"/>
      <c r="X325" s="87"/>
      <c r="Y325" s="87"/>
      <c r="Z325" s="87"/>
      <c r="AA325" s="87"/>
    </row>
    <row r="326">
      <c r="A326" s="90" t="s">
        <v>1154</v>
      </c>
      <c r="B326" s="90" t="s">
        <v>1155</v>
      </c>
      <c r="C326" s="87"/>
      <c r="D326" s="90" t="s">
        <v>1154</v>
      </c>
      <c r="E326" s="86" t="s">
        <v>175</v>
      </c>
      <c r="F326" s="87"/>
      <c r="G326" s="87"/>
      <c r="H326" s="87"/>
      <c r="I326" s="87"/>
      <c r="J326" s="87"/>
      <c r="K326" s="87"/>
      <c r="L326" s="87"/>
      <c r="M326" s="87"/>
      <c r="N326" s="87"/>
      <c r="O326" s="87"/>
      <c r="P326" s="87"/>
      <c r="Q326" s="87"/>
      <c r="R326" s="87"/>
      <c r="S326" s="87"/>
      <c r="T326" s="87"/>
      <c r="U326" s="87"/>
      <c r="V326" s="87"/>
      <c r="W326" s="87"/>
      <c r="X326" s="87"/>
      <c r="Y326" s="87"/>
      <c r="Z326" s="87"/>
      <c r="AA326" s="87"/>
    </row>
    <row r="327">
      <c r="A327" s="90" t="s">
        <v>1156</v>
      </c>
      <c r="B327" s="90" t="s">
        <v>1157</v>
      </c>
      <c r="C327" s="87"/>
      <c r="D327" s="90" t="s">
        <v>1156</v>
      </c>
      <c r="E327" s="86" t="s">
        <v>175</v>
      </c>
      <c r="F327" s="87"/>
      <c r="G327" s="87"/>
      <c r="H327" s="87"/>
      <c r="I327" s="87"/>
      <c r="J327" s="87"/>
      <c r="K327" s="87"/>
      <c r="L327" s="87"/>
      <c r="M327" s="87"/>
      <c r="N327" s="87"/>
      <c r="O327" s="87"/>
      <c r="P327" s="87"/>
      <c r="Q327" s="87"/>
      <c r="R327" s="87"/>
      <c r="S327" s="87"/>
      <c r="T327" s="87"/>
      <c r="U327" s="87"/>
      <c r="V327" s="87"/>
      <c r="W327" s="87"/>
      <c r="X327" s="87"/>
      <c r="Y327" s="87"/>
      <c r="Z327" s="87"/>
      <c r="AA327" s="87"/>
    </row>
    <row r="328">
      <c r="A328" s="90" t="s">
        <v>1160</v>
      </c>
      <c r="B328" s="90" t="s">
        <v>1161</v>
      </c>
      <c r="C328" s="87"/>
      <c r="D328" s="90" t="s">
        <v>1160</v>
      </c>
      <c r="E328" s="86" t="s">
        <v>175</v>
      </c>
      <c r="F328" s="87"/>
      <c r="G328" s="87"/>
      <c r="H328" s="87"/>
      <c r="I328" s="87"/>
      <c r="J328" s="87"/>
      <c r="K328" s="87"/>
      <c r="L328" s="87"/>
      <c r="M328" s="87"/>
      <c r="N328" s="87"/>
      <c r="O328" s="87"/>
      <c r="P328" s="87"/>
      <c r="Q328" s="87"/>
      <c r="R328" s="87"/>
      <c r="S328" s="87"/>
      <c r="T328" s="87"/>
      <c r="U328" s="87"/>
      <c r="V328" s="87"/>
      <c r="W328" s="87"/>
      <c r="X328" s="87"/>
      <c r="Y328" s="87"/>
      <c r="Z328" s="87"/>
      <c r="AA328" s="87"/>
    </row>
    <row r="329">
      <c r="A329" s="90" t="s">
        <v>1162</v>
      </c>
      <c r="B329" s="90" t="s">
        <v>1163</v>
      </c>
      <c r="C329" s="87"/>
      <c r="D329" s="90" t="s">
        <v>1162</v>
      </c>
      <c r="E329" s="86" t="s">
        <v>175</v>
      </c>
      <c r="F329" s="87"/>
      <c r="G329" s="87"/>
      <c r="H329" s="87"/>
      <c r="I329" s="87"/>
      <c r="J329" s="87"/>
      <c r="K329" s="87"/>
      <c r="L329" s="87"/>
      <c r="M329" s="87"/>
      <c r="N329" s="87"/>
      <c r="O329" s="87"/>
      <c r="P329" s="87"/>
      <c r="Q329" s="87"/>
      <c r="R329" s="87"/>
      <c r="S329" s="87"/>
      <c r="T329" s="87"/>
      <c r="U329" s="87"/>
      <c r="V329" s="87"/>
      <c r="W329" s="87"/>
      <c r="X329" s="87"/>
      <c r="Y329" s="87"/>
      <c r="Z329" s="87"/>
      <c r="AA329" s="87"/>
    </row>
    <row r="330">
      <c r="A330" s="90" t="s">
        <v>1164</v>
      </c>
      <c r="B330" s="90" t="s">
        <v>1165</v>
      </c>
      <c r="C330" s="87"/>
      <c r="D330" s="90" t="s">
        <v>1164</v>
      </c>
      <c r="E330" s="86" t="s">
        <v>175</v>
      </c>
      <c r="F330" s="87"/>
      <c r="G330" s="87"/>
      <c r="H330" s="87"/>
      <c r="I330" s="87"/>
      <c r="J330" s="87"/>
      <c r="K330" s="87"/>
      <c r="L330" s="87"/>
      <c r="M330" s="87"/>
      <c r="N330" s="87"/>
      <c r="O330" s="87"/>
      <c r="P330" s="87"/>
      <c r="Q330" s="87"/>
      <c r="R330" s="87"/>
      <c r="S330" s="87"/>
      <c r="T330" s="87"/>
      <c r="U330" s="87"/>
      <c r="V330" s="87"/>
      <c r="W330" s="87"/>
      <c r="X330" s="87"/>
      <c r="Y330" s="87"/>
      <c r="Z330" s="87"/>
      <c r="AA330" s="87"/>
    </row>
    <row r="331">
      <c r="A331" s="90" t="s">
        <v>1167</v>
      </c>
      <c r="B331" s="90" t="s">
        <v>1168</v>
      </c>
      <c r="C331" s="87"/>
      <c r="D331" s="90" t="s">
        <v>1167</v>
      </c>
      <c r="E331" s="86" t="s">
        <v>175</v>
      </c>
      <c r="F331" s="87"/>
      <c r="G331" s="87"/>
      <c r="H331" s="87"/>
      <c r="I331" s="87"/>
      <c r="J331" s="87"/>
      <c r="K331" s="87"/>
      <c r="L331" s="87"/>
      <c r="M331" s="87"/>
      <c r="N331" s="87"/>
      <c r="O331" s="87"/>
      <c r="P331" s="87"/>
      <c r="Q331" s="87"/>
      <c r="R331" s="87"/>
      <c r="S331" s="87"/>
      <c r="T331" s="87"/>
      <c r="U331" s="87"/>
      <c r="V331" s="87"/>
      <c r="W331" s="87"/>
      <c r="X331" s="87"/>
      <c r="Y331" s="87"/>
      <c r="Z331" s="87"/>
      <c r="AA331" s="87"/>
    </row>
    <row r="332">
      <c r="A332" s="90" t="s">
        <v>1170</v>
      </c>
      <c r="B332" s="90" t="s">
        <v>1171</v>
      </c>
      <c r="C332" s="87"/>
      <c r="D332" s="90" t="s">
        <v>1170</v>
      </c>
      <c r="E332" s="86" t="s">
        <v>175</v>
      </c>
      <c r="F332" s="87"/>
      <c r="G332" s="87"/>
      <c r="H332" s="87"/>
      <c r="I332" s="87"/>
      <c r="J332" s="87"/>
      <c r="K332" s="87"/>
      <c r="L332" s="87"/>
      <c r="M332" s="87"/>
      <c r="N332" s="87"/>
      <c r="O332" s="87"/>
      <c r="P332" s="87"/>
      <c r="Q332" s="87"/>
      <c r="R332" s="87"/>
      <c r="S332" s="87"/>
      <c r="T332" s="87"/>
      <c r="U332" s="87"/>
      <c r="V332" s="87"/>
      <c r="W332" s="87"/>
      <c r="X332" s="87"/>
      <c r="Y332" s="87"/>
      <c r="Z332" s="87"/>
      <c r="AA332" s="87"/>
    </row>
    <row r="333">
      <c r="A333" s="90" t="s">
        <v>1172</v>
      </c>
      <c r="B333" s="90" t="s">
        <v>1173</v>
      </c>
      <c r="C333" s="87"/>
      <c r="D333" s="90" t="s">
        <v>1172</v>
      </c>
      <c r="E333" s="86" t="s">
        <v>175</v>
      </c>
      <c r="F333" s="87"/>
      <c r="G333" s="87"/>
      <c r="H333" s="87"/>
      <c r="I333" s="87"/>
      <c r="J333" s="87"/>
      <c r="K333" s="87"/>
      <c r="L333" s="87"/>
      <c r="M333" s="87"/>
      <c r="N333" s="87"/>
      <c r="O333" s="87"/>
      <c r="P333" s="87"/>
      <c r="Q333" s="87"/>
      <c r="R333" s="87"/>
      <c r="S333" s="87"/>
      <c r="T333" s="87"/>
      <c r="U333" s="87"/>
      <c r="V333" s="87"/>
      <c r="W333" s="87"/>
      <c r="X333" s="87"/>
      <c r="Y333" s="87"/>
      <c r="Z333" s="87"/>
      <c r="AA333" s="87"/>
    </row>
    <row r="334">
      <c r="A334" s="90" t="s">
        <v>1174</v>
      </c>
      <c r="B334" s="90" t="s">
        <v>1175</v>
      </c>
      <c r="C334" s="87"/>
      <c r="D334" s="90" t="s">
        <v>1174</v>
      </c>
      <c r="E334" s="86" t="s">
        <v>175</v>
      </c>
      <c r="F334" s="87"/>
      <c r="G334" s="87"/>
      <c r="H334" s="87"/>
      <c r="I334" s="87"/>
      <c r="J334" s="87"/>
      <c r="K334" s="87"/>
      <c r="L334" s="87"/>
      <c r="M334" s="87"/>
      <c r="N334" s="87"/>
      <c r="O334" s="87"/>
      <c r="P334" s="87"/>
      <c r="Q334" s="87"/>
      <c r="R334" s="87"/>
      <c r="S334" s="87"/>
      <c r="T334" s="87"/>
      <c r="U334" s="87"/>
      <c r="V334" s="87"/>
      <c r="W334" s="87"/>
      <c r="X334" s="87"/>
      <c r="Y334" s="87"/>
      <c r="Z334" s="87"/>
      <c r="AA334" s="87"/>
    </row>
    <row r="335">
      <c r="A335" s="90" t="s">
        <v>1177</v>
      </c>
      <c r="B335" s="90" t="s">
        <v>1178</v>
      </c>
      <c r="C335" s="87"/>
      <c r="D335" s="90" t="s">
        <v>1177</v>
      </c>
      <c r="E335" s="86" t="s">
        <v>175</v>
      </c>
      <c r="F335" s="87"/>
      <c r="G335" s="87"/>
      <c r="H335" s="87"/>
      <c r="I335" s="87"/>
      <c r="J335" s="87"/>
      <c r="K335" s="87"/>
      <c r="L335" s="87"/>
      <c r="M335" s="87"/>
      <c r="N335" s="87"/>
      <c r="O335" s="87"/>
      <c r="P335" s="87"/>
      <c r="Q335" s="87"/>
      <c r="R335" s="87"/>
      <c r="S335" s="87"/>
      <c r="T335" s="87"/>
      <c r="U335" s="87"/>
      <c r="V335" s="87"/>
      <c r="W335" s="87"/>
      <c r="X335" s="87"/>
      <c r="Y335" s="87"/>
      <c r="Z335" s="87"/>
      <c r="AA335" s="87"/>
    </row>
    <row r="336">
      <c r="A336" s="90" t="s">
        <v>1179</v>
      </c>
      <c r="B336" s="90" t="s">
        <v>1180</v>
      </c>
      <c r="C336" s="87"/>
      <c r="D336" s="90" t="s">
        <v>1179</v>
      </c>
      <c r="E336" s="86" t="s">
        <v>175</v>
      </c>
      <c r="F336" s="87"/>
      <c r="G336" s="87"/>
      <c r="H336" s="87"/>
      <c r="I336" s="87"/>
      <c r="J336" s="87"/>
      <c r="K336" s="87"/>
      <c r="L336" s="87"/>
      <c r="M336" s="87"/>
      <c r="N336" s="87"/>
      <c r="O336" s="87"/>
      <c r="P336" s="87"/>
      <c r="Q336" s="87"/>
      <c r="R336" s="87"/>
      <c r="S336" s="87"/>
      <c r="T336" s="87"/>
      <c r="U336" s="87"/>
      <c r="V336" s="87"/>
      <c r="W336" s="87"/>
      <c r="X336" s="87"/>
      <c r="Y336" s="87"/>
      <c r="Z336" s="87"/>
      <c r="AA336" s="87"/>
    </row>
    <row r="337">
      <c r="A337" s="90" t="s">
        <v>1183</v>
      </c>
      <c r="B337" s="90" t="s">
        <v>1184</v>
      </c>
      <c r="C337" s="87"/>
      <c r="D337" s="90" t="s">
        <v>1183</v>
      </c>
      <c r="E337" s="86" t="s">
        <v>175</v>
      </c>
      <c r="F337" s="87"/>
      <c r="G337" s="87"/>
      <c r="H337" s="87"/>
      <c r="I337" s="87"/>
      <c r="J337" s="87"/>
      <c r="K337" s="87"/>
      <c r="L337" s="87"/>
      <c r="M337" s="87"/>
      <c r="N337" s="87"/>
      <c r="O337" s="87"/>
      <c r="P337" s="87"/>
      <c r="Q337" s="87"/>
      <c r="R337" s="87"/>
      <c r="S337" s="87"/>
      <c r="T337" s="87"/>
      <c r="U337" s="87"/>
      <c r="V337" s="87"/>
      <c r="W337" s="87"/>
      <c r="X337" s="87"/>
      <c r="Y337" s="87"/>
      <c r="Z337" s="87"/>
      <c r="AA337" s="87"/>
    </row>
    <row r="338">
      <c r="A338" s="90" t="s">
        <v>1185</v>
      </c>
      <c r="B338" s="90" t="s">
        <v>1186</v>
      </c>
      <c r="C338" s="87"/>
      <c r="D338" s="90" t="s">
        <v>1185</v>
      </c>
      <c r="E338" s="86" t="s">
        <v>175</v>
      </c>
      <c r="F338" s="87"/>
      <c r="G338" s="87"/>
      <c r="H338" s="87"/>
      <c r="I338" s="87"/>
      <c r="J338" s="87"/>
      <c r="K338" s="87"/>
      <c r="L338" s="87"/>
      <c r="M338" s="87"/>
      <c r="N338" s="87"/>
      <c r="O338" s="87"/>
      <c r="P338" s="87"/>
      <c r="Q338" s="87"/>
      <c r="R338" s="87"/>
      <c r="S338" s="87"/>
      <c r="T338" s="87"/>
      <c r="U338" s="87"/>
      <c r="V338" s="87"/>
      <c r="W338" s="87"/>
      <c r="X338" s="87"/>
      <c r="Y338" s="87"/>
      <c r="Z338" s="87"/>
      <c r="AA338" s="87"/>
    </row>
    <row r="339">
      <c r="A339" s="90" t="s">
        <v>1189</v>
      </c>
      <c r="B339" s="90" t="s">
        <v>1190</v>
      </c>
      <c r="C339" s="87"/>
      <c r="D339" s="90" t="s">
        <v>1189</v>
      </c>
      <c r="E339" s="86" t="s">
        <v>175</v>
      </c>
      <c r="F339" s="87"/>
      <c r="G339" s="87"/>
      <c r="H339" s="87"/>
      <c r="I339" s="87"/>
      <c r="J339" s="87"/>
      <c r="K339" s="87"/>
      <c r="L339" s="87"/>
      <c r="M339" s="87"/>
      <c r="N339" s="87"/>
      <c r="O339" s="87"/>
      <c r="P339" s="87"/>
      <c r="Q339" s="87"/>
      <c r="R339" s="87"/>
      <c r="S339" s="87"/>
      <c r="T339" s="87"/>
      <c r="U339" s="87"/>
      <c r="V339" s="87"/>
      <c r="W339" s="87"/>
      <c r="X339" s="87"/>
      <c r="Y339" s="87"/>
      <c r="Z339" s="87"/>
      <c r="AA339" s="87"/>
    </row>
    <row r="340">
      <c r="A340" s="90" t="s">
        <v>1191</v>
      </c>
      <c r="B340" s="90" t="s">
        <v>1192</v>
      </c>
      <c r="C340" s="87"/>
      <c r="D340" s="90" t="s">
        <v>1191</v>
      </c>
      <c r="E340" s="86" t="s">
        <v>175</v>
      </c>
      <c r="F340" s="87"/>
      <c r="G340" s="87"/>
      <c r="H340" s="87"/>
      <c r="I340" s="87"/>
      <c r="J340" s="87"/>
      <c r="K340" s="87"/>
      <c r="L340" s="87"/>
      <c r="M340" s="87"/>
      <c r="N340" s="87"/>
      <c r="O340" s="87"/>
      <c r="P340" s="87"/>
      <c r="Q340" s="87"/>
      <c r="R340" s="87"/>
      <c r="S340" s="87"/>
      <c r="T340" s="87"/>
      <c r="U340" s="87"/>
      <c r="V340" s="87"/>
      <c r="W340" s="87"/>
      <c r="X340" s="87"/>
      <c r="Y340" s="87"/>
      <c r="Z340" s="87"/>
      <c r="AA340" s="87"/>
    </row>
    <row r="341">
      <c r="A341" s="90" t="s">
        <v>1194</v>
      </c>
      <c r="B341" s="90" t="s">
        <v>1195</v>
      </c>
      <c r="C341" s="87"/>
      <c r="D341" s="90" t="s">
        <v>1194</v>
      </c>
      <c r="E341" s="86" t="s">
        <v>175</v>
      </c>
      <c r="F341" s="87"/>
      <c r="G341" s="87"/>
      <c r="H341" s="87"/>
      <c r="I341" s="87"/>
      <c r="J341" s="87"/>
      <c r="K341" s="87"/>
      <c r="L341" s="87"/>
      <c r="M341" s="87"/>
      <c r="N341" s="87"/>
      <c r="O341" s="87"/>
      <c r="P341" s="87"/>
      <c r="Q341" s="87"/>
      <c r="R341" s="87"/>
      <c r="S341" s="87"/>
      <c r="T341" s="87"/>
      <c r="U341" s="87"/>
      <c r="V341" s="87"/>
      <c r="W341" s="87"/>
      <c r="X341" s="87"/>
      <c r="Y341" s="87"/>
      <c r="Z341" s="87"/>
      <c r="AA341" s="87"/>
    </row>
    <row r="342">
      <c r="A342" s="90" t="s">
        <v>1196</v>
      </c>
      <c r="B342" s="90" t="s">
        <v>1197</v>
      </c>
      <c r="C342" s="87"/>
      <c r="D342" s="90" t="s">
        <v>1196</v>
      </c>
      <c r="E342" s="86" t="s">
        <v>175</v>
      </c>
      <c r="F342" s="87"/>
      <c r="G342" s="87"/>
      <c r="H342" s="87"/>
      <c r="I342" s="87"/>
      <c r="J342" s="87"/>
      <c r="K342" s="87"/>
      <c r="L342" s="87"/>
      <c r="M342" s="87"/>
      <c r="N342" s="87"/>
      <c r="O342" s="87"/>
      <c r="P342" s="87"/>
      <c r="Q342" s="87"/>
      <c r="R342" s="87"/>
      <c r="S342" s="87"/>
      <c r="T342" s="87"/>
      <c r="U342" s="87"/>
      <c r="V342" s="87"/>
      <c r="W342" s="87"/>
      <c r="X342" s="87"/>
      <c r="Y342" s="87"/>
      <c r="Z342" s="87"/>
      <c r="AA342" s="87"/>
    </row>
    <row r="343">
      <c r="A343" s="90" t="s">
        <v>1198</v>
      </c>
      <c r="B343" s="90" t="s">
        <v>1199</v>
      </c>
      <c r="C343" s="87"/>
      <c r="D343" s="90" t="s">
        <v>1198</v>
      </c>
      <c r="E343" s="86" t="s">
        <v>175</v>
      </c>
      <c r="F343" s="87"/>
      <c r="G343" s="87"/>
      <c r="H343" s="87"/>
      <c r="I343" s="87"/>
      <c r="J343" s="87"/>
      <c r="K343" s="87"/>
      <c r="L343" s="87"/>
      <c r="M343" s="87"/>
      <c r="N343" s="87"/>
      <c r="O343" s="87"/>
      <c r="P343" s="87"/>
      <c r="Q343" s="87"/>
      <c r="R343" s="87"/>
      <c r="S343" s="87"/>
      <c r="T343" s="87"/>
      <c r="U343" s="87"/>
      <c r="V343" s="87"/>
      <c r="W343" s="87"/>
      <c r="X343" s="87"/>
      <c r="Y343" s="87"/>
      <c r="Z343" s="87"/>
      <c r="AA343" s="87"/>
    </row>
    <row r="344">
      <c r="A344" s="90" t="s">
        <v>1200</v>
      </c>
      <c r="B344" s="90" t="s">
        <v>1201</v>
      </c>
      <c r="C344" s="87"/>
      <c r="D344" s="90" t="s">
        <v>1200</v>
      </c>
      <c r="E344" s="86" t="s">
        <v>175</v>
      </c>
      <c r="F344" s="87"/>
      <c r="G344" s="87"/>
      <c r="H344" s="87"/>
      <c r="I344" s="87"/>
      <c r="J344" s="87"/>
      <c r="K344" s="87"/>
      <c r="L344" s="87"/>
      <c r="M344" s="87"/>
      <c r="N344" s="87"/>
      <c r="O344" s="87"/>
      <c r="P344" s="87"/>
      <c r="Q344" s="87"/>
      <c r="R344" s="87"/>
      <c r="S344" s="87"/>
      <c r="T344" s="87"/>
      <c r="U344" s="87"/>
      <c r="V344" s="87"/>
      <c r="W344" s="87"/>
      <c r="X344" s="87"/>
      <c r="Y344" s="87"/>
      <c r="Z344" s="87"/>
      <c r="AA344" s="87"/>
    </row>
    <row r="345">
      <c r="A345" s="90" t="s">
        <v>1202</v>
      </c>
      <c r="B345" s="90" t="s">
        <v>1203</v>
      </c>
      <c r="C345" s="87"/>
      <c r="D345" s="90" t="s">
        <v>1202</v>
      </c>
      <c r="E345" s="86" t="s">
        <v>175</v>
      </c>
      <c r="F345" s="87"/>
      <c r="G345" s="87"/>
      <c r="H345" s="87"/>
      <c r="I345" s="87"/>
      <c r="J345" s="87"/>
      <c r="K345" s="87"/>
      <c r="L345" s="87"/>
      <c r="M345" s="87"/>
      <c r="N345" s="87"/>
      <c r="O345" s="87"/>
      <c r="P345" s="87"/>
      <c r="Q345" s="87"/>
      <c r="R345" s="87"/>
      <c r="S345" s="87"/>
      <c r="T345" s="87"/>
      <c r="U345" s="87"/>
      <c r="V345" s="87"/>
      <c r="W345" s="87"/>
      <c r="X345" s="87"/>
      <c r="Y345" s="87"/>
      <c r="Z345" s="87"/>
      <c r="AA345" s="87"/>
    </row>
    <row r="346">
      <c r="A346" s="90" t="s">
        <v>1204</v>
      </c>
      <c r="B346" s="90" t="s">
        <v>1205</v>
      </c>
      <c r="C346" s="87"/>
      <c r="D346" s="90" t="s">
        <v>1204</v>
      </c>
      <c r="E346" s="86" t="s">
        <v>175</v>
      </c>
      <c r="F346" s="87"/>
      <c r="G346" s="87"/>
      <c r="H346" s="87"/>
      <c r="I346" s="87"/>
      <c r="J346" s="87"/>
      <c r="K346" s="87"/>
      <c r="L346" s="87"/>
      <c r="M346" s="87"/>
      <c r="N346" s="87"/>
      <c r="O346" s="87"/>
      <c r="P346" s="87"/>
      <c r="Q346" s="87"/>
      <c r="R346" s="87"/>
      <c r="S346" s="87"/>
      <c r="T346" s="87"/>
      <c r="U346" s="87"/>
      <c r="V346" s="87"/>
      <c r="W346" s="87"/>
      <c r="X346" s="87"/>
      <c r="Y346" s="87"/>
      <c r="Z346" s="87"/>
      <c r="AA346" s="87"/>
    </row>
    <row r="347">
      <c r="A347" s="90" t="s">
        <v>1207</v>
      </c>
      <c r="B347" s="90" t="s">
        <v>1208</v>
      </c>
      <c r="C347" s="87"/>
      <c r="D347" s="90" t="s">
        <v>1207</v>
      </c>
      <c r="E347" s="86" t="s">
        <v>175</v>
      </c>
      <c r="F347" s="87"/>
      <c r="G347" s="87"/>
      <c r="H347" s="87"/>
      <c r="I347" s="87"/>
      <c r="J347" s="87"/>
      <c r="K347" s="87"/>
      <c r="L347" s="87"/>
      <c r="M347" s="87"/>
      <c r="N347" s="87"/>
      <c r="O347" s="87"/>
      <c r="P347" s="87"/>
      <c r="Q347" s="87"/>
      <c r="R347" s="87"/>
      <c r="S347" s="87"/>
      <c r="T347" s="87"/>
      <c r="U347" s="87"/>
      <c r="V347" s="87"/>
      <c r="W347" s="87"/>
      <c r="X347" s="87"/>
      <c r="Y347" s="87"/>
      <c r="Z347" s="87"/>
      <c r="AA347" s="87"/>
    </row>
    <row r="348">
      <c r="A348" s="90" t="s">
        <v>1210</v>
      </c>
      <c r="B348" s="90" t="s">
        <v>1211</v>
      </c>
      <c r="C348" s="87"/>
      <c r="D348" s="90" t="s">
        <v>1210</v>
      </c>
      <c r="E348" s="86" t="s">
        <v>175</v>
      </c>
      <c r="F348" s="87"/>
      <c r="G348" s="87"/>
      <c r="H348" s="87"/>
      <c r="I348" s="87"/>
      <c r="J348" s="87"/>
      <c r="K348" s="87"/>
      <c r="L348" s="87"/>
      <c r="M348" s="87"/>
      <c r="N348" s="87"/>
      <c r="O348" s="87"/>
      <c r="P348" s="87"/>
      <c r="Q348" s="87"/>
      <c r="R348" s="87"/>
      <c r="S348" s="87"/>
      <c r="T348" s="87"/>
      <c r="U348" s="87"/>
      <c r="V348" s="87"/>
      <c r="W348" s="87"/>
      <c r="X348" s="87"/>
      <c r="Y348" s="87"/>
      <c r="Z348" s="87"/>
      <c r="AA348" s="87"/>
    </row>
    <row r="349">
      <c r="A349" s="90" t="s">
        <v>1212</v>
      </c>
      <c r="B349" s="90" t="s">
        <v>1213</v>
      </c>
      <c r="C349" s="87"/>
      <c r="D349" s="90" t="s">
        <v>1212</v>
      </c>
      <c r="E349" s="86" t="s">
        <v>175</v>
      </c>
      <c r="F349" s="87"/>
      <c r="G349" s="87"/>
      <c r="H349" s="87"/>
      <c r="I349" s="87"/>
      <c r="J349" s="87"/>
      <c r="K349" s="87"/>
      <c r="L349" s="87"/>
      <c r="M349" s="87"/>
      <c r="N349" s="87"/>
      <c r="O349" s="87"/>
      <c r="P349" s="87"/>
      <c r="Q349" s="87"/>
      <c r="R349" s="87"/>
      <c r="S349" s="87"/>
      <c r="T349" s="87"/>
      <c r="U349" s="87"/>
      <c r="V349" s="87"/>
      <c r="W349" s="87"/>
      <c r="X349" s="87"/>
      <c r="Y349" s="87"/>
      <c r="Z349" s="87"/>
      <c r="AA349" s="87"/>
    </row>
    <row r="350">
      <c r="A350" s="90" t="s">
        <v>1214</v>
      </c>
      <c r="B350" s="90" t="s">
        <v>1215</v>
      </c>
      <c r="C350" s="87"/>
      <c r="D350" s="90" t="s">
        <v>1214</v>
      </c>
      <c r="E350" s="86" t="s">
        <v>175</v>
      </c>
      <c r="F350" s="87"/>
      <c r="G350" s="87"/>
      <c r="H350" s="87"/>
      <c r="I350" s="87"/>
      <c r="J350" s="87"/>
      <c r="K350" s="87"/>
      <c r="L350" s="87"/>
      <c r="M350" s="87"/>
      <c r="N350" s="87"/>
      <c r="O350" s="87"/>
      <c r="P350" s="87"/>
      <c r="Q350" s="87"/>
      <c r="R350" s="87"/>
      <c r="S350" s="87"/>
      <c r="T350" s="87"/>
      <c r="U350" s="87"/>
      <c r="V350" s="87"/>
      <c r="W350" s="87"/>
      <c r="X350" s="87"/>
      <c r="Y350" s="87"/>
      <c r="Z350" s="87"/>
      <c r="AA350" s="87"/>
    </row>
    <row r="351">
      <c r="A351" s="90" t="s">
        <v>1217</v>
      </c>
      <c r="B351" s="90" t="s">
        <v>1218</v>
      </c>
      <c r="C351" s="87"/>
      <c r="D351" s="90" t="s">
        <v>1217</v>
      </c>
      <c r="E351" s="86" t="s">
        <v>175</v>
      </c>
      <c r="F351" s="87"/>
      <c r="G351" s="87"/>
      <c r="H351" s="87"/>
      <c r="I351" s="87"/>
      <c r="J351" s="87"/>
      <c r="K351" s="87"/>
      <c r="L351" s="87"/>
      <c r="M351" s="87"/>
      <c r="N351" s="87"/>
      <c r="O351" s="87"/>
      <c r="P351" s="87"/>
      <c r="Q351" s="87"/>
      <c r="R351" s="87"/>
      <c r="S351" s="87"/>
      <c r="T351" s="87"/>
      <c r="U351" s="87"/>
      <c r="V351" s="87"/>
      <c r="W351" s="87"/>
      <c r="X351" s="87"/>
      <c r="Y351" s="87"/>
      <c r="Z351" s="87"/>
      <c r="AA351" s="87"/>
    </row>
    <row r="352">
      <c r="A352" s="90" t="s">
        <v>1219</v>
      </c>
      <c r="B352" s="90" t="s">
        <v>1220</v>
      </c>
      <c r="C352" s="87"/>
      <c r="D352" s="90" t="s">
        <v>1219</v>
      </c>
      <c r="E352" s="86" t="s">
        <v>175</v>
      </c>
      <c r="F352" s="87"/>
      <c r="G352" s="87"/>
      <c r="H352" s="87"/>
      <c r="I352" s="87"/>
      <c r="J352" s="87"/>
      <c r="K352" s="87"/>
      <c r="L352" s="87"/>
      <c r="M352" s="87"/>
      <c r="N352" s="87"/>
      <c r="O352" s="87"/>
      <c r="P352" s="87"/>
      <c r="Q352" s="87"/>
      <c r="R352" s="87"/>
      <c r="S352" s="87"/>
      <c r="T352" s="87"/>
      <c r="U352" s="87"/>
      <c r="V352" s="87"/>
      <c r="W352" s="87"/>
      <c r="X352" s="87"/>
      <c r="Y352" s="87"/>
      <c r="Z352" s="87"/>
      <c r="AA352" s="87"/>
    </row>
    <row r="353">
      <c r="A353" s="90" t="s">
        <v>1223</v>
      </c>
      <c r="B353" s="90" t="s">
        <v>1224</v>
      </c>
      <c r="C353" s="87"/>
      <c r="D353" s="90" t="s">
        <v>1223</v>
      </c>
      <c r="E353" s="86" t="s">
        <v>175</v>
      </c>
      <c r="F353" s="87"/>
      <c r="G353" s="87"/>
      <c r="H353" s="87"/>
      <c r="I353" s="87"/>
      <c r="J353" s="87"/>
      <c r="K353" s="87"/>
      <c r="L353" s="87"/>
      <c r="M353" s="87"/>
      <c r="N353" s="87"/>
      <c r="O353" s="87"/>
      <c r="P353" s="87"/>
      <c r="Q353" s="87"/>
      <c r="R353" s="87"/>
      <c r="S353" s="87"/>
      <c r="T353" s="87"/>
      <c r="U353" s="87"/>
      <c r="V353" s="87"/>
      <c r="W353" s="87"/>
      <c r="X353" s="87"/>
      <c r="Y353" s="87"/>
      <c r="Z353" s="87"/>
      <c r="AA353" s="87"/>
    </row>
    <row r="354">
      <c r="A354" s="90" t="s">
        <v>1227</v>
      </c>
      <c r="B354" s="90" t="s">
        <v>1228</v>
      </c>
      <c r="C354" s="87"/>
      <c r="D354" s="90" t="s">
        <v>1227</v>
      </c>
      <c r="E354" s="86" t="s">
        <v>175</v>
      </c>
      <c r="F354" s="87"/>
      <c r="G354" s="87"/>
      <c r="H354" s="87"/>
      <c r="I354" s="87"/>
      <c r="J354" s="87"/>
      <c r="K354" s="87"/>
      <c r="L354" s="87"/>
      <c r="M354" s="87"/>
      <c r="N354" s="87"/>
      <c r="O354" s="87"/>
      <c r="P354" s="87"/>
      <c r="Q354" s="87"/>
      <c r="R354" s="87"/>
      <c r="S354" s="87"/>
      <c r="T354" s="87"/>
      <c r="U354" s="87"/>
      <c r="V354" s="87"/>
      <c r="W354" s="87"/>
      <c r="X354" s="87"/>
      <c r="Y354" s="87"/>
      <c r="Z354" s="87"/>
      <c r="AA354" s="87"/>
    </row>
    <row r="355">
      <c r="A355" s="90" t="s">
        <v>1229</v>
      </c>
      <c r="B355" s="90" t="s">
        <v>1230</v>
      </c>
      <c r="C355" s="87"/>
      <c r="D355" s="90" t="s">
        <v>1229</v>
      </c>
      <c r="E355" s="86" t="s">
        <v>175</v>
      </c>
      <c r="F355" s="87"/>
      <c r="G355" s="87"/>
      <c r="H355" s="87"/>
      <c r="I355" s="87"/>
      <c r="J355" s="87"/>
      <c r="K355" s="87"/>
      <c r="L355" s="87"/>
      <c r="M355" s="87"/>
      <c r="N355" s="87"/>
      <c r="O355" s="87"/>
      <c r="P355" s="87"/>
      <c r="Q355" s="87"/>
      <c r="R355" s="87"/>
      <c r="S355" s="87"/>
      <c r="T355" s="87"/>
      <c r="U355" s="87"/>
      <c r="V355" s="87"/>
      <c r="W355" s="87"/>
      <c r="X355" s="87"/>
      <c r="Y355" s="87"/>
      <c r="Z355" s="87"/>
      <c r="AA355" s="87"/>
    </row>
    <row r="356">
      <c r="A356" s="90" t="s">
        <v>1231</v>
      </c>
      <c r="B356" s="90" t="s">
        <v>1232</v>
      </c>
      <c r="C356" s="87"/>
      <c r="D356" s="90" t="s">
        <v>1231</v>
      </c>
      <c r="E356" s="86" t="s">
        <v>175</v>
      </c>
      <c r="F356" s="87"/>
      <c r="G356" s="87"/>
      <c r="H356" s="87"/>
      <c r="I356" s="87"/>
      <c r="J356" s="87"/>
      <c r="K356" s="87"/>
      <c r="L356" s="87"/>
      <c r="M356" s="87"/>
      <c r="N356" s="87"/>
      <c r="O356" s="87"/>
      <c r="P356" s="87"/>
      <c r="Q356" s="87"/>
      <c r="R356" s="87"/>
      <c r="S356" s="87"/>
      <c r="T356" s="87"/>
      <c r="U356" s="87"/>
      <c r="V356" s="87"/>
      <c r="W356" s="87"/>
      <c r="X356" s="87"/>
      <c r="Y356" s="87"/>
      <c r="Z356" s="87"/>
      <c r="AA356" s="87"/>
    </row>
    <row r="357">
      <c r="A357" s="90" t="s">
        <v>1235</v>
      </c>
      <c r="B357" s="90" t="s">
        <v>1236</v>
      </c>
      <c r="C357" s="87"/>
      <c r="D357" s="90" t="s">
        <v>1235</v>
      </c>
      <c r="E357" s="86" t="s">
        <v>175</v>
      </c>
      <c r="F357" s="87"/>
      <c r="G357" s="87"/>
      <c r="H357" s="87"/>
      <c r="I357" s="87"/>
      <c r="J357" s="87"/>
      <c r="K357" s="87"/>
      <c r="L357" s="87"/>
      <c r="M357" s="87"/>
      <c r="N357" s="87"/>
      <c r="O357" s="87"/>
      <c r="P357" s="87"/>
      <c r="Q357" s="87"/>
      <c r="R357" s="87"/>
      <c r="S357" s="87"/>
      <c r="T357" s="87"/>
      <c r="U357" s="87"/>
      <c r="V357" s="87"/>
      <c r="W357" s="87"/>
      <c r="X357" s="87"/>
      <c r="Y357" s="87"/>
      <c r="Z357" s="87"/>
      <c r="AA357" s="87"/>
    </row>
    <row r="358">
      <c r="A358" s="90" t="s">
        <v>1238</v>
      </c>
      <c r="B358" s="90" t="s">
        <v>1239</v>
      </c>
      <c r="C358" s="87"/>
      <c r="D358" s="90" t="s">
        <v>1238</v>
      </c>
      <c r="E358" s="86" t="s">
        <v>175</v>
      </c>
      <c r="F358" s="87"/>
      <c r="G358" s="87"/>
      <c r="H358" s="87"/>
      <c r="I358" s="87"/>
      <c r="J358" s="87"/>
      <c r="K358" s="87"/>
      <c r="L358" s="87"/>
      <c r="M358" s="87"/>
      <c r="N358" s="87"/>
      <c r="O358" s="87"/>
      <c r="P358" s="87"/>
      <c r="Q358" s="87"/>
      <c r="R358" s="87"/>
      <c r="S358" s="87"/>
      <c r="T358" s="87"/>
      <c r="U358" s="87"/>
      <c r="V358" s="87"/>
      <c r="W358" s="87"/>
      <c r="X358" s="87"/>
      <c r="Y358" s="87"/>
      <c r="Z358" s="87"/>
      <c r="AA358" s="87"/>
    </row>
    <row r="359">
      <c r="A359" s="90" t="s">
        <v>1240</v>
      </c>
      <c r="B359" s="90" t="s">
        <v>1241</v>
      </c>
      <c r="C359" s="87"/>
      <c r="D359" s="90" t="s">
        <v>1240</v>
      </c>
      <c r="E359" s="86" t="s">
        <v>175</v>
      </c>
      <c r="F359" s="87"/>
      <c r="G359" s="87"/>
      <c r="H359" s="87"/>
      <c r="I359" s="87"/>
      <c r="J359" s="87"/>
      <c r="K359" s="87"/>
      <c r="L359" s="87"/>
      <c r="M359" s="87"/>
      <c r="N359" s="87"/>
      <c r="O359" s="87"/>
      <c r="P359" s="87"/>
      <c r="Q359" s="87"/>
      <c r="R359" s="87"/>
      <c r="S359" s="87"/>
      <c r="T359" s="87"/>
      <c r="U359" s="87"/>
      <c r="V359" s="87"/>
      <c r="W359" s="87"/>
      <c r="X359" s="87"/>
      <c r="Y359" s="87"/>
      <c r="Z359" s="87"/>
      <c r="AA359" s="87"/>
    </row>
    <row r="360">
      <c r="A360" s="90" t="s">
        <v>1242</v>
      </c>
      <c r="B360" s="90" t="s">
        <v>1243</v>
      </c>
      <c r="C360" s="87"/>
      <c r="D360" s="90" t="s">
        <v>1242</v>
      </c>
      <c r="E360" s="86" t="s">
        <v>175</v>
      </c>
      <c r="F360" s="87"/>
      <c r="G360" s="87"/>
      <c r="H360" s="87"/>
      <c r="I360" s="87"/>
      <c r="J360" s="87"/>
      <c r="K360" s="87"/>
      <c r="L360" s="87"/>
      <c r="M360" s="87"/>
      <c r="N360" s="87"/>
      <c r="O360" s="87"/>
      <c r="P360" s="87"/>
      <c r="Q360" s="87"/>
      <c r="R360" s="87"/>
      <c r="S360" s="87"/>
      <c r="T360" s="87"/>
      <c r="U360" s="87"/>
      <c r="V360" s="87"/>
      <c r="W360" s="87"/>
      <c r="X360" s="87"/>
      <c r="Y360" s="87"/>
      <c r="Z360" s="87"/>
      <c r="AA360" s="87"/>
    </row>
    <row r="361">
      <c r="A361" s="90" t="s">
        <v>1245</v>
      </c>
      <c r="B361" s="90" t="s">
        <v>1246</v>
      </c>
      <c r="C361" s="87"/>
      <c r="D361" s="90" t="s">
        <v>1245</v>
      </c>
      <c r="E361" s="86" t="s">
        <v>175</v>
      </c>
      <c r="F361" s="87"/>
      <c r="G361" s="87"/>
      <c r="H361" s="87"/>
      <c r="I361" s="87"/>
      <c r="J361" s="87"/>
      <c r="K361" s="87"/>
      <c r="L361" s="87"/>
      <c r="M361" s="87"/>
      <c r="N361" s="87"/>
      <c r="O361" s="87"/>
      <c r="P361" s="87"/>
      <c r="Q361" s="87"/>
      <c r="R361" s="87"/>
      <c r="S361" s="87"/>
      <c r="T361" s="87"/>
      <c r="U361" s="87"/>
      <c r="V361" s="87"/>
      <c r="W361" s="87"/>
      <c r="X361" s="87"/>
      <c r="Y361" s="87"/>
      <c r="Z361" s="87"/>
      <c r="AA361" s="87"/>
    </row>
    <row r="362">
      <c r="A362" s="90" t="s">
        <v>1247</v>
      </c>
      <c r="B362" s="90" t="s">
        <v>1248</v>
      </c>
      <c r="C362" s="87"/>
      <c r="D362" s="90" t="s">
        <v>1247</v>
      </c>
      <c r="E362" s="86" t="s">
        <v>175</v>
      </c>
      <c r="F362" s="87"/>
      <c r="G362" s="87"/>
      <c r="H362" s="87"/>
      <c r="I362" s="87"/>
      <c r="J362" s="87"/>
      <c r="K362" s="87"/>
      <c r="L362" s="87"/>
      <c r="M362" s="87"/>
      <c r="N362" s="87"/>
      <c r="O362" s="87"/>
      <c r="P362" s="87"/>
      <c r="Q362" s="87"/>
      <c r="R362" s="87"/>
      <c r="S362" s="87"/>
      <c r="T362" s="87"/>
      <c r="U362" s="87"/>
      <c r="V362" s="87"/>
      <c r="W362" s="87"/>
      <c r="X362" s="87"/>
      <c r="Y362" s="87"/>
      <c r="Z362" s="87"/>
      <c r="AA362" s="87"/>
    </row>
    <row r="363">
      <c r="A363" s="90" t="s">
        <v>1252</v>
      </c>
      <c r="B363" s="90" t="s">
        <v>1253</v>
      </c>
      <c r="C363" s="87"/>
      <c r="D363" s="90" t="s">
        <v>1252</v>
      </c>
      <c r="E363" s="86" t="s">
        <v>175</v>
      </c>
      <c r="F363" s="87"/>
      <c r="G363" s="87"/>
      <c r="H363" s="87"/>
      <c r="I363" s="87"/>
      <c r="J363" s="87"/>
      <c r="K363" s="87"/>
      <c r="L363" s="87"/>
      <c r="M363" s="87"/>
      <c r="N363" s="87"/>
      <c r="O363" s="87"/>
      <c r="P363" s="87"/>
      <c r="Q363" s="87"/>
      <c r="R363" s="87"/>
      <c r="S363" s="87"/>
      <c r="T363" s="87"/>
      <c r="U363" s="87"/>
      <c r="V363" s="87"/>
      <c r="W363" s="87"/>
      <c r="X363" s="87"/>
      <c r="Y363" s="87"/>
      <c r="Z363" s="87"/>
      <c r="AA363" s="87"/>
    </row>
    <row r="364">
      <c r="A364" s="90" t="s">
        <v>1254</v>
      </c>
      <c r="B364" s="90" t="s">
        <v>1255</v>
      </c>
      <c r="C364" s="87"/>
      <c r="D364" s="90" t="s">
        <v>1254</v>
      </c>
      <c r="E364" s="86" t="s">
        <v>175</v>
      </c>
      <c r="F364" s="87"/>
      <c r="G364" s="87"/>
      <c r="H364" s="87"/>
      <c r="I364" s="87"/>
      <c r="J364" s="87"/>
      <c r="K364" s="87"/>
      <c r="L364" s="87"/>
      <c r="M364" s="87"/>
      <c r="N364" s="87"/>
      <c r="O364" s="87"/>
      <c r="P364" s="87"/>
      <c r="Q364" s="87"/>
      <c r="R364" s="87"/>
      <c r="S364" s="87"/>
      <c r="T364" s="87"/>
      <c r="U364" s="87"/>
      <c r="V364" s="87"/>
      <c r="W364" s="87"/>
      <c r="X364" s="87"/>
      <c r="Y364" s="87"/>
      <c r="Z364" s="87"/>
      <c r="AA364" s="87"/>
    </row>
    <row r="365">
      <c r="A365" s="90" t="s">
        <v>1257</v>
      </c>
      <c r="B365" s="90" t="s">
        <v>1258</v>
      </c>
      <c r="C365" s="87"/>
      <c r="D365" s="90" t="s">
        <v>1257</v>
      </c>
      <c r="E365" s="86" t="s">
        <v>175</v>
      </c>
      <c r="F365" s="87"/>
      <c r="G365" s="87"/>
      <c r="H365" s="87"/>
      <c r="I365" s="87"/>
      <c r="J365" s="87"/>
      <c r="K365" s="87"/>
      <c r="L365" s="87"/>
      <c r="M365" s="87"/>
      <c r="N365" s="87"/>
      <c r="O365" s="87"/>
      <c r="P365" s="87"/>
      <c r="Q365" s="87"/>
      <c r="R365" s="87"/>
      <c r="S365" s="87"/>
      <c r="T365" s="87"/>
      <c r="U365" s="87"/>
      <c r="V365" s="87"/>
      <c r="W365" s="87"/>
      <c r="X365" s="87"/>
      <c r="Y365" s="87"/>
      <c r="Z365" s="87"/>
      <c r="AA365" s="87"/>
    </row>
    <row r="366">
      <c r="A366" s="90" t="s">
        <v>1260</v>
      </c>
      <c r="B366" s="90" t="s">
        <v>1261</v>
      </c>
      <c r="C366" s="87"/>
      <c r="D366" s="90" t="s">
        <v>1260</v>
      </c>
      <c r="E366" s="86" t="s">
        <v>175</v>
      </c>
      <c r="F366" s="87"/>
      <c r="G366" s="87"/>
      <c r="H366" s="87"/>
      <c r="I366" s="87"/>
      <c r="J366" s="87"/>
      <c r="K366" s="87"/>
      <c r="L366" s="87"/>
      <c r="M366" s="87"/>
      <c r="N366" s="87"/>
      <c r="O366" s="87"/>
      <c r="P366" s="87"/>
      <c r="Q366" s="87"/>
      <c r="R366" s="87"/>
      <c r="S366" s="87"/>
      <c r="T366" s="87"/>
      <c r="U366" s="87"/>
      <c r="V366" s="87"/>
      <c r="W366" s="87"/>
      <c r="X366" s="87"/>
      <c r="Y366" s="87"/>
      <c r="Z366" s="87"/>
      <c r="AA366" s="87"/>
    </row>
    <row r="367">
      <c r="A367" s="90" t="s">
        <v>1262</v>
      </c>
      <c r="B367" s="90" t="s">
        <v>1263</v>
      </c>
      <c r="C367" s="87"/>
      <c r="D367" s="90" t="s">
        <v>1262</v>
      </c>
      <c r="E367" s="86" t="s">
        <v>175</v>
      </c>
      <c r="F367" s="87"/>
      <c r="G367" s="87"/>
      <c r="H367" s="87"/>
      <c r="I367" s="87"/>
      <c r="J367" s="87"/>
      <c r="K367" s="87"/>
      <c r="L367" s="87"/>
      <c r="M367" s="87"/>
      <c r="N367" s="87"/>
      <c r="O367" s="87"/>
      <c r="P367" s="87"/>
      <c r="Q367" s="87"/>
      <c r="R367" s="87"/>
      <c r="S367" s="87"/>
      <c r="T367" s="87"/>
      <c r="U367" s="87"/>
      <c r="V367" s="87"/>
      <c r="W367" s="87"/>
      <c r="X367" s="87"/>
      <c r="Y367" s="87"/>
      <c r="Z367" s="87"/>
      <c r="AA367" s="87"/>
    </row>
    <row r="368">
      <c r="A368" s="90" t="s">
        <v>1265</v>
      </c>
      <c r="B368" s="90" t="s">
        <v>1266</v>
      </c>
      <c r="C368" s="87"/>
      <c r="D368" s="90" t="s">
        <v>1265</v>
      </c>
      <c r="E368" s="86" t="s">
        <v>175</v>
      </c>
      <c r="F368" s="87"/>
      <c r="G368" s="87"/>
      <c r="H368" s="87"/>
      <c r="I368" s="87"/>
      <c r="J368" s="87"/>
      <c r="K368" s="87"/>
      <c r="L368" s="87"/>
      <c r="M368" s="87"/>
      <c r="N368" s="87"/>
      <c r="O368" s="87"/>
      <c r="P368" s="87"/>
      <c r="Q368" s="87"/>
      <c r="R368" s="87"/>
      <c r="S368" s="87"/>
      <c r="T368" s="87"/>
      <c r="U368" s="87"/>
      <c r="V368" s="87"/>
      <c r="W368" s="87"/>
      <c r="X368" s="87"/>
      <c r="Y368" s="87"/>
      <c r="Z368" s="87"/>
      <c r="AA368" s="87"/>
    </row>
    <row r="369">
      <c r="A369" s="90" t="s">
        <v>1269</v>
      </c>
      <c r="B369" s="90" t="s">
        <v>1270</v>
      </c>
      <c r="C369" s="87"/>
      <c r="D369" s="90" t="s">
        <v>1269</v>
      </c>
      <c r="E369" s="86" t="s">
        <v>175</v>
      </c>
      <c r="F369" s="87"/>
      <c r="G369" s="87"/>
      <c r="H369" s="87"/>
      <c r="I369" s="87"/>
      <c r="J369" s="87"/>
      <c r="K369" s="87"/>
      <c r="L369" s="87"/>
      <c r="M369" s="87"/>
      <c r="N369" s="87"/>
      <c r="O369" s="87"/>
      <c r="P369" s="87"/>
      <c r="Q369" s="87"/>
      <c r="R369" s="87"/>
      <c r="S369" s="87"/>
      <c r="T369" s="87"/>
      <c r="U369" s="87"/>
      <c r="V369" s="87"/>
      <c r="W369" s="87"/>
      <c r="X369" s="87"/>
      <c r="Y369" s="87"/>
      <c r="Z369" s="87"/>
      <c r="AA369" s="87"/>
    </row>
    <row r="370">
      <c r="A370" s="90" t="s">
        <v>1272</v>
      </c>
      <c r="B370" s="90" t="s">
        <v>1273</v>
      </c>
      <c r="C370" s="87"/>
      <c r="D370" s="90" t="s">
        <v>1272</v>
      </c>
      <c r="E370" s="86" t="s">
        <v>175</v>
      </c>
      <c r="F370" s="87"/>
      <c r="G370" s="87"/>
      <c r="H370" s="87"/>
      <c r="I370" s="87"/>
      <c r="J370" s="87"/>
      <c r="K370" s="87"/>
      <c r="L370" s="87"/>
      <c r="M370" s="87"/>
      <c r="N370" s="87"/>
      <c r="O370" s="87"/>
      <c r="P370" s="87"/>
      <c r="Q370" s="87"/>
      <c r="R370" s="87"/>
      <c r="S370" s="87"/>
      <c r="T370" s="87"/>
      <c r="U370" s="87"/>
      <c r="V370" s="87"/>
      <c r="W370" s="87"/>
      <c r="X370" s="87"/>
      <c r="Y370" s="87"/>
      <c r="Z370" s="87"/>
      <c r="AA370" s="87"/>
    </row>
    <row r="371">
      <c r="A371" s="90" t="s">
        <v>1274</v>
      </c>
      <c r="B371" s="90" t="s">
        <v>1275</v>
      </c>
      <c r="C371" s="87"/>
      <c r="D371" s="90" t="s">
        <v>1274</v>
      </c>
      <c r="E371" s="86" t="s">
        <v>175</v>
      </c>
      <c r="F371" s="87"/>
      <c r="G371" s="87"/>
      <c r="H371" s="87"/>
      <c r="I371" s="87"/>
      <c r="J371" s="87"/>
      <c r="K371" s="87"/>
      <c r="L371" s="87"/>
      <c r="M371" s="87"/>
      <c r="N371" s="87"/>
      <c r="O371" s="87"/>
      <c r="P371" s="87"/>
      <c r="Q371" s="87"/>
      <c r="R371" s="87"/>
      <c r="S371" s="87"/>
      <c r="T371" s="87"/>
      <c r="U371" s="87"/>
      <c r="V371" s="87"/>
      <c r="W371" s="87"/>
      <c r="X371" s="87"/>
      <c r="Y371" s="87"/>
      <c r="Z371" s="87"/>
      <c r="AA371" s="87"/>
    </row>
    <row r="372">
      <c r="A372" s="90" t="s">
        <v>1276</v>
      </c>
      <c r="B372" s="90" t="s">
        <v>1277</v>
      </c>
      <c r="C372" s="87"/>
      <c r="D372" s="90" t="s">
        <v>1276</v>
      </c>
      <c r="E372" s="86" t="s">
        <v>175</v>
      </c>
      <c r="F372" s="87"/>
      <c r="G372" s="87"/>
      <c r="H372" s="87"/>
      <c r="I372" s="87"/>
      <c r="J372" s="87"/>
      <c r="K372" s="87"/>
      <c r="L372" s="87"/>
      <c r="M372" s="87"/>
      <c r="N372" s="87"/>
      <c r="O372" s="87"/>
      <c r="P372" s="87"/>
      <c r="Q372" s="87"/>
      <c r="R372" s="87"/>
      <c r="S372" s="87"/>
      <c r="T372" s="87"/>
      <c r="U372" s="87"/>
      <c r="V372" s="87"/>
      <c r="W372" s="87"/>
      <c r="X372" s="87"/>
      <c r="Y372" s="87"/>
      <c r="Z372" s="87"/>
      <c r="AA372" s="87"/>
    </row>
    <row r="373">
      <c r="A373" s="90" t="s">
        <v>1280</v>
      </c>
      <c r="B373" s="90" t="s">
        <v>1281</v>
      </c>
      <c r="C373" s="87"/>
      <c r="D373" s="90" t="s">
        <v>1280</v>
      </c>
      <c r="E373" s="86" t="s">
        <v>175</v>
      </c>
      <c r="F373" s="87"/>
      <c r="G373" s="87"/>
      <c r="H373" s="87"/>
      <c r="I373" s="87"/>
      <c r="J373" s="87"/>
      <c r="K373" s="87"/>
      <c r="L373" s="87"/>
      <c r="M373" s="87"/>
      <c r="N373" s="87"/>
      <c r="O373" s="87"/>
      <c r="P373" s="87"/>
      <c r="Q373" s="87"/>
      <c r="R373" s="87"/>
      <c r="S373" s="87"/>
      <c r="T373" s="87"/>
      <c r="U373" s="87"/>
      <c r="V373" s="87"/>
      <c r="W373" s="87"/>
      <c r="X373" s="87"/>
      <c r="Y373" s="87"/>
      <c r="Z373" s="87"/>
      <c r="AA373" s="87"/>
    </row>
    <row r="374">
      <c r="A374" s="90" t="s">
        <v>1283</v>
      </c>
      <c r="B374" s="90" t="s">
        <v>1284</v>
      </c>
      <c r="C374" s="87"/>
      <c r="D374" s="90" t="s">
        <v>1283</v>
      </c>
      <c r="E374" s="86" t="s">
        <v>175</v>
      </c>
      <c r="F374" s="87"/>
      <c r="G374" s="87"/>
      <c r="H374" s="87"/>
      <c r="I374" s="87"/>
      <c r="J374" s="87"/>
      <c r="K374" s="87"/>
      <c r="L374" s="87"/>
      <c r="M374" s="87"/>
      <c r="N374" s="87"/>
      <c r="O374" s="87"/>
      <c r="P374" s="87"/>
      <c r="Q374" s="87"/>
      <c r="R374" s="87"/>
      <c r="S374" s="87"/>
      <c r="T374" s="87"/>
      <c r="U374" s="87"/>
      <c r="V374" s="87"/>
      <c r="W374" s="87"/>
      <c r="X374" s="87"/>
      <c r="Y374" s="87"/>
      <c r="Z374" s="87"/>
      <c r="AA374" s="87"/>
    </row>
    <row r="375">
      <c r="A375" s="90" t="s">
        <v>1286</v>
      </c>
      <c r="B375" s="90" t="s">
        <v>1287</v>
      </c>
      <c r="C375" s="87"/>
      <c r="D375" s="90" t="s">
        <v>1286</v>
      </c>
      <c r="E375" s="86" t="s">
        <v>175</v>
      </c>
      <c r="F375" s="87"/>
      <c r="G375" s="87"/>
      <c r="H375" s="87"/>
      <c r="I375" s="87"/>
      <c r="J375" s="87"/>
      <c r="K375" s="87"/>
      <c r="L375" s="87"/>
      <c r="M375" s="87"/>
      <c r="N375" s="87"/>
      <c r="O375" s="87"/>
      <c r="P375" s="87"/>
      <c r="Q375" s="87"/>
      <c r="R375" s="87"/>
      <c r="S375" s="87"/>
      <c r="T375" s="87"/>
      <c r="U375" s="87"/>
      <c r="V375" s="87"/>
      <c r="W375" s="87"/>
      <c r="X375" s="87"/>
      <c r="Y375" s="87"/>
      <c r="Z375" s="87"/>
      <c r="AA375" s="87"/>
    </row>
    <row r="376">
      <c r="A376" s="90" t="s">
        <v>1288</v>
      </c>
      <c r="B376" s="90" t="s">
        <v>1289</v>
      </c>
      <c r="C376" s="87"/>
      <c r="D376" s="90" t="s">
        <v>1288</v>
      </c>
      <c r="E376" s="86" t="s">
        <v>175</v>
      </c>
      <c r="F376" s="87"/>
      <c r="G376" s="87"/>
      <c r="H376" s="87"/>
      <c r="I376" s="87"/>
      <c r="J376" s="87"/>
      <c r="K376" s="87"/>
      <c r="L376" s="87"/>
      <c r="M376" s="87"/>
      <c r="N376" s="87"/>
      <c r="O376" s="87"/>
      <c r="P376" s="87"/>
      <c r="Q376" s="87"/>
      <c r="R376" s="87"/>
      <c r="S376" s="87"/>
      <c r="T376" s="87"/>
      <c r="U376" s="87"/>
      <c r="V376" s="87"/>
      <c r="W376" s="87"/>
      <c r="X376" s="87"/>
      <c r="Y376" s="87"/>
      <c r="Z376" s="87"/>
      <c r="AA376" s="87"/>
    </row>
    <row r="377">
      <c r="A377" s="90" t="s">
        <v>1290</v>
      </c>
      <c r="B377" s="90" t="s">
        <v>1291</v>
      </c>
      <c r="C377" s="87"/>
      <c r="D377" s="90" t="s">
        <v>1290</v>
      </c>
      <c r="E377" s="86" t="s">
        <v>175</v>
      </c>
      <c r="F377" s="87"/>
      <c r="G377" s="87"/>
      <c r="H377" s="87"/>
      <c r="I377" s="87"/>
      <c r="J377" s="87"/>
      <c r="K377" s="87"/>
      <c r="L377" s="87"/>
      <c r="M377" s="87"/>
      <c r="N377" s="87"/>
      <c r="O377" s="87"/>
      <c r="P377" s="87"/>
      <c r="Q377" s="87"/>
      <c r="R377" s="87"/>
      <c r="S377" s="87"/>
      <c r="T377" s="87"/>
      <c r="U377" s="87"/>
      <c r="V377" s="87"/>
      <c r="W377" s="87"/>
      <c r="X377" s="87"/>
      <c r="Y377" s="87"/>
      <c r="Z377" s="87"/>
      <c r="AA377" s="87"/>
    </row>
    <row r="378">
      <c r="A378" s="90" t="s">
        <v>1292</v>
      </c>
      <c r="B378" s="90" t="s">
        <v>1293</v>
      </c>
      <c r="C378" s="87"/>
      <c r="D378" s="90" t="s">
        <v>1292</v>
      </c>
      <c r="E378" s="86" t="s">
        <v>175</v>
      </c>
      <c r="F378" s="87"/>
      <c r="G378" s="87"/>
      <c r="H378" s="87"/>
      <c r="I378" s="87"/>
      <c r="J378" s="87"/>
      <c r="K378" s="87"/>
      <c r="L378" s="87"/>
      <c r="M378" s="87"/>
      <c r="N378" s="87"/>
      <c r="O378" s="87"/>
      <c r="P378" s="87"/>
      <c r="Q378" s="87"/>
      <c r="R378" s="87"/>
      <c r="S378" s="87"/>
      <c r="T378" s="87"/>
      <c r="U378" s="87"/>
      <c r="V378" s="87"/>
      <c r="W378" s="87"/>
      <c r="X378" s="87"/>
      <c r="Y378" s="87"/>
      <c r="Z378" s="87"/>
      <c r="AA378" s="87"/>
    </row>
    <row r="379">
      <c r="A379" s="90" t="s">
        <v>1295</v>
      </c>
      <c r="B379" s="90" t="s">
        <v>1296</v>
      </c>
      <c r="C379" s="87"/>
      <c r="D379" s="90" t="s">
        <v>1295</v>
      </c>
      <c r="E379" s="86" t="s">
        <v>175</v>
      </c>
      <c r="F379" s="87"/>
      <c r="G379" s="87"/>
      <c r="H379" s="87"/>
      <c r="I379" s="87"/>
      <c r="J379" s="87"/>
      <c r="K379" s="87"/>
      <c r="L379" s="87"/>
      <c r="M379" s="87"/>
      <c r="N379" s="87"/>
      <c r="O379" s="87"/>
      <c r="P379" s="87"/>
      <c r="Q379" s="87"/>
      <c r="R379" s="87"/>
      <c r="S379" s="87"/>
      <c r="T379" s="87"/>
      <c r="U379" s="87"/>
      <c r="V379" s="87"/>
      <c r="W379" s="87"/>
      <c r="X379" s="87"/>
      <c r="Y379" s="87"/>
      <c r="Z379" s="87"/>
      <c r="AA379" s="87"/>
    </row>
    <row r="380">
      <c r="A380" s="90" t="s">
        <v>1297</v>
      </c>
      <c r="B380" s="90" t="s">
        <v>1298</v>
      </c>
      <c r="C380" s="87"/>
      <c r="D380" s="90" t="s">
        <v>1297</v>
      </c>
      <c r="E380" s="86" t="s">
        <v>175</v>
      </c>
      <c r="F380" s="87"/>
      <c r="G380" s="87"/>
      <c r="H380" s="87"/>
      <c r="I380" s="87"/>
      <c r="J380" s="87"/>
      <c r="K380" s="87"/>
      <c r="L380" s="87"/>
      <c r="M380" s="87"/>
      <c r="N380" s="87"/>
      <c r="O380" s="87"/>
      <c r="P380" s="87"/>
      <c r="Q380" s="87"/>
      <c r="R380" s="87"/>
      <c r="S380" s="87"/>
      <c r="T380" s="87"/>
      <c r="U380" s="87"/>
      <c r="V380" s="87"/>
      <c r="W380" s="87"/>
      <c r="X380" s="87"/>
      <c r="Y380" s="87"/>
      <c r="Z380" s="87"/>
      <c r="AA380" s="87"/>
    </row>
    <row r="381">
      <c r="A381" s="90" t="s">
        <v>1299</v>
      </c>
      <c r="B381" s="90" t="s">
        <v>1300</v>
      </c>
      <c r="C381" s="87"/>
      <c r="D381" s="90" t="s">
        <v>1299</v>
      </c>
      <c r="E381" s="86" t="s">
        <v>175</v>
      </c>
      <c r="F381" s="87"/>
      <c r="G381" s="87"/>
      <c r="H381" s="87"/>
      <c r="I381" s="87"/>
      <c r="J381" s="87"/>
      <c r="K381" s="87"/>
      <c r="L381" s="87"/>
      <c r="M381" s="87"/>
      <c r="N381" s="87"/>
      <c r="O381" s="87"/>
      <c r="P381" s="87"/>
      <c r="Q381" s="87"/>
      <c r="R381" s="87"/>
      <c r="S381" s="87"/>
      <c r="T381" s="87"/>
      <c r="U381" s="87"/>
      <c r="V381" s="87"/>
      <c r="W381" s="87"/>
      <c r="X381" s="87"/>
      <c r="Y381" s="87"/>
      <c r="Z381" s="87"/>
      <c r="AA381" s="87"/>
    </row>
    <row r="382">
      <c r="A382" s="90" t="s">
        <v>1302</v>
      </c>
      <c r="B382" s="90" t="s">
        <v>1303</v>
      </c>
      <c r="C382" s="87"/>
      <c r="D382" s="90" t="s">
        <v>1302</v>
      </c>
      <c r="E382" s="86" t="s">
        <v>175</v>
      </c>
      <c r="F382" s="87"/>
      <c r="G382" s="87"/>
      <c r="H382" s="87"/>
      <c r="I382" s="87"/>
      <c r="J382" s="87"/>
      <c r="K382" s="87"/>
      <c r="L382" s="87"/>
      <c r="M382" s="87"/>
      <c r="N382" s="87"/>
      <c r="O382" s="87"/>
      <c r="P382" s="87"/>
      <c r="Q382" s="87"/>
      <c r="R382" s="87"/>
      <c r="S382" s="87"/>
      <c r="T382" s="87"/>
      <c r="U382" s="87"/>
      <c r="V382" s="87"/>
      <c r="W382" s="87"/>
      <c r="X382" s="87"/>
      <c r="Y382" s="87"/>
      <c r="Z382" s="87"/>
      <c r="AA382" s="87"/>
    </row>
    <row r="383">
      <c r="A383" s="90" t="s">
        <v>1304</v>
      </c>
      <c r="B383" s="90" t="s">
        <v>1305</v>
      </c>
      <c r="C383" s="87"/>
      <c r="D383" s="90" t="s">
        <v>1304</v>
      </c>
      <c r="E383" s="86" t="s">
        <v>175</v>
      </c>
      <c r="F383" s="87"/>
      <c r="G383" s="87"/>
      <c r="H383" s="87"/>
      <c r="I383" s="87"/>
      <c r="J383" s="87"/>
      <c r="K383" s="87"/>
      <c r="L383" s="87"/>
      <c r="M383" s="87"/>
      <c r="N383" s="87"/>
      <c r="O383" s="87"/>
      <c r="P383" s="87"/>
      <c r="Q383" s="87"/>
      <c r="R383" s="87"/>
      <c r="S383" s="87"/>
      <c r="T383" s="87"/>
      <c r="U383" s="87"/>
      <c r="V383" s="87"/>
      <c r="W383" s="87"/>
      <c r="X383" s="87"/>
      <c r="Y383" s="87"/>
      <c r="Z383" s="87"/>
      <c r="AA383" s="87"/>
    </row>
    <row r="384">
      <c r="A384" s="90" t="s">
        <v>1306</v>
      </c>
      <c r="B384" s="90" t="s">
        <v>1307</v>
      </c>
      <c r="C384" s="87"/>
      <c r="D384" s="90" t="s">
        <v>1306</v>
      </c>
      <c r="E384" s="86" t="s">
        <v>175</v>
      </c>
      <c r="F384" s="87"/>
      <c r="G384" s="87"/>
      <c r="H384" s="87"/>
      <c r="I384" s="87"/>
      <c r="J384" s="87"/>
      <c r="K384" s="87"/>
      <c r="L384" s="87"/>
      <c r="M384" s="87"/>
      <c r="N384" s="87"/>
      <c r="O384" s="87"/>
      <c r="P384" s="87"/>
      <c r="Q384" s="87"/>
      <c r="R384" s="87"/>
      <c r="S384" s="87"/>
      <c r="T384" s="87"/>
      <c r="U384" s="87"/>
      <c r="V384" s="87"/>
      <c r="W384" s="87"/>
      <c r="X384" s="87"/>
      <c r="Y384" s="87"/>
      <c r="Z384" s="87"/>
      <c r="AA384" s="87"/>
    </row>
    <row r="385">
      <c r="A385" s="90" t="s">
        <v>1309</v>
      </c>
      <c r="B385" s="90" t="s">
        <v>1310</v>
      </c>
      <c r="C385" s="87"/>
      <c r="D385" s="90" t="s">
        <v>1309</v>
      </c>
      <c r="E385" s="86" t="s">
        <v>175</v>
      </c>
      <c r="F385" s="87"/>
      <c r="G385" s="87"/>
      <c r="H385" s="87"/>
      <c r="I385" s="87"/>
      <c r="J385" s="87"/>
      <c r="K385" s="87"/>
      <c r="L385" s="87"/>
      <c r="M385" s="87"/>
      <c r="N385" s="87"/>
      <c r="O385" s="87"/>
      <c r="P385" s="87"/>
      <c r="Q385" s="87"/>
      <c r="R385" s="87"/>
      <c r="S385" s="87"/>
      <c r="T385" s="87"/>
      <c r="U385" s="87"/>
      <c r="V385" s="87"/>
      <c r="W385" s="87"/>
      <c r="X385" s="87"/>
      <c r="Y385" s="87"/>
      <c r="Z385" s="87"/>
      <c r="AA385" s="87"/>
    </row>
    <row r="386">
      <c r="A386" s="90" t="s">
        <v>1313</v>
      </c>
      <c r="B386" s="90" t="s">
        <v>1314</v>
      </c>
      <c r="C386" s="87"/>
      <c r="D386" s="90" t="s">
        <v>1313</v>
      </c>
      <c r="E386" s="86" t="s">
        <v>175</v>
      </c>
      <c r="F386" s="87"/>
      <c r="G386" s="87"/>
      <c r="H386" s="87"/>
      <c r="I386" s="87"/>
      <c r="J386" s="87"/>
      <c r="K386" s="87"/>
      <c r="L386" s="87"/>
      <c r="M386" s="87"/>
      <c r="N386" s="87"/>
      <c r="O386" s="87"/>
      <c r="P386" s="87"/>
      <c r="Q386" s="87"/>
      <c r="R386" s="87"/>
      <c r="S386" s="87"/>
      <c r="T386" s="87"/>
      <c r="U386" s="87"/>
      <c r="V386" s="87"/>
      <c r="W386" s="87"/>
      <c r="X386" s="87"/>
      <c r="Y386" s="87"/>
      <c r="Z386" s="87"/>
      <c r="AA386" s="87"/>
    </row>
    <row r="387">
      <c r="A387" s="90" t="s">
        <v>1315</v>
      </c>
      <c r="B387" s="90" t="s">
        <v>1316</v>
      </c>
      <c r="C387" s="87"/>
      <c r="D387" s="90" t="s">
        <v>1315</v>
      </c>
      <c r="E387" s="86" t="s">
        <v>175</v>
      </c>
      <c r="F387" s="87"/>
      <c r="G387" s="87"/>
      <c r="H387" s="87"/>
      <c r="I387" s="87"/>
      <c r="J387" s="87"/>
      <c r="K387" s="87"/>
      <c r="L387" s="87"/>
      <c r="M387" s="87"/>
      <c r="N387" s="87"/>
      <c r="O387" s="87"/>
      <c r="P387" s="87"/>
      <c r="Q387" s="87"/>
      <c r="R387" s="87"/>
      <c r="S387" s="87"/>
      <c r="T387" s="87"/>
      <c r="U387" s="87"/>
      <c r="V387" s="87"/>
      <c r="W387" s="87"/>
      <c r="X387" s="87"/>
      <c r="Y387" s="87"/>
      <c r="Z387" s="87"/>
      <c r="AA387" s="87"/>
    </row>
    <row r="388">
      <c r="A388" s="90" t="s">
        <v>1318</v>
      </c>
      <c r="B388" s="90" t="s">
        <v>1319</v>
      </c>
      <c r="C388" s="87"/>
      <c r="D388" s="90" t="s">
        <v>1318</v>
      </c>
      <c r="E388" s="86" t="s">
        <v>175</v>
      </c>
      <c r="F388" s="87"/>
      <c r="G388" s="87"/>
      <c r="H388" s="87"/>
      <c r="I388" s="87"/>
      <c r="J388" s="87"/>
      <c r="K388" s="87"/>
      <c r="L388" s="87"/>
      <c r="M388" s="87"/>
      <c r="N388" s="87"/>
      <c r="O388" s="87"/>
      <c r="P388" s="87"/>
      <c r="Q388" s="87"/>
      <c r="R388" s="87"/>
      <c r="S388" s="87"/>
      <c r="T388" s="87"/>
      <c r="U388" s="87"/>
      <c r="V388" s="87"/>
      <c r="W388" s="87"/>
      <c r="X388" s="87"/>
      <c r="Y388" s="87"/>
      <c r="Z388" s="87"/>
      <c r="AA388" s="87"/>
    </row>
    <row r="389">
      <c r="A389" s="90" t="s">
        <v>1320</v>
      </c>
      <c r="B389" s="90" t="s">
        <v>1321</v>
      </c>
      <c r="C389" s="87"/>
      <c r="D389" s="90" t="s">
        <v>1320</v>
      </c>
      <c r="E389" s="86" t="s">
        <v>175</v>
      </c>
      <c r="F389" s="87"/>
      <c r="G389" s="87"/>
      <c r="H389" s="87"/>
      <c r="I389" s="87"/>
      <c r="J389" s="87"/>
      <c r="K389" s="87"/>
      <c r="L389" s="87"/>
      <c r="M389" s="87"/>
      <c r="N389" s="87"/>
      <c r="O389" s="87"/>
      <c r="P389" s="87"/>
      <c r="Q389" s="87"/>
      <c r="R389" s="87"/>
      <c r="S389" s="87"/>
      <c r="T389" s="87"/>
      <c r="U389" s="87"/>
      <c r="V389" s="87"/>
      <c r="W389" s="87"/>
      <c r="X389" s="87"/>
      <c r="Y389" s="87"/>
      <c r="Z389" s="87"/>
      <c r="AA389" s="87"/>
    </row>
    <row r="390">
      <c r="A390" s="90" t="s">
        <v>1323</v>
      </c>
      <c r="B390" s="90" t="s">
        <v>1324</v>
      </c>
      <c r="C390" s="87"/>
      <c r="D390" s="90" t="s">
        <v>1323</v>
      </c>
      <c r="E390" s="86" t="s">
        <v>175</v>
      </c>
      <c r="F390" s="87"/>
      <c r="G390" s="87"/>
      <c r="H390" s="87"/>
      <c r="I390" s="87"/>
      <c r="J390" s="87"/>
      <c r="K390" s="87"/>
      <c r="L390" s="87"/>
      <c r="M390" s="87"/>
      <c r="N390" s="87"/>
      <c r="O390" s="87"/>
      <c r="P390" s="87"/>
      <c r="Q390" s="87"/>
      <c r="R390" s="87"/>
      <c r="S390" s="87"/>
      <c r="T390" s="87"/>
      <c r="U390" s="87"/>
      <c r="V390" s="87"/>
      <c r="W390" s="87"/>
      <c r="X390" s="87"/>
      <c r="Y390" s="87"/>
      <c r="Z390" s="87"/>
      <c r="AA390" s="87"/>
    </row>
    <row r="391">
      <c r="A391" s="90" t="s">
        <v>1325</v>
      </c>
      <c r="B391" s="90" t="s">
        <v>1327</v>
      </c>
      <c r="C391" s="87"/>
      <c r="D391" s="90" t="s">
        <v>1325</v>
      </c>
      <c r="E391" s="86" t="s">
        <v>175</v>
      </c>
      <c r="F391" s="87"/>
      <c r="G391" s="87"/>
      <c r="H391" s="87"/>
      <c r="I391" s="87"/>
      <c r="J391" s="87"/>
      <c r="K391" s="87"/>
      <c r="L391" s="87"/>
      <c r="M391" s="87"/>
      <c r="N391" s="87"/>
      <c r="O391" s="87"/>
      <c r="P391" s="87"/>
      <c r="Q391" s="87"/>
      <c r="R391" s="87"/>
      <c r="S391" s="87"/>
      <c r="T391" s="87"/>
      <c r="U391" s="87"/>
      <c r="V391" s="87"/>
      <c r="W391" s="87"/>
      <c r="X391" s="87"/>
      <c r="Y391" s="87"/>
      <c r="Z391" s="87"/>
      <c r="AA391" s="87"/>
    </row>
    <row r="392">
      <c r="A392" s="90" t="s">
        <v>1329</v>
      </c>
      <c r="B392" s="90" t="s">
        <v>1330</v>
      </c>
      <c r="C392" s="87"/>
      <c r="D392" s="90" t="s">
        <v>1329</v>
      </c>
      <c r="E392" s="86" t="s">
        <v>175</v>
      </c>
      <c r="F392" s="87"/>
      <c r="G392" s="87"/>
      <c r="H392" s="87"/>
      <c r="I392" s="87"/>
      <c r="J392" s="87"/>
      <c r="K392" s="87"/>
      <c r="L392" s="87"/>
      <c r="M392" s="87"/>
      <c r="N392" s="87"/>
      <c r="O392" s="87"/>
      <c r="P392" s="87"/>
      <c r="Q392" s="87"/>
      <c r="R392" s="87"/>
      <c r="S392" s="87"/>
      <c r="T392" s="87"/>
      <c r="U392" s="87"/>
      <c r="V392" s="87"/>
      <c r="W392" s="87"/>
      <c r="X392" s="87"/>
      <c r="Y392" s="87"/>
      <c r="Z392" s="87"/>
      <c r="AA392" s="87"/>
    </row>
    <row r="393">
      <c r="A393" s="90" t="s">
        <v>1331</v>
      </c>
      <c r="B393" s="90" t="s">
        <v>1332</v>
      </c>
      <c r="C393" s="87"/>
      <c r="D393" s="90" t="s">
        <v>1331</v>
      </c>
      <c r="E393" s="86" t="s">
        <v>175</v>
      </c>
      <c r="F393" s="87"/>
      <c r="G393" s="87"/>
      <c r="H393" s="87"/>
      <c r="I393" s="87"/>
      <c r="J393" s="87"/>
      <c r="K393" s="87"/>
      <c r="L393" s="87"/>
      <c r="M393" s="87"/>
      <c r="N393" s="87"/>
      <c r="O393" s="87"/>
      <c r="P393" s="87"/>
      <c r="Q393" s="87"/>
      <c r="R393" s="87"/>
      <c r="S393" s="87"/>
      <c r="T393" s="87"/>
      <c r="U393" s="87"/>
      <c r="V393" s="87"/>
      <c r="W393" s="87"/>
      <c r="X393" s="87"/>
      <c r="Y393" s="87"/>
      <c r="Z393" s="87"/>
      <c r="AA393" s="87"/>
    </row>
    <row r="394">
      <c r="A394" s="90" t="s">
        <v>1333</v>
      </c>
      <c r="B394" s="90" t="s">
        <v>1334</v>
      </c>
      <c r="C394" s="87"/>
      <c r="D394" s="90" t="s">
        <v>1333</v>
      </c>
      <c r="E394" s="86" t="s">
        <v>175</v>
      </c>
      <c r="F394" s="87"/>
      <c r="G394" s="87"/>
      <c r="H394" s="87"/>
      <c r="I394" s="87"/>
      <c r="J394" s="87"/>
      <c r="K394" s="87"/>
      <c r="L394" s="87"/>
      <c r="M394" s="87"/>
      <c r="N394" s="87"/>
      <c r="O394" s="87"/>
      <c r="P394" s="87"/>
      <c r="Q394" s="87"/>
      <c r="R394" s="87"/>
      <c r="S394" s="87"/>
      <c r="T394" s="87"/>
      <c r="U394" s="87"/>
      <c r="V394" s="87"/>
      <c r="W394" s="87"/>
      <c r="X394" s="87"/>
      <c r="Y394" s="87"/>
      <c r="Z394" s="87"/>
      <c r="AA394" s="87"/>
    </row>
    <row r="395">
      <c r="A395" s="90" t="s">
        <v>1338</v>
      </c>
      <c r="B395" s="90" t="s">
        <v>1339</v>
      </c>
      <c r="C395" s="87"/>
      <c r="D395" s="90" t="s">
        <v>1338</v>
      </c>
      <c r="E395" s="86" t="s">
        <v>175</v>
      </c>
      <c r="F395" s="87"/>
      <c r="G395" s="87"/>
      <c r="H395" s="87"/>
      <c r="I395" s="87"/>
      <c r="J395" s="87"/>
      <c r="K395" s="87"/>
      <c r="L395" s="87"/>
      <c r="M395" s="87"/>
      <c r="N395" s="87"/>
      <c r="O395" s="87"/>
      <c r="P395" s="87"/>
      <c r="Q395" s="87"/>
      <c r="R395" s="87"/>
      <c r="S395" s="87"/>
      <c r="T395" s="87"/>
      <c r="U395" s="87"/>
      <c r="V395" s="87"/>
      <c r="W395" s="87"/>
      <c r="X395" s="87"/>
      <c r="Y395" s="87"/>
      <c r="Z395" s="87"/>
      <c r="AA395" s="87"/>
    </row>
    <row r="396">
      <c r="A396" s="90" t="s">
        <v>1341</v>
      </c>
      <c r="B396" s="90" t="s">
        <v>1342</v>
      </c>
      <c r="C396" s="87"/>
      <c r="D396" s="90" t="s">
        <v>1341</v>
      </c>
      <c r="E396" s="86" t="s">
        <v>175</v>
      </c>
      <c r="F396" s="87"/>
      <c r="G396" s="87"/>
      <c r="H396" s="87"/>
      <c r="I396" s="87"/>
      <c r="J396" s="87"/>
      <c r="K396" s="87"/>
      <c r="L396" s="87"/>
      <c r="M396" s="87"/>
      <c r="N396" s="87"/>
      <c r="O396" s="87"/>
      <c r="P396" s="87"/>
      <c r="Q396" s="87"/>
      <c r="R396" s="87"/>
      <c r="S396" s="87"/>
      <c r="T396" s="87"/>
      <c r="U396" s="87"/>
      <c r="V396" s="87"/>
      <c r="W396" s="87"/>
      <c r="X396" s="87"/>
      <c r="Y396" s="87"/>
      <c r="Z396" s="87"/>
      <c r="AA396" s="87"/>
    </row>
    <row r="397">
      <c r="A397" s="90" t="s">
        <v>1343</v>
      </c>
      <c r="B397" s="90" t="s">
        <v>1344</v>
      </c>
      <c r="C397" s="87"/>
      <c r="D397" s="90" t="s">
        <v>1343</v>
      </c>
      <c r="E397" s="86" t="s">
        <v>175</v>
      </c>
      <c r="F397" s="87"/>
      <c r="G397" s="87"/>
      <c r="H397" s="87"/>
      <c r="I397" s="87"/>
      <c r="J397" s="87"/>
      <c r="K397" s="87"/>
      <c r="L397" s="87"/>
      <c r="M397" s="87"/>
      <c r="N397" s="87"/>
      <c r="O397" s="87"/>
      <c r="P397" s="87"/>
      <c r="Q397" s="87"/>
      <c r="R397" s="87"/>
      <c r="S397" s="87"/>
      <c r="T397" s="87"/>
      <c r="U397" s="87"/>
      <c r="V397" s="87"/>
      <c r="W397" s="87"/>
      <c r="X397" s="87"/>
      <c r="Y397" s="87"/>
      <c r="Z397" s="87"/>
      <c r="AA397" s="87"/>
    </row>
    <row r="398">
      <c r="A398" s="90" t="s">
        <v>1345</v>
      </c>
      <c r="B398" s="90" t="s">
        <v>1346</v>
      </c>
      <c r="C398" s="87"/>
      <c r="D398" s="90" t="s">
        <v>1345</v>
      </c>
      <c r="E398" s="86" t="s">
        <v>175</v>
      </c>
      <c r="F398" s="87"/>
      <c r="G398" s="87"/>
      <c r="H398" s="87"/>
      <c r="I398" s="87"/>
      <c r="J398" s="87"/>
      <c r="K398" s="87"/>
      <c r="L398" s="87"/>
      <c r="M398" s="87"/>
      <c r="N398" s="87"/>
      <c r="O398" s="87"/>
      <c r="P398" s="87"/>
      <c r="Q398" s="87"/>
      <c r="R398" s="87"/>
      <c r="S398" s="87"/>
      <c r="T398" s="87"/>
      <c r="U398" s="87"/>
      <c r="V398" s="87"/>
      <c r="W398" s="87"/>
      <c r="X398" s="87"/>
      <c r="Y398" s="87"/>
      <c r="Z398" s="87"/>
      <c r="AA398" s="87"/>
    </row>
    <row r="399">
      <c r="A399" s="90" t="s">
        <v>1347</v>
      </c>
      <c r="B399" s="90" t="s">
        <v>1348</v>
      </c>
      <c r="C399" s="87"/>
      <c r="D399" s="90" t="s">
        <v>1347</v>
      </c>
      <c r="E399" s="86" t="s">
        <v>175</v>
      </c>
      <c r="F399" s="87"/>
      <c r="G399" s="87"/>
      <c r="H399" s="87"/>
      <c r="I399" s="87"/>
      <c r="J399" s="87"/>
      <c r="K399" s="87"/>
      <c r="L399" s="87"/>
      <c r="M399" s="87"/>
      <c r="N399" s="87"/>
      <c r="O399" s="87"/>
      <c r="P399" s="87"/>
      <c r="Q399" s="87"/>
      <c r="R399" s="87"/>
      <c r="S399" s="87"/>
      <c r="T399" s="87"/>
      <c r="U399" s="87"/>
      <c r="V399" s="87"/>
      <c r="W399" s="87"/>
      <c r="X399" s="87"/>
      <c r="Y399" s="87"/>
      <c r="Z399" s="87"/>
      <c r="AA399" s="87"/>
    </row>
    <row r="400">
      <c r="A400" s="90" t="s">
        <v>1350</v>
      </c>
      <c r="B400" s="90" t="s">
        <v>1352</v>
      </c>
      <c r="C400" s="87"/>
      <c r="D400" s="90" t="s">
        <v>1350</v>
      </c>
      <c r="E400" s="86" t="s">
        <v>175</v>
      </c>
      <c r="F400" s="87"/>
      <c r="G400" s="87"/>
      <c r="H400" s="87"/>
      <c r="I400" s="87"/>
      <c r="J400" s="87"/>
      <c r="K400" s="87"/>
      <c r="L400" s="87"/>
      <c r="M400" s="87"/>
      <c r="N400" s="87"/>
      <c r="O400" s="87"/>
      <c r="P400" s="87"/>
      <c r="Q400" s="87"/>
      <c r="R400" s="87"/>
      <c r="S400" s="87"/>
      <c r="T400" s="87"/>
      <c r="U400" s="87"/>
      <c r="V400" s="87"/>
      <c r="W400" s="87"/>
      <c r="X400" s="87"/>
      <c r="Y400" s="87"/>
      <c r="Z400" s="87"/>
      <c r="AA400" s="87"/>
    </row>
    <row r="401">
      <c r="A401" s="90" t="s">
        <v>1354</v>
      </c>
      <c r="B401" s="90" t="s">
        <v>1355</v>
      </c>
      <c r="C401" s="87"/>
      <c r="D401" s="90" t="s">
        <v>1354</v>
      </c>
      <c r="E401" s="86" t="s">
        <v>175</v>
      </c>
      <c r="F401" s="87"/>
      <c r="G401" s="87"/>
      <c r="H401" s="87"/>
      <c r="I401" s="87"/>
      <c r="J401" s="87"/>
      <c r="K401" s="87"/>
      <c r="L401" s="87"/>
      <c r="M401" s="87"/>
      <c r="N401" s="87"/>
      <c r="O401" s="87"/>
      <c r="P401" s="87"/>
      <c r="Q401" s="87"/>
      <c r="R401" s="87"/>
      <c r="S401" s="87"/>
      <c r="T401" s="87"/>
      <c r="U401" s="87"/>
      <c r="V401" s="87"/>
      <c r="W401" s="87"/>
      <c r="X401" s="87"/>
      <c r="Y401" s="87"/>
      <c r="Z401" s="87"/>
      <c r="AA401" s="87"/>
    </row>
    <row r="402">
      <c r="A402" s="90" t="s">
        <v>1356</v>
      </c>
      <c r="B402" s="90" t="s">
        <v>1357</v>
      </c>
      <c r="C402" s="87"/>
      <c r="D402" s="90" t="s">
        <v>1356</v>
      </c>
      <c r="E402" s="86" t="s">
        <v>175</v>
      </c>
      <c r="F402" s="87"/>
      <c r="G402" s="87"/>
      <c r="H402" s="87"/>
      <c r="I402" s="87"/>
      <c r="J402" s="87"/>
      <c r="K402" s="87"/>
      <c r="L402" s="87"/>
      <c r="M402" s="87"/>
      <c r="N402" s="87"/>
      <c r="O402" s="87"/>
      <c r="P402" s="87"/>
      <c r="Q402" s="87"/>
      <c r="R402" s="87"/>
      <c r="S402" s="87"/>
      <c r="T402" s="87"/>
      <c r="U402" s="87"/>
      <c r="V402" s="87"/>
      <c r="W402" s="87"/>
      <c r="X402" s="87"/>
      <c r="Y402" s="87"/>
      <c r="Z402" s="87"/>
      <c r="AA402" s="87"/>
    </row>
    <row r="403">
      <c r="A403" s="90" t="s">
        <v>1358</v>
      </c>
      <c r="B403" s="90" t="s">
        <v>1359</v>
      </c>
      <c r="C403" s="87"/>
      <c r="D403" s="90" t="s">
        <v>1358</v>
      </c>
      <c r="E403" s="86" t="s">
        <v>175</v>
      </c>
      <c r="F403" s="87"/>
      <c r="G403" s="87"/>
      <c r="H403" s="87"/>
      <c r="I403" s="87"/>
      <c r="J403" s="87"/>
      <c r="K403" s="87"/>
      <c r="L403" s="87"/>
      <c r="M403" s="87"/>
      <c r="N403" s="87"/>
      <c r="O403" s="87"/>
      <c r="P403" s="87"/>
      <c r="Q403" s="87"/>
      <c r="R403" s="87"/>
      <c r="S403" s="87"/>
      <c r="T403" s="87"/>
      <c r="U403" s="87"/>
      <c r="V403" s="87"/>
      <c r="W403" s="87"/>
      <c r="X403" s="87"/>
      <c r="Y403" s="87"/>
      <c r="Z403" s="87"/>
      <c r="AA403" s="87"/>
    </row>
    <row r="404">
      <c r="A404" s="90" t="s">
        <v>1360</v>
      </c>
      <c r="B404" s="90" t="s">
        <v>1361</v>
      </c>
      <c r="C404" s="87"/>
      <c r="D404" s="90" t="s">
        <v>1360</v>
      </c>
      <c r="E404" s="86" t="s">
        <v>175</v>
      </c>
      <c r="F404" s="87"/>
      <c r="G404" s="87"/>
      <c r="H404" s="87"/>
      <c r="I404" s="87"/>
      <c r="J404" s="87"/>
      <c r="K404" s="87"/>
      <c r="L404" s="87"/>
      <c r="M404" s="87"/>
      <c r="N404" s="87"/>
      <c r="O404" s="87"/>
      <c r="P404" s="87"/>
      <c r="Q404" s="87"/>
      <c r="R404" s="87"/>
      <c r="S404" s="87"/>
      <c r="T404" s="87"/>
      <c r="U404" s="87"/>
      <c r="V404" s="87"/>
      <c r="W404" s="87"/>
      <c r="X404" s="87"/>
      <c r="Y404" s="87"/>
      <c r="Z404" s="87"/>
      <c r="AA404" s="87"/>
    </row>
    <row r="405">
      <c r="A405" s="90" t="s">
        <v>1362</v>
      </c>
      <c r="B405" s="90" t="s">
        <v>1363</v>
      </c>
      <c r="C405" s="87"/>
      <c r="D405" s="90" t="s">
        <v>1362</v>
      </c>
      <c r="E405" s="86" t="s">
        <v>175</v>
      </c>
      <c r="F405" s="87"/>
      <c r="G405" s="87"/>
      <c r="H405" s="87"/>
      <c r="I405" s="87"/>
      <c r="J405" s="87"/>
      <c r="K405" s="87"/>
      <c r="L405" s="87"/>
      <c r="M405" s="87"/>
      <c r="N405" s="87"/>
      <c r="O405" s="87"/>
      <c r="P405" s="87"/>
      <c r="Q405" s="87"/>
      <c r="R405" s="87"/>
      <c r="S405" s="87"/>
      <c r="T405" s="87"/>
      <c r="U405" s="87"/>
      <c r="V405" s="87"/>
      <c r="W405" s="87"/>
      <c r="X405" s="87"/>
      <c r="Y405" s="87"/>
      <c r="Z405" s="87"/>
      <c r="AA405" s="87"/>
    </row>
    <row r="406">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row>
    <row r="407">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row>
    <row r="408">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row>
    <row r="409">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row>
    <row r="410">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row>
    <row r="41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row>
    <row r="412">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row>
    <row r="413">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row>
    <row r="414">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row>
    <row r="415">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row>
    <row r="416">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row>
    <row r="417">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row>
    <row r="418">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row>
    <row r="419">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row>
    <row r="420">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row>
    <row r="42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row>
    <row r="422">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row>
    <row r="423">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row>
    <row r="424">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row>
    <row r="425">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row>
    <row r="426">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row>
    <row r="427">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row>
    <row r="428">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row>
    <row r="429">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row>
    <row r="430">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row>
    <row r="43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row>
    <row r="432">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row>
    <row r="433">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row>
    <row r="434">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row>
    <row r="435">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row>
    <row r="436">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row>
    <row r="437">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row>
    <row r="438">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row>
    <row r="439">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row>
    <row r="440">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row>
    <row r="44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row>
    <row r="442">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row>
    <row r="443">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row>
    <row r="444">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row>
    <row r="445">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row>
    <row r="446">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row>
    <row r="447">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row>
    <row r="448">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row>
    <row r="449">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row>
    <row r="450">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row>
    <row r="45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row>
    <row r="452">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row>
    <row r="453">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row>
    <row r="454">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row>
    <row r="455">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row>
    <row r="456">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row>
    <row r="457">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row>
    <row r="458">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row>
    <row r="459">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row>
    <row r="460">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row>
    <row r="46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row>
    <row r="462">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row>
    <row r="463">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row>
    <row r="464">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row>
    <row r="465">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row>
    <row r="466">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row>
    <row r="467">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row>
    <row r="468">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row>
    <row r="469">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row>
    <row r="470">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row>
    <row r="47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row>
    <row r="472">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row>
    <row r="473">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row>
    <row r="474">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row>
    <row r="475">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row>
    <row r="476">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row>
    <row r="477">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row>
    <row r="478">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row>
    <row r="479">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row>
    <row r="480">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row>
    <row r="48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row>
    <row r="482">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row>
    <row r="483">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row>
    <row r="484">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row>
    <row r="485">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row>
    <row r="486">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row>
    <row r="487">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row>
    <row r="488">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row>
    <row r="489">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row>
    <row r="490">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row>
    <row r="49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row>
    <row r="492">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row>
    <row r="493">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row>
    <row r="494">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row>
    <row r="495">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row>
    <row r="496">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row>
    <row r="497">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row>
    <row r="498">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row>
    <row r="499">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row>
    <row r="500">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row>
    <row r="50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row>
    <row r="502">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row>
    <row r="503">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row>
    <row r="504">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row>
    <row r="505">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row>
    <row r="506">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row>
    <row r="507">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row>
    <row r="508">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row>
    <row r="509">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row>
    <row r="510">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row>
    <row r="51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row>
    <row r="512">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row>
    <row r="513">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row>
    <row r="514">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row>
    <row r="515">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row>
    <row r="516">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row>
    <row r="517">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row>
    <row r="518">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row>
    <row r="519">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row>
    <row r="520">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row>
    <row r="52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row>
    <row r="522">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row>
    <row r="523">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row>
    <row r="524">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row>
    <row r="525">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row>
    <row r="526">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row>
    <row r="527">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row>
    <row r="528">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row>
    <row r="529">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row>
    <row r="530">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row>
    <row r="53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row>
    <row r="532">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row>
    <row r="533">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row>
    <row r="534">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row>
    <row r="535">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row>
    <row r="536">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row>
    <row r="537">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row>
    <row r="538">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row>
    <row r="539">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row>
    <row r="540">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row>
    <row r="54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row>
    <row r="542">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row>
    <row r="543">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row>
    <row r="544">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row>
    <row r="545">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row>
    <row r="546">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row>
    <row r="547">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row>
    <row r="548">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row>
    <row r="549">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row>
    <row r="550">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row>
    <row r="55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row>
    <row r="552">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row>
    <row r="553">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row>
    <row r="554">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row>
    <row r="555">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row>
    <row r="556">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row>
    <row r="557">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row>
    <row r="558">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row>
    <row r="559">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row>
    <row r="560">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row>
    <row r="56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row>
    <row r="562">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row>
    <row r="563">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row>
    <row r="564">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row>
    <row r="565">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row>
    <row r="566">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row>
    <row r="567">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row>
    <row r="568">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row>
    <row r="569">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row>
    <row r="570">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row>
    <row r="57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row>
    <row r="572">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row>
    <row r="573">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row>
    <row r="574">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row>
    <row r="575">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row>
    <row r="576">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row>
    <row r="577">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row>
    <row r="578">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row>
    <row r="579">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row>
    <row r="580">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row>
    <row r="58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row>
    <row r="582">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row>
    <row r="583">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row>
    <row r="584">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row>
    <row r="585">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row>
    <row r="586">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row>
    <row r="587">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row>
    <row r="588">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row>
    <row r="589">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row>
    <row r="590">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row>
    <row r="59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row>
    <row r="592">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row>
    <row r="593">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row>
    <row r="594">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row>
    <row r="595">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row>
    <row r="596">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row>
    <row r="597">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row>
    <row r="598">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row>
    <row r="599">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row>
    <row r="600">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row>
    <row r="60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row>
    <row r="602">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row>
    <row r="603">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row>
    <row r="604">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row>
    <row r="605">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row>
    <row r="606">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row>
    <row r="607">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row>
    <row r="608">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row>
    <row r="609">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row>
    <row r="610">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row>
    <row r="61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row>
    <row r="612">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row>
    <row r="613">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row>
    <row r="614">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row>
    <row r="615">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row>
    <row r="616">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row>
    <row r="617">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row>
    <row r="618">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row>
    <row r="619">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row>
    <row r="620">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row>
    <row r="62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row>
    <row r="622">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row>
    <row r="623">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row>
    <row r="624">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row>
    <row r="625">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row>
    <row r="626">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row>
    <row r="627">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row>
    <row r="628">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row>
    <row r="629">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row>
    <row r="630">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row>
    <row r="63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row>
    <row r="632">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row>
    <row r="633">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row>
    <row r="634">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row>
    <row r="635">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row>
    <row r="636">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row>
    <row r="637">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row>
    <row r="638">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row>
    <row r="639">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row>
    <row r="640">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row>
    <row r="64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row>
    <row r="642">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row>
    <row r="643">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row>
    <row r="644">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row>
    <row r="645">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row>
    <row r="646">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row>
    <row r="647">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row>
    <row r="648">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row>
    <row r="649">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row>
    <row r="650">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row>
    <row r="65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row>
    <row r="652">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row>
    <row r="653">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row>
    <row r="654">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row>
    <row r="655">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row>
    <row r="656">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row>
    <row r="657">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row>
    <row r="658">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row>
    <row r="659">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row>
    <row r="660">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row>
    <row r="66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row>
    <row r="662">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row>
    <row r="663">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row>
    <row r="664">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row>
    <row r="665">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row>
    <row r="666">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row>
    <row r="667">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row>
    <row r="668">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row>
    <row r="669">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row>
    <row r="670">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row>
    <row r="67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row>
    <row r="672">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row>
    <row r="673">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row>
    <row r="674">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row>
    <row r="675">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row>
    <row r="676">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row>
    <row r="677">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row>
    <row r="678">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row>
    <row r="679">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row>
    <row r="680">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row>
    <row r="68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row>
    <row r="682">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row>
    <row r="683">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row>
    <row r="684">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row>
    <row r="685">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row>
    <row r="686">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row>
    <row r="687">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row>
    <row r="688">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row>
    <row r="689">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row>
    <row r="690">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row>
    <row r="69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row>
    <row r="692">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row>
    <row r="693">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row>
    <row r="694">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row>
    <row r="695">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row>
    <row r="696">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row>
    <row r="697">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row>
    <row r="698">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row>
    <row r="699">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row>
    <row r="700">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row>
    <row r="70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row>
    <row r="702">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row>
    <row r="703">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row>
    <row r="704">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row>
    <row r="705">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row>
    <row r="706">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row>
    <row r="707">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row>
    <row r="708">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row>
    <row r="709">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row>
    <row r="710">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row>
    <row r="71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row>
    <row r="712">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row>
    <row r="713">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row>
    <row r="714">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row>
    <row r="715">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row>
    <row r="716">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row>
    <row r="717">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row>
    <row r="718">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row>
    <row r="719">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row>
    <row r="720">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row>
    <row r="72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row>
    <row r="722">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row>
    <row r="723">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row>
    <row r="724">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row>
    <row r="725">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row>
    <row r="726">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row>
    <row r="727">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row>
    <row r="728">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row>
    <row r="729">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row>
    <row r="730">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row>
    <row r="73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row>
    <row r="732">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row>
    <row r="733">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row>
    <row r="734">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row>
    <row r="735">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row>
    <row r="736">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row>
    <row r="737">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row>
    <row r="738">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row>
    <row r="739">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row>
    <row r="740">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row>
    <row r="74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row>
    <row r="742">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row>
    <row r="743">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row>
    <row r="744">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row>
    <row r="745">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row>
    <row r="746">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row>
    <row r="747">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row>
    <row r="748">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row>
    <row r="749">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row>
    <row r="750">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row>
    <row r="75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row>
    <row r="752">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row>
    <row r="753">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row>
    <row r="754">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row>
    <row r="755">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row>
    <row r="756">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row>
    <row r="757">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row>
    <row r="758">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row>
    <row r="759">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row>
    <row r="760">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row>
    <row r="76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row>
    <row r="762">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row>
    <row r="763">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row>
    <row r="764">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row>
    <row r="765">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row>
    <row r="766">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row>
    <row r="767">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row>
    <row r="768">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row>
    <row r="769">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row>
    <row r="770">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row>
    <row r="77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row>
    <row r="772">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row>
    <row r="773">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row>
    <row r="774">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row>
    <row r="775">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row>
    <row r="776">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row>
    <row r="777">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row>
    <row r="778">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row>
    <row r="779">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row>
    <row r="780">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row>
    <row r="78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row>
    <row r="782">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row>
    <row r="783">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row>
    <row r="784">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row>
    <row r="785">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row>
    <row r="786">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row>
    <row r="787">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row>
    <row r="788">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row>
    <row r="789">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row>
    <row r="790">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row>
    <row r="79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row>
    <row r="792">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row>
    <row r="793">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row>
    <row r="794">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row>
    <row r="795">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row>
    <row r="796">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row>
    <row r="797">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row>
    <row r="798">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row>
    <row r="799">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row>
    <row r="800">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row>
    <row r="80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row>
    <row r="802">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row>
    <row r="803">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row>
    <row r="804">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row>
    <row r="805">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row>
    <row r="806">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row>
    <row r="807">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row>
    <row r="808">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row>
    <row r="809">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row>
    <row r="810">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row>
    <row r="81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row>
    <row r="812">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row>
    <row r="813">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row>
    <row r="814">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row>
    <row r="815">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row>
    <row r="816">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row>
    <row r="817">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row>
    <row r="818">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row>
    <row r="819">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row>
    <row r="820">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row>
    <row r="82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row>
    <row r="822">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row>
    <row r="823">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row>
    <row r="824">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row>
    <row r="825">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row>
    <row r="826">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row>
    <row r="827">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row>
    <row r="828">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row>
    <row r="829">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row>
    <row r="830">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row>
    <row r="83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row>
    <row r="832">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row>
    <row r="833">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row>
    <row r="834">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row>
    <row r="835">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row>
    <row r="836">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row>
    <row r="837">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row>
    <row r="838">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row>
    <row r="839">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row>
    <row r="840">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row>
    <row r="84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row>
    <row r="842">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row>
    <row r="843">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row>
    <row r="844">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row>
    <row r="845">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row>
    <row r="846">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row>
    <row r="847">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row>
    <row r="848">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row>
    <row r="849">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row>
    <row r="850">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row>
    <row r="85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row>
    <row r="852">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row>
    <row r="853">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row>
    <row r="854">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row>
    <row r="855">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row>
    <row r="856">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row>
    <row r="857">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row>
    <row r="858">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row>
    <row r="859">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row>
    <row r="860">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row>
    <row r="86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row>
    <row r="862">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row>
    <row r="863">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row>
    <row r="864">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row>
    <row r="865">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row>
    <row r="866">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row>
    <row r="867">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row>
    <row r="868">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row>
    <row r="869">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row>
    <row r="870">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row>
    <row r="87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row>
    <row r="872">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row>
    <row r="873">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row>
    <row r="874">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row>
    <row r="875">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row>
    <row r="876">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row>
    <row r="877">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row>
    <row r="878">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row>
    <row r="879">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row>
    <row r="880">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row>
    <row r="88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row>
    <row r="882">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row>
    <row r="883">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row>
    <row r="884">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row>
    <row r="885">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row>
    <row r="886">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row>
    <row r="887">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row>
    <row r="888">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row>
    <row r="889">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row>
    <row r="890">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row>
    <row r="89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row>
    <row r="892">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row>
    <row r="893">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row>
    <row r="894">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row>
    <row r="895">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row>
    <row r="896">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row>
    <row r="897">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row>
    <row r="898">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row>
    <row r="899">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row>
    <row r="900">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row>
    <row r="90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row>
    <row r="902">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row>
    <row r="903">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row>
    <row r="904">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row>
    <row r="905">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row>
    <row r="906">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row>
    <row r="907">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row>
    <row r="908">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row>
    <row r="909">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row>
    <row r="910">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row>
    <row r="91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row>
    <row r="912">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row>
    <row r="913">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row>
    <row r="914">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row>
    <row r="915">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row>
    <row r="916">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row>
    <row r="917">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row>
    <row r="918">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row>
    <row r="919">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row>
    <row r="920">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row>
    <row r="92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row>
    <row r="922">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row>
    <row r="923">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row>
    <row r="924">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row>
    <row r="925">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row>
    <row r="926">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row>
    <row r="927">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row>
    <row r="928">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row>
    <row r="929">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row>
    <row r="930">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row>
    <row r="93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row>
    <row r="932">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row>
    <row r="933">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row>
    <row r="934">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row>
    <row r="935">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row>
    <row r="936">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row>
    <row r="937">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row>
    <row r="938">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row>
    <row r="939">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row>
    <row r="940">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row>
    <row r="94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row>
    <row r="942">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row>
    <row r="943">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row>
    <row r="944">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row>
    <row r="945">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row>
    <row r="946">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row>
    <row r="947">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row>
    <row r="948">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row>
    <row r="949">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row>
    <row r="950">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row>
    <row r="95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row>
    <row r="952">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row>
    <row r="953">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row>
    <row r="954">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row>
    <row r="955">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row>
    <row r="956">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row>
    <row r="957">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row>
    <row r="958">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row>
    <row r="959">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row>
    <row r="960">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row>
    <row r="96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row>
    <row r="962">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row>
    <row r="963">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row>
    <row r="964">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row>
    <row r="965">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row>
    <row r="966">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row>
    <row r="967">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row>
    <row r="968">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row>
    <row r="969">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row>
    <row r="970">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row>
    <row r="97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row>
    <row r="972">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row>
    <row r="973">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row>
    <row r="974">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row>
    <row r="975">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row>
    <row r="976">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row>
    <row r="977">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row>
    <row r="978">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row>
    <row r="979">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row>
    <row r="980">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row>
    <row r="98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row>
    <row r="982">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row>
    <row r="983">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row>
    <row r="984">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row>
    <row r="985">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row>
    <row r="986">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row>
    <row r="987">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row>
    <row r="988">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row>
    <row r="989">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row>
    <row r="990">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row>
    <row r="99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row>
    <row r="992">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row>
    <row r="993">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row>
    <row r="994">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row>
    <row r="995">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row>
    <row r="996">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row>
    <row r="997">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row>
    <row r="998">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row>
    <row r="999">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row>
    <row r="1000">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2.0"/>
    <col customWidth="1" min="2" max="2" width="7.88"/>
    <col customWidth="1" min="3" max="3" width="12.63"/>
    <col customWidth="1" min="4" max="4" width="13.63"/>
    <col customWidth="1" min="5" max="5" width="34.88"/>
    <col customWidth="1" min="6" max="8" width="8.25"/>
    <col customWidth="1" min="9" max="9" width="19.63"/>
    <col customWidth="1" min="10" max="11" width="2.0"/>
  </cols>
  <sheetData>
    <row r="1">
      <c r="A1" s="1"/>
      <c r="B1" s="3"/>
      <c r="C1" s="3"/>
      <c r="D1" s="3"/>
      <c r="E1" s="3"/>
      <c r="F1" s="3"/>
      <c r="G1" s="3"/>
      <c r="H1" s="3"/>
      <c r="I1" s="3"/>
      <c r="J1" s="1"/>
      <c r="K1" s="4"/>
    </row>
    <row r="2" ht="51.0" customHeight="1">
      <c r="A2" s="5"/>
      <c r="B2" s="6"/>
      <c r="C2" s="7"/>
      <c r="D2" s="9" t="s">
        <v>197</v>
      </c>
      <c r="E2" s="10"/>
      <c r="F2" s="10"/>
      <c r="G2" s="10"/>
      <c r="H2" s="10"/>
      <c r="I2" s="12"/>
      <c r="J2" s="5"/>
      <c r="K2" s="4"/>
    </row>
    <row r="3" ht="26.25" customHeight="1">
      <c r="A3" s="1"/>
      <c r="B3" s="15" t="s">
        <v>3</v>
      </c>
      <c r="C3" s="17"/>
      <c r="D3" s="17"/>
      <c r="E3" s="17"/>
      <c r="F3" s="17"/>
      <c r="G3" s="17"/>
      <c r="H3" s="19" t="s">
        <v>201</v>
      </c>
      <c r="I3" s="24"/>
      <c r="J3" s="1"/>
      <c r="K3" s="4"/>
    </row>
    <row r="4" ht="7.5" customHeight="1">
      <c r="A4" s="1"/>
      <c r="B4" s="20"/>
      <c r="G4" s="21"/>
      <c r="H4" s="22"/>
      <c r="I4" s="22"/>
      <c r="J4" s="1"/>
      <c r="K4" s="4"/>
    </row>
    <row r="5">
      <c r="A5" s="5"/>
      <c r="B5" s="25" t="s">
        <v>6</v>
      </c>
      <c r="C5" s="26"/>
      <c r="D5" s="27"/>
      <c r="E5" s="28"/>
      <c r="F5" s="28"/>
      <c r="G5" s="28"/>
      <c r="H5" s="28"/>
      <c r="I5" s="26"/>
      <c r="J5" s="5"/>
      <c r="K5" s="4"/>
    </row>
    <row r="6">
      <c r="A6" s="5"/>
      <c r="B6" s="25" t="s">
        <v>7</v>
      </c>
      <c r="C6" s="26"/>
      <c r="D6" s="27"/>
      <c r="E6" s="28"/>
      <c r="F6" s="28"/>
      <c r="G6" s="28"/>
      <c r="H6" s="28"/>
      <c r="I6" s="26"/>
      <c r="J6" s="5"/>
      <c r="K6" s="4"/>
    </row>
    <row r="7">
      <c r="A7" s="5"/>
      <c r="B7" s="30" t="s">
        <v>8</v>
      </c>
      <c r="C7" s="26"/>
      <c r="D7" s="27"/>
      <c r="E7" s="28"/>
      <c r="F7" s="28"/>
      <c r="G7" s="28"/>
      <c r="H7" s="28"/>
      <c r="I7" s="26"/>
      <c r="J7" s="5"/>
      <c r="K7" s="4"/>
    </row>
    <row r="8">
      <c r="A8" s="5"/>
      <c r="B8" s="25" t="s">
        <v>9</v>
      </c>
      <c r="C8" s="26"/>
      <c r="D8" s="27"/>
      <c r="E8" s="28"/>
      <c r="F8" s="28"/>
      <c r="G8" s="28"/>
      <c r="H8" s="28"/>
      <c r="I8" s="26"/>
      <c r="J8" s="5"/>
      <c r="K8" s="4"/>
    </row>
    <row r="9">
      <c r="A9" s="5"/>
      <c r="B9" s="30" t="s">
        <v>11</v>
      </c>
      <c r="C9" s="26"/>
      <c r="D9" s="27"/>
      <c r="E9" s="28"/>
      <c r="F9" s="28"/>
      <c r="G9" s="28"/>
      <c r="H9" s="28"/>
      <c r="I9" s="26"/>
      <c r="J9" s="5"/>
      <c r="K9" s="4"/>
    </row>
    <row r="10" ht="26.25" customHeight="1">
      <c r="A10" s="1"/>
      <c r="B10" s="62" t="s">
        <v>222</v>
      </c>
      <c r="C10" s="16"/>
      <c r="D10" s="16"/>
      <c r="E10" s="16"/>
      <c r="F10" s="16"/>
      <c r="G10" s="16"/>
      <c r="H10" s="16"/>
      <c r="I10" s="33"/>
      <c r="J10" s="1"/>
      <c r="K10" s="4"/>
    </row>
    <row r="11" ht="21.0" customHeight="1">
      <c r="A11" s="1"/>
      <c r="B11" s="107"/>
      <c r="C11" s="108"/>
      <c r="D11" s="107"/>
      <c r="E11" s="109" t="s">
        <v>226</v>
      </c>
      <c r="F11" s="110" t="s">
        <v>227</v>
      </c>
      <c r="I11" s="21"/>
      <c r="J11" s="1"/>
      <c r="K11" s="4"/>
    </row>
    <row r="12" ht="21.0" customHeight="1">
      <c r="A12" s="1"/>
      <c r="B12" s="107"/>
      <c r="C12" s="111" t="s">
        <v>228</v>
      </c>
      <c r="D12" s="21"/>
      <c r="E12" s="107"/>
      <c r="F12" s="20"/>
      <c r="I12" s="21"/>
      <c r="J12" s="1"/>
      <c r="K12" s="4"/>
    </row>
    <row r="13" ht="21.0" customHeight="1">
      <c r="A13" s="1"/>
      <c r="B13" s="107"/>
      <c r="C13" s="111" t="s">
        <v>233</v>
      </c>
      <c r="D13" s="21"/>
      <c r="E13" s="107"/>
      <c r="F13" s="20"/>
      <c r="I13" s="21"/>
      <c r="J13" s="1"/>
      <c r="K13" s="4"/>
    </row>
    <row r="14" ht="21.0" customHeight="1">
      <c r="A14" s="1"/>
      <c r="B14" s="107"/>
      <c r="C14" s="111" t="s">
        <v>234</v>
      </c>
      <c r="D14" s="21"/>
      <c r="E14" s="107"/>
      <c r="F14" s="20"/>
      <c r="I14" s="21"/>
      <c r="J14" s="1"/>
      <c r="K14" s="4"/>
    </row>
    <row r="15" ht="21.0" customHeight="1">
      <c r="A15" s="1"/>
      <c r="B15" s="107"/>
      <c r="C15" s="111" t="s">
        <v>237</v>
      </c>
      <c r="D15" s="21"/>
      <c r="E15" s="107"/>
      <c r="F15" s="20"/>
      <c r="I15" s="21"/>
      <c r="J15" s="1"/>
      <c r="K15" s="4"/>
    </row>
    <row r="16" ht="21.0" customHeight="1">
      <c r="A16" s="1"/>
      <c r="B16" s="107"/>
      <c r="C16" s="111" t="s">
        <v>240</v>
      </c>
      <c r="D16" s="21"/>
      <c r="E16" s="107"/>
      <c r="F16" s="20"/>
      <c r="I16" s="21"/>
      <c r="J16" s="1"/>
      <c r="K16" s="4"/>
    </row>
    <row r="17" ht="21.0" customHeight="1">
      <c r="A17" s="1"/>
      <c r="B17" s="107"/>
      <c r="C17" s="111" t="s">
        <v>241</v>
      </c>
      <c r="D17" s="21"/>
      <c r="E17" s="107"/>
      <c r="F17" s="20"/>
      <c r="I17" s="21"/>
      <c r="J17" s="1"/>
      <c r="K17" s="4"/>
    </row>
    <row r="18" ht="21.0" customHeight="1">
      <c r="A18" s="1"/>
      <c r="B18" s="107"/>
      <c r="C18" s="107"/>
      <c r="D18" s="107"/>
      <c r="E18" s="107"/>
      <c r="F18" s="107"/>
      <c r="G18" s="107"/>
      <c r="H18" s="22"/>
      <c r="I18" s="22"/>
      <c r="J18" s="1"/>
      <c r="K18" s="4"/>
    </row>
    <row r="19" ht="7.5" customHeight="1">
      <c r="A19" s="1"/>
      <c r="B19" s="20"/>
      <c r="G19" s="21"/>
      <c r="H19" s="22"/>
      <c r="I19" s="22"/>
      <c r="J19" s="1"/>
      <c r="K19" s="4"/>
    </row>
    <row r="20" ht="26.25" customHeight="1">
      <c r="A20" s="5"/>
      <c r="B20" s="49" t="s">
        <v>64</v>
      </c>
      <c r="C20" s="16"/>
      <c r="D20" s="16"/>
      <c r="E20" s="16"/>
      <c r="F20" s="16"/>
      <c r="G20" s="16"/>
      <c r="H20" s="16"/>
      <c r="I20" s="50"/>
      <c r="J20" s="5"/>
      <c r="K20" s="4"/>
    </row>
    <row r="21" ht="7.5" customHeight="1">
      <c r="A21" s="1"/>
      <c r="B21" s="20"/>
      <c r="G21" s="21"/>
      <c r="H21" s="22"/>
      <c r="I21" s="22"/>
      <c r="J21" s="1"/>
      <c r="K21" s="4"/>
    </row>
    <row r="22" ht="34.5" customHeight="1">
      <c r="A22" s="5"/>
      <c r="B22" s="51"/>
      <c r="I22" s="52"/>
      <c r="J22" s="5"/>
      <c r="K22" s="4"/>
    </row>
    <row r="23" ht="34.5" customHeight="1">
      <c r="A23" s="5"/>
      <c r="B23" s="53"/>
      <c r="C23" s="54"/>
      <c r="D23" s="54"/>
      <c r="E23" s="54"/>
      <c r="F23" s="54"/>
      <c r="G23" s="54"/>
      <c r="H23" s="54"/>
      <c r="I23" s="55"/>
      <c r="J23" s="5"/>
      <c r="K23" s="4"/>
    </row>
    <row r="24" ht="26.25" customHeight="1">
      <c r="A24" s="5"/>
      <c r="B24" s="49" t="s">
        <v>65</v>
      </c>
      <c r="C24" s="16"/>
      <c r="D24" s="16"/>
      <c r="E24" s="16"/>
      <c r="F24" s="16"/>
      <c r="G24" s="16"/>
      <c r="H24" s="16"/>
      <c r="I24" s="50"/>
      <c r="J24" s="5"/>
      <c r="K24" s="4"/>
    </row>
    <row r="25" ht="7.5" customHeight="1">
      <c r="A25" s="1"/>
      <c r="B25" s="20"/>
      <c r="G25" s="21"/>
      <c r="H25" s="22"/>
      <c r="I25" s="22"/>
      <c r="J25" s="1"/>
      <c r="K25" s="4"/>
    </row>
    <row r="26" ht="26.25" customHeight="1">
      <c r="A26" s="5"/>
      <c r="B26" s="51"/>
      <c r="I26" s="52"/>
      <c r="J26" s="5"/>
      <c r="K26" s="4"/>
    </row>
    <row r="27" ht="75.75" customHeight="1">
      <c r="A27" s="5"/>
      <c r="B27" s="53"/>
      <c r="C27" s="54"/>
      <c r="D27" s="54"/>
      <c r="E27" s="54"/>
      <c r="F27" s="54"/>
      <c r="G27" s="54"/>
      <c r="H27" s="54"/>
      <c r="I27" s="55"/>
      <c r="J27" s="5"/>
      <c r="K27" s="4"/>
    </row>
    <row r="28" ht="26.25" customHeight="1">
      <c r="A28" s="1"/>
      <c r="B28" s="59" t="s">
        <v>136</v>
      </c>
      <c r="C28" s="60"/>
      <c r="D28" s="60"/>
      <c r="E28" s="112" t="s">
        <v>256</v>
      </c>
      <c r="F28" s="113"/>
      <c r="G28" s="62" t="s">
        <v>71</v>
      </c>
      <c r="H28" s="16"/>
      <c r="I28" s="33"/>
      <c r="J28" s="1"/>
      <c r="K28" s="4"/>
    </row>
    <row r="29" ht="7.5" customHeight="1">
      <c r="A29" s="1"/>
      <c r="B29" s="20"/>
      <c r="G29" s="21"/>
      <c r="H29" s="22"/>
      <c r="I29" s="22"/>
      <c r="J29" s="1"/>
      <c r="K29" s="4"/>
    </row>
    <row r="30" ht="40.5" customHeight="1">
      <c r="A30" s="1"/>
      <c r="B30" s="64" t="s">
        <v>73</v>
      </c>
      <c r="C30" s="66"/>
      <c r="D30" s="68"/>
      <c r="E30" s="97" t="s">
        <v>73</v>
      </c>
      <c r="F30" s="69"/>
      <c r="G30" s="69" t="s">
        <v>73</v>
      </c>
      <c r="H30" s="70"/>
      <c r="I30" s="66"/>
      <c r="J30" s="1"/>
      <c r="K30" s="4"/>
    </row>
    <row r="31">
      <c r="A31" s="1"/>
      <c r="B31" s="73" t="s">
        <v>76</v>
      </c>
      <c r="C31" s="66"/>
      <c r="D31" s="82"/>
      <c r="E31" s="105" t="s">
        <v>76</v>
      </c>
      <c r="F31" s="118"/>
      <c r="G31" s="75" t="s">
        <v>76</v>
      </c>
      <c r="H31" s="76" t="s">
        <v>265</v>
      </c>
      <c r="I31" s="66"/>
      <c r="J31" s="1"/>
      <c r="K31" s="4"/>
    </row>
    <row r="32">
      <c r="A32" s="1"/>
      <c r="B32" s="101" t="s">
        <v>160</v>
      </c>
      <c r="C32" s="1"/>
      <c r="D32" s="79"/>
      <c r="E32" s="101" t="s">
        <v>160</v>
      </c>
      <c r="F32" s="118"/>
      <c r="G32" s="101" t="s">
        <v>160</v>
      </c>
      <c r="H32" s="76" t="s">
        <v>267</v>
      </c>
      <c r="I32" s="66"/>
      <c r="J32" s="1"/>
      <c r="K32" s="4"/>
    </row>
    <row r="33">
      <c r="A33" s="1"/>
      <c r="B33" s="78" t="s">
        <v>77</v>
      </c>
      <c r="C33" s="1"/>
      <c r="D33" s="79" t="str">
        <f>D5</f>
        <v/>
      </c>
      <c r="E33" s="105" t="s">
        <v>77</v>
      </c>
      <c r="F33" s="118"/>
      <c r="G33" s="75" t="s">
        <v>77</v>
      </c>
      <c r="H33" s="5"/>
      <c r="I33" s="66"/>
      <c r="J33" s="1"/>
      <c r="K33" s="4"/>
    </row>
    <row r="34" ht="7.5" customHeight="1">
      <c r="A34" s="1"/>
      <c r="B34" s="20"/>
      <c r="G34" s="21"/>
      <c r="H34" s="22"/>
      <c r="I34" s="22"/>
      <c r="J34" s="1"/>
      <c r="K34" s="4"/>
    </row>
    <row r="35">
      <c r="A35" s="1"/>
      <c r="B35" s="1"/>
      <c r="C35" s="1"/>
      <c r="D35" s="1"/>
      <c r="E35" s="1"/>
      <c r="F35" s="1"/>
      <c r="G35" s="1"/>
      <c r="H35" s="1"/>
      <c r="I35" s="1"/>
      <c r="J35" s="1"/>
      <c r="K35" s="4"/>
    </row>
  </sheetData>
  <mergeCells count="45">
    <mergeCell ref="B6:C6"/>
    <mergeCell ref="B7:C7"/>
    <mergeCell ref="B8:C8"/>
    <mergeCell ref="B9:C9"/>
    <mergeCell ref="B2:C2"/>
    <mergeCell ref="D2:I2"/>
    <mergeCell ref="B3:G3"/>
    <mergeCell ref="B4:G4"/>
    <mergeCell ref="B5:C5"/>
    <mergeCell ref="D5:I5"/>
    <mergeCell ref="D6:I6"/>
    <mergeCell ref="F12:I12"/>
    <mergeCell ref="F13:I13"/>
    <mergeCell ref="D7:I7"/>
    <mergeCell ref="D8:I8"/>
    <mergeCell ref="D9:I9"/>
    <mergeCell ref="B10:I10"/>
    <mergeCell ref="F11:I11"/>
    <mergeCell ref="C12:D12"/>
    <mergeCell ref="C13:D13"/>
    <mergeCell ref="C14:D14"/>
    <mergeCell ref="F14:I14"/>
    <mergeCell ref="C15:D15"/>
    <mergeCell ref="F15:I15"/>
    <mergeCell ref="C16:D16"/>
    <mergeCell ref="F16:I16"/>
    <mergeCell ref="F17:I17"/>
    <mergeCell ref="C17:D17"/>
    <mergeCell ref="B19:G19"/>
    <mergeCell ref="B20:I20"/>
    <mergeCell ref="B21:G21"/>
    <mergeCell ref="B22:I23"/>
    <mergeCell ref="B24:I24"/>
    <mergeCell ref="B25:G25"/>
    <mergeCell ref="H31:I31"/>
    <mergeCell ref="H32:I32"/>
    <mergeCell ref="H33:I33"/>
    <mergeCell ref="B26:I27"/>
    <mergeCell ref="B28:D28"/>
    <mergeCell ref="G28:I28"/>
    <mergeCell ref="B29:G29"/>
    <mergeCell ref="B30:C30"/>
    <mergeCell ref="H30:I30"/>
    <mergeCell ref="B31:C31"/>
    <mergeCell ref="B34:G34"/>
  </mergeCells>
  <dataValidations>
    <dataValidation type="list" allowBlank="1" showErrorMessage="1" sqref="I3">
      <formula1>'Form Responses 1'!$A$2:$A$308</formula1>
    </dataValidation>
  </dataValidations>
  <printOptions gridLines="1" horizontalCentered="1"/>
  <pageMargins bottom="0.75" footer="0.0" header="0.0" left="0.25" right="0.25" top="0.75"/>
  <pageSetup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18.63"/>
    <col customWidth="1" min="3" max="3" width="13.75"/>
    <col customWidth="1" min="11" max="11" width="13.75"/>
  </cols>
  <sheetData>
    <row r="1">
      <c r="A1" s="122" t="s">
        <v>284</v>
      </c>
      <c r="B1" s="123" t="str">
        <f>RS!I3</f>
        <v>20260000206</v>
      </c>
    </row>
    <row r="2">
      <c r="A2" s="122"/>
      <c r="B2" s="122" t="s">
        <v>288</v>
      </c>
    </row>
    <row r="3">
      <c r="A3" s="122" t="s">
        <v>290</v>
      </c>
      <c r="B3" s="122" t="s">
        <v>291</v>
      </c>
      <c r="C3" s="124" t="s">
        <v>37</v>
      </c>
      <c r="D3" s="124" t="s">
        <v>38</v>
      </c>
      <c r="E3" s="124" t="s">
        <v>39</v>
      </c>
      <c r="F3" s="124" t="s">
        <v>40</v>
      </c>
      <c r="G3" s="124" t="s">
        <v>41</v>
      </c>
      <c r="H3" s="124" t="s">
        <v>43</v>
      </c>
      <c r="I3" s="124" t="s">
        <v>44</v>
      </c>
      <c r="J3" s="124" t="s">
        <v>45</v>
      </c>
      <c r="K3" s="124" t="s">
        <v>47</v>
      </c>
      <c r="L3" s="124" t="s">
        <v>49</v>
      </c>
      <c r="M3" s="124" t="s">
        <v>50</v>
      </c>
      <c r="N3" s="124" t="s">
        <v>51</v>
      </c>
      <c r="O3" s="124" t="s">
        <v>53</v>
      </c>
      <c r="P3" s="124" t="s">
        <v>54</v>
      </c>
      <c r="Q3" s="122" t="s">
        <v>60</v>
      </c>
      <c r="R3" s="122" t="s">
        <v>297</v>
      </c>
    </row>
    <row r="4">
      <c r="B4" s="122" t="s">
        <v>27</v>
      </c>
      <c r="C4" s="125" t="str">
        <f>IFERROR(__xludf.DUMMYFUNCTION("FILTER('Form Responses 1'!L2:AA1001,'Form Responses 1'!A2:A1001 = $B1)
"),"")</f>
        <v/>
      </c>
      <c r="D4" s="125"/>
      <c r="E4" s="125"/>
      <c r="F4" s="125"/>
      <c r="G4" s="125"/>
      <c r="H4" s="125">
        <f>IFERROR(__xludf.DUMMYFUNCTION("""COMPUTED_VALUE"""),10.0)</f>
        <v>10</v>
      </c>
      <c r="I4" s="125"/>
      <c r="J4" s="125">
        <f>IFERROR(__xludf.DUMMYFUNCTION("""COMPUTED_VALUE"""),20.0)</f>
        <v>20</v>
      </c>
      <c r="K4" s="125">
        <f>IFERROR(__xludf.DUMMYFUNCTION("""COMPUTED_VALUE"""),10.0)</f>
        <v>10</v>
      </c>
      <c r="L4" s="125"/>
      <c r="M4" s="125"/>
      <c r="N4" s="125"/>
      <c r="O4" s="125"/>
      <c r="P4" s="125"/>
      <c r="Q4" s="125"/>
      <c r="R4" s="125"/>
    </row>
    <row r="20">
      <c r="E20" s="126"/>
      <c r="H20" s="126"/>
    </row>
    <row r="21">
      <c r="E21" s="126"/>
      <c r="H21" s="126"/>
    </row>
  </sheetData>
  <drawing r:id="rId1"/>
</worksheet>
</file>