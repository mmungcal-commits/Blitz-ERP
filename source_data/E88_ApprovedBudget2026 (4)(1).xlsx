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rovedBudget" sheetId="1" r:id="rId5"/>
    <sheet state="visible" name="HC" sheetId="2" r:id="rId6"/>
    <sheet state="visible" name="FX Variance (CAPEX USD)" sheetId="3" r:id="rId7"/>
    <sheet state="visible" name="DP Monitoring" sheetId="4" r:id="rId8"/>
    <sheet state="visible" name="Purchase Orders (Approved)" sheetId="5" r:id="rId9"/>
    <sheet state="hidden" name="Jan Budget vs Actual" sheetId="6" r:id="rId10"/>
    <sheet state="hidden" name="Feb Budget vs Actual" sheetId="7" r:id="rId11"/>
    <sheet state="hidden" name="Mar Budget vs Actual" sheetId="8" r:id="rId12"/>
    <sheet state="hidden" name="Apr Budget vs Actual" sheetId="9" r:id="rId13"/>
    <sheet state="visible" name="May Budget vs Actual" sheetId="10" r:id="rId14"/>
    <sheet state="visible" name="June Budget vs Actual" sheetId="11" r:id="rId15"/>
    <sheet state="visible" name="July Budget vs Actual" sheetId="12" r:id="rId16"/>
    <sheet state="visible" name="Payroll (Confidential)" sheetId="13" r:id="rId17"/>
    <sheet state="visible" name="CAPEX (Confidential)" sheetId="14" r:id="rId18"/>
    <sheet state="visible" name="Detailed Receipts" sheetId="15" r:id="rId19"/>
  </sheets>
  <definedNames>
    <definedName hidden="1" localSheetId="4" name="_xlnm._FilterDatabase">'Purchase Orders (Approved)'!$A$4:$I$24</definedName>
    <definedName hidden="1" localSheetId="14" name="_xlnm._FilterDatabase">'Detailed Receipts'!$A$4:$L$922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tc={d242e1df-e98c-4843-bd93-2738ef323818}</author>
  </authors>
  <commentList>
    <comment authorId="0" xr:uid="{d242e1df-e98c-4843-bd93-2738ef323818}" ref="F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@francis@nrdev.ph  Variance on current DP with supplier
Reply:
	Let’s discuss this during our catchup, so I can walk you through the setup
Reply:
	this is noted
</t>
      </text>
    </comment>
  </commentList>
</comments>
</file>

<file path=xl/sharedStrings.xml><?xml version="1.0" encoding="utf-8"?>
<sst xmlns="http://schemas.openxmlformats.org/spreadsheetml/2006/main" count="11665" uniqueCount="1870">
  <si>
    <t>Approved Budget - Monthly OPEX</t>
  </si>
  <si>
    <t>Department</t>
  </si>
  <si>
    <t>Cost Center</t>
  </si>
  <si>
    <t>Account / line</t>
  </si>
  <si>
    <t>CAPEX/OPEX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</si>
  <si>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</si>
  <si>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</si>
  <si>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</si>
  <si>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</si>
  <si>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</si>
  <si>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</si>
  <si>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</si>
  <si>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</si>
  <si>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</si>
  <si>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</si>
  <si>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</si>
  <si>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</si>
  <si>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 Total</t>
  </si>
  <si>
    <t>OPEX - Payroll</t>
  </si>
  <si>
    <t>Sales and Marketing</t>
  </si>
  <si>
    <t>Payroll</t>
  </si>
  <si>
    <t>OPEX</t>
  </si>
  <si>
    <t>Customer Success</t>
  </si>
  <si>
    <t>Supply Chain</t>
  </si>
  <si>
    <t>Warehouse</t>
  </si>
  <si>
    <t>Aftersales</t>
  </si>
  <si>
    <t>Product</t>
  </si>
  <si>
    <t>RideBox</t>
  </si>
  <si>
    <t>Technology</t>
  </si>
  <si>
    <t>Finance and Accounting</t>
  </si>
  <si>
    <t>Admin</t>
  </si>
  <si>
    <t>HR</t>
  </si>
  <si>
    <t>Compliance and Risk</t>
  </si>
  <si>
    <t>TOTAL OPEX - Payroll</t>
  </si>
  <si>
    <t>OPEX - Non-payroll</t>
  </si>
  <si>
    <t>Sales</t>
  </si>
  <si>
    <t>CRM / sales pipeline tool</t>
  </si>
  <si>
    <t>Canva</t>
  </si>
  <si>
    <t>Lemlist</t>
  </si>
  <si>
    <t>Digital Ads</t>
  </si>
  <si>
    <t>Marketing</t>
  </si>
  <si>
    <t>Marketing Collaterals</t>
  </si>
  <si>
    <t>Media Subscriptions</t>
  </si>
  <si>
    <t>Tools &amp; Equipments</t>
  </si>
  <si>
    <t>-</t>
  </si>
  <si>
    <t>Lead generation giveaways</t>
  </si>
  <si>
    <t>Rider onboarding Kit</t>
  </si>
  <si>
    <t>Representation</t>
  </si>
  <si>
    <t>Events Budget</t>
  </si>
  <si>
    <t>Helmet</t>
  </si>
  <si>
    <t>Longsleeves</t>
  </si>
  <si>
    <t>Miscellaneous</t>
  </si>
  <si>
    <t>Subtotal - Sales and Marketing</t>
  </si>
  <si>
    <t>CRM</t>
  </si>
  <si>
    <t>AI Agent allowance</t>
  </si>
  <si>
    <t>Manpower Agency</t>
  </si>
  <si>
    <t>Subtotal - Customer Success</t>
  </si>
  <si>
    <t>Procurement</t>
  </si>
  <si>
    <t>Electricity - battery charging</t>
  </si>
  <si>
    <t>Warehouse rent</t>
  </si>
  <si>
    <t>Guard salary</t>
  </si>
  <si>
    <t>Electricity / water / internet</t>
  </si>
  <si>
    <t>Warehouse maintenance &amp; supplies</t>
  </si>
  <si>
    <t>BFP / barangay / permits</t>
  </si>
  <si>
    <t>Retail</t>
  </si>
  <si>
    <t>Service Center / retail operating cost</t>
  </si>
  <si>
    <t>Logistics</t>
  </si>
  <si>
    <t>Hilux - maintenance + gas</t>
  </si>
  <si>
    <t>Subtotal - Supply Chain</t>
  </si>
  <si>
    <t>Aftersales consumables</t>
  </si>
  <si>
    <t>Subtotal - Aftersales</t>
  </si>
  <si>
    <t>R&amp;D</t>
  </si>
  <si>
    <t>China Trip</t>
  </si>
  <si>
    <t>R&amp;D and V&amp;V</t>
  </si>
  <si>
    <t>Subtotal - Product</t>
  </si>
  <si>
    <t>Monitoring &amp; Field Ops</t>
  </si>
  <si>
    <t>Maintenance &amp; repairs</t>
  </si>
  <si>
    <t>Network Rollout</t>
  </si>
  <si>
    <t>BSS site lease</t>
  </si>
  <si>
    <t xml:space="preserve">  Electricity — Battery Charging (COGS)</t>
  </si>
  <si>
    <t>Claude Standard licenses</t>
  </si>
  <si>
    <t>Claude Max / Premium licenses</t>
  </si>
  <si>
    <t>Subtotal - RideBox</t>
  </si>
  <si>
    <t>IT</t>
  </si>
  <si>
    <t>Tool / Service</t>
  </si>
  <si>
    <t>── IT · Collaboration &amp; Productivity ──</t>
  </si>
  <si>
    <t>Slack (₱480/user/mo)</t>
  </si>
  <si>
    <t>Jira (₱1100/seat/mo — org FTE)</t>
  </si>
  <si>
    <t>Google Workspace (₱860/user/mo)</t>
  </si>
  <si>
    <t>ERP Subscription (₱50k/mo)</t>
  </si>
  <si>
    <t>── IT · Cybersecurity &amp; Devices ──</t>
  </si>
  <si>
    <t>EDR / MDM / VPN (₱800/user/mo)</t>
  </si>
  <si>
    <t>Device Insurance (₱500/device/mo)</t>
  </si>
  <si>
    <t>Cloud Backup &amp; DR (₱15k/mo)</t>
  </si>
  <si>
    <t>SIEM — Wazuh/GCP SCC (placeholder)</t>
  </si>
  <si>
    <t>── IT · Claude AI Licenses ──</t>
  </si>
  <si>
    <t>Claude Standard ($20/user/mo)</t>
  </si>
  <si>
    <t>Claude Max / Premium ($100/user/mo · ~20% leads)</t>
  </si>
  <si>
    <t>── OFFICE NETWORK --</t>
  </si>
  <si>
    <t>ISP + Licenses</t>
  </si>
  <si>
    <t>── PE · Platform Engineering ──</t>
  </si>
  <si>
    <t>GCP (Firebase incl.)</t>
  </si>
  <si>
    <t>Grafana / Prometheus (self-hosted)</t>
  </si>
  <si>
    <t>PagerDuty</t>
  </si>
  <si>
    <t>Sentry (error tracking)</t>
  </si>
  <si>
    <t>GitHub ($4/dev/mo)</t>
  </si>
  <si>
    <t>── PDE+PE · Product &amp; Platform ──</t>
  </si>
  <si>
    <t>Claude Code Premium ($100/dev/mo)</t>
  </si>
  <si>
    <t>Figma ($15/seat/mo)</t>
  </si>
  <si>
    <t>── ALL · All Teams ──</t>
  </si>
  <si>
    <t>Lucidchart ($15/seat/mo · capped 10 seats)</t>
  </si>
  <si>
    <t>Confluence Premium ($10/user/mo)</t>
  </si>
  <si>
    <t>Jira Service Management Premium ($44.27/seat/mo)</t>
  </si>
  <si>
    <t>── ALL · Claude AI Licenses ──</t>
  </si>
  <si>
    <t>── IoT · IoT Engineering ──</t>
  </si>
  <si>
    <t>Hardware / Lab Consumables (placeholder)</t>
  </si>
  <si>
    <t>── RN · Reliability &amp; NOC ──</t>
  </si>
  <si>
    <t>NOC Tools / Dashboards (placeholder)</t>
  </si>
  <si>
    <t>── QE · Quality Engineering ──</t>
  </si>
  <si>
    <t>QA Tools (placeholder)</t>
  </si>
  <si>
    <t>Accounting software and Representation</t>
  </si>
  <si>
    <t>Audit &amp; external accounting</t>
  </si>
  <si>
    <t>QBO</t>
  </si>
  <si>
    <t>Subtotal - Finance and Accounting</t>
  </si>
  <si>
    <t>Office rent &amp; utilities</t>
  </si>
  <si>
    <t>Security services</t>
  </si>
  <si>
    <t>Office supplies (stationaries &amp; postage)</t>
  </si>
  <si>
    <t>Office supplies (pantry &amp; cleaning)</t>
  </si>
  <si>
    <t>Office admin - facility maintenance</t>
  </si>
  <si>
    <t>Office admin - safety &amp; security</t>
  </si>
  <si>
    <t>Subtotal - Admin</t>
  </si>
  <si>
    <t>HRIS Platform (Sprout / PayrollHero/Jeonsoft)</t>
  </si>
  <si>
    <t>Recruitment (Project Hire)</t>
  </si>
  <si>
    <t>Recruitment Tool (LinkedIn, Indeed, Jobstreet)</t>
  </si>
  <si>
    <t>Training &amp; Development</t>
  </si>
  <si>
    <t>Employee Engagement / Events</t>
  </si>
  <si>
    <t>Office Admin - Safety &amp; Security
 (Power Supply Upgrade, CCTVs)</t>
  </si>
  <si>
    <t>Subtotal - HR</t>
  </si>
  <si>
    <t>Permits &amp; registration</t>
  </si>
  <si>
    <t>Permits Taxes and Licences</t>
  </si>
  <si>
    <t>Legal &amp; notarial</t>
  </si>
  <si>
    <t>Data Privacy Compliance</t>
  </si>
  <si>
    <t>Transportation Fee and meals</t>
  </si>
  <si>
    <t>Notarial Fees</t>
  </si>
  <si>
    <t>Professional Fee</t>
  </si>
  <si>
    <t>Legal Retainers Fee</t>
  </si>
  <si>
    <t>Subtotal - Compliance and Risk</t>
  </si>
  <si>
    <t>TOTAL OPEX - Non-payroll</t>
  </si>
  <si>
    <t>CAPEX</t>
  </si>
  <si>
    <t>Battery - RideBox 7428</t>
  </si>
  <si>
    <t>Motorcycle - D400 (OMAX 7428)</t>
  </si>
  <si>
    <t>Spare parts</t>
  </si>
  <si>
    <t>Motorcycle - R280 (OMIGO 65)</t>
  </si>
  <si>
    <t>Swap station - RideBox Locker</t>
  </si>
  <si>
    <t>Logistics - import (lockers/batteries)</t>
  </si>
  <si>
    <t>Battery SIM - PCCW monthly (2)</t>
  </si>
  <si>
    <t>PDI consumables</t>
  </si>
  <si>
    <t>PDI collaterals</t>
  </si>
  <si>
    <t>Battery SIM - PCCW upfront</t>
  </si>
  <si>
    <t>Battery SIM - PCCW monthly</t>
  </si>
  <si>
    <t>Battery SIM - SMART monthly</t>
  </si>
  <si>
    <t>Locker SIM - monthly</t>
  </si>
  <si>
    <t>Locker SIM - upfront</t>
  </si>
  <si>
    <t>Renovations and Security Deposits</t>
  </si>
  <si>
    <t>Logistics - import (vessel/customs)</t>
  </si>
  <si>
    <t>3PL last mile</t>
  </si>
  <si>
    <t>Logistics - forklift</t>
  </si>
  <si>
    <t>Logistics - manpower</t>
  </si>
  <si>
    <t>Registration - LTO/DOE (motorcycles)</t>
  </si>
  <si>
    <t>Insurance</t>
  </si>
  <si>
    <t>Signage / posts / stickers</t>
  </si>
  <si>
    <t>Canopy</t>
  </si>
  <si>
    <t>Molding &amp; R&amp;D</t>
  </si>
  <si>
    <t>Homologation fee</t>
  </si>
  <si>
    <t>Locker registration - LTO/DOE</t>
  </si>
  <si>
    <t>3PL last mile (energy)</t>
  </si>
  <si>
    <t>PDI consumables (energy)</t>
  </si>
  <si>
    <t>PGX 3rd-party dev</t>
  </si>
  <si>
    <t>VAPT — Apps (₱140k/target)</t>
  </si>
  <si>
    <t>VAPT — IoT Firmware (remaining payment, one-time)</t>
  </si>
  <si>
    <t>Cloud Security Audit — GCP</t>
  </si>
  <si>
    <t>Finance</t>
  </si>
  <si>
    <t>ERP</t>
  </si>
  <si>
    <t xml:space="preserve">  Jira — 5 aug seats (₱473/seat/mo × 12)</t>
  </si>
  <si>
    <t>Subtotal - Technology</t>
  </si>
  <si>
    <t>CCTV</t>
  </si>
  <si>
    <t>Computer Equipment and Peripherals</t>
  </si>
  <si>
    <t>TOTAL CAPEX</t>
  </si>
  <si>
    <t>GRAND TOTAL (OPEX + CAPEX)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</si>
  <si>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</si>
  <si>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</si>
  <si>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</si>
  <si>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</si>
  <si>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</si>
  <si>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</si>
  <si>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</si>
  <si>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</si>
  <si>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</si>
  <si>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</si>
  <si>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</si>
  <si>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</si>
  <si>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Sales &amp; Marketing</t>
  </si>
  <si>
    <t>Adjust less 2 for Augmentation</t>
  </si>
  <si>
    <t>AfterSales Center</t>
  </si>
  <si>
    <t>Customer Support</t>
  </si>
  <si>
    <t>Station Deployment Lead</t>
  </si>
  <si>
    <t>Ridebox tribe</t>
  </si>
  <si>
    <t>Rollout</t>
  </si>
  <si>
    <t>Now</t>
  </si>
  <si>
    <t>RB Service Lead</t>
  </si>
  <si>
    <t>Service Center</t>
  </si>
  <si>
    <t>Station Deployment Manager</t>
  </si>
  <si>
    <t>M2</t>
  </si>
  <si>
    <t>Commercial Ops Lead</t>
  </si>
  <si>
    <t>Billing &amp; Admin</t>
  </si>
  <si>
    <t>Partners Squad Lead</t>
  </si>
  <si>
    <t>RB Network Lead</t>
  </si>
  <si>
    <t>Site BD</t>
  </si>
  <si>
    <t>Site Engineer</t>
  </si>
  <si>
    <t>Ops Manager</t>
  </si>
  <si>
    <t>Network Ops</t>
  </si>
  <si>
    <t>M3</t>
  </si>
  <si>
    <t>Field Technician</t>
  </si>
  <si>
    <t>Battery Technician</t>
  </si>
  <si>
    <t>Site Ops</t>
  </si>
  <si>
    <t>Hardware Technician</t>
  </si>
  <si>
    <t>Parts &amp; Inventory</t>
  </si>
  <si>
    <t>M4</t>
  </si>
  <si>
    <t>Billing Analyst</t>
  </si>
  <si>
    <t>Site Admin</t>
  </si>
  <si>
    <t>Business Dev</t>
  </si>
  <si>
    <t>Partner Integrations</t>
  </si>
  <si>
    <t>Product Lead</t>
  </si>
  <si>
    <t>Tech chapter</t>
  </si>
  <si>
    <t>Tech Build</t>
  </si>
  <si>
    <t>App Lead</t>
  </si>
  <si>
    <t>Technical Program Manager</t>
  </si>
  <si>
    <t>Embedded &amp; IoT Engineer</t>
  </si>
  <si>
    <t>Backend Engineer</t>
  </si>
  <si>
    <t>QA Lead</t>
  </si>
  <si>
    <t>iOS Engineer</t>
  </si>
  <si>
    <t>Android Engineer</t>
  </si>
  <si>
    <t>Frontend Engineer</t>
  </si>
  <si>
    <t>QA Engineer</t>
  </si>
  <si>
    <t>Technical Support Eng. (L2)</t>
  </si>
  <si>
    <t>Tech Ops</t>
  </si>
  <si>
    <t>NOC Lead</t>
  </si>
  <si>
    <t>DevOps / Cloud Engineer</t>
  </si>
  <si>
    <t>Reliability Engineer</t>
  </si>
  <si>
    <t>IT Manager</t>
  </si>
  <si>
    <t>IT Ops</t>
  </si>
  <si>
    <t>IT Support Specialist</t>
  </si>
  <si>
    <t>Network Engineer</t>
  </si>
  <si>
    <t>Cybersecurity Engineer</t>
  </si>
  <si>
    <t>Compliance</t>
  </si>
  <si>
    <t>Total</t>
  </si>
  <si>
    <t>Augmentation (current 5 hc with 650k)</t>
  </si>
  <si>
    <t>CAPEX FX Variance - USD imports (budget P60.00 vs actual ~P61.30)</t>
  </si>
  <si>
    <t>RFP No.</t>
  </si>
  <si>
    <t>Item</t>
  </si>
  <si>
    <t>USD</t>
  </si>
  <si>
    <t>Budget @60.00 (PHP)</t>
  </si>
  <si>
    <t>Actual @61.30 (PHP)</t>
  </si>
  <si>
    <t>FX Variance (PHP)</t>
  </si>
  <si>
    <t>RFP-OPS2026-0071</t>
  </si>
  <si>
    <t>Taizhou Okla - CBU e-motorcycles</t>
  </si>
  <si>
    <t>RFP-OPS2026-0072</t>
  </si>
  <si>
    <t>Guangzhou Yunku - battery-swap lockers</t>
  </si>
  <si>
    <t>RFP-OPS2026-0073</t>
  </si>
  <si>
    <t>Taizhou Okla - spare parts</t>
  </si>
  <si>
    <t>TOTAL</t>
  </si>
  <si>
    <t>Downpayment / Supplier Monitoring - balance to settle &amp; completion tracking</t>
  </si>
  <si>
    <t>Vendor</t>
  </si>
  <si>
    <t>Project Location</t>
  </si>
  <si>
    <t>Receipt Date</t>
  </si>
  <si>
    <t>Date Paid</t>
  </si>
  <si>
    <t>Status</t>
  </si>
  <si>
    <t>% Paid</t>
  </si>
  <si>
    <t>Downpayment Paid (PHP)</t>
  </si>
  <si>
    <t>Balance to Settle (PHP)</t>
  </si>
  <si>
    <t>Total Contract (PHP)</t>
  </si>
  <si>
    <t>per site installation</t>
  </si>
  <si>
    <t>Remarks</t>
  </si>
  <si>
    <t>STM Builders and Trading Corp</t>
  </si>
  <si>
    <t>BSS install - 3 ATP sites (Alfamart)</t>
  </si>
  <si>
    <t>Malabon / Jordan Plaines / Santolan</t>
  </si>
  <si>
    <t>4/24/2026</t>
  </si>
  <si>
    <t>5/29/2026</t>
  </si>
  <si>
    <t>PAID</t>
  </si>
  <si>
    <t>50%</t>
  </si>
  <si>
    <t>40% + 10% milestones (=50%); acceptance/turnover</t>
  </si>
  <si>
    <t>BSS install - ATP Poblacion</t>
  </si>
  <si>
    <t>Poblacion, Mandaluyong</t>
  </si>
  <si>
    <t>4/14/2026</t>
  </si>
  <si>
    <t>Feeder System Outdoor - 6 ATP sites</t>
  </si>
  <si>
    <t>6 ATP sites</t>
  </si>
  <si>
    <t>5/21/2026</t>
  </si>
  <si>
    <t>50% downpayment; balance on completion</t>
  </si>
  <si>
    <t>4 RideBox lockers deployment</t>
  </si>
  <si>
    <t>Century City Mall, Makati</t>
  </si>
  <si>
    <t>50% downpayment; balance on completion / turnover</t>
  </si>
  <si>
    <t>Digicore Integrated IT Solution</t>
  </si>
  <si>
    <t>BSS Pateros (service + electrical)</t>
  </si>
  <si>
    <t>Pateros</t>
  </si>
  <si>
    <t>5/4/2026</t>
  </si>
  <si>
    <t>100%</t>
  </si>
  <si>
    <t>Full payment - no balance</t>
  </si>
  <si>
    <t>Taizhou Okla Automobile Co., Ltd</t>
  </si>
  <si>
    <t>OKLA CBU e-motorcycles (USD 138,124.80)</t>
  </si>
  <si>
    <t>Import - China (Taizhou)</t>
  </si>
  <si>
    <t>6/18/2026</t>
  </si>
  <si>
    <t>30%</t>
  </si>
  <si>
    <t>Balance 70% on delivery; USD - FX applies at settlement</t>
  </si>
  <si>
    <t>Guangzhou Yunku Intelligent Co., Ltd</t>
  </si>
  <si>
    <t>Battery-swap lockers (USD 55,200)</t>
  </si>
  <si>
    <t>Import - China (Guangzhou)</t>
  </si>
  <si>
    <t>Balance 50% on delivery; USD</t>
  </si>
  <si>
    <t>OKLA spare parts (USD 11,076.63)</t>
  </si>
  <si>
    <t>6/22/2026</t>
  </si>
  <si>
    <t>Balance 70% on delivery; USD</t>
  </si>
  <si>
    <t>E88 Ventures - Purchase Orders Approved for Payment (Jan-Jun 2026)</t>
  </si>
  <si>
    <t>PO Number</t>
  </si>
  <si>
    <t>Date Issued</t>
  </si>
  <si>
    <t>Dept</t>
  </si>
  <si>
    <t>Orig. FX</t>
  </si>
  <si>
    <t>Amount (PHP)</t>
  </si>
  <si>
    <t>Activity / Purpose</t>
  </si>
  <si>
    <t>In RFP register?</t>
  </si>
  <si>
    <t>PO-202601-05</t>
  </si>
  <si>
    <t>01/29/2026</t>
  </si>
  <si>
    <t>ThingsPh</t>
  </si>
  <si>
    <t>10M requirement per site installation (70%DP)</t>
  </si>
  <si>
    <t>Issued to vendor</t>
  </si>
  <si>
    <t>NET-NEW (not in RFP)</t>
  </si>
  <si>
    <t>PO-202603-01</t>
  </si>
  <si>
    <t>STM</t>
  </si>
  <si>
    <t>PO-TECH-202603-19</t>
  </si>
  <si>
    <t>Digicore</t>
  </si>
  <si>
    <t>BSS Installations at Pateros Municipal Hall</t>
  </si>
  <si>
    <t>PO-TECH-202603-30</t>
  </si>
  <si>
    <t>Claude AI</t>
  </si>
  <si>
    <t>US$ 150.00</t>
  </si>
  <si>
    <t>Claude AI: Pro plan Individual (Monthly
Subscription per Individual)</t>
  </si>
  <si>
    <t>PO - MKT2026-03-001</t>
  </si>
  <si>
    <t>MARKETING</t>
  </si>
  <si>
    <t>WokzPh</t>
  </si>
  <si>
    <t>Battery Swap Updated Locker Stickers</t>
  </si>
  <si>
    <t>Yes - already in RFP register</t>
  </si>
  <si>
    <t>PO-202601-01</t>
  </si>
  <si>
    <t>01/05/2026</t>
  </si>
  <si>
    <t>Wokz Ph</t>
  </si>
  <si>
    <t>A4 stickers for RideBox BSS ads promo, and pull-up banners for retail/events/dealerships.</t>
  </si>
  <si>
    <t>PO-202601-02</t>
  </si>
  <si>
    <t>01/06/2025</t>
  </si>
  <si>
    <t>TechnoClear</t>
  </si>
  <si>
    <t>for locker security and monitoring system to be integrated with NOC and CCTV integration to lockers (BSS Deployment) using
brackets.
Canopy Fabrication</t>
  </si>
  <si>
    <t>PO-202601-03</t>
  </si>
  <si>
    <t>01/08/2025</t>
  </si>
  <si>
    <t>PO-202601-04</t>
  </si>
  <si>
    <t>01/12/2025</t>
  </si>
  <si>
    <t>PC Central</t>
  </si>
  <si>
    <t>Video management system (vms), 24/7 monitoring systems for CCTVs</t>
  </si>
  <si>
    <t>PO-HRA2026-0001</t>
  </si>
  <si>
    <t>HRA</t>
  </si>
  <si>
    <t>EVANA BCBB ENTERPRISES</t>
  </si>
  <si>
    <t>Purchase of office uniform (HO, Warehouse, Retail)</t>
  </si>
  <si>
    <t>PO-HRA2026-0002</t>
  </si>
  <si>
    <t>Microgenesis Business Systems</t>
  </si>
  <si>
    <t>Purchase of 5 13-inch MacBook Air: Apple M4 chip with 10-core CPU and 8-core GPU, 16GB Unified Memory, 256GB SSD</t>
  </si>
  <si>
    <t>PO-HRA2026-0003</t>
  </si>
  <si>
    <t>Purchase of 2  24-inch Samsung monitor</t>
  </si>
  <si>
    <t>PO-MKTG2026-04-001</t>
  </si>
  <si>
    <t>Pull up banner refills used during MoveIt event.</t>
  </si>
  <si>
    <t>PO-MKTG2026-04-002</t>
  </si>
  <si>
    <t>Pull up banner for Flexride</t>
  </si>
  <si>
    <t>PO-OPS2026-0001</t>
  </si>
  <si>
    <t>04/14/2026</t>
  </si>
  <si>
    <t>OPERATIONS</t>
  </si>
  <si>
    <t>US$ 27600.00</t>
  </si>
  <si>
    <t>APRIL 2026 - YUNKU 5-DOOR LOCKERS (less 50% payment</t>
  </si>
  <si>
    <t>PO-OPS2026-0002</t>
  </si>
  <si>
    <t>TAIZHOU OKLA AUTOMOBILE CO.,LTD</t>
  </si>
  <si>
    <t>US$ 33534.00</t>
  </si>
  <si>
    <t>APRIL 2026 - OKLA CBU (Less 70% Balance Payment); PAYMENT TERMS: T/T 30% IN ADVANCE PAYMENT 70% BEFORE SHIPPING
● DELIVERY TERMS: FOB NINGBO PORT, CHINA
● OTHER REMARKS:
○ All parts attached except rearview mirrors
○ OMIGO all longer seat version
○ Stencils of VIN and Motor numbers for each unit - 4 copies each motorcycle</t>
  </si>
  <si>
    <t>PO-OPS2026-0003</t>
  </si>
  <si>
    <t>US$ 4999.40</t>
  </si>
  <si>
    <t>APRIL 2026 - OKLA SPARE PARTS (Less 70% Balance Payment);PAYMENT TERMS: T/T 30% IN ADVANCE PAYMENT 70% BEFORE SHIPPING
● DELIVERY TERMS: FOB NINGBO PORT, CHINA
● PACKAGING: BOXED SECURELY</t>
  </si>
  <si>
    <t>PO-OPS2026-0006</t>
  </si>
  <si>
    <t>US$ 55200.00</t>
  </si>
  <si>
    <t>JUNE 2026 - YUNKU 5-DOOR LOCKERS</t>
  </si>
  <si>
    <t>PO-OPS2026-0007</t>
  </si>
  <si>
    <t>US$ 138124.80</t>
  </si>
  <si>
    <t>JUNE 2026 - OKLA CBU</t>
  </si>
  <si>
    <t>PO-OPS2026-0009</t>
  </si>
  <si>
    <t>US$ 11076.63</t>
  </si>
  <si>
    <t>APRIL 2026 - OKLA SPARE PARTS</t>
  </si>
  <si>
    <t>NET-NEW total (adds to actuals)</t>
  </si>
  <si>
    <t>Already in RFP (do not add)</t>
  </si>
  <si>
    <t>All approved POs</t>
  </si>
  <si>
    <t>Jan Budget vs Actual - Non-payroll OPEX by Department / Cost Center (PHP)</t>
  </si>
  <si>
    <t>Budget</t>
  </si>
  <si>
    <t>Actual</t>
  </si>
  <si>
    <t>Variance</t>
  </si>
  <si>
    <t>Homologation &amp; Registration</t>
  </si>
  <si>
    <t>TOTAL OPEX</t>
  </si>
  <si>
    <t>Feb Budget vs Actual - Non-payroll OPEX by Department / Cost Center (PHP)</t>
  </si>
  <si>
    <t>Mar Budget vs Actual - Non-payroll OPEX by Department / Cost Center (PHP)</t>
  </si>
  <si>
    <t>Apr Budget vs Actual - Non-payroll OPEX by Department / Cost Center (PHP)</t>
  </si>
  <si>
    <t>May Budget vs Actual - Non-payroll OPEX by Department / Cost Center (PHP)</t>
  </si>
  <si>
    <t>June Budget vs Actual - Non-payroll OPEX by Department / Cost Center (PHP)</t>
  </si>
  <si>
    <t>July Budget vs Actual - Non-payroll OPEX by Department / Cost Center (PHP)</t>
  </si>
  <si>
    <t xml:space="preserve">PAYROLL - CONFIDENTIAL </t>
  </si>
  <si>
    <t xml:space="preserve">BUDGET </t>
  </si>
  <si>
    <t>June</t>
  </si>
  <si>
    <t>July</t>
  </si>
  <si>
    <t xml:space="preserve">ACTUAL  </t>
  </si>
  <si>
    <t xml:space="preserve">CAPEX - CONFIDENTIAL </t>
  </si>
  <si>
    <t xml:space="preserve">ACTUAL </t>
  </si>
  <si>
    <t>E88 Ventures - Detailed Receipts Jan-Jul 2026 (itemized per receipt; reimbursements split)</t>
  </si>
  <si>
    <t>Accounting Title</t>
  </si>
  <si>
    <t>Month</t>
  </si>
  <si>
    <t>RFP / LIQ No.</t>
  </si>
  <si>
    <t>RFP Date</t>
  </si>
  <si>
    <t>Requestor / Payee</t>
  </si>
  <si>
    <t>Vendor / Office</t>
  </si>
  <si>
    <t>Description</t>
  </si>
  <si>
    <t>Amount</t>
  </si>
  <si>
    <t>Advertising/promotions</t>
  </si>
  <si>
    <t>RFP-MKTG2026-0002</t>
  </si>
  <si>
    <t>01/06/2026</t>
  </si>
  <si>
    <t>THEA GRACE MASIGLAT</t>
  </si>
  <si>
    <t>wokz/printer (tarpaulin)</t>
  </si>
  <si>
    <t>Tarpaulin (3 pcs)</t>
  </si>
  <si>
    <t>Freight/delivery</t>
  </si>
  <si>
    <t>delivery</t>
  </si>
  <si>
    <t>Tarpaulin delivery fee</t>
  </si>
  <si>
    <t>Trifold sampling delivery fee</t>
  </si>
  <si>
    <t>Utilities (Electricity)</t>
  </si>
  <si>
    <t>RFP-MKTG2026-0001</t>
  </si>
  <si>
    <t>01/08/2026</t>
  </si>
  <si>
    <t>WOKZPH</t>
  </si>
  <si>
    <t>wokz.ph</t>
  </si>
  <si>
    <t>A4 Waterproof Sticker (80 pcs)</t>
  </si>
  <si>
    <t>Pull up banner (6 pcs)</t>
  </si>
  <si>
    <t>Other operating expense (manpower/contracted)</t>
  </si>
  <si>
    <t>RFP-MKTG2026-0003</t>
  </si>
  <si>
    <t>01/07/2026</t>
  </si>
  <si>
    <t>B2B Trifold Brochure (100 pcs)</t>
  </si>
  <si>
    <t>Office supplies</t>
  </si>
  <si>
    <t>RFP-SALES2026-0047</t>
  </si>
  <si>
    <t>01/09/2026</t>
  </si>
  <si>
    <t>Anne Margot Estadilla</t>
  </si>
  <si>
    <t>Pantry supplier</t>
  </si>
  <si>
    <t>Pantry Supply</t>
  </si>
  <si>
    <t>Laguna Water</t>
  </si>
  <si>
    <t>RFP-SALES2026-0048</t>
  </si>
  <si>
    <t>01/19/2026</t>
  </si>
  <si>
    <t>Locksmith</t>
  </si>
  <si>
    <t>Key duplicate (Restroom for NRD customer)</t>
  </si>
  <si>
    <t>Utilities (Telecom)</t>
  </si>
  <si>
    <t>01/12/2026</t>
  </si>
  <si>
    <t>Royal Cable</t>
  </si>
  <si>
    <t>Royal Cable Internet</t>
  </si>
  <si>
    <t>01/17/2026</t>
  </si>
  <si>
    <t>Globe/Telco</t>
  </si>
  <si>
    <t>Monthly Load Allowance (Gerald Kalaw)</t>
  </si>
  <si>
    <t>Travel/transportation/meals</t>
  </si>
  <si>
    <t>RFP-MKTG2026-0005</t>
  </si>
  <si>
    <t>01/23/2026</t>
  </si>
  <si>
    <t>Jovic Cudia</t>
  </si>
  <si>
    <t>Per diem</t>
  </si>
  <si>
    <t>Per Diem - Jovic Cudia</t>
  </si>
  <si>
    <t>Per Diem - RJ Jardiniano</t>
  </si>
  <si>
    <t>Per Diem - Enan</t>
  </si>
  <si>
    <t>01/14/2026</t>
  </si>
  <si>
    <t>Lalamove</t>
  </si>
  <si>
    <t>Lalamove Printed Materials to TCI</t>
  </si>
  <si>
    <t>Lalamove Printed Materials to Forest Hills</t>
  </si>
  <si>
    <t>RFP-SALES2026-0049</t>
  </si>
  <si>
    <t>01/24/2026</t>
  </si>
  <si>
    <t>01/21/2026</t>
  </si>
  <si>
    <t>Water Refilling</t>
  </si>
  <si>
    <t>Water refilling (5 x 30)</t>
  </si>
  <si>
    <t>01/22/2026</t>
  </si>
  <si>
    <t>Monthly Load Allowance (Jervy Soltura)</t>
  </si>
  <si>
    <t>Monthly Load Allowance (Jaycer Alar)</t>
  </si>
  <si>
    <t>Monthly Load Allowance (Richard Gonzales)</t>
  </si>
  <si>
    <t>Locker load allowance (Retail Store)</t>
  </si>
  <si>
    <t>RFP-SALES2026-0050</t>
  </si>
  <si>
    <t>01/28/2026</t>
  </si>
  <si>
    <t>BBL Bus</t>
  </si>
  <si>
    <t>BBL Bus from Binan-Carmona to Ayala (gerald)</t>
  </si>
  <si>
    <t>Bus</t>
  </si>
  <si>
    <t>Sanpedro to Ayala (jervy)</t>
  </si>
  <si>
    <t>InDrive</t>
  </si>
  <si>
    <t>InDrive from E88 Warehouse to Starmall Alabang (gerald and jervy)</t>
  </si>
  <si>
    <t>Skyway</t>
  </si>
  <si>
    <t>Toll fee of Skyway to Alabang (InDrive)</t>
  </si>
  <si>
    <t>01/15/2026</t>
  </si>
  <si>
    <t>Parking</t>
  </si>
  <si>
    <t>parking ticket</t>
  </si>
  <si>
    <t>RFP-MKTG2026-0006</t>
  </si>
  <si>
    <t>01/27/2026</t>
  </si>
  <si>
    <t>Transportation</t>
  </si>
  <si>
    <t>Mktg team to venue</t>
  </si>
  <si>
    <t>Mktg team from venue</t>
  </si>
  <si>
    <t>CX to venue</t>
  </si>
  <si>
    <t>CX from the venue</t>
  </si>
  <si>
    <t>RFP-OPS2026-0002</t>
  </si>
  <si>
    <t>Yusen Logistics Philippines, Inc.</t>
  </si>
  <si>
    <t>12% VAT</t>
  </si>
  <si>
    <t>RFP-OPS2026-0008</t>
  </si>
  <si>
    <t>RFP-OPS2026-0001</t>
  </si>
  <si>
    <t>Judy Joy Rosare</t>
  </si>
  <si>
    <t>Delivery of Batteries to Powerfill Barangka</t>
  </si>
  <si>
    <t>PPE - Equipment installation &amp; deployment</t>
  </si>
  <si>
    <t>Delivery Fee Manila Golf - 10 D400 &amp; 1 Locker w/ Batteries</t>
  </si>
  <si>
    <t>PPE - Transportation equipment</t>
  </si>
  <si>
    <t>RFP-OPS2026-0003</t>
  </si>
  <si>
    <t>01/17-01/19</t>
  </si>
  <si>
    <t>Grab/OKLA</t>
  </si>
  <si>
    <t>OKLA (Supplier) Expenses</t>
  </si>
  <si>
    <t>RFP-OPS2026-0006</t>
  </si>
  <si>
    <t>01/19-01/23</t>
  </si>
  <si>
    <t>Grab/FoodPanda</t>
  </si>
  <si>
    <t>Delivery Fee Dasmarinas - 10 D400 with Batteries</t>
  </si>
  <si>
    <t>RFP-COMP2025-0023</t>
  </si>
  <si>
    <t>01/13/2026</t>
  </si>
  <si>
    <t>09/25/2025</t>
  </si>
  <si>
    <t>Judielle Darren Lemuel D. Guce</t>
  </si>
  <si>
    <t>Sta Rosa Visit</t>
  </si>
  <si>
    <t>Per diem - Sta Rosa Visit</t>
  </si>
  <si>
    <t>RFP-OPS2026-0005</t>
  </si>
  <si>
    <t>Erwin Javillonar</t>
  </si>
  <si>
    <t>Transport - One Ayala to Sta. Rosa Laguna</t>
  </si>
  <si>
    <t>Angkas/Transport</t>
  </si>
  <si>
    <t>Transport - Sta Rosa Terminal to NRD Service Center</t>
  </si>
  <si>
    <t>Transport - NRD Service Center to Sta Rosa Terminal</t>
  </si>
  <si>
    <t>Transport - Sta Rosa Terminal to Ayala</t>
  </si>
  <si>
    <t>01/20/2026</t>
  </si>
  <si>
    <t>Move It/Joyride</t>
  </si>
  <si>
    <t>Per diem and Transportation to Sta. Rosa</t>
  </si>
  <si>
    <t>RFP-COMP2026-0031</t>
  </si>
  <si>
    <t>01/26/2026</t>
  </si>
  <si>
    <t>Sheila Vinuya</t>
  </si>
  <si>
    <t>Perdiem (LGU Sta Rosa)</t>
  </si>
  <si>
    <t>Bus Fare One Ayala to Sta Rosa Laguna</t>
  </si>
  <si>
    <t>Bus Fare Sta Rosa Laguna to One Ayala</t>
  </si>
  <si>
    <t>Transport - Sta Rosa Balibago to Multi-purpose Complex</t>
  </si>
  <si>
    <t>Transport - Sta Rosa Multi-purpose to Balibago Complex</t>
  </si>
  <si>
    <t>RFP-HR2026-0158</t>
  </si>
  <si>
    <t>SPACEPRO CORPORATION</t>
  </si>
  <si>
    <t>Spacepro Corporation</t>
  </si>
  <si>
    <t>Meralco/Electricity bill Nov 22 - Dec 21, 2025 (Asgard Warehouse)</t>
  </si>
  <si>
    <t>Rent / Lease</t>
  </si>
  <si>
    <t>RFP-HR2025-0154</t>
  </si>
  <si>
    <t>02/06/2026</t>
  </si>
  <si>
    <t>Rent - January 2026</t>
  </si>
  <si>
    <t>Repairs and maintenance</t>
  </si>
  <si>
    <t>12/20-01/08</t>
  </si>
  <si>
    <t>Maintenance supplier</t>
  </si>
  <si>
    <t>Maintenance - Gear Oil, Brake Pad, Cleaner, Ball Race</t>
  </si>
  <si>
    <t>12/23-01/09</t>
  </si>
  <si>
    <t>Water supplier</t>
  </si>
  <si>
    <t>Purified Water (10 gallons)</t>
  </si>
  <si>
    <t>01/02-01/03</t>
  </si>
  <si>
    <t>Warehouse supplier</t>
  </si>
  <si>
    <t>Warehouse Supplies</t>
  </si>
  <si>
    <t>Lamination shop</t>
  </si>
  <si>
    <t>Tagging - Lamination</t>
  </si>
  <si>
    <t>Gcash</t>
  </si>
  <si>
    <t>Load for Locker</t>
  </si>
  <si>
    <t>01/12-01/19</t>
  </si>
  <si>
    <t>Shopee/Hardware</t>
  </si>
  <si>
    <t>Maintenance Tools &amp; Consumables</t>
  </si>
  <si>
    <t>01/12-01/15</t>
  </si>
  <si>
    <t>Lalamove/AR</t>
  </si>
  <si>
    <t>Delivery Expenses - Units, Spare &amp; Octagon Village Gatepass</t>
  </si>
  <si>
    <t>Warehouse Supplier</t>
  </si>
  <si>
    <t>Warehouse Supplies &amp; Transportation</t>
  </si>
  <si>
    <t>Asgard / MWCI</t>
  </si>
  <si>
    <t>Asgard MWCI Dec 04 - Jan 03</t>
  </si>
  <si>
    <t>Taxes/licenses/permits</t>
  </si>
  <si>
    <t>Move It</t>
  </si>
  <si>
    <t>Transportation - LTO pickup plates &amp; CR</t>
  </si>
  <si>
    <t>Transport - Rosario Pasig to One Ayala Bus Terminal</t>
  </si>
  <si>
    <t>Transport - BBL Terminal Taft to Rosario Pasig</t>
  </si>
  <si>
    <t>Pier Diem - Forest Hills Golf and Country Club Event</t>
  </si>
  <si>
    <t>01/19-01/21</t>
  </si>
  <si>
    <t>Hardware/Shopee</t>
  </si>
  <si>
    <t>01/20-01/22</t>
  </si>
  <si>
    <t>Delivery Expenses - Documents</t>
  </si>
  <si>
    <t>01/20-01/23</t>
  </si>
  <si>
    <t>Warehouse Supplies and Cleaning Materials</t>
  </si>
  <si>
    <t>Savemore</t>
  </si>
  <si>
    <t>Transportation - Savemore</t>
  </si>
  <si>
    <t>RFP-OPS2026-0007</t>
  </si>
  <si>
    <t>OCTAGON VILLAGE HOMEOWNERS ASSOCIATION INC</t>
  </si>
  <si>
    <t>Association Dues (January - September 2026)</t>
  </si>
  <si>
    <t>01/02-01/09</t>
  </si>
  <si>
    <t>AR/Move it (LTO)</t>
  </si>
  <si>
    <t>Transportation - Savemore supplies &amp; LTO Plates/CR</t>
  </si>
  <si>
    <t>RFP-COMP2026-0029</t>
  </si>
  <si>
    <t>LTO (CA)</t>
  </si>
  <si>
    <t>12 units MV clearance registration</t>
  </si>
  <si>
    <t>12 units MV clearance (SOP)</t>
  </si>
  <si>
    <t>RFP-COMP2026-0030</t>
  </si>
  <si>
    <t>AUTOITALIA PHILIPPINES ENTERPRISES, INC.</t>
  </si>
  <si>
    <t>TPL/COC/LTO FEES registration 69 units - 2nd Batch</t>
  </si>
  <si>
    <t>LTO PROCESSING FEES - 69 units 2nd Batch</t>
  </si>
  <si>
    <t>Transport - Residence to LTO-NCR</t>
  </si>
  <si>
    <t>Transport - LTO-NCR to Residence</t>
  </si>
  <si>
    <t>RFP-EXC2025-0015</t>
  </si>
  <si>
    <t>GREGORY B. RIVERA</t>
  </si>
  <si>
    <t>LTO</t>
  </si>
  <si>
    <t>LTO registration</t>
  </si>
  <si>
    <t>LIQ-IT2026-0001</t>
  </si>
  <si>
    <t>Ian Gabrielle Jimenez</t>
  </si>
  <si>
    <t>Canopy Prototype supplier</t>
  </si>
  <si>
    <t>Payment for Canopy Prototype (RFP-IT2026-0152)</t>
  </si>
  <si>
    <t>RFP-IT2025-0039</t>
  </si>
  <si>
    <t>01/02/2026</t>
  </si>
  <si>
    <t>ThingsPH</t>
  </si>
  <si>
    <t>THINGSPH INC</t>
  </si>
  <si>
    <t>Onsite installation of BSS equipment: Indoor 10 meter requirements (Full Payment, VAT incl)</t>
  </si>
  <si>
    <t>RFP-IT2025-0041</t>
  </si>
  <si>
    <t>12/17/2025</t>
  </si>
  <si>
    <t>70% Downpayment onsite installation BSS Indoor 10 meter (Qty 2, VAT incl)</t>
  </si>
  <si>
    <t>RFP-IT2026-0043</t>
  </si>
  <si>
    <t>Activation Construction Service Corp</t>
  </si>
  <si>
    <t>Locker Installation - Manila Golf Club</t>
  </si>
  <si>
    <t>RFP-IT2026-0044</t>
  </si>
  <si>
    <t>Locker Installation - Powerfill Tandang Sora</t>
  </si>
  <si>
    <t>RFP-IT2026-0050</t>
  </si>
  <si>
    <t>12/31/2025</t>
  </si>
  <si>
    <t>Ian Gabrielle Jimenez (load)</t>
  </si>
  <si>
    <t>Load Allowance (Data, Call &amp; Text) BSS Deployment</t>
  </si>
  <si>
    <t>PPE - Machinery &amp; equipment</t>
  </si>
  <si>
    <t>RFP-IT2026-0049</t>
  </si>
  <si>
    <t>RideBox Delivery - Alfamart Biglang Awa</t>
  </si>
  <si>
    <t>RFP-IT2026-0048</t>
  </si>
  <si>
    <t>Locker Installation - Powerfill Damong Maliit</t>
  </si>
  <si>
    <t>RFP-IT2026-0045</t>
  </si>
  <si>
    <t>Locker Installation - San Antonio</t>
  </si>
  <si>
    <t>RFP-IT2026-0047</t>
  </si>
  <si>
    <t>Activation Construction Services Corporation</t>
  </si>
  <si>
    <t>RideBox Installation - Powerfill Sandoval</t>
  </si>
  <si>
    <t>RFP-IT2026-0051</t>
  </si>
  <si>
    <t>12/12/2025</t>
  </si>
  <si>
    <t>Gas station</t>
  </si>
  <si>
    <t>Gas Expense - QC of BSS Deployment Brgy San Antonio</t>
  </si>
  <si>
    <t>12/23/2025</t>
  </si>
  <si>
    <t>Gas Expense - QC BSS Manila Golf, Powerfill Barangka, San Antonio, Sandoval</t>
  </si>
  <si>
    <t>RFP-IT2026-0046</t>
  </si>
  <si>
    <t>RideBox Installation - Powerfill Barangka</t>
  </si>
  <si>
    <t>12/29/2025</t>
  </si>
  <si>
    <t>Globe/Load</t>
  </si>
  <si>
    <t>Load Allowance for MBSS</t>
  </si>
  <si>
    <t>MBSS supplier</t>
  </si>
  <si>
    <t>MBSS Supply</t>
  </si>
  <si>
    <t>01/16/2026</t>
  </si>
  <si>
    <t>John Martin Ysaac</t>
  </si>
  <si>
    <t>John Martin Ysaac (CA)</t>
  </si>
  <si>
    <t>Fuel and transit allowance - Mega Manila BSS expansion</t>
  </si>
  <si>
    <t>RFP-IT2026-0152</t>
  </si>
  <si>
    <t>Ian Gabrielle Jimenez (CA)</t>
  </si>
  <si>
    <t>Payment for Ridebox BSS Canopy Sample</t>
  </si>
  <si>
    <t>01/15-01/17</t>
  </si>
  <si>
    <t>AR/Gas Station</t>
  </si>
  <si>
    <t>Meal Allowance &amp; Gas - Locker Site Survey</t>
  </si>
  <si>
    <t>Load allowance MBSS</t>
  </si>
  <si>
    <t>RFP-IT2026-0154</t>
  </si>
  <si>
    <t>Additional billing onsite BSS install indoor 10m (incl VAT)</t>
  </si>
  <si>
    <t>RFP-IT2026-0155</t>
  </si>
  <si>
    <t>30% Final Payment Onsite installation of BSS equipment - Indoor 10 meter requirements (Qty 2), incl VAT</t>
  </si>
  <si>
    <t>RFP-HR2025-0163</t>
  </si>
  <si>
    <t>Meralco</t>
  </si>
  <si>
    <t>Meralco bill - Service Center</t>
  </si>
  <si>
    <t>Pier Diem - Laguna Service Center Visit</t>
  </si>
  <si>
    <t>RFP-HR2026-0167</t>
  </si>
  <si>
    <t>LAGUNA WATER</t>
  </si>
  <si>
    <t>Water bill January 2026 - Service Center</t>
  </si>
  <si>
    <t>RFP-HR2026-0155</t>
  </si>
  <si>
    <t>JHON EMMANUEL M. USI</t>
  </si>
  <si>
    <t>Payment for Services Dec 4-31, 2025</t>
  </si>
  <si>
    <t>Software subscriptions and IT services</t>
  </si>
  <si>
    <t>RFP-IT2025-0040</t>
  </si>
  <si>
    <t>12/22/2025</t>
  </si>
  <si>
    <t>FRANCIS RYAN SIMISIM</t>
  </si>
  <si>
    <t>Lucidchart</t>
  </si>
  <si>
    <t>Lucidchart: Teams License</t>
  </si>
  <si>
    <t>12/01/2025</t>
  </si>
  <si>
    <t>Twilio</t>
  </si>
  <si>
    <t>Jira (Atlassian)</t>
  </si>
  <si>
    <t>Jira 1</t>
  </si>
  <si>
    <t>Jira 2</t>
  </si>
  <si>
    <t>12/26/2025</t>
  </si>
  <si>
    <t>Cloudflare</t>
  </si>
  <si>
    <t>TIANDY TC-H363U 4G/U/SE/4MM/V4.0 (10 units, VAT incl)</t>
  </si>
  <si>
    <t>PC Central by JCSC Tech Marketing Corporation</t>
  </si>
  <si>
    <t>GMTEC NUCBOX M5 PLUS (VAT incl)</t>
  </si>
  <si>
    <t>Erwin Atuli</t>
  </si>
  <si>
    <t>Apple</t>
  </si>
  <si>
    <t>Apple Developer Subscription</t>
  </si>
  <si>
    <t>Fleet Operational Support: Maintenance, Tolls, Parking</t>
  </si>
  <si>
    <t>Capitalized outsourced TECH dev (PGX - to amortize)</t>
  </si>
  <si>
    <t>RFP-IT2026-0153</t>
  </si>
  <si>
    <t>PGX Group Inc.</t>
  </si>
  <si>
    <t>SA 3.3 (Jan 1-31, 2026) staff augmentation</t>
  </si>
  <si>
    <t>VAT</t>
  </si>
  <si>
    <t>Greg Rivera (reimb)</t>
  </si>
  <si>
    <t>Google Workspace subscription</t>
  </si>
  <si>
    <t>Quickbooks subscription</t>
  </si>
  <si>
    <t>Godaddy subscription (.com domain)</t>
  </si>
  <si>
    <t>RFP-EXC2026-0016</t>
  </si>
  <si>
    <t>Envato</t>
  </si>
  <si>
    <t>Envato subscription</t>
  </si>
  <si>
    <t>Lemlist subscription</t>
  </si>
  <si>
    <t>Professional fees (Audit and accounting)</t>
  </si>
  <si>
    <t>RFP-EXC2025-0013</t>
  </si>
  <si>
    <t>Reyes Tacandong &amp; Co.</t>
  </si>
  <si>
    <t>Progress bill for submission of draft report</t>
  </si>
  <si>
    <t>Final bill and OPEs for Advisory Services</t>
  </si>
  <si>
    <t>RFP-EXC2026-0014</t>
  </si>
  <si>
    <t>PLDT</t>
  </si>
  <si>
    <t>PLDT Internet (HQ2)</t>
  </si>
  <si>
    <t>Converge</t>
  </si>
  <si>
    <t>Converge Internet (HQ2)</t>
  </si>
  <si>
    <t>Salaries, wages and employee benefits</t>
  </si>
  <si>
    <t>Salary of JE. Usi (December 2025)</t>
  </si>
  <si>
    <t>Employee benefits</t>
  </si>
  <si>
    <t>CGL Insurance (HQ2)</t>
  </si>
  <si>
    <t>CGL Insurance (Brixton)</t>
  </si>
  <si>
    <t>CGL Insurance (RETAIL)</t>
  </si>
  <si>
    <t>CGL Insurance (NRV)</t>
  </si>
  <si>
    <t>RFP-HR2026-0157</t>
  </si>
  <si>
    <t>E S CASTRO TRADING</t>
  </si>
  <si>
    <t>Fire extinguisher HCFC123 10lbs (2 units)</t>
  </si>
  <si>
    <t>Fire extinguisher Dry Chemical 10lbs (4 units)</t>
  </si>
  <si>
    <t>RFP-HR2026-0159</t>
  </si>
  <si>
    <t>Globe Telecom, Inc.</t>
  </si>
  <si>
    <t>Globe mobile postpaid - 09171403769-LJGrenas</t>
  </si>
  <si>
    <t>Globe mobile postpaid - 09171039623-EAtuli</t>
  </si>
  <si>
    <t>Globe mobile postpaid - 09171174026-EJavillonar</t>
  </si>
  <si>
    <t>Globe mobile postpaid - 09171022450-TMasiglat</t>
  </si>
  <si>
    <t>Globe mobile postpaid - 09171144614-JJRosare</t>
  </si>
  <si>
    <t>Globe mobile postpaid - 09171105848-RDelaCruz</t>
  </si>
  <si>
    <t>Globe mobile postpaid - 09171077992-RJJardiniano</t>
  </si>
  <si>
    <t>Globe mobile postpaid - 09171179672-FYantoIII</t>
  </si>
  <si>
    <t>Globe mobile postpaid - 09171095793-Accounting</t>
  </si>
  <si>
    <t>Globe mobile postpaid - 09171093022-MManza</t>
  </si>
  <si>
    <t>Globe mobile postpaid - 09171208138-SVinuya</t>
  </si>
  <si>
    <t>Globe mobile postpaid - 09171042934-JMYsaac</t>
  </si>
  <si>
    <t>Globe mobile postpaid - 09171390897-JDLGuce</t>
  </si>
  <si>
    <t>Globe mobile postpaid - 09171286414-AMEstadilla</t>
  </si>
  <si>
    <t>RFP-HR2026-0160</t>
  </si>
  <si>
    <t>Globe Telecom, Inc. (Innove)</t>
  </si>
  <si>
    <t>Globe fiber Warehouse - December 2025</t>
  </si>
  <si>
    <t>RFP-HR2026-0161</t>
  </si>
  <si>
    <t>First Kapitolyo Towers, Inc.</t>
  </si>
  <si>
    <t>Rent December 2025</t>
  </si>
  <si>
    <t>Monthly Maintenance fee (MWF) December 2025</t>
  </si>
  <si>
    <t>Nov &amp; Dec Water Consumption</t>
  </si>
  <si>
    <t>RFP-HR2025-0162</t>
  </si>
  <si>
    <t>POLYGRETS OFFICE SUPPLIES</t>
  </si>
  <si>
    <t>Office supplies - Admin January 2026</t>
  </si>
  <si>
    <t>Meralco bill - Retail Store</t>
  </si>
  <si>
    <t>Meralco bill - HQ 2</t>
  </si>
  <si>
    <t>RFP-HR2026-0165</t>
  </si>
  <si>
    <t>BEST CENTURY REAL ESTATE BUSINESS INC.</t>
  </si>
  <si>
    <t>CUSA - January 2026</t>
  </si>
  <si>
    <t>RFP-HR2026-0166</t>
  </si>
  <si>
    <t>Haide Garcia</t>
  </si>
  <si>
    <t>Reimbursement of PCF - Head Office</t>
  </si>
  <si>
    <t>RFP-HR2026-0168</t>
  </si>
  <si>
    <t>Meralco bill covering December 22, 2025 - January 21, 2026</t>
  </si>
  <si>
    <t>Delivery (courier)</t>
  </si>
  <si>
    <t>Delivery Receipt</t>
  </si>
  <si>
    <t>12/16/2025</t>
  </si>
  <si>
    <t>Notary</t>
  </si>
  <si>
    <t>10/15/2025</t>
  </si>
  <si>
    <t>RFP-COMP2026-0026</t>
  </si>
  <si>
    <t>Pioneer Insurance and Surety Corporation</t>
  </si>
  <si>
    <t>Payment of CTPL Insurance</t>
  </si>
  <si>
    <t>Professional fees (Legal and notarial)</t>
  </si>
  <si>
    <t>RFP-COMP2026-0028</t>
  </si>
  <si>
    <t>Disini Law Office</t>
  </si>
  <si>
    <t>November &amp; December 2025 Retainer Fee</t>
  </si>
  <si>
    <t>Notarial fee and Doc stamp</t>
  </si>
  <si>
    <t>Photocopying, Printing, Transportation</t>
  </si>
  <si>
    <t>RFP-COMP2026-0032</t>
  </si>
  <si>
    <t>Non-taxable disbursements</t>
  </si>
  <si>
    <t>Transport - Office to Pasig LGU</t>
  </si>
  <si>
    <t>Restaurant</t>
  </si>
  <si>
    <t>Meals</t>
  </si>
  <si>
    <t>Transport - Residence to One Ayala Terminal</t>
  </si>
  <si>
    <t>Notary documents (Summary of Gross sales-Retail)</t>
  </si>
  <si>
    <t>Barangay</t>
  </si>
  <si>
    <t>Brgy Clearance (Brixton)</t>
  </si>
  <si>
    <t>Brgy Clearance (TCI)</t>
  </si>
  <si>
    <t>Transport - Pasig LGU to Office</t>
  </si>
  <si>
    <t>Transport - Residence to PNP-HPG</t>
  </si>
  <si>
    <t>Transport - PNP-HPG to Office</t>
  </si>
  <si>
    <t>RFP-COMP2026-0024</t>
  </si>
  <si>
    <t>City Govt (Business Permit)</t>
  </si>
  <si>
    <t>Business Permit - Warehouse</t>
  </si>
  <si>
    <t>Business Permit - HQ 2 (TCI Tower)</t>
  </si>
  <si>
    <t>RFP-COMP2026-0027</t>
  </si>
  <si>
    <t>Business Permit - Brixton</t>
  </si>
  <si>
    <t>LIQ-COMP2026-0001</t>
  </si>
  <si>
    <t>LGU Pasig</t>
  </si>
  <si>
    <t>BFP/LGU (CA)</t>
  </si>
  <si>
    <t>FSIC Payment for Brixton</t>
  </si>
  <si>
    <t>FSIC Payment for HQ2</t>
  </si>
  <si>
    <t>FSIC Payment for Warehouse</t>
  </si>
  <si>
    <t>RFP-COMP2026-0033</t>
  </si>
  <si>
    <t>Sterling Insurance Company Inc.</t>
  </si>
  <si>
    <t>CGL Insurance renewal for Warehouse</t>
  </si>
  <si>
    <t>Transport - Office to Pasig BFP</t>
  </si>
  <si>
    <t>Transport - Pasig BFP to Office</t>
  </si>
  <si>
    <t>Photocopy</t>
  </si>
  <si>
    <t>Photocopy additional business permit reqts</t>
  </si>
  <si>
    <t>RFP-SALES2026-0051</t>
  </si>
  <si>
    <t>02/10/2026</t>
  </si>
  <si>
    <t>02/03/2026</t>
  </si>
  <si>
    <t>Pantry Supplier</t>
  </si>
  <si>
    <t>pantry supply</t>
  </si>
  <si>
    <t>RFP-MKTG2026-0004</t>
  </si>
  <si>
    <t>02/13/2026</t>
  </si>
  <si>
    <t>December 8, 2025</t>
  </si>
  <si>
    <t>Envato December (after refunds)</t>
  </si>
  <si>
    <t>RFP-MKTG2026-0009</t>
  </si>
  <si>
    <t>02/16/2026</t>
  </si>
  <si>
    <t>Feb 13, 2026</t>
  </si>
  <si>
    <t>Wokz</t>
  </si>
  <si>
    <t>Delivery from Wokz</t>
  </si>
  <si>
    <t>MGL</t>
  </si>
  <si>
    <t>Delivery from MGL</t>
  </si>
  <si>
    <t>RFP-MKTG2026-0010</t>
  </si>
  <si>
    <t>Feb 16, 2026</t>
  </si>
  <si>
    <t>MGL Sign Fabrication</t>
  </si>
  <si>
    <t>DOE-compliance metal signages downpayment (10 pcs)</t>
  </si>
  <si>
    <t>RFP-MKTG2026-0008</t>
  </si>
  <si>
    <t>02/18/2026</t>
  </si>
  <si>
    <t>Wokz.ph</t>
  </si>
  <si>
    <t>B2B rider-focused pull-up banner</t>
  </si>
  <si>
    <t>B2B rider-focused flyers (300 pcs)</t>
  </si>
  <si>
    <t>RFP-SALES2026-0052</t>
  </si>
  <si>
    <t>02/24/2026</t>
  </si>
  <si>
    <t>02/14/2026</t>
  </si>
  <si>
    <t>Water Refilling Station</t>
  </si>
  <si>
    <t>Water refilling (5)</t>
  </si>
  <si>
    <t>Telco</t>
  </si>
  <si>
    <t>02/20/2026</t>
  </si>
  <si>
    <t>Pantry supply</t>
  </si>
  <si>
    <t>02/21/2026</t>
  </si>
  <si>
    <t>02/23/2026</t>
  </si>
  <si>
    <t>RFP-OPS2026-0011</t>
  </si>
  <si>
    <t>02/02/2026</t>
  </si>
  <si>
    <t>01/24-01/31/2026</t>
  </si>
  <si>
    <t>Delivery Expenses - Event, Deployment of Batteries and Spareparts</t>
  </si>
  <si>
    <t>01/23-01/31/2026</t>
  </si>
  <si>
    <t>Grab &amp; Food Panda</t>
  </si>
  <si>
    <t>OKLA (Supplier) Expenses - Meal &amp; Transportation</t>
  </si>
  <si>
    <t>RFP-OPS2026-0012</t>
  </si>
  <si>
    <t>02/04/2026</t>
  </si>
  <si>
    <t>Grab</t>
  </si>
  <si>
    <t>OKLA Meal and Transportation Expenses</t>
  </si>
  <si>
    <t>PPE - Spare parts &amp; components</t>
  </si>
  <si>
    <t>RFP-OPS2026-0013</t>
  </si>
  <si>
    <t>02/11/2026</t>
  </si>
  <si>
    <t>SAMUEL U KNIAZEFF JR.</t>
  </si>
  <si>
    <t>Lazada/Shopee</t>
  </si>
  <si>
    <t>GCSUN Top Box Spare Parts</t>
  </si>
  <si>
    <t>No Brand Top Box Spare Parts</t>
  </si>
  <si>
    <t>RFP-OPS2026-0016</t>
  </si>
  <si>
    <t>OKLA Delivery</t>
  </si>
  <si>
    <t>RFP-OPS2026-0010</t>
  </si>
  <si>
    <t>02/01/2026</t>
  </si>
  <si>
    <t>Per Diem</t>
  </si>
  <si>
    <t>STA ROSA Service Center Visit Jan 2026 - SR Mechanic C. Mendoza, 1050/day x4 days</t>
  </si>
  <si>
    <t>RFP-COMP2026-0037</t>
  </si>
  <si>
    <t>2/13/2026</t>
  </si>
  <si>
    <t>Malusak/Sta Rosa Laguna LGU</t>
  </si>
  <si>
    <t>Payment for Business closure in Malusak, Sta Rosa Laguna (BSS)</t>
  </si>
  <si>
    <t>RFP-COMP2026-0041</t>
  </si>
  <si>
    <t>02/27/2026</t>
  </si>
  <si>
    <t>2/23/2026</t>
  </si>
  <si>
    <t>Sta. Rosa LGU</t>
  </si>
  <si>
    <t>Per Diem (Sta. Rosa LGU Business Permit processing Feb 23)</t>
  </si>
  <si>
    <t>Transportation Sta Rosa Balibago to Cityhall</t>
  </si>
  <si>
    <t>Transportation Sta Rosa Cityhall to Balibago</t>
  </si>
  <si>
    <t>Bus Fare Ayala to Sta Rosa Laguna (Feb 23)</t>
  </si>
  <si>
    <t>Bus Fare Sta Rosa Laguna to One Ayala (Feb 23)</t>
  </si>
  <si>
    <t>2/26/2026</t>
  </si>
  <si>
    <t>Per Diem (Sta. Rosa LGU Business Permit submit requirements Feb 26)</t>
  </si>
  <si>
    <t>Bus Fare Ayala to Sta Rosa Laguna (Feb 26)</t>
  </si>
  <si>
    <t>Bus Fare Sta Rosa Laguna to One Ayala (Feb 26)</t>
  </si>
  <si>
    <t>01/31/2026</t>
  </si>
  <si>
    <t>Water Supplier</t>
  </si>
  <si>
    <t>Purified Water (5)</t>
  </si>
  <si>
    <t>01/28-01/29/2026</t>
  </si>
  <si>
    <t>Metal/Packaging Supplier</t>
  </si>
  <si>
    <t>Consumables - Metals for Bracket and Packaging Materials</t>
  </si>
  <si>
    <t>Gas Station</t>
  </si>
  <si>
    <t>Gasoline for Sourcing and Purchasing of Tools</t>
  </si>
  <si>
    <t>Tricycle</t>
  </si>
  <si>
    <t>Transportation - Tricycle for purchasing of metals</t>
  </si>
  <si>
    <t>Meal</t>
  </si>
  <si>
    <t>Meal Allowance - Sourcing and Purchasing of Tools</t>
  </si>
  <si>
    <t>01/30/2026</t>
  </si>
  <si>
    <t>Health Office</t>
  </si>
  <si>
    <t>Health Certificate - Arby Mostrales</t>
  </si>
  <si>
    <t>RFP-HR2026-0170</t>
  </si>
  <si>
    <t>Rent - January 2026 (note: attachment shows Spacepro rent 208,650; record php differs)</t>
  </si>
  <si>
    <t>02/02-02/03/2026</t>
  </si>
  <si>
    <t>Delivery Expenses - Lalamove to B2B and Asgard</t>
  </si>
  <si>
    <t>Hardware</t>
  </si>
  <si>
    <t>Weighing Scale</t>
  </si>
  <si>
    <t>RFP-HR2026-0171</t>
  </si>
  <si>
    <t>RFP-OPS2026-0014</t>
  </si>
  <si>
    <t>Hardware Store</t>
  </si>
  <si>
    <t>Leather Gloves</t>
  </si>
  <si>
    <t>Drill Bit (x2)</t>
  </si>
  <si>
    <t>Step Drill Bit</t>
  </si>
  <si>
    <t>Flap Disc (x2)</t>
  </si>
  <si>
    <t>18 in 1 Screwdriver</t>
  </si>
  <si>
    <t>Metal Cutting Disc (x5)</t>
  </si>
  <si>
    <t>Impact Drill</t>
  </si>
  <si>
    <t>Cut-off Saw</t>
  </si>
  <si>
    <t>Welding Machine</t>
  </si>
  <si>
    <t>Angle Grinder</t>
  </si>
  <si>
    <t>Taxi</t>
  </si>
  <si>
    <t>Airport to Hotel (Taxi + Toll)</t>
  </si>
  <si>
    <t>Dinner</t>
  </si>
  <si>
    <t>Lunch</t>
  </si>
  <si>
    <t>Hotel to Asgard</t>
  </si>
  <si>
    <t>Asgard to Hotel</t>
  </si>
  <si>
    <t>Hotel to Airport</t>
  </si>
  <si>
    <t>Asgard to TCI</t>
  </si>
  <si>
    <t>Hotel to TCI</t>
  </si>
  <si>
    <t>Mall/Estancia to Hotel</t>
  </si>
  <si>
    <t>02/05/2026</t>
  </si>
  <si>
    <t>TCI to Mall near Hotel</t>
  </si>
  <si>
    <t>RFP-OPS2026-0017</t>
  </si>
  <si>
    <t>02/12/2026</t>
  </si>
  <si>
    <t>TMJP BPO SERVICES INC.</t>
  </si>
  <si>
    <t>TMJP BPO SERVICES, INC.</t>
  </si>
  <si>
    <t>Monthly Operation Running Fee January 2026</t>
  </si>
  <si>
    <t>Value Added Tax (VAT 12%)</t>
  </si>
  <si>
    <t>RFP-OPS2026-0018</t>
  </si>
  <si>
    <t>02/09/2026</t>
  </si>
  <si>
    <t>Monthly Operation Running Fee December 2025 (Payment 1)</t>
  </si>
  <si>
    <t>Monthly Operation Running Fee December 2025 (Payment 2)</t>
  </si>
  <si>
    <t>RFP-COMP2026-0036</t>
  </si>
  <si>
    <t>Prestige Int'l. Container Co.</t>
  </si>
  <si>
    <t>CP processing</t>
  </si>
  <si>
    <t>CP stamp</t>
  </si>
  <si>
    <t>RFP-OPS2026-0019</t>
  </si>
  <si>
    <t>February 12, 2026</t>
  </si>
  <si>
    <t>Samuel Kniazeff Jr (supplier)</t>
  </si>
  <si>
    <t>Flat Bars for Brackets</t>
  </si>
  <si>
    <t>RFP-OPS2026-0020</t>
  </si>
  <si>
    <t>02/07-02/23</t>
  </si>
  <si>
    <t>Lalamove/Grab</t>
  </si>
  <si>
    <t>Delivery Expenses - B2B and Locker Location &amp; Gatepass Octagon Village (12 trips)</t>
  </si>
  <si>
    <t>02/05-02/16</t>
  </si>
  <si>
    <t>02/18-02/19</t>
  </si>
  <si>
    <t>Gcash/Maya</t>
  </si>
  <si>
    <t>Simcard Load for Locker Testing (5)</t>
  </si>
  <si>
    <t>02/17</t>
  </si>
  <si>
    <t>Hardware Supplier</t>
  </si>
  <si>
    <t>Maintenance - metal for bracket</t>
  </si>
  <si>
    <t>02/20</t>
  </si>
  <si>
    <t>02/04</t>
  </si>
  <si>
    <t>Joyride/Moveit/Angkas</t>
  </si>
  <si>
    <t>Transportation - HPG, Asgard and Masserve (7)</t>
  </si>
  <si>
    <t>Maintenance Tools - Flap Disc</t>
  </si>
  <si>
    <t>RFP-IT2026-0167</t>
  </si>
  <si>
    <t>2/27/2026</t>
  </si>
  <si>
    <t>RFP-OPS2026-0015</t>
  </si>
  <si>
    <t>After-sales consumables (attachment fid resolved to RFP-OPS2026-0016 doc; itemization unavailable)</t>
  </si>
  <si>
    <t>LIQ-COMP2026-0002</t>
  </si>
  <si>
    <t>12 units MV Clearance</t>
  </si>
  <si>
    <t>12 units MV Clearance (SOP)</t>
  </si>
  <si>
    <t>LTO Accreditation fee</t>
  </si>
  <si>
    <t>RFP-EXC2026-0017</t>
  </si>
  <si>
    <t>LTO Registration - 31 units</t>
  </si>
  <si>
    <t>31 units MV clearance registration</t>
  </si>
  <si>
    <t>31 units MV clearance (SOP)</t>
  </si>
  <si>
    <t>02/12</t>
  </si>
  <si>
    <t>Food/Meal</t>
  </si>
  <si>
    <t>Meal Allowance - MV Clearance &amp; JRS Registration (2)</t>
  </si>
  <si>
    <t>RFP-EXC2026-0018</t>
  </si>
  <si>
    <t>02/25/2026</t>
  </si>
  <si>
    <t>2/25/2026</t>
  </si>
  <si>
    <t>MV Clearance (12 units)</t>
  </si>
  <si>
    <t>MV Clearance SOP (12 units)</t>
  </si>
  <si>
    <t>MV Clearance (30 units)</t>
  </si>
  <si>
    <t>MV Clearance SOP (30 units)</t>
  </si>
  <si>
    <t>MV Clearance (31 units)</t>
  </si>
  <si>
    <t>MV Clearance SOP (31 units)</t>
  </si>
  <si>
    <t>LTO accreditation renewal</t>
  </si>
  <si>
    <t>RFP-COMP2026-0043</t>
  </si>
  <si>
    <t>2/6/2026</t>
  </si>
  <si>
    <t>Michelle Arianne Manza</t>
  </si>
  <si>
    <t>MV clearance (Php 200 x 50 units)</t>
  </si>
  <si>
    <t>MV clearance (SOP)</t>
  </si>
  <si>
    <t>LTO Registration (1,000/MC x 50 units)</t>
  </si>
  <si>
    <t>CCTV Supplier</t>
  </si>
  <si>
    <t>Materials and Repair of CCTV System</t>
  </si>
  <si>
    <t>Gasoline &amp; Parking - Purchasing Materials for CCTV and Weighing Scale</t>
  </si>
  <si>
    <t>RFP-IT2026-0164</t>
  </si>
  <si>
    <t>Packetworx, Inc</t>
  </si>
  <si>
    <t>Monthly Usage Fee (6 months)</t>
  </si>
  <si>
    <t>SIM Monthly Fee (6 months)</t>
  </si>
  <si>
    <t>Share APN (6 months)</t>
  </si>
  <si>
    <t>Reporting and Management Fee (6 months)</t>
  </si>
  <si>
    <t>RFP-OPS2026-0009</t>
  </si>
  <si>
    <t>RideBox Assocs Per Diem - scouting deployment areas MNL+Pasay (Jervy Soltura, Gerald Kalaw; 750/day x2 x2)</t>
  </si>
  <si>
    <t>RFP-HR2026-0169</t>
  </si>
  <si>
    <t>Jhon Emmanuel M. Usi</t>
  </si>
  <si>
    <t>Payment for locker installation - Jan 2026</t>
  </si>
  <si>
    <t>RFP-IT2026-0157</t>
  </si>
  <si>
    <t>ThingsPh / RGB</t>
  </si>
  <si>
    <t>CA for RideBox Deployment - Locker site (ThingsPh 70% for 3 sites / RGB 50% 1 site)</t>
  </si>
  <si>
    <t>LIQ-IT2026-0010</t>
  </si>
  <si>
    <t>2/5/2026</t>
  </si>
  <si>
    <t>Company Car Gas - Site Survey/Deployment BF Paranaque/Corinthian/Alfamart/Phoenix</t>
  </si>
  <si>
    <t>2/18/2026</t>
  </si>
  <si>
    <t>Personal Car Gas - Phoenix Sites Survey</t>
  </si>
  <si>
    <t>LIQ-IT2026-0002</t>
  </si>
  <si>
    <t>ThingsPH BSS Deployment</t>
  </si>
  <si>
    <t>RFP-IT2026-0166</t>
  </si>
  <si>
    <t>February 24, 2026</t>
  </si>
  <si>
    <t>STM Builders</t>
  </si>
  <si>
    <t>STM Builder BSS Deployment Downpayment (Evangelista/Jordan Plaines/Macanas)</t>
  </si>
  <si>
    <t>RGB</t>
  </si>
  <si>
    <t>RGB BSS Deployment Downpayment (Cornerstone Building)</t>
  </si>
  <si>
    <t>Fuel and transit allowance Mega Manila BSS expansion - March 2026</t>
  </si>
  <si>
    <t>RFP-HR2026-0177</t>
  </si>
  <si>
    <t>RFP-HR2026-0179</t>
  </si>
  <si>
    <t>Water bill February 2026 - Service Center (CAN 000031931562)</t>
  </si>
  <si>
    <t>RFP-IT2026-0160</t>
  </si>
  <si>
    <t>Smart</t>
  </si>
  <si>
    <t>Magic Data 99 for Smart Sim (Barangay San Antonio)</t>
  </si>
  <si>
    <t>Magic Data 99 for Smart Sim (Manila Golf Club)</t>
  </si>
  <si>
    <t>Magic Data 99 for Smart Sim (Power Fill Punturin)</t>
  </si>
  <si>
    <t>Load Allowance (Data, Call &amp; Text)</t>
  </si>
  <si>
    <t>Grab Ride to Century City Mall (Meeting)</t>
  </si>
  <si>
    <t>Grab Ride to Headquarters (TCI)</t>
  </si>
  <si>
    <t>December 5, 2025</t>
  </si>
  <si>
    <t>Lemlist December subscription</t>
  </si>
  <si>
    <t>November 11, 2025</t>
  </si>
  <si>
    <t>Yet Another Mail Merge (YAMM)</t>
  </si>
  <si>
    <t>YAMM November subscription</t>
  </si>
  <si>
    <t>RFP-IT2026-0165</t>
  </si>
  <si>
    <t>02/19/2026</t>
  </si>
  <si>
    <t>1/27/2026</t>
  </si>
  <si>
    <t>Magic Data</t>
  </si>
  <si>
    <t>SIM Load Power Fill Ridebox Barangka</t>
  </si>
  <si>
    <t>1/16/2026</t>
  </si>
  <si>
    <t>SIM Load Power Fill Ridebox Sandoval</t>
  </si>
  <si>
    <t>2/4/2026</t>
  </si>
  <si>
    <t>SIM Load Power Fill Ridebox Tandang Sora</t>
  </si>
  <si>
    <t>1/7/2026</t>
  </si>
  <si>
    <t>SIM Load Power Fill Ridebox Damong Maliit</t>
  </si>
  <si>
    <t>2/9/2026</t>
  </si>
  <si>
    <t>SIM Load Alfamart Ridebox Wawa Taguig</t>
  </si>
  <si>
    <t>1/26/2026</t>
  </si>
  <si>
    <t>Company Car Gas - Power Fill Damong Maliit/Tandang Sora</t>
  </si>
  <si>
    <t>Personal Car Gas - Alfamart Wawa Taguig</t>
  </si>
  <si>
    <t>Car Wash</t>
  </si>
  <si>
    <t>Company Car - Car Wash</t>
  </si>
  <si>
    <t>Tollway</t>
  </si>
  <si>
    <t>Toll Fee Makati to Magallanes (MoA survey)</t>
  </si>
  <si>
    <t>Company Car Gas - Phoenix VITO/C5/Dhalia Araneta</t>
  </si>
  <si>
    <t>Bank</t>
  </si>
  <si>
    <t>Bank Transfer Service Fee</t>
  </si>
  <si>
    <t>PLDT Internet</t>
  </si>
  <si>
    <t>Converge Internet</t>
  </si>
  <si>
    <t>RFP-HR2026-0173</t>
  </si>
  <si>
    <t>October 2025 Rent (discrepancy)</t>
  </si>
  <si>
    <t>November 2025 Rent (discrepancy)</t>
  </si>
  <si>
    <t>December 2025 Rent (discrepancy)</t>
  </si>
  <si>
    <t>RFP-HR2026-0175</t>
  </si>
  <si>
    <t>GLOBE TELECOM, INC.</t>
  </si>
  <si>
    <t>Globe mobile postpaid for the month of January 2026 (multiple lines/subscribers)</t>
  </si>
  <si>
    <t>RFP-HR2026-0176</t>
  </si>
  <si>
    <t>GLOBE TELECOM, INC. (Innove)</t>
  </si>
  <si>
    <t>Globe fiber warehouse 935065323 - January 2026</t>
  </si>
  <si>
    <t>RFP-HR2026-0174</t>
  </si>
  <si>
    <t>Office supplies - Admin for February 2026</t>
  </si>
  <si>
    <t>RFP-HR2026-0178</t>
  </si>
  <si>
    <t>2/20/2026</t>
  </si>
  <si>
    <t>Rent February 2026</t>
  </si>
  <si>
    <t>Monthly Maintenance fee (MWF) February 2026</t>
  </si>
  <si>
    <t>Jan-Feb 2026 Water Consumption</t>
  </si>
  <si>
    <t>RFP-HR2026-0172</t>
  </si>
  <si>
    <t>Insular Health Care Inc. (iCare)</t>
  </si>
  <si>
    <t>INSULAR HEALTH CARE INC.</t>
  </si>
  <si>
    <t>HMO Payment (G. Kalaw)</t>
  </si>
  <si>
    <t>HMO Payment (J.Alar, R. Gonzales, J. Soltura)</t>
  </si>
  <si>
    <t>HMO Payment (J. Cudia, AM. Estadilla)</t>
  </si>
  <si>
    <t>Notary documents</t>
  </si>
  <si>
    <t>RFP-COMP2026-0035</t>
  </si>
  <si>
    <t>Alpha Insurance and Surety Company Inc.</t>
  </si>
  <si>
    <t>Payment of Asset Fire Insurance</t>
  </si>
  <si>
    <t>Revolving fund reimbursement</t>
  </si>
  <si>
    <t>Barangay business closure certificate</t>
  </si>
  <si>
    <t>RFP-COMP2026-0038</t>
  </si>
  <si>
    <t>RFP-COMP2026-0039</t>
  </si>
  <si>
    <t>January 2026 Retainer Fee</t>
  </si>
  <si>
    <t>RFP-COMP2026-0040</t>
  </si>
  <si>
    <t>MARY REGINA BRIONES APSAY</t>
  </si>
  <si>
    <t>NTC</t>
  </si>
  <si>
    <t>NTC CPE Accreditation Fees</t>
  </si>
  <si>
    <t>Mary Regina Briones Apsay</t>
  </si>
  <si>
    <t>Transportation Residence to One Ayala Terminal</t>
  </si>
  <si>
    <t>Transportation Ayala to Residence</t>
  </si>
  <si>
    <t>Printing Shop</t>
  </si>
  <si>
    <t>Printing and photocopy notarized docs</t>
  </si>
  <si>
    <t>Business Permit Office</t>
  </si>
  <si>
    <t>Business Permit-CTC</t>
  </si>
  <si>
    <t>BFP</t>
  </si>
  <si>
    <t>FSIC Payment - Warehouse</t>
  </si>
  <si>
    <t>FSIC Payment - Brixton</t>
  </si>
  <si>
    <t>RFP-MKTG2026-0007</t>
  </si>
  <si>
    <t>Feb 12, 2026</t>
  </si>
  <si>
    <t>DOE signage sampling</t>
  </si>
  <si>
    <t>DOE</t>
  </si>
  <si>
    <t>DOE-EVCS Registration of Retail Store</t>
  </si>
  <si>
    <t>Professional Electronics Engineer Services (Dealer's Permit/CPE/2 Licensed Technician)</t>
  </si>
  <si>
    <t>NTC Dealer's Permit Fees</t>
  </si>
  <si>
    <t>EVCS Registrations (Php 5,400 x 6 units)</t>
  </si>
  <si>
    <t>RFP-MTKG2026-0011</t>
  </si>
  <si>
    <t>03/03/2026</t>
  </si>
  <si>
    <t>Jan 30-Feb 11</t>
  </si>
  <si>
    <t>Facebook (FB Ads)</t>
  </si>
  <si>
    <t>FB ads charge x23</t>
  </si>
  <si>
    <t>RFP-SALES2026-0053</t>
  </si>
  <si>
    <t>03/10/2026</t>
  </si>
  <si>
    <t>03/06/2026</t>
  </si>
  <si>
    <t>Water Refill Station</t>
  </si>
  <si>
    <t>water refill x5</t>
  </si>
  <si>
    <t>03/07/2026</t>
  </si>
  <si>
    <t>RFP-MKTG2026-0012</t>
  </si>
  <si>
    <t>Mar 9, 2026</t>
  </si>
  <si>
    <t>DOE-compliance metal signage full payment x10</t>
  </si>
  <si>
    <t>RFP-SALES2026-0054</t>
  </si>
  <si>
    <t>03/24/2026</t>
  </si>
  <si>
    <t>2026-03-14</t>
  </si>
  <si>
    <t>Globe/EIHO</t>
  </si>
  <si>
    <t>2026-03-17</t>
  </si>
  <si>
    <t>(Bearing supplier)</t>
  </si>
  <si>
    <t>Koyo Bearing 6201</t>
  </si>
  <si>
    <t>Koyo Bearing 6201 x2</t>
  </si>
  <si>
    <t>(Pantry supplier)</t>
  </si>
  <si>
    <t>2026-03-18</t>
  </si>
  <si>
    <t>2026-03-19</t>
  </si>
  <si>
    <t>2026-03-23</t>
  </si>
  <si>
    <t>(Water refill)</t>
  </si>
  <si>
    <t>Water refill x5</t>
  </si>
  <si>
    <t>2026-03-24</t>
  </si>
  <si>
    <t>YBN Bearing 6201 x2</t>
  </si>
  <si>
    <t>2026-03-25</t>
  </si>
  <si>
    <t>RFP-OPS2026-0032</t>
  </si>
  <si>
    <t>03/26/2026</t>
  </si>
  <si>
    <t>Delivery - signages, units, banners, docs &amp; Octagon gatepass</t>
  </si>
  <si>
    <t>RFP-IT2026-0176</t>
  </si>
  <si>
    <t>03/27/2026</t>
  </si>
  <si>
    <t>(Parking)</t>
  </si>
  <si>
    <t>Parking for motorcycle</t>
  </si>
  <si>
    <t>RFP-IT2026-0175</t>
  </si>
  <si>
    <t>RFP-OPS2026-0021</t>
  </si>
  <si>
    <t>Transpo One Ayala to Sta Rosa Laguna Bus Terminal</t>
  </si>
  <si>
    <t>Grab/Transport</t>
  </si>
  <si>
    <t>Transpo Sta Rosa Bus Terminal to NRD Service Center</t>
  </si>
  <si>
    <t>Transpo NRD Service Center to Sta Rosa Bus Terminal</t>
  </si>
  <si>
    <t>Transpo Sta Rosa Bus Terminal to BBL Terminal Taft</t>
  </si>
  <si>
    <t>RFP-EXC2026-0020</t>
  </si>
  <si>
    <t>03/04/2026</t>
  </si>
  <si>
    <t>Sta Rosa LGU</t>
  </si>
  <si>
    <t>Business permit renewal - Retail Store</t>
  </si>
  <si>
    <t>RFP-COMP2026-0042</t>
  </si>
  <si>
    <t>03/05/2026</t>
  </si>
  <si>
    <t>3/3/2026</t>
  </si>
  <si>
    <t>Per Diem (Sta Rosa LGU permit processing)</t>
  </si>
  <si>
    <t>Transpo Sta Rosa Balibago to Retail Store</t>
  </si>
  <si>
    <t>Transpo Retail Store to Sta Rosa Cityhall</t>
  </si>
  <si>
    <t>Transpo Sta Rosa Cityhall to Sta Rosa Balibago</t>
  </si>
  <si>
    <t>Bus Fare Ayala to Sta Rosa Laguna</t>
  </si>
  <si>
    <t>Bus Fare Sta Rosa Laguna to One Ayala Terminal</t>
  </si>
  <si>
    <t>RFP-OPS2026-0030</t>
  </si>
  <si>
    <t>03/18/2026</t>
  </si>
  <si>
    <t>March 17, 2026</t>
  </si>
  <si>
    <t>Christopher Mendoza (SR Mechanic)</t>
  </si>
  <si>
    <t>Sta Rosa Service Center Visit per diem 3 days @1050</t>
  </si>
  <si>
    <t>(Hotel Sta. Rosa)</t>
  </si>
  <si>
    <t>Hotel Accommodation at Sta. Rosa</t>
  </si>
  <si>
    <t>RFP-HR2026-0181</t>
  </si>
  <si>
    <t>03/02/2026</t>
  </si>
  <si>
    <t>3/2/2026</t>
  </si>
  <si>
    <t>Meralco bill (Electricity) Jan 22-Feb 20, 2026</t>
  </si>
  <si>
    <t>Transpo Rosario Pasig to One Ayala Bus Terminal</t>
  </si>
  <si>
    <t>Asgard to Jamo (Client Onboarding)</t>
  </si>
  <si>
    <t>Jamo to Asgard</t>
  </si>
  <si>
    <t>TCI to Dasma (Client Onboarding)</t>
  </si>
  <si>
    <t>JRS to TCI (Client Onboarding)</t>
  </si>
  <si>
    <t>BGC to TCI (Client Onboarding)</t>
  </si>
  <si>
    <t>Pier Diem (Meals)</t>
  </si>
  <si>
    <t>RFP-OPS2026-0022</t>
  </si>
  <si>
    <t>03/09/2026</t>
  </si>
  <si>
    <t>02/24</t>
  </si>
  <si>
    <t>Manila Water (MWCI)</t>
  </si>
  <si>
    <t>MWCI Asgard Warehouse Water Jan 04-Feb 03 2026</t>
  </si>
  <si>
    <t>02/24-02/25</t>
  </si>
  <si>
    <t>Delivery Expenses (Client &amp; TCI &amp; Gate pass Octagon)</t>
  </si>
  <si>
    <t>02/26-03/06</t>
  </si>
  <si>
    <t>Various</t>
  </si>
  <si>
    <t>Warehouse Supplies, Load for Locker Testing, Consumables</t>
  </si>
  <si>
    <t>02/27</t>
  </si>
  <si>
    <t>Repair Shop</t>
  </si>
  <si>
    <t>Repair of Printer</t>
  </si>
  <si>
    <t>03/02</t>
  </si>
  <si>
    <t>Maintenance Tools - Tire Repair Kit</t>
  </si>
  <si>
    <t>Gasoline to Jamo (repair of MC)</t>
  </si>
  <si>
    <t>Meal Allowance - Pickup of Unit Plates</t>
  </si>
  <si>
    <t>03/02-03/05</t>
  </si>
  <si>
    <t>Grab/Move It</t>
  </si>
  <si>
    <t>Transpo to LTO, Savemore, Pilipinas Masserve</t>
  </si>
  <si>
    <t>RFP-OPS2026-0023</t>
  </si>
  <si>
    <t>Phoenix Fuels</t>
  </si>
  <si>
    <t>LPG Cage for Phoenix Fuels</t>
  </si>
  <si>
    <t>GCSUN</t>
  </si>
  <si>
    <t>GCSUN Top Box for MYTHOS</t>
  </si>
  <si>
    <t>RFP-HR2026-0188</t>
  </si>
  <si>
    <t>03/12/2026</t>
  </si>
  <si>
    <t>3/12/2026</t>
  </si>
  <si>
    <t>Rent - February 2026</t>
  </si>
  <si>
    <t>RFP-OPS2026-0028</t>
  </si>
  <si>
    <t>03/16/2026</t>
  </si>
  <si>
    <t>Feb 28, 2026</t>
  </si>
  <si>
    <t>TMJP BPO Services, Inc.</t>
  </si>
  <si>
    <t>Monthly Operation Running Fee February 2026</t>
  </si>
  <si>
    <t>RFP-OPS2026-0029</t>
  </si>
  <si>
    <t>03/17/2026</t>
  </si>
  <si>
    <t>March 11, 2026</t>
  </si>
  <si>
    <t>Metal Workshop</t>
  </si>
  <si>
    <t>Metal Workshop equipments and consumables</t>
  </si>
  <si>
    <t>RFP-OPS2026-0031</t>
  </si>
  <si>
    <t>GCSUN 45L TOPBOX</t>
  </si>
  <si>
    <t>2026-01-14</t>
  </si>
  <si>
    <t>(Medical)</t>
  </si>
  <si>
    <t>Pre-Employment Medical Reimbursement</t>
  </si>
  <si>
    <t>(Water)</t>
  </si>
  <si>
    <t>Purified water 12 gallons</t>
  </si>
  <si>
    <t>(Maintenance supplier)</t>
  </si>
  <si>
    <t>Maintenance of units, carrier materials &amp; paint</t>
  </si>
  <si>
    <t>(Gasoline)</t>
  </si>
  <si>
    <t>Gasoline</t>
  </si>
  <si>
    <t>Asgard warehouse water Feb 4 - Mar 3</t>
  </si>
  <si>
    <t>Top Box</t>
  </si>
  <si>
    <t>Meal allowance - registration &amp; parking fee</t>
  </si>
  <si>
    <t>2026-03-26</t>
  </si>
  <si>
    <t>(Warehouse supplies)</t>
  </si>
  <si>
    <t>Warehouse supplies and consumables</t>
  </si>
  <si>
    <t>(Transport)</t>
  </si>
  <si>
    <t>Transportation - purchase warehouse supplies</t>
  </si>
  <si>
    <t>RFP-OPS2026-0033</t>
  </si>
  <si>
    <t>03/29/2026</t>
  </si>
  <si>
    <t>Jollibee</t>
  </si>
  <si>
    <t>Jollibee Meal (MoveIt Event)</t>
  </si>
  <si>
    <t>(Electronics)</t>
  </si>
  <si>
    <t>HDMI Dongle for Win's Mac</t>
  </si>
  <si>
    <t>RFP-HR2026-0194</t>
  </si>
  <si>
    <t>03/31/2026</t>
  </si>
  <si>
    <t>2026-03-31</t>
  </si>
  <si>
    <t>Spacepro Corporation (Meralco)</t>
  </si>
  <si>
    <t>Meralco bill Feb 21 - Mar 21, 2026 (Asgard warehouse)</t>
  </si>
  <si>
    <t>LIQ-EXC2026-0001</t>
  </si>
  <si>
    <t>03/13/2026</t>
  </si>
  <si>
    <t>Land Transportation Office</t>
  </si>
  <si>
    <t>RFP-IT2026-0174</t>
  </si>
  <si>
    <t>1188 Teknites Inc</t>
  </si>
  <si>
    <t>1188 Teknites Inc.</t>
  </si>
  <si>
    <t>Sample Roof Mockup and CCTV diagnosis</t>
  </si>
  <si>
    <t>RFP-HR2026-0183</t>
  </si>
  <si>
    <t>3/5/2026</t>
  </si>
  <si>
    <t>Payment for BSS Deployment - Feb 2026-Mar 3 2026</t>
  </si>
  <si>
    <t>Leasehold Improvements</t>
  </si>
  <si>
    <t>RFP-HR2026-0184</t>
  </si>
  <si>
    <t>Activation Construction Services Corp.</t>
  </si>
  <si>
    <t>Office fit-out (final payment)</t>
  </si>
  <si>
    <t>Ridebox consumable (sealant)</t>
  </si>
  <si>
    <t>RFP-IT2026-0172</t>
  </si>
  <si>
    <t>Equipment downpayment - Locker (BSS Pateros), net of EWT</t>
  </si>
  <si>
    <t>RFP-IT2026-0163</t>
  </si>
  <si>
    <t>January 22, 2026</t>
  </si>
  <si>
    <t>Lucidchart Teams License</t>
  </si>
  <si>
    <t>January 2, 2026</t>
  </si>
  <si>
    <t>Google Cloud</t>
  </si>
  <si>
    <t>January 12, 2026</t>
  </si>
  <si>
    <t>Jira 1 (January)</t>
  </si>
  <si>
    <t>January 17, 2026</t>
  </si>
  <si>
    <t>Jira 2 (January)</t>
  </si>
  <si>
    <t>February 2, 2026</t>
  </si>
  <si>
    <t>Jira 1 (February)</t>
  </si>
  <si>
    <t>February 17, 2026</t>
  </si>
  <si>
    <t>Jira 2 (February)</t>
  </si>
  <si>
    <t>January 26, 2026</t>
  </si>
  <si>
    <t>RFP-IT2026-0168</t>
  </si>
  <si>
    <t>02/28/2026</t>
  </si>
  <si>
    <t>RFP-IT2026-0171</t>
  </si>
  <si>
    <t>March 4, 2026</t>
  </si>
  <si>
    <t>SA 3.3 (February 1-28, 2026)</t>
  </si>
  <si>
    <t>March 5, 2026</t>
  </si>
  <si>
    <t>SA 3.3 (March 1-31, 2026)</t>
  </si>
  <si>
    <t>(Per diem)</t>
  </si>
  <si>
    <t>Per Diem (Breakfast and Dinner)</t>
  </si>
  <si>
    <t>Per Diem (Breakfast and Lunch)</t>
  </si>
  <si>
    <t>RFP-EXC2026-0019</t>
  </si>
  <si>
    <t>1/28/2026</t>
  </si>
  <si>
    <t>SEC</t>
  </si>
  <si>
    <t>SEC - request for CTC of SEC AOI</t>
  </si>
  <si>
    <t>Quickbooks</t>
  </si>
  <si>
    <t>Quickbooks (Jan)</t>
  </si>
  <si>
    <t>2/1/2026</t>
  </si>
  <si>
    <t>Google</t>
  </si>
  <si>
    <t>Google GSuite (Jan)</t>
  </si>
  <si>
    <t>2/2/2026</t>
  </si>
  <si>
    <t>Cornerstone Building</t>
  </si>
  <si>
    <t>Advance 1yr rent + 6mo electricity fund</t>
  </si>
  <si>
    <t>2/3/2026</t>
  </si>
  <si>
    <t>Dinner with Ampace Team</t>
  </si>
  <si>
    <t>2/24/2026</t>
  </si>
  <si>
    <t>Service Provider</t>
  </si>
  <si>
    <t>Payment for preparation &amp; filing of 2316</t>
  </si>
  <si>
    <t>120 CSRs application</t>
  </si>
  <si>
    <t>RFP-EXC2026-0021</t>
  </si>
  <si>
    <t>3/18/2026</t>
  </si>
  <si>
    <t>RFP-HR2026-0180</t>
  </si>
  <si>
    <t>Best Century Real Estate Business Inc.</t>
  </si>
  <si>
    <t>CUSA - February 2026</t>
  </si>
  <si>
    <t>RFP-HR2026-0185</t>
  </si>
  <si>
    <t>Globe mobile postpaid 09171403769 A. Mosotrales</t>
  </si>
  <si>
    <t>Globe mobile postpaid 09171039623 E Atuli</t>
  </si>
  <si>
    <t>Globe mobile postpaid 09171174026 E Javillonar</t>
  </si>
  <si>
    <t>Globe mobile postpaid 09171022450 T Masiglat</t>
  </si>
  <si>
    <t>Globe mobile postpaid 09171144614 JJ Rosare</t>
  </si>
  <si>
    <t>Globe mobile postpaid 09171105848 R Dela Cruz</t>
  </si>
  <si>
    <t>Globe mobile postpaid 09171077992 RJ Jardiniano</t>
  </si>
  <si>
    <t>Globe mobile postpaid 09171179672 F Yanto III</t>
  </si>
  <si>
    <t>Globe mobile postpaid 09171095793 Accounting</t>
  </si>
  <si>
    <t>Globe mobile postpaid 09171093022 M Manza</t>
  </si>
  <si>
    <t>Globe mobile postpaid 09171208138 S Vinuya</t>
  </si>
  <si>
    <t>Globe mobile postpaid 09171042934 JM Ysaac</t>
  </si>
  <si>
    <t>Globe mobile postpaid 09171390897 JDL Guce</t>
  </si>
  <si>
    <t>Globe mobile postpaid 09171286414 AM Estadilla</t>
  </si>
  <si>
    <t>Globe mobile postpaid 09171228960 Sales</t>
  </si>
  <si>
    <t>Globe mobile postpaid 09171086482 S Kniazeff Jr</t>
  </si>
  <si>
    <t>Globe mobile postpaid 09171154121 Marketing</t>
  </si>
  <si>
    <t>RFP-HR2026-0186</t>
  </si>
  <si>
    <t>Globe fiber warehouse 935065323 - February 2026</t>
  </si>
  <si>
    <t>RFP-HR2026-0187</t>
  </si>
  <si>
    <t>Rent March 2026</t>
  </si>
  <si>
    <t>Monthly Maintenance fee (MWF) March 2026</t>
  </si>
  <si>
    <t>Feb-March 2026 Water Consumption</t>
  </si>
  <si>
    <t>RFP-HR2026-0189</t>
  </si>
  <si>
    <t>3/13/2026</t>
  </si>
  <si>
    <t>Reimbursement of Rev Fund - HRG</t>
  </si>
  <si>
    <t>RFP-HR2026-0190</t>
  </si>
  <si>
    <t>Reimbursement of HQ PCF</t>
  </si>
  <si>
    <t>RFP-HR2026-0191</t>
  </si>
  <si>
    <t>3/16/2026</t>
  </si>
  <si>
    <t>Polygrets Office Supplies</t>
  </si>
  <si>
    <t>Admin-WH-Retail office supplies March 2026</t>
  </si>
  <si>
    <t>RFP-HR2026-0192</t>
  </si>
  <si>
    <t>03/23/2026</t>
  </si>
  <si>
    <t>03/19/2026</t>
  </si>
  <si>
    <t>Meralco bill CAN 1994173447 - RETAIL STORE</t>
  </si>
  <si>
    <t>Meralco bill CAN 1994155161 - SRVC CENTER</t>
  </si>
  <si>
    <t>Meralco bill CAN 0468486366 - HQ 2</t>
  </si>
  <si>
    <t>RFP-HR2026-0193</t>
  </si>
  <si>
    <t>E. S. Castro Trading</t>
  </si>
  <si>
    <t>E S Castro Trading</t>
  </si>
  <si>
    <t>Annual PMS - 35 units (HQ-Retail-Warehouse-Brixton)</t>
  </si>
  <si>
    <t>2 units Fire extinguisher-10lbs HCFC 123</t>
  </si>
  <si>
    <t>1 unit Fire extinguisher-Dry Chemical 10lbs</t>
  </si>
  <si>
    <t>RFP-HR2026-0182</t>
  </si>
  <si>
    <t>3/4/2026</t>
  </si>
  <si>
    <t>Insular Health Care Inc.</t>
  </si>
  <si>
    <t>HMO Payment (KM Del Rosario, JR Dimaala)</t>
  </si>
  <si>
    <t>HMO Payment (JDL Guce, IG Jimenez)</t>
  </si>
  <si>
    <t>LIQ-COMP2026-0003</t>
  </si>
  <si>
    <t>Notary documents (Sec Cert)</t>
  </si>
  <si>
    <t>LGU</t>
  </si>
  <si>
    <t>Certificate fee</t>
  </si>
  <si>
    <t>Notary documents (Minutes/Sec Cert/Contract)</t>
  </si>
  <si>
    <t>Notary documents (Gross Sales-Retail)</t>
  </si>
  <si>
    <t>Notary documents (Gross Sales-Brixton)</t>
  </si>
  <si>
    <t>Transpo Residence to One Ayala Terminal</t>
  </si>
  <si>
    <t>Transpo Ayala to Pasig</t>
  </si>
  <si>
    <t>Community Tax Certificate</t>
  </si>
  <si>
    <t>Notary documents (Dealer agreement)</t>
  </si>
  <si>
    <t>RFP-COMP2026-0044</t>
  </si>
  <si>
    <t>Pioneer Insurance and Surety Corp.</t>
  </si>
  <si>
    <t>1/21/2026</t>
  </si>
  <si>
    <t>DOE Registration</t>
  </si>
  <si>
    <t>Barangay clearance business closure</t>
  </si>
  <si>
    <t>LGU Malusak</t>
  </si>
  <si>
    <t>Business permit closure (Malusak)</t>
  </si>
  <si>
    <t>Malusak LGU</t>
  </si>
  <si>
    <t>Business permit termination - Malusak</t>
  </si>
  <si>
    <t>Transpo Office to Pasig LGU (Brixton permit)</t>
  </si>
  <si>
    <t>Pasig LGU</t>
  </si>
  <si>
    <t>Business permit-Brixton CTC</t>
  </si>
  <si>
    <t>MAIRDOE Renewal</t>
  </si>
  <si>
    <t>RFP-MKTG2026-0015</t>
  </si>
  <si>
    <t>04/06/2026</t>
  </si>
  <si>
    <t>MoveIt Banners x6</t>
  </si>
  <si>
    <t>RFP-MKTG2026-0018</t>
  </si>
  <si>
    <t>04/10/2026</t>
  </si>
  <si>
    <t>To TCI</t>
  </si>
  <si>
    <t>To Asgard</t>
  </si>
  <si>
    <t>To MoveIt</t>
  </si>
  <si>
    <t>2026-03-30</t>
  </si>
  <si>
    <t>To Minerva</t>
  </si>
  <si>
    <t>RFP-MKTG2026-0016</t>
  </si>
  <si>
    <t>2026-04-10</t>
  </si>
  <si>
    <t>Pull up banner refills for Flexride</t>
  </si>
  <si>
    <t>RFP-SALES2026-0055</t>
  </si>
  <si>
    <t>04/13/2026</t>
  </si>
  <si>
    <t>ANNE Margot Estadilla</t>
  </si>
  <si>
    <t>RFP-OPS2026-0041</t>
  </si>
  <si>
    <t>04/22/2026</t>
  </si>
  <si>
    <t>4/22/2026</t>
  </si>
  <si>
    <t>Transportation Warehouse Marikina (FGD)</t>
  </si>
  <si>
    <t>Transportation Warehouse Marikina to Rosario Pasig (FGD)</t>
  </si>
  <si>
    <t>RFP-OPS2026-0043</t>
  </si>
  <si>
    <t>3/19/2026</t>
  </si>
  <si>
    <t>Transport/Gatepass</t>
  </si>
  <si>
    <t>Transportation - Gatepass Sticker (4 units)</t>
  </si>
  <si>
    <t>RFP-SALES2026-0056</t>
  </si>
  <si>
    <t>04/23/2026</t>
  </si>
  <si>
    <t>4/17/2026</t>
  </si>
  <si>
    <t>Water refill (5 pcs)</t>
  </si>
  <si>
    <t>4/20/2026</t>
  </si>
  <si>
    <t>4/21/2026</t>
  </si>
  <si>
    <t>4/23/2026</t>
  </si>
  <si>
    <t>RFP-OPS2026-0035</t>
  </si>
  <si>
    <t>04/07/2026</t>
  </si>
  <si>
    <t>2026-03-02</t>
  </si>
  <si>
    <t>Delivery Fee Flexride Marikina &amp; BF Homes Paranaque</t>
  </si>
  <si>
    <t>RFP-OPS2026-0042</t>
  </si>
  <si>
    <t>4/15/2026</t>
  </si>
  <si>
    <t>Delivery Fee to Move It Marikina</t>
  </si>
  <si>
    <t>Delivery Fee to JRS Pasig</t>
  </si>
  <si>
    <t>LIQ-IT2026-0013</t>
  </si>
  <si>
    <t>Phoenix</t>
  </si>
  <si>
    <t>Company car gas - Delivery of MC and batteries</t>
  </si>
  <si>
    <t>RFP-OPS2026-0025</t>
  </si>
  <si>
    <t>OMAX/OMIGO E-Motorcycles CBU (less 70%); USD $33,534.00</t>
  </si>
  <si>
    <t>RFP-OPS2026-0026</t>
  </si>
  <si>
    <t>OKLA Spare Parts (less 70%); USD $4,999.40</t>
  </si>
  <si>
    <t>RFP-OPS2026-0037</t>
  </si>
  <si>
    <t>Arby Mostrales</t>
  </si>
  <si>
    <t>Per Diem - Visit to Sta Rosa (Meal Day 1)</t>
  </si>
  <si>
    <t>RFP-OPS2026-0034</t>
  </si>
  <si>
    <t>04/01/2026</t>
  </si>
  <si>
    <t>MYTHOS Mar 2026 - Richard Gonzales 7 days @750</t>
  </si>
  <si>
    <t>MYTHOS Mar 2026 - Jaycer Alar 7 days @750</t>
  </si>
  <si>
    <t>2026-03-27</t>
  </si>
  <si>
    <t>Cadapan Inn</t>
  </si>
  <si>
    <t>Parking ticket</t>
  </si>
  <si>
    <t>(Hotel)</t>
  </si>
  <si>
    <t>Hotel Mar 27-30</t>
  </si>
  <si>
    <t>Hotel Mar 30-Apr 2</t>
  </si>
  <si>
    <t>RFP-OPS2026-0036</t>
  </si>
  <si>
    <t>2026-04-07</t>
  </si>
  <si>
    <t>Delivery - gatepass, delivery fee &amp; transportation</t>
  </si>
  <si>
    <t>Load for locker</t>
  </si>
  <si>
    <t>(Cleaning supplier)</t>
  </si>
  <si>
    <t>Cleaning materials</t>
  </si>
  <si>
    <t>2026-04-04</t>
  </si>
  <si>
    <t>Purified water 6 gallons</t>
  </si>
  <si>
    <t>(Brackets supplier)</t>
  </si>
  <si>
    <t>Brackets materials</t>
  </si>
  <si>
    <t>Joyride</t>
  </si>
  <si>
    <t>Transportation - from Xpress Paranaque (RL &amp; JI)</t>
  </si>
  <si>
    <t>2026-04-06</t>
  </si>
  <si>
    <t>Hilux gasoline</t>
  </si>
  <si>
    <t>RFP-HR2026-0197</t>
  </si>
  <si>
    <t>04/08/2026</t>
  </si>
  <si>
    <t>2026-04-08</t>
  </si>
  <si>
    <t>Rent - March 2026</t>
  </si>
  <si>
    <t>RFP-OPS2026-0038</t>
  </si>
  <si>
    <t>(Manpower)</t>
  </si>
  <si>
    <t>MYTHOS project-based salary - Christian Kenneth Castillo 20 days @800</t>
  </si>
  <si>
    <t>MYTHOS project-based salary - Ryam Bjy Torrijos 20 days @800</t>
  </si>
  <si>
    <t>RFP-OPS2026-0027</t>
  </si>
  <si>
    <t>04/15/2026</t>
  </si>
  <si>
    <t>Samuel Kniazeff Jr</t>
  </si>
  <si>
    <t>Meal/per diem - SR Mechanic Christopher Mendoza (2 days @1050)</t>
  </si>
  <si>
    <t>Meal/per diem - JR Mechanic Jomari Inhaynes (1 day @750)</t>
  </si>
  <si>
    <t>RFP-OPS2026-0039</t>
  </si>
  <si>
    <t>Mythos project-based assoc salary - Christian Kenneth Castillo (6 days @800)</t>
  </si>
  <si>
    <t>Mythos project-based assoc salary - Ryam Bjy Torrijos (6 days @800)</t>
  </si>
  <si>
    <t>4/8/2026</t>
  </si>
  <si>
    <t>Maya</t>
  </si>
  <si>
    <t>4/10/2026</t>
  </si>
  <si>
    <t>Cellphone Holder (10 pcs)</t>
  </si>
  <si>
    <t>4/13/2026</t>
  </si>
  <si>
    <t>Maintenance Consumables</t>
  </si>
  <si>
    <t>Transport</t>
  </si>
  <si>
    <t>Transportation - Purchase of Supplies</t>
  </si>
  <si>
    <t>Delivery Expenses - Documents, Gatepass &amp; Spareparts</t>
  </si>
  <si>
    <t>Spacepro</t>
  </si>
  <si>
    <t>MWCI Asgard water (Mar 04 - Apr 03 2026)</t>
  </si>
  <si>
    <t>Meal Allowance - Return of units Xpress and Tri Megaforce</t>
  </si>
  <si>
    <t>RFP-HR2026-0211</t>
  </si>
  <si>
    <t>04/29/2026</t>
  </si>
  <si>
    <t>4/29/2026</t>
  </si>
  <si>
    <t>Meralco/electric bill Asgard Warehouse (Mar 22 - Apr 21 2026)</t>
  </si>
  <si>
    <t>RFP-COMP2026-0046</t>
  </si>
  <si>
    <t>3/6/2026</t>
  </si>
  <si>
    <t>Transportation Office to LTO-NCR (Claimed CR-Plate)</t>
  </si>
  <si>
    <t>Transportation LTO-NCR to Residence</t>
  </si>
  <si>
    <t>Transportation Office to LTO-NCR (CR-Plate)</t>
  </si>
  <si>
    <t>3/30/2026</t>
  </si>
  <si>
    <t>Transportation Pasig to PNP-HPG (MV Clearances)</t>
  </si>
  <si>
    <t>4/7/2026</t>
  </si>
  <si>
    <t>Transportation Office to LTO-NCR (Pick up Plate)</t>
  </si>
  <si>
    <t>Transportation LTO-NCR to Office</t>
  </si>
  <si>
    <t>LTO Accreditation-LTMS payment / Permits</t>
  </si>
  <si>
    <t>Transportation Residence to LTO-NCR (Pick up CRs)</t>
  </si>
  <si>
    <t>RFP-COMP2026-0047</t>
  </si>
  <si>
    <t>4/16/2026</t>
  </si>
  <si>
    <t>Transportation Office to LTO-NCR (Claimed pending Plate &amp; CR)</t>
  </si>
  <si>
    <t>Transportation LTO-NCR to HQ</t>
  </si>
  <si>
    <t>Transportation Warehouse to LTO-NCR (Claimed Plate)</t>
  </si>
  <si>
    <t>Company car gas - Site Survey (Vito Cruz, C5, Dhalia, Araneta)</t>
  </si>
  <si>
    <t>Company car gas - Site Survey/Deployment (Malabon, Jordan Plaines QC, Novaliches)</t>
  </si>
  <si>
    <t>Company car gas - Site Survey Alfamart Caloocan / PMS Toyota North Edsa</t>
  </si>
  <si>
    <t>RFP-OPS2026-0024</t>
  </si>
  <si>
    <t>YK-HDG05WF 5-door Battery Swap Cabinet Locker (less 50%); USD $27,600.00</t>
  </si>
  <si>
    <t>RFP-IT2026-0181</t>
  </si>
  <si>
    <t>04/21/2026</t>
  </si>
  <si>
    <t>RideBox Installation Downpayment - Energizer Makati</t>
  </si>
  <si>
    <t>4/18/2026</t>
  </si>
  <si>
    <t>RFP-HR2026-0208</t>
  </si>
  <si>
    <t>04/24/2026</t>
  </si>
  <si>
    <t>Edgardo Fortajada</t>
  </si>
  <si>
    <t>Payment for Services - BSS Deployment</t>
  </si>
  <si>
    <t>RFP-HR2026-0206</t>
  </si>
  <si>
    <t>04/20/2026</t>
  </si>
  <si>
    <t>RFP-IT2026-0178</t>
  </si>
  <si>
    <t>SA 3.4 (April 1-30, 2026)</t>
  </si>
  <si>
    <t>RFP-MKTG2026-0017</t>
  </si>
  <si>
    <t>Canva yearly subscription</t>
  </si>
  <si>
    <t>RFP-IT2026-0180</t>
  </si>
  <si>
    <t>2026-02-26</t>
  </si>
  <si>
    <t>Cloudflare Subscription ($25.00)</t>
  </si>
  <si>
    <t>2026-02-23</t>
  </si>
  <si>
    <t>Lucid Software</t>
  </si>
  <si>
    <t>Lucid Software Subscription ($120.00)</t>
  </si>
  <si>
    <t>Slack</t>
  </si>
  <si>
    <t>Slack Subscription ($67.30)</t>
  </si>
  <si>
    <t>Google Cloud Platform</t>
  </si>
  <si>
    <t>Google Cloud Platform ($1844.67)</t>
  </si>
  <si>
    <t>Jira</t>
  </si>
  <si>
    <t>Jira 1 ($750.63)</t>
  </si>
  <si>
    <t>2026-03-12</t>
  </si>
  <si>
    <t>Jira 2 ($69.18)</t>
  </si>
  <si>
    <t>RFP-OPS2026-0040</t>
  </si>
  <si>
    <t>3/31/2026</t>
  </si>
  <si>
    <t>Monthly Operation Running Fee March 2026</t>
  </si>
  <si>
    <t>Transportation Minerva Malabon to TCI (Meeting)</t>
  </si>
  <si>
    <t>Transportation TCI to JRS (Client Onboarding)</t>
  </si>
  <si>
    <t>Transportation JRS to TCI (Client Onboarding)</t>
  </si>
  <si>
    <t>Transportation TCI to TMJP (Business Review)</t>
  </si>
  <si>
    <t>Transportation Rosario Pasig to Warehouse Marikina (Client Onboarding)</t>
  </si>
  <si>
    <t>RFP-IT2026-0179</t>
  </si>
  <si>
    <t>Claude AI / Anthropic</t>
  </si>
  <si>
    <t>Claude AI Subscription: Team Plan ($25.00)</t>
  </si>
  <si>
    <t>4/9/2026</t>
  </si>
  <si>
    <t>Claude AI Subscription: Team Plan ($140.00)</t>
  </si>
  <si>
    <t>Claude AI Subscription: Team Plan ($22.40)</t>
  </si>
  <si>
    <t>Claude AI Subscription: Team Plan ($14.71)</t>
  </si>
  <si>
    <t>4/28/2026</t>
  </si>
  <si>
    <t>Claude AI Subscription: Team Plan ($1.90)</t>
  </si>
  <si>
    <t>RFP-EXC2026-0022</t>
  </si>
  <si>
    <t>04/16/2026</t>
  </si>
  <si>
    <t>Meals/Meeting Room</t>
  </si>
  <si>
    <t>Meals and meeting room payment for Strat planning</t>
  </si>
  <si>
    <t>RFP-EXC2026-0023</t>
  </si>
  <si>
    <t>04/28/2026</t>
  </si>
  <si>
    <t>4/6/2026</t>
  </si>
  <si>
    <t>Meals - Client meeting</t>
  </si>
  <si>
    <t>RFP-HR2026-0196</t>
  </si>
  <si>
    <t>Rent April 2026</t>
  </si>
  <si>
    <t>Monthly maintenance fee (MWF) April 2026</t>
  </si>
  <si>
    <t>March-April 2026 water consumption</t>
  </si>
  <si>
    <t>RFP-HR2026-0198</t>
  </si>
  <si>
    <t>2026-01-01</t>
  </si>
  <si>
    <t>ALFAMART TRADING PHILIPPINES, INC.</t>
  </si>
  <si>
    <t>Alfamart Trading Philippines, Inc.</t>
  </si>
  <si>
    <t>Advance rent for 3 sites</t>
  </si>
  <si>
    <t>Security deposit for 3 sites</t>
  </si>
  <si>
    <t>RFP-HR2026-0199</t>
  </si>
  <si>
    <t>2026-03-05</t>
  </si>
  <si>
    <t>Advance rent for 6 sites</t>
  </si>
  <si>
    <t>Security deposit for 6 sites</t>
  </si>
  <si>
    <t>Document stamp for 9 sites</t>
  </si>
  <si>
    <t>RFP-HR2026-0200</t>
  </si>
  <si>
    <t>CUSA - March 2026</t>
  </si>
  <si>
    <t>Rent - April 2026</t>
  </si>
  <si>
    <t>CUSA - April 2026</t>
  </si>
  <si>
    <t>RFP-HR2026-0201</t>
  </si>
  <si>
    <t>2026-04-14</t>
  </si>
  <si>
    <t>Globe mobile postpaid Mar 2026 - A. Mostrales</t>
  </si>
  <si>
    <t>Globe mobile postpaid Mar 2026 - EAtuli</t>
  </si>
  <si>
    <t>Globe mobile postpaid Mar 2026 - EJavillonar</t>
  </si>
  <si>
    <t>Globe mobile postpaid Mar 2026 - TMasiglat</t>
  </si>
  <si>
    <t>Globe mobile postpaid Mar 2026 - JJRosare</t>
  </si>
  <si>
    <t>Globe mobile postpaid Mar 2026 - RDela Cruz</t>
  </si>
  <si>
    <t>Globe mobile postpaid Mar 2026 - RJ Jardiniano</t>
  </si>
  <si>
    <t>Globe mobile postpaid Mar 2026 - FYanto III</t>
  </si>
  <si>
    <t>Globe mobile postpaid Mar 2026 - Alexis</t>
  </si>
  <si>
    <t>Globe mobile postpaid Mar 2026 - MManza</t>
  </si>
  <si>
    <t>Globe mobile postpaid Mar 2026 - SVinuya</t>
  </si>
  <si>
    <t>Globe mobile postpaid Mar 2026 - JMYsaac</t>
  </si>
  <si>
    <t>Globe mobile postpaid Mar 2026 - JDL Guce</t>
  </si>
  <si>
    <t>Globe mobile postpaid Mar 2026 - AM Estadilla</t>
  </si>
  <si>
    <t>Globe mobile postpaid Mar 2026 - Sales</t>
  </si>
  <si>
    <t>Globe mobile postpaid Mar 2026 - SKniazeff Jr</t>
  </si>
  <si>
    <t>Globe mobile postpaid Mar 2026 - Marketing</t>
  </si>
  <si>
    <t>RFP-HR2026-0202</t>
  </si>
  <si>
    <t>Globe fiber warehouse 935065323 - March 2026</t>
  </si>
  <si>
    <t>RFP-HR2026-0203</t>
  </si>
  <si>
    <t>2026-03-01</t>
  </si>
  <si>
    <t>February rent for 9 sites</t>
  </si>
  <si>
    <t>Less 12% withholding</t>
  </si>
  <si>
    <t>RFP-HR2026-0204</t>
  </si>
  <si>
    <t>April rent for 9 sites (net of 12% WH)</t>
  </si>
  <si>
    <t>RFP-HR2025-0205</t>
  </si>
  <si>
    <t>Blue Corner polo shirts E88 embroidery logo (8 @350)</t>
  </si>
  <si>
    <t>Blue Corner round neck DTF print logo (11 @275)</t>
  </si>
  <si>
    <t>RFP-HR2026-0195</t>
  </si>
  <si>
    <t>Admin-WH-Retail office supplies for April 2026</t>
  </si>
  <si>
    <t>RFP-HR2026-0207</t>
  </si>
  <si>
    <t>Toyota Balintawak DBU Toyota North Edsa</t>
  </si>
  <si>
    <t>Key replacement and reprogramming - Toyota Hilux</t>
  </si>
  <si>
    <t>RFP-COMP2026-0045</t>
  </si>
  <si>
    <t>2026-04-09</t>
  </si>
  <si>
    <t>February 2026 Retainer Fee</t>
  </si>
  <si>
    <t>3/24/2026</t>
  </si>
  <si>
    <t>Transportation Residence to Warehouse (LTO docs)</t>
  </si>
  <si>
    <t>Transportation Warehouse to Residence</t>
  </si>
  <si>
    <t>Transportation PNP-HPG to Office</t>
  </si>
  <si>
    <t>Transportation LTO NCR to Warehouse (sorting docs)</t>
  </si>
  <si>
    <t>Transportation Pasig LGU to Warehouse</t>
  </si>
  <si>
    <t>Transportation Residence to Pasig LGU (Biz permit Warehouse)</t>
  </si>
  <si>
    <t>Business permit CTC Payment</t>
  </si>
  <si>
    <t>Transportation LTO NCR to Warehouse (sorting Plates &amp; permit docs)</t>
  </si>
  <si>
    <t>RFP-OPS2026-0045</t>
  </si>
  <si>
    <t>4/30/2026</t>
  </si>
  <si>
    <t>Samuel Kniazeff Jr (reimb)</t>
  </si>
  <si>
    <t>Jollibee meals - Move It FGD</t>
  </si>
  <si>
    <t>RFP-OPS2026-0059</t>
  </si>
  <si>
    <t>5/25/2026</t>
  </si>
  <si>
    <t>5/6/2026</t>
  </si>
  <si>
    <t>Angkas</t>
  </si>
  <si>
    <t>Angkas Rider Activations (8 pax @300) - MoveIt</t>
  </si>
  <si>
    <t>RFP-OPS2026-0060</t>
  </si>
  <si>
    <t>McDonald's (San Lorenzo Place)</t>
  </si>
  <si>
    <t>Angkas Rider Activations Meal</t>
  </si>
  <si>
    <t>RFP-OPS2026-0054</t>
  </si>
  <si>
    <t>5/20/2026</t>
  </si>
  <si>
    <t>5/14/2026</t>
  </si>
  <si>
    <t>Yusen Logistics</t>
  </si>
  <si>
    <t>Delivery Fee - GoSakay Malabon (incl 12% VAT)</t>
  </si>
  <si>
    <t>Delivery Fee - Angkas Makati to Asgard (incl 12% VAT)</t>
  </si>
  <si>
    <t>RFP-HR2026-0223</t>
  </si>
  <si>
    <t>5/28/2026</t>
  </si>
  <si>
    <t>SPACEPRO Corporation</t>
  </si>
  <si>
    <t>Meralco bill E88 Asgard Warehouse (Apr22-May21)</t>
  </si>
  <si>
    <t>LIQ-COMP2026-0004</t>
  </si>
  <si>
    <t>5/12/2026</t>
  </si>
  <si>
    <t>3/11/2026</t>
  </si>
  <si>
    <t>Michelle A. Manza</t>
  </si>
  <si>
    <t>LTO Registration</t>
  </si>
  <si>
    <t>3/26/2026</t>
  </si>
  <si>
    <t>PNP-HPG</t>
  </si>
  <si>
    <t>PNP-HPG MV Clearances (36 units)</t>
  </si>
  <si>
    <t>PNP-HPG MV Clearances - SOP (36 units)</t>
  </si>
  <si>
    <t>3/9/2026</t>
  </si>
  <si>
    <t>RFP-COMP2026-0049</t>
  </si>
  <si>
    <t>5/22/2026</t>
  </si>
  <si>
    <t>MV clearance (P200 x 63) - CA budget</t>
  </si>
  <si>
    <t>MV clearance SOP (P200 x 63) - CA budget</t>
  </si>
  <si>
    <t>LTO Registration (P1,000 x 63) - CA budget</t>
  </si>
  <si>
    <t>RFP-IT2026-0182</t>
  </si>
  <si>
    <t>5/5/2026</t>
  </si>
  <si>
    <t>Packetworx, Inc.</t>
  </si>
  <si>
    <t>Reporting &amp; Management Fee (6 mo @6,000)</t>
  </si>
  <si>
    <t>Monthly Usage Fee</t>
  </si>
  <si>
    <t>SIM Monthly Fee</t>
  </si>
  <si>
    <t>Share APN (6 months @7,500)</t>
  </si>
  <si>
    <t>VAT / per-form total adjustment (see Notes flag #1)</t>
  </si>
  <si>
    <t>RFP-IT2026-0187</t>
  </si>
  <si>
    <t>5/15/2026</t>
  </si>
  <si>
    <t>10% Acceptance &amp; Turnover - 3 ATP sites</t>
  </si>
  <si>
    <t>40% Completion - ATP Malabon/Jordan Plaines/Santolan</t>
  </si>
  <si>
    <t>RFP-IT2026-0188</t>
  </si>
  <si>
    <t>40% Completion - ATP Poblacion Mandaluyong</t>
  </si>
  <si>
    <t>10% Acceptance &amp; Turnover - Poblacion Mandaluyong</t>
  </si>
  <si>
    <t>RFP-IT2026-0189</t>
  </si>
  <si>
    <t>5/26/2026</t>
  </si>
  <si>
    <t>50% Downpayment Feeder System Outdoor - 6 ATP sites</t>
  </si>
  <si>
    <t>RFP-IT2026-0190</t>
  </si>
  <si>
    <t>50% DP - Century City Mall, 4 Ridebox locker deployment</t>
  </si>
  <si>
    <t>RFP-IT2026-0191</t>
  </si>
  <si>
    <t>Service Invoice - Full Payment (BSS Pateros)</t>
  </si>
  <si>
    <t>Electrical Materials</t>
  </si>
  <si>
    <t>RFP-IT2026-0192</t>
  </si>
  <si>
    <t>(cash advance)</t>
  </si>
  <si>
    <t>Fuel/transport - Mega Manila BSS expansion (unliquidated CA)</t>
  </si>
  <si>
    <t>RFP-HR2026-0237</t>
  </si>
  <si>
    <t>Service Center electricity</t>
  </si>
  <si>
    <t>RFP-OPS2026-0062</t>
  </si>
  <si>
    <t>4/3/2026</t>
  </si>
  <si>
    <t>Canva Pty Ltd</t>
  </si>
  <si>
    <t>Canva Pro Subscription 2026</t>
  </si>
  <si>
    <t>RFP-IT2026-0183</t>
  </si>
  <si>
    <t>Erwin Atuli (reimb)</t>
  </si>
  <si>
    <t>Anthropic</t>
  </si>
  <si>
    <t>Claude AI Team Plan, 8 seats</t>
  </si>
  <si>
    <t>RFP-IT2026-0185</t>
  </si>
  <si>
    <t>5/13/2026</t>
  </si>
  <si>
    <t>3/22/2026</t>
  </si>
  <si>
    <t>E88 Ventures</t>
  </si>
  <si>
    <t>Lucid Software (Team License)</t>
  </si>
  <si>
    <t>Cloudflare Subscription</t>
  </si>
  <si>
    <t>Slack Subscriptions</t>
  </si>
  <si>
    <t>4/1/2026</t>
  </si>
  <si>
    <t>Google Workspace Business</t>
  </si>
  <si>
    <t>4/12/2026</t>
  </si>
  <si>
    <t>Atlassian</t>
  </si>
  <si>
    <t>Atlassian (Jira) Subscription 1</t>
  </si>
  <si>
    <t>Atlassian (Jira) Subscription 2</t>
  </si>
  <si>
    <t>4/2/2026</t>
  </si>
  <si>
    <t>RFP-IT2026-0186</t>
  </si>
  <si>
    <t>Staff Augmentation 3.4 (May 1-31, 2026)</t>
  </si>
  <si>
    <t>Retail Store electricity</t>
  </si>
  <si>
    <t>RFP-HR2026-0219</t>
  </si>
  <si>
    <t>Globe</t>
  </si>
  <si>
    <t>Globe Telecom (Innove)</t>
  </si>
  <si>
    <t>Globe fiber - Warehouse May 2026</t>
  </si>
  <si>
    <t>RFP-OPS2026-0044</t>
  </si>
  <si>
    <t>Majesteel Builders Supply Corp</t>
  </si>
  <si>
    <t>Asgard Electrical Repairs (Apr 2026 incident)</t>
  </si>
  <si>
    <t>LIQ-OPS2026-0038</t>
  </si>
  <si>
    <t>5/18/2026</t>
  </si>
  <si>
    <t>Christian Kenneth Castillo</t>
  </si>
  <si>
    <t>MYTHOS project-based assoc</t>
  </si>
  <si>
    <t>OPS salary - 6 days @ P800</t>
  </si>
  <si>
    <t>5/9/2026</t>
  </si>
  <si>
    <t>OPS salary - 2 days @ P800</t>
  </si>
  <si>
    <t>RFP-IT2026-0184</t>
  </si>
  <si>
    <t>Ian G. Jimenez (reimb)</t>
  </si>
  <si>
    <t>Dito / telco load</t>
  </si>
  <si>
    <t>RFP-HR2026-0218</t>
  </si>
  <si>
    <t>Globe (postpaid)</t>
  </si>
  <si>
    <t>Mobile postpaid - A. Msotrales</t>
  </si>
  <si>
    <t>Mobile postpaid - E. Atuli</t>
  </si>
  <si>
    <t>Mobile postpaid - E. Javillonar</t>
  </si>
  <si>
    <t>Mobile postpaid - T. Masiglat</t>
  </si>
  <si>
    <t>Mobile postpaid - JJ. Rosare</t>
  </si>
  <si>
    <t>Mobile postpaid - R. Dela Cruz</t>
  </si>
  <si>
    <t>Mobile postpaid - RJ. Jardiniano</t>
  </si>
  <si>
    <t>Mobile postpaid - F. Yanto III</t>
  </si>
  <si>
    <t>Mobile postpaid - M.A. Mungcal (Alexis)</t>
  </si>
  <si>
    <t>Mobile postpaid - M. Manza</t>
  </si>
  <si>
    <t>Mobile postpaid - S. Vinuya</t>
  </si>
  <si>
    <t>Mobile postpaid - JM. Ysaac</t>
  </si>
  <si>
    <t>Mobile postpaid - JDL. Guce</t>
  </si>
  <si>
    <t>Mobile postpaid - AM. Estadilla</t>
  </si>
  <si>
    <t>Mobile postpaid - C. Pagador</t>
  </si>
  <si>
    <t>Mobile postpaid - S. Kniazeff Jr</t>
  </si>
  <si>
    <t>Mobile postpaid - Marketing line</t>
  </si>
  <si>
    <t>HQ 2 electricity</t>
  </si>
  <si>
    <t>RFP-SALES2026-0059</t>
  </si>
  <si>
    <t>Anne Margot Estadilla (reimb)</t>
  </si>
  <si>
    <t>M Gerlie Airconditioning Services</t>
  </si>
  <si>
    <t>Aircon cleaning (split 2.5HP + floor-mounted 3TR)</t>
  </si>
  <si>
    <t>RFP-HR2026-0225</t>
  </si>
  <si>
    <t>6/4/2026</t>
  </si>
  <si>
    <t>iCare</t>
  </si>
  <si>
    <t>HMO Payment (C. Mendoza)</t>
  </si>
  <si>
    <t>Lalamove delivery: Disini</t>
  </si>
  <si>
    <t>Notarial fee</t>
  </si>
  <si>
    <t>Notary fee: Sales</t>
  </si>
  <si>
    <t>Notary fee: BFP</t>
  </si>
  <si>
    <t>4/27/2026</t>
  </si>
  <si>
    <t>Notary: DITO Secretary's Cert</t>
  </si>
  <si>
    <t>DOAS Notary</t>
  </si>
  <si>
    <t>Notary: Lease Agreement</t>
  </si>
  <si>
    <t>5/7/2026</t>
  </si>
  <si>
    <t>Notary: GIS Amendment/SEC Cert</t>
  </si>
  <si>
    <t>Notary fees (P1,000 x 10) - CA budget</t>
  </si>
  <si>
    <t>RFP-COMP2026-0050</t>
  </si>
  <si>
    <t>March 2026 Retainer Fee</t>
  </si>
  <si>
    <t>VAT (12%) on retainer</t>
  </si>
  <si>
    <t>3/10/2026</t>
  </si>
  <si>
    <t>DOE EV Model Recognition</t>
  </si>
  <si>
    <t>DOE EVCS Registration: Manila Golf</t>
  </si>
  <si>
    <t>DOE EVCS Registration: Dasma Village</t>
  </si>
  <si>
    <t>DOE EVCS Registration</t>
  </si>
  <si>
    <t>EVCS Registrations (P5,410 x 15) - CA budget</t>
  </si>
  <si>
    <t>BOC</t>
  </si>
  <si>
    <t>BOC Renewal</t>
  </si>
  <si>
    <t>Taizhou Okla</t>
  </si>
  <si>
    <t>OKLA CBU e-motorcycles - 30% partial (net of 70% bal). FX~P60/USD</t>
  </si>
  <si>
    <t>OKLA spare parts (~120 line items) - 30% partial. FX~P60/USD</t>
  </si>
  <si>
    <t>Guangzhou Yunku</t>
  </si>
  <si>
    <t>5-door battery swap lockers - 50% partial. FX~P60/USD</t>
  </si>
  <si>
    <t>RFP-IT2026-0194</t>
  </si>
  <si>
    <t>6/11/2026</t>
  </si>
  <si>
    <t>Francis Simisim</t>
  </si>
  <si>
    <t>Lucid Software subscription</t>
  </si>
  <si>
    <t>4/26/2026</t>
  </si>
  <si>
    <t>Cloudflare subscription</t>
  </si>
  <si>
    <t>Google (Cloud Platform)</t>
  </si>
  <si>
    <t>Jira subscription 1</t>
  </si>
  <si>
    <t>5/17/2026</t>
  </si>
  <si>
    <t>Jira subscription 2</t>
  </si>
  <si>
    <t>Twilio SendGrid</t>
  </si>
  <si>
    <t>SendGrid subscription</t>
  </si>
  <si>
    <t>5/31/2026</t>
  </si>
  <si>
    <t>Google (Workspace)</t>
  </si>
  <si>
    <t>Google Workspace</t>
  </si>
  <si>
    <t>Claude subscription</t>
  </si>
  <si>
    <t>RFP-IT2026-0195</t>
  </si>
  <si>
    <t>6/15/2026</t>
  </si>
  <si>
    <t>6/5/2026</t>
  </si>
  <si>
    <t>GoDaddy.com, LLC</t>
  </si>
  <si>
    <t>GoDaddy - domain/subscription</t>
  </si>
  <si>
    <t>6/7/2026</t>
  </si>
  <si>
    <t>RFP-IT2026-0196</t>
  </si>
  <si>
    <t>6/23/2026</t>
  </si>
  <si>
    <t>Staff Augmentation 3.4 (June 1-30, 2026)</t>
  </si>
  <si>
    <t>RFP-HR2026-0230</t>
  </si>
  <si>
    <t>6/8/2026</t>
  </si>
  <si>
    <t>Globe fiber - Warehouse June 2026 (form CC: OPS01)</t>
  </si>
  <si>
    <t>RFP-IT2026-0193</t>
  </si>
  <si>
    <t>6/10/2026</t>
  </si>
  <si>
    <t>6/3/2026</t>
  </si>
  <si>
    <t>RFP-HR2026-0229</t>
  </si>
  <si>
    <t>Makerlab Electronics</t>
  </si>
  <si>
    <t>Tools and Equipments</t>
  </si>
  <si>
    <t>RFP-SALES2026-0062</t>
  </si>
  <si>
    <t>Samson K. Lim Jr.</t>
  </si>
  <si>
    <t>Per Diem - Lim, Samson K. (no receipt attached)</t>
  </si>
  <si>
    <t>RFP-OPS2026-0080</t>
  </si>
  <si>
    <t>Per Diem - Sy, Jezalyn (no receipt attached)</t>
  </si>
  <si>
    <t>RFP-COMP2026-0052</t>
  </si>
  <si>
    <t>Irene S. Preyra</t>
  </si>
  <si>
    <t>Retainer fee - bookkeeping + BIR report submission</t>
  </si>
  <si>
    <t xml:space="preserve">MONTHLY SUMMARY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</si>
</sst>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;[Red](#,##0);-"/>
    <numFmt numFmtId="165" formatCode="#,##0;(#,##0);-"/>
    <numFmt numFmtId="166" formatCode="#,##0;[Red]\(#,##0\);\-"/>
    <numFmt numFmtId="167" formatCode="mm/dd/yyyy"/>
  </numFmts>
  <fonts count="34">
    <font>
      <sz val="11.0"/>
      <color theme="1"/>
      <name val="Calibri"/>
      <scheme val="minor"/>
    </font>
    <font>
      <b/>
      <sz val="11.0"/>
      <color rgb="FF1F4E78"/>
      <name val="Arial"/>
    </font>
    <font>
      <sz val="9.0"/>
      <color theme="1"/>
      <name val="Calibri"/>
      <scheme val="minor"/>
    </font>
    <font>
      <b/>
      <sz val="9.0"/>
      <color rgb="FFFFFFFF"/>
      <name val="Arial"/>
    </font>
    <font>
      <b/>
      <sz val="9.0"/>
      <color rgb="FF1F4E78"/>
      <name val="Arial"/>
    </font>
    <font>
      <sz val="9.0"/>
      <color theme="1"/>
      <name val="Arial"/>
    </font>
    <font>
      <b/>
      <sz val="9.0"/>
      <color theme="1"/>
      <name val="Arial"/>
    </font>
    <font>
      <sz val="9.0"/>
      <color theme="1"/>
      <name val="Calibri"/>
    </font>
    <font>
      <b/>
      <sz val="9.0"/>
      <color rgb="FFC00000"/>
      <name val="Arial"/>
    </font>
    <font>
      <b/>
      <sz val="9.0"/>
      <color rgb="FF1A1A1A"/>
      <name val="Arial"/>
    </font>
    <font>
      <color theme="1"/>
      <name val="Arial"/>
    </font>
    <font>
      <sz val="9.0"/>
      <color rgb="FF767676"/>
      <name val="Arial"/>
    </font>
    <font>
      <color theme="1"/>
      <name val="Calibri"/>
      <scheme val="minor"/>
    </font>
    <font>
      <b/>
      <sz val="11.0"/>
      <color rgb="FF141312"/>
      <name val="Arial"/>
    </font>
    <font>
      <sz val="8.0"/>
      <color rgb="FF58554D"/>
      <name val="Arial"/>
    </font>
    <font>
      <sz val="8.0"/>
      <color rgb="FF136944"/>
      <name val="Arial"/>
    </font>
    <font>
      <sz val="11.0"/>
      <color rgb="FF141312"/>
      <name val="Arial"/>
    </font>
    <font>
      <sz val="11.0"/>
      <color theme="1"/>
      <name val="Calibri"/>
    </font>
    <font>
      <sz val="11.0"/>
      <color rgb="FF136944"/>
      <name val="Arial"/>
    </font>
    <font>
      <sz val="8.0"/>
      <color rgb="FF764002"/>
      <name val="Arial"/>
    </font>
    <font>
      <b/>
      <color rgb="FF1A1A1A"/>
      <name val="Arial"/>
    </font>
    <font>
      <b/>
      <sz val="13.0"/>
      <color rgb="FF1F4E78"/>
      <name val="Arial"/>
    </font>
    <font>
      <i/>
      <sz val="9.0"/>
      <color rgb="FF555555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rgb="FFC00000"/>
      <name val="Arial"/>
    </font>
    <font>
      <b/>
      <sz val="10.0"/>
      <color theme="1"/>
      <name val="Arial"/>
    </font>
    <font>
      <b/>
      <sz val="9.0"/>
      <color rgb="FF1F7A1F"/>
      <name val="Arial"/>
    </font>
    <font>
      <i/>
      <sz val="9.0"/>
      <color rgb="FF999999"/>
      <name val="Arial"/>
    </font>
    <font>
      <b/>
      <sz val="13.0"/>
      <color theme="1"/>
      <name val="Calibri"/>
      <scheme val="minor"/>
    </font>
    <font>
      <i/>
      <color rgb="FF666666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>
      <b/>
      <sz val="13.0"/>
      <color rgb="FF7F0000"/>
      <name val="Calibri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4DFEC"/>
        <bgColor rgb="FFE4DFEC"/>
      </patternFill>
    </fill>
    <fill>
      <patternFill patternType="solid">
        <fgColor rgb="FFFDE9D9"/>
        <bgColor rgb="FFFDE9D9"/>
      </patternFill>
    </fill>
    <fill>
      <patternFill patternType="solid">
        <fgColor rgb="FFD9E1F2"/>
        <bgColor rgb="FFD9E1F2"/>
      </patternFill>
    </fill>
    <fill>
      <patternFill patternType="solid">
        <fgColor rgb="FFEAD1DC"/>
        <bgColor rgb="FFEAD1DC"/>
      </patternFill>
    </fill>
    <fill>
      <patternFill patternType="solid">
        <fgColor rgb="FFE7E6E6"/>
        <bgColor rgb="FFE7E6E6"/>
      </patternFill>
    </fill>
    <fill>
      <patternFill patternType="solid">
        <fgColor rgb="FFF4CCCC"/>
        <bgColor rgb="FFF4CCCC"/>
      </patternFill>
    </fill>
    <fill>
      <patternFill patternType="solid">
        <fgColor rgb="FFEEF2FB"/>
        <bgColor rgb="FFEEF2FB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F9F9F6"/>
        <bgColor rgb="FFF9F9F6"/>
      </patternFill>
    </fill>
    <fill>
      <patternFill patternType="solid">
        <fgColor rgb="FF00FFFF"/>
        <bgColor rgb="FF00FFFF"/>
      </patternFill>
    </fill>
    <fill>
      <patternFill patternType="solid">
        <fgColor rgb="FFEDEDED"/>
        <bgColor rgb="FFEDEDED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D0D0D0"/>
      </bottom>
    </border>
    <border>
      <left style="thin">
        <color rgb="FFC5C3BC"/>
      </left>
      <right style="thin">
        <color rgb="FFC5C3BC"/>
      </right>
      <top style="thin">
        <color rgb="FFC5C3BC"/>
      </top>
      <bottom style="thin">
        <color rgb="FFC5C3BC"/>
      </bottom>
    </border>
    <border>
      <top style="thin">
        <color rgb="FFC5C3BC"/>
      </top>
      <bottom style="thin">
        <color rgb="FFC5C3BC"/>
      </bottom>
    </border>
    <border>
      <top style="thin">
        <color rgb="FFD0D0D0"/>
      </top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0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1" fillId="3" fontId="5" numFmtId="3" xfId="0" applyAlignment="1" applyBorder="1" applyFont="1" applyNumberFormat="1">
      <alignment shrinkToFit="0" vertical="bottom" wrapText="0"/>
    </xf>
    <xf borderId="1" fillId="3" fontId="6" numFmtId="3" xfId="0" applyAlignment="1" applyBorder="1" applyFont="1" applyNumberFormat="1">
      <alignment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1" fillId="4" fontId="5" numFmtId="3" xfId="0" applyAlignment="1" applyBorder="1" applyFont="1" applyNumberFormat="1">
      <alignment shrinkToFit="0" vertical="bottom" wrapText="0"/>
    </xf>
    <xf borderId="1" fillId="4" fontId="6" numFmtId="3" xfId="0" applyAlignment="1" applyBorder="1" applyFont="1" applyNumberFormat="1">
      <alignment shrinkToFit="0" vertical="bottom" wrapText="0"/>
    </xf>
    <xf borderId="1" fillId="5" fontId="5" numFmtId="0" xfId="0" applyAlignment="1" applyBorder="1" applyFill="1" applyFont="1">
      <alignment shrinkToFit="0" vertical="bottom" wrapText="0"/>
    </xf>
    <xf borderId="1" fillId="5" fontId="5" numFmtId="3" xfId="0" applyAlignment="1" applyBorder="1" applyFont="1" applyNumberFormat="1">
      <alignment shrinkToFit="0" vertical="bottom" wrapText="0"/>
    </xf>
    <xf borderId="1" fillId="5" fontId="6" numFmtId="3" xfId="0" applyAlignment="1" applyBorder="1" applyFont="1" applyNumberFormat="1">
      <alignment shrinkToFit="0" vertical="bottom" wrapText="0"/>
    </xf>
    <xf borderId="1" fillId="6" fontId="5" numFmtId="0" xfId="0" applyAlignment="1" applyBorder="1" applyFill="1" applyFont="1">
      <alignment shrinkToFit="0" vertical="bottom" wrapText="0"/>
    </xf>
    <xf borderId="1" fillId="6" fontId="5" numFmtId="3" xfId="0" applyAlignment="1" applyBorder="1" applyFont="1" applyNumberFormat="1">
      <alignment shrinkToFit="0" vertical="bottom" wrapText="0"/>
    </xf>
    <xf borderId="1" fillId="6" fontId="6" numFmtId="3" xfId="0" applyAlignment="1" applyBorder="1" applyFont="1" applyNumberFormat="1">
      <alignment shrinkToFit="0" vertical="bottom" wrapText="0"/>
    </xf>
    <xf borderId="1" fillId="7" fontId="5" numFmtId="0" xfId="0" applyAlignment="1" applyBorder="1" applyFill="1" applyFont="1">
      <alignment shrinkToFit="0" vertical="bottom" wrapText="0"/>
    </xf>
    <xf borderId="1" fillId="7" fontId="5" numFmtId="3" xfId="0" applyAlignment="1" applyBorder="1" applyFont="1" applyNumberFormat="1">
      <alignment shrinkToFit="0" vertical="bottom" wrapText="0"/>
    </xf>
    <xf borderId="1" fillId="7" fontId="6" numFmtId="3" xfId="0" applyAlignment="1" applyBorder="1" applyFont="1" applyNumberFormat="1">
      <alignment shrinkToFit="0" vertical="bottom" wrapText="0"/>
    </xf>
    <xf borderId="1" fillId="8" fontId="5" numFmtId="0" xfId="0" applyAlignment="1" applyBorder="1" applyFill="1" applyFont="1">
      <alignment shrinkToFit="0" vertical="bottom" wrapText="0"/>
    </xf>
    <xf borderId="1" fillId="8" fontId="5" numFmtId="3" xfId="0" applyAlignment="1" applyBorder="1" applyFont="1" applyNumberFormat="1">
      <alignment shrinkToFit="0" vertical="bottom" wrapText="0"/>
    </xf>
    <xf borderId="1" fillId="8" fontId="6" numFmtId="3" xfId="0" applyAlignment="1" applyBorder="1" applyFont="1" applyNumberFormat="1">
      <alignment shrinkToFit="0" vertical="bottom" wrapText="0"/>
    </xf>
    <xf borderId="1" fillId="9" fontId="5" numFmtId="0" xfId="0" applyAlignment="1" applyBorder="1" applyFill="1" applyFont="1">
      <alignment shrinkToFit="0" vertical="bottom" wrapText="0"/>
    </xf>
    <xf borderId="1" fillId="9" fontId="5" numFmtId="3" xfId="0" applyAlignment="1" applyBorder="1" applyFont="1" applyNumberFormat="1">
      <alignment shrinkToFit="0" vertical="bottom" wrapText="0"/>
    </xf>
    <xf borderId="1" fillId="9" fontId="6" numFmtId="3" xfId="0" applyAlignment="1" applyBorder="1" applyFont="1" applyNumberFormat="1">
      <alignment shrinkToFit="0" vertical="bottom" wrapText="0"/>
    </xf>
    <xf borderId="1" fillId="10" fontId="5" numFmtId="0" xfId="0" applyAlignment="1" applyBorder="1" applyFill="1" applyFont="1">
      <alignment shrinkToFit="0" vertical="bottom" wrapText="0"/>
    </xf>
    <xf borderId="1" fillId="10" fontId="5" numFmtId="3" xfId="0" applyAlignment="1" applyBorder="1" applyFont="1" applyNumberFormat="1">
      <alignment shrinkToFit="0" vertical="bottom" wrapText="0"/>
    </xf>
    <xf borderId="1" fillId="10" fontId="6" numFmtId="3" xfId="0" applyAlignment="1" applyBorder="1" applyFont="1" applyNumberFormat="1">
      <alignment shrinkToFit="0" vertical="bottom" wrapText="0"/>
    </xf>
    <xf borderId="1" fillId="11" fontId="5" numFmtId="0" xfId="0" applyAlignment="1" applyBorder="1" applyFill="1" applyFont="1">
      <alignment shrinkToFit="0" vertical="bottom" wrapText="0"/>
    </xf>
    <xf borderId="1" fillId="11" fontId="5" numFmtId="3" xfId="0" applyAlignment="1" applyBorder="1" applyFont="1" applyNumberFormat="1">
      <alignment shrinkToFit="0" vertical="bottom" wrapText="0"/>
    </xf>
    <xf borderId="1" fillId="11" fontId="6" numFmtId="3" xfId="0" applyAlignment="1" applyBorder="1" applyFont="1" applyNumberFormat="1">
      <alignment shrinkToFit="0" vertical="bottom" wrapText="0"/>
    </xf>
    <xf borderId="1" fillId="12" fontId="5" numFmtId="0" xfId="0" applyAlignment="1" applyBorder="1" applyFill="1" applyFont="1">
      <alignment shrinkToFit="0" vertical="bottom" wrapText="0"/>
    </xf>
    <xf borderId="1" fillId="12" fontId="5" numFmtId="0" xfId="0" applyAlignment="1" applyBorder="1" applyFont="1">
      <alignment shrinkToFit="0" vertical="bottom" wrapText="0"/>
    </xf>
    <xf borderId="1" fillId="12" fontId="6" numFmtId="3" xfId="0" applyAlignment="1" applyBorder="1" applyFont="1" applyNumberFormat="1">
      <alignment shrinkToFit="0" vertical="bottom" wrapText="0"/>
    </xf>
    <xf borderId="1" fillId="13" fontId="7" numFmtId="0" xfId="0" applyAlignment="1" applyBorder="1" applyFill="1" applyFont="1">
      <alignment shrinkToFit="0" vertical="bottom" wrapText="0"/>
    </xf>
    <xf borderId="1" fillId="13" fontId="6" numFmtId="0" xfId="0" applyAlignment="1" applyBorder="1" applyFont="1">
      <alignment shrinkToFit="0" vertical="bottom" wrapText="0"/>
    </xf>
    <xf borderId="1" fillId="13" fontId="6" numFmtId="3" xfId="0" applyAlignment="1" applyBorder="1" applyFont="1" applyNumberFormat="1">
      <alignment shrinkToFit="0" vertical="bottom" wrapText="0"/>
    </xf>
    <xf borderId="1" fillId="3" fontId="5" numFmtId="0" xfId="0" applyAlignment="1" applyBorder="1" applyFont="1">
      <alignment readingOrder="0" shrinkToFit="0" vertical="bottom" wrapText="0"/>
    </xf>
    <xf borderId="1" fillId="3" fontId="5" numFmtId="3" xfId="0" applyAlignment="1" applyBorder="1" applyFont="1" applyNumberFormat="1">
      <alignment readingOrder="0" shrinkToFit="0" vertical="bottom" wrapText="0"/>
    </xf>
    <xf borderId="1" fillId="14" fontId="7" numFmtId="0" xfId="0" applyAlignment="1" applyBorder="1" applyFill="1" applyFont="1">
      <alignment shrinkToFit="0" vertical="bottom" wrapText="0"/>
    </xf>
    <xf borderId="1" fillId="14" fontId="6" numFmtId="0" xfId="0" applyAlignment="1" applyBorder="1" applyFont="1">
      <alignment shrinkToFit="0" vertical="bottom" wrapText="0"/>
    </xf>
    <xf borderId="1" fillId="14" fontId="6" numFmtId="3" xfId="0" applyAlignment="1" applyBorder="1" applyFont="1" applyNumberFormat="1">
      <alignment shrinkToFit="0" vertical="bottom" wrapText="0"/>
    </xf>
    <xf borderId="1" fillId="4" fontId="5" numFmtId="0" xfId="0" applyAlignment="1" applyBorder="1" applyFont="1">
      <alignment readingOrder="0" shrinkToFit="0" vertical="bottom" wrapText="0"/>
    </xf>
    <xf borderId="1" fillId="4" fontId="5" numFmtId="3" xfId="0" applyAlignment="1" applyBorder="1" applyFont="1" applyNumberFormat="1">
      <alignment readingOrder="0" shrinkToFit="0" vertical="bottom" wrapText="0"/>
    </xf>
    <xf borderId="1" fillId="5" fontId="5" numFmtId="0" xfId="0" applyAlignment="1" applyBorder="1" applyFont="1">
      <alignment readingOrder="0" shrinkToFit="0" vertical="bottom" wrapText="0"/>
    </xf>
    <xf borderId="1" fillId="6" fontId="5" numFmtId="0" xfId="0" applyAlignment="1" applyBorder="1" applyFont="1">
      <alignment readingOrder="0" shrinkToFit="0" vertical="bottom" wrapText="0"/>
    </xf>
    <xf borderId="1" fillId="6" fontId="5" numFmtId="3" xfId="0" applyAlignment="1" applyBorder="1" applyFont="1" applyNumberFormat="1">
      <alignment readingOrder="0" shrinkToFit="0" vertical="bottom" wrapText="0"/>
    </xf>
    <xf borderId="1" fillId="7" fontId="5" numFmtId="0" xfId="0" applyAlignment="1" applyBorder="1" applyFont="1">
      <alignment readingOrder="0" shrinkToFit="0" vertical="bottom" wrapText="0"/>
    </xf>
    <xf borderId="1" fillId="7" fontId="5" numFmtId="3" xfId="0" applyAlignment="1" applyBorder="1" applyFont="1" applyNumberFormat="1">
      <alignment readingOrder="0" shrinkToFit="0" vertical="bottom" wrapText="0"/>
    </xf>
    <xf borderId="1" fillId="8" fontId="5" numFmtId="3" xfId="0" applyAlignment="1" applyBorder="1" applyFont="1" applyNumberFormat="1">
      <alignment readingOrder="0" shrinkToFit="0" vertical="bottom" wrapText="0"/>
    </xf>
    <xf borderId="1" fillId="8" fontId="5" numFmtId="0" xfId="0" applyAlignment="1" applyBorder="1" applyFont="1">
      <alignment readingOrder="0" shrinkToFit="0" vertical="bottom" wrapText="0"/>
    </xf>
    <xf borderId="1" fillId="9" fontId="5" numFmtId="0" xfId="0" applyAlignment="1" applyBorder="1" applyFont="1">
      <alignment readingOrder="0" shrinkToFit="0" vertical="bottom" wrapText="0"/>
    </xf>
    <xf borderId="1" fillId="9" fontId="5" numFmtId="3" xfId="0" applyAlignment="1" applyBorder="1" applyFont="1" applyNumberFormat="1">
      <alignment readingOrder="0" shrinkToFit="0" vertical="bottom" wrapText="0"/>
    </xf>
    <xf borderId="1" fillId="14" fontId="6" numFmtId="0" xfId="0" applyAlignment="1" applyBorder="1" applyFont="1">
      <alignment readingOrder="0" shrinkToFit="0" vertical="bottom" wrapText="0"/>
    </xf>
    <xf borderId="1" fillId="10" fontId="5" numFmtId="0" xfId="0" applyAlignment="1" applyBorder="1" applyFont="1">
      <alignment readingOrder="0" shrinkToFit="0" vertical="bottom" wrapText="0"/>
    </xf>
    <xf borderId="1" fillId="10" fontId="5" numFmtId="3" xfId="0" applyAlignment="1" applyBorder="1" applyFont="1" applyNumberFormat="1">
      <alignment readingOrder="0" shrinkToFit="0" vertical="bottom" wrapText="0"/>
    </xf>
    <xf borderId="1" fillId="11" fontId="5" numFmtId="3" xfId="0" applyAlignment="1" applyBorder="1" applyFont="1" applyNumberFormat="1">
      <alignment readingOrder="0" shrinkToFit="0" vertical="bottom" wrapText="0"/>
    </xf>
    <xf borderId="1" fillId="12" fontId="5" numFmtId="0" xfId="0" applyAlignment="1" applyBorder="1" applyFont="1">
      <alignment readingOrder="0" shrinkToFit="0" vertical="bottom" wrapText="0"/>
    </xf>
    <xf borderId="1" fillId="12" fontId="5" numFmtId="3" xfId="0" applyAlignment="1" applyBorder="1" applyFont="1" applyNumberFormat="1">
      <alignment readingOrder="0" shrinkToFit="0" vertical="bottom" wrapText="0"/>
    </xf>
    <xf borderId="1" fillId="12" fontId="5" numFmtId="3" xfId="0" applyAlignment="1" applyBorder="1" applyFont="1" applyNumberFormat="1">
      <alignment shrinkToFit="0" vertical="bottom" wrapText="0"/>
    </xf>
    <xf borderId="1" fillId="5" fontId="8" numFmtId="0" xfId="0" applyAlignment="1" applyBorder="1" applyFont="1">
      <alignment shrinkToFit="0" vertical="bottom" wrapText="0"/>
    </xf>
    <xf borderId="0" fillId="0" fontId="2" numFmtId="3" xfId="0" applyFont="1" applyNumberFormat="1"/>
    <xf borderId="1" fillId="5" fontId="5" numFmtId="3" xfId="0" applyAlignment="1" applyBorder="1" applyFont="1" applyNumberFormat="1">
      <alignment readingOrder="0" shrinkToFit="0" vertical="bottom" wrapText="0"/>
    </xf>
    <xf borderId="1" fillId="7" fontId="8" numFmtId="0" xfId="0" applyAlignment="1" applyBorder="1" applyFont="1">
      <alignment shrinkToFit="0" vertical="bottom" wrapText="0"/>
    </xf>
    <xf borderId="1" fillId="8" fontId="8" numFmtId="0" xfId="0" applyAlignment="1" applyBorder="1" applyFont="1">
      <alignment shrinkToFit="0" vertical="bottom" wrapText="0"/>
    </xf>
    <xf borderId="1" fillId="9" fontId="8" numFmtId="0" xfId="0" applyAlignment="1" applyBorder="1" applyFont="1">
      <alignment shrinkToFit="0" vertical="bottom" wrapText="0"/>
    </xf>
    <xf borderId="1" fillId="11" fontId="8" numFmtId="0" xfId="0" applyAlignment="1" applyBorder="1" applyFont="1">
      <alignment shrinkToFit="0" vertical="bottom" wrapText="0"/>
    </xf>
    <xf borderId="2" fillId="15" fontId="9" numFmtId="164" xfId="0" applyAlignment="1" applyBorder="1" applyFill="1" applyFont="1" applyNumberFormat="1">
      <alignment horizontal="center" readingOrder="0"/>
    </xf>
    <xf borderId="2" fillId="15" fontId="10" numFmtId="49" xfId="0" applyBorder="1" applyFont="1" applyNumberFormat="1"/>
    <xf borderId="2" fillId="15" fontId="9" numFmtId="49" xfId="0" applyAlignment="1" applyBorder="1" applyFont="1" applyNumberFormat="1">
      <alignment horizontal="center" readingOrder="0" vertical="bottom"/>
    </xf>
    <xf borderId="2" fillId="15" fontId="9" numFmtId="49" xfId="0" applyAlignment="1" applyBorder="1" applyFont="1" applyNumberFormat="1">
      <alignment horizontal="center" readingOrder="0"/>
    </xf>
    <xf borderId="0" fillId="15" fontId="11" numFmtId="1" xfId="0" applyAlignment="1" applyFont="1" applyNumberFormat="1">
      <alignment readingOrder="0"/>
    </xf>
    <xf borderId="0" fillId="15" fontId="10" numFmtId="165" xfId="0" applyFont="1" applyNumberFormat="1"/>
    <xf borderId="0" fillId="15" fontId="11" numFmtId="165" xfId="0" applyAlignment="1" applyFont="1" applyNumberFormat="1">
      <alignment horizontal="right" readingOrder="0" vertical="bottom"/>
    </xf>
    <xf borderId="0" fillId="15" fontId="11" numFmtId="165" xfId="0" applyAlignment="1" applyFont="1" applyNumberFormat="1">
      <alignment horizontal="right" readingOrder="0"/>
    </xf>
    <xf borderId="0" fillId="15" fontId="11" numFmtId="1" xfId="0" applyAlignment="1" applyFont="1" applyNumberFormat="1">
      <alignment horizontal="right" readingOrder="0"/>
    </xf>
    <xf borderId="0" fillId="0" fontId="12" numFmtId="0" xfId="0" applyAlignment="1" applyFont="1">
      <alignment readingOrder="0"/>
    </xf>
    <xf borderId="0" fillId="15" fontId="10" numFmtId="1" xfId="0" applyFont="1" applyNumberFormat="1"/>
    <xf borderId="0" fillId="15" fontId="11" numFmtId="1" xfId="0" applyAlignment="1" applyFont="1" applyNumberFormat="1">
      <alignment horizontal="right" readingOrder="0" vertical="bottom"/>
    </xf>
    <xf borderId="0" fillId="15" fontId="13" numFmtId="1" xfId="0" applyAlignment="1" applyFont="1" applyNumberFormat="1">
      <alignment vertical="bottom"/>
    </xf>
    <xf borderId="0" fillId="15" fontId="14" numFmtId="165" xfId="0" applyAlignment="1" applyFont="1" applyNumberFormat="1">
      <alignment vertical="bottom"/>
    </xf>
    <xf borderId="0" fillId="16" fontId="15" numFmtId="165" xfId="0" applyAlignment="1" applyFill="1" applyFont="1" applyNumberFormat="1">
      <alignment horizontal="center" vertical="bottom"/>
    </xf>
    <xf borderId="0" fillId="15" fontId="14" numFmtId="165" xfId="0" applyAlignment="1" applyFont="1" applyNumberFormat="1">
      <alignment horizontal="center" vertical="bottom"/>
    </xf>
    <xf borderId="0" fillId="15" fontId="16" numFmtId="165" xfId="0" applyAlignment="1" applyFont="1" applyNumberFormat="1">
      <alignment horizontal="center" vertical="bottom"/>
    </xf>
    <xf borderId="0" fillId="15" fontId="16" numFmtId="1" xfId="0" applyAlignment="1" applyFont="1" applyNumberFormat="1">
      <alignment horizontal="center" vertical="bottom"/>
    </xf>
    <xf borderId="3" fillId="15" fontId="13" numFmtId="1" xfId="0" applyAlignment="1" applyBorder="1" applyFont="1" applyNumberFormat="1">
      <alignment vertical="bottom"/>
    </xf>
    <xf borderId="3" fillId="15" fontId="14" numFmtId="165" xfId="0" applyAlignment="1" applyBorder="1" applyFont="1" applyNumberFormat="1">
      <alignment vertical="bottom"/>
    </xf>
    <xf borderId="3" fillId="16" fontId="15" numFmtId="165" xfId="0" applyAlignment="1" applyBorder="1" applyFont="1" applyNumberFormat="1">
      <alignment horizontal="center" vertical="bottom"/>
    </xf>
    <xf borderId="3" fillId="15" fontId="14" numFmtId="165" xfId="0" applyAlignment="1" applyBorder="1" applyFont="1" applyNumberFormat="1">
      <alignment horizontal="center" vertical="bottom"/>
    </xf>
    <xf borderId="3" fillId="15" fontId="16" numFmtId="165" xfId="0" applyAlignment="1" applyBorder="1" applyFont="1" applyNumberFormat="1">
      <alignment horizontal="center" vertical="bottom"/>
    </xf>
    <xf borderId="3" fillId="15" fontId="16" numFmtId="1" xfId="0" applyAlignment="1" applyBorder="1" applyFont="1" applyNumberFormat="1">
      <alignment horizontal="center" vertical="bottom"/>
    </xf>
    <xf borderId="3" fillId="16" fontId="16" numFmtId="1" xfId="0" applyAlignment="1" applyBorder="1" applyFont="1" applyNumberFormat="1">
      <alignment vertical="bottom"/>
    </xf>
    <xf borderId="3" fillId="16" fontId="14" numFmtId="165" xfId="0" applyAlignment="1" applyBorder="1" applyFont="1" applyNumberFormat="1">
      <alignment vertical="bottom"/>
    </xf>
    <xf borderId="3" fillId="16" fontId="14" numFmtId="165" xfId="0" applyAlignment="1" applyBorder="1" applyFont="1" applyNumberFormat="1">
      <alignment horizontal="center" vertical="bottom"/>
    </xf>
    <xf borderId="3" fillId="16" fontId="16" numFmtId="165" xfId="0" applyAlignment="1" applyBorder="1" applyFont="1" applyNumberFormat="1">
      <alignment horizontal="center" vertical="bottom"/>
    </xf>
    <xf borderId="3" fillId="16" fontId="16" numFmtId="1" xfId="0" applyAlignment="1" applyBorder="1" applyFont="1" applyNumberFormat="1">
      <alignment horizontal="center" vertical="bottom"/>
    </xf>
    <xf borderId="3" fillId="17" fontId="16" numFmtId="165" xfId="0" applyAlignment="1" applyBorder="1" applyFill="1" applyFont="1" applyNumberFormat="1">
      <alignment horizontal="center" vertical="bottom"/>
    </xf>
    <xf borderId="3" fillId="15" fontId="16" numFmtId="1" xfId="0" applyAlignment="1" applyBorder="1" applyFont="1" applyNumberFormat="1">
      <alignment vertical="bottom"/>
    </xf>
    <xf borderId="3" fillId="15" fontId="15" numFmtId="165" xfId="0" applyAlignment="1" applyBorder="1" applyFont="1" applyNumberFormat="1">
      <alignment horizontal="center" vertical="bottom"/>
    </xf>
    <xf borderId="3" fillId="15" fontId="17" numFmtId="165" xfId="0" applyAlignment="1" applyBorder="1" applyFont="1" applyNumberFormat="1">
      <alignment vertical="bottom"/>
    </xf>
    <xf borderId="3" fillId="16" fontId="17" numFmtId="165" xfId="0" applyAlignment="1" applyBorder="1" applyFont="1" applyNumberFormat="1">
      <alignment vertical="bottom"/>
    </xf>
    <xf borderId="3" fillId="15" fontId="14" numFmtId="166" xfId="0" applyAlignment="1" applyBorder="1" applyFont="1" applyNumberFormat="1">
      <alignment vertical="bottom"/>
    </xf>
    <xf borderId="3" fillId="16" fontId="15" numFmtId="166" xfId="0" applyAlignment="1" applyBorder="1" applyFont="1" applyNumberFormat="1">
      <alignment horizontal="center" vertical="bottom"/>
    </xf>
    <xf borderId="3" fillId="15" fontId="15" numFmtId="166" xfId="0" applyAlignment="1" applyBorder="1" applyFont="1" applyNumberFormat="1">
      <alignment horizontal="center" vertical="bottom"/>
    </xf>
    <xf borderId="3" fillId="15" fontId="17" numFmtId="166" xfId="0" applyAlignment="1" applyBorder="1" applyFont="1" applyNumberFormat="1">
      <alignment vertical="bottom"/>
    </xf>
    <xf borderId="3" fillId="15" fontId="16" numFmtId="166" xfId="0" applyAlignment="1" applyBorder="1" applyFont="1" applyNumberFormat="1">
      <alignment horizontal="center" vertical="bottom"/>
    </xf>
    <xf borderId="3" fillId="15" fontId="18" numFmtId="1" xfId="0" applyAlignment="1" applyBorder="1" applyFont="1" applyNumberFormat="1">
      <alignment horizontal="center" vertical="bottom"/>
    </xf>
    <xf borderId="3" fillId="16" fontId="14" numFmtId="166" xfId="0" applyAlignment="1" applyBorder="1" applyFont="1" applyNumberFormat="1">
      <alignment vertical="bottom"/>
    </xf>
    <xf borderId="3" fillId="16" fontId="17" numFmtId="166" xfId="0" applyAlignment="1" applyBorder="1" applyFont="1" applyNumberFormat="1">
      <alignment vertical="bottom"/>
    </xf>
    <xf borderId="3" fillId="16" fontId="16" numFmtId="166" xfId="0" applyAlignment="1" applyBorder="1" applyFont="1" applyNumberFormat="1">
      <alignment horizontal="center" vertical="bottom"/>
    </xf>
    <xf borderId="3" fillId="16" fontId="19" numFmtId="166" xfId="0" applyAlignment="1" applyBorder="1" applyFont="1" applyNumberFormat="1">
      <alignment horizontal="center" vertical="bottom"/>
    </xf>
    <xf borderId="3" fillId="15" fontId="19" numFmtId="166" xfId="0" applyAlignment="1" applyBorder="1" applyFont="1" applyNumberFormat="1">
      <alignment horizontal="center" vertical="bottom"/>
    </xf>
    <xf borderId="3" fillId="16" fontId="17" numFmtId="1" xfId="0" applyAlignment="1" applyBorder="1" applyFont="1" applyNumberFormat="1">
      <alignment vertical="bottom"/>
    </xf>
    <xf borderId="3" fillId="15" fontId="17" numFmtId="1" xfId="0" applyAlignment="1" applyBorder="1" applyFont="1" applyNumberFormat="1">
      <alignment vertical="bottom"/>
    </xf>
    <xf borderId="3" fillId="15" fontId="14" numFmtId="166" xfId="0" applyAlignment="1" applyBorder="1" applyFont="1" applyNumberFormat="1">
      <alignment horizontal="center" vertical="bottom"/>
    </xf>
    <xf borderId="3" fillId="16" fontId="14" numFmtId="166" xfId="0" applyAlignment="1" applyBorder="1" applyFont="1" applyNumberFormat="1">
      <alignment horizontal="center" vertical="bottom"/>
    </xf>
    <xf borderId="3" fillId="17" fontId="16" numFmtId="1" xfId="0" applyAlignment="1" applyBorder="1" applyFont="1" applyNumberFormat="1">
      <alignment horizontal="center" vertical="bottom"/>
    </xf>
    <xf borderId="0" fillId="15" fontId="10" numFmtId="165" xfId="0" applyAlignment="1" applyFont="1" applyNumberFormat="1">
      <alignment readingOrder="0"/>
    </xf>
    <xf borderId="3" fillId="15" fontId="19" numFmtId="165" xfId="0" applyAlignment="1" applyBorder="1" applyFont="1" applyNumberFormat="1">
      <alignment horizontal="center" vertical="bottom"/>
    </xf>
    <xf borderId="3" fillId="16" fontId="19" numFmtId="165" xfId="0" applyAlignment="1" applyBorder="1" applyFont="1" applyNumberFormat="1">
      <alignment horizontal="center" vertical="bottom"/>
    </xf>
    <xf borderId="3" fillId="16" fontId="18" numFmtId="1" xfId="0" applyAlignment="1" applyBorder="1" applyFont="1" applyNumberFormat="1">
      <alignment horizontal="center" vertical="bottom"/>
    </xf>
    <xf borderId="4" fillId="16" fontId="16" numFmtId="1" xfId="0" applyAlignment="1" applyBorder="1" applyFont="1" applyNumberFormat="1">
      <alignment vertical="bottom"/>
    </xf>
    <xf borderId="4" fillId="16" fontId="17" numFmtId="165" xfId="0" applyAlignment="1" applyBorder="1" applyFont="1" applyNumberFormat="1">
      <alignment vertical="bottom"/>
    </xf>
    <xf borderId="4" fillId="16" fontId="17" numFmtId="1" xfId="0" applyAlignment="1" applyBorder="1" applyFont="1" applyNumberFormat="1">
      <alignment vertical="bottom"/>
    </xf>
    <xf borderId="4" fillId="16" fontId="18" numFmtId="1" xfId="0" applyAlignment="1" applyBorder="1" applyFont="1" applyNumberFormat="1">
      <alignment horizontal="center" vertical="bottom"/>
    </xf>
    <xf borderId="5" fillId="15" fontId="20" numFmtId="1" xfId="0" applyBorder="1" applyFont="1" applyNumberFormat="1"/>
    <xf borderId="5" fillId="15" fontId="10" numFmtId="1" xfId="0" applyBorder="1" applyFont="1" applyNumberFormat="1"/>
    <xf borderId="5" fillId="15" fontId="20" numFmtId="1" xfId="0" applyAlignment="1" applyBorder="1" applyFont="1" applyNumberFormat="1">
      <alignment horizontal="right"/>
    </xf>
    <xf borderId="5" fillId="15" fontId="20" numFmtId="1" xfId="0" applyAlignment="1" applyBorder="1" applyFont="1" applyNumberFormat="1">
      <alignment horizontal="right" readingOrder="0"/>
    </xf>
    <xf borderId="0" fillId="0" fontId="21" numFmtId="0" xfId="0" applyAlignment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1" fillId="2" fontId="23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shrinkToFit="0" vertical="bottom" wrapText="0"/>
    </xf>
    <xf borderId="1" fillId="0" fontId="17" numFmtId="4" xfId="0" applyAlignment="1" applyBorder="1" applyFont="1" applyNumberFormat="1">
      <alignment shrinkToFit="0" vertical="bottom" wrapText="0"/>
    </xf>
    <xf borderId="1" fillId="0" fontId="17" numFmtId="3" xfId="0" applyAlignment="1" applyBorder="1" applyFont="1" applyNumberFormat="1">
      <alignment shrinkToFit="0" vertical="bottom" wrapText="0"/>
    </xf>
    <xf borderId="1" fillId="0" fontId="25" numFmtId="3" xfId="0" applyAlignment="1" applyBorder="1" applyFont="1" applyNumberFormat="1">
      <alignment shrinkToFit="0" vertical="bottom" wrapText="0"/>
    </xf>
    <xf borderId="1" fillId="14" fontId="17" numFmtId="0" xfId="0" applyAlignment="1" applyBorder="1" applyFont="1">
      <alignment shrinkToFit="0" vertical="bottom" wrapText="0"/>
    </xf>
    <xf borderId="1" fillId="14" fontId="26" numFmtId="0" xfId="0" applyAlignment="1" applyBorder="1" applyFont="1">
      <alignment shrinkToFit="0" vertical="bottom" wrapText="0"/>
    </xf>
    <xf borderId="1" fillId="14" fontId="26" numFmtId="4" xfId="0" applyAlignment="1" applyBorder="1" applyFont="1" applyNumberFormat="1">
      <alignment shrinkToFit="0" vertical="bottom" wrapText="0"/>
    </xf>
    <xf borderId="1" fillId="14" fontId="26" numFmtId="3" xfId="0" applyAlignment="1" applyBorder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0"/>
    </xf>
    <xf borderId="1" fillId="0" fontId="5" numFmtId="3" xfId="0" applyAlignment="1" applyBorder="1" applyFont="1" applyNumberFormat="1">
      <alignment shrinkToFit="0" vertical="center" wrapText="0"/>
    </xf>
    <xf borderId="1" fillId="0" fontId="8" numFmtId="3" xfId="0" applyAlignment="1" applyBorder="1" applyFont="1" applyNumberFormat="1">
      <alignment shrinkToFit="0" vertical="center" wrapText="0"/>
    </xf>
    <xf borderId="1" fillId="0" fontId="5" numFmtId="3" xfId="0" applyAlignment="1" applyBorder="1" applyFont="1" applyNumberFormat="1">
      <alignment shrinkToFit="0" vertical="center" wrapText="1"/>
    </xf>
    <xf borderId="1" fillId="14" fontId="8" numFmtId="3" xfId="0" applyAlignment="1" applyBorder="1" applyFont="1" applyNumberFormat="1">
      <alignment shrinkToFit="0" vertical="bottom" wrapText="0"/>
    </xf>
    <xf borderId="0" fillId="0" fontId="21" numFmtId="0" xfId="0" applyFont="1"/>
    <xf borderId="0" fillId="0" fontId="22" numFmtId="0" xfId="0" applyFont="1"/>
    <xf borderId="0" fillId="0" fontId="12" numFmtId="0" xfId="0" applyAlignment="1" applyFont="1">
      <alignment vertical="center"/>
    </xf>
    <xf borderId="1" fillId="0" fontId="5" numFmtId="0" xfId="0" applyBorder="1" applyFont="1"/>
    <xf borderId="1" fillId="0" fontId="6" numFmtId="3" xfId="0" applyAlignment="1" applyBorder="1" applyFont="1" applyNumberFormat="1">
      <alignment horizontal="right"/>
    </xf>
    <xf borderId="1" fillId="0" fontId="5" numFmtId="0" xfId="0" applyAlignment="1" applyBorder="1" applyFont="1">
      <alignment shrinkToFit="0" vertical="top" wrapText="1"/>
    </xf>
    <xf borderId="1" fillId="0" fontId="27" numFmtId="0" xfId="0" applyBorder="1" applyFont="1"/>
    <xf borderId="1" fillId="0" fontId="28" numFmtId="0" xfId="0" applyBorder="1" applyFont="1"/>
    <xf borderId="1" fillId="0" fontId="17" numFmtId="0" xfId="0" applyBorder="1" applyFont="1"/>
    <xf borderId="1" fillId="0" fontId="6" numFmtId="0" xfId="0" applyBorder="1" applyFont="1"/>
    <xf borderId="1" fillId="0" fontId="27" numFmtId="3" xfId="0" applyBorder="1" applyFont="1" applyNumberFormat="1"/>
    <xf borderId="1" fillId="0" fontId="28" numFmtId="3" xfId="0" applyBorder="1" applyFont="1" applyNumberFormat="1"/>
    <xf borderId="1" fillId="0" fontId="6" numFmtId="3" xfId="0" applyBorder="1" applyFont="1" applyNumberFormat="1"/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2" fontId="31" numFmtId="0" xfId="0" applyAlignment="1" applyFont="1">
      <alignment readingOrder="0"/>
    </xf>
    <xf borderId="0" fillId="2" fontId="31" numFmtId="3" xfId="0" applyAlignment="1" applyFont="1" applyNumberFormat="1">
      <alignment readingOrder="0"/>
    </xf>
    <xf borderId="0" fillId="0" fontId="12" numFmtId="3" xfId="0" applyFont="1" applyNumberFormat="1"/>
    <xf borderId="0" fillId="18" fontId="32" numFmtId="0" xfId="0" applyFill="1" applyFont="1"/>
    <xf borderId="0" fillId="18" fontId="32" numFmtId="0" xfId="0" applyAlignment="1" applyFont="1">
      <alignment readingOrder="0"/>
    </xf>
    <xf borderId="0" fillId="18" fontId="32" numFmtId="3" xfId="0" applyFont="1" applyNumberFormat="1"/>
    <xf borderId="0" fillId="18" fontId="32" numFmtId="0" xfId="0" applyFont="1"/>
    <xf borderId="0" fillId="9" fontId="32" numFmtId="0" xfId="0" applyFont="1"/>
    <xf borderId="0" fillId="9" fontId="32" numFmtId="0" xfId="0" applyAlignment="1" applyFont="1">
      <alignment readingOrder="0"/>
    </xf>
    <xf borderId="0" fillId="9" fontId="32" numFmtId="3" xfId="0" applyFont="1" applyNumberFormat="1"/>
    <xf borderId="0" fillId="0" fontId="12" numFmtId="0" xfId="0" applyFont="1"/>
    <xf borderId="0" fillId="0" fontId="12" numFmtId="0" xfId="0" applyFont="1"/>
    <xf borderId="0" fillId="18" fontId="32" numFmtId="0" xfId="0" applyFont="1"/>
    <xf borderId="0" fillId="0" fontId="33" numFmtId="0" xfId="0" applyAlignment="1" applyFont="1">
      <alignment readingOrder="0"/>
    </xf>
    <xf borderId="0" fillId="2" fontId="31" numFmtId="3" xfId="0" applyFont="1" applyNumberFormat="1"/>
    <xf borderId="0" fillId="0" fontId="12" numFmtId="3" xfId="0" applyAlignment="1" applyFont="1" applyNumberFormat="1">
      <alignment readingOrder="0"/>
    </xf>
    <xf borderId="0" fillId="2" fontId="31" numFmtId="0" xfId="0" applyFont="1"/>
    <xf borderId="0" fillId="9" fontId="32" numFmtId="0" xfId="0" applyFont="1"/>
    <xf borderId="0" fillId="0" fontId="21" numFmtId="0" xfId="0" applyAlignment="1" applyFont="1">
      <alignment readingOrder="0" shrinkToFit="0" vertical="bottom" wrapText="0"/>
    </xf>
    <xf borderId="1" fillId="2" fontId="23" numFmtId="0" xfId="0" applyAlignment="1" applyBorder="1" applyFont="1">
      <alignment horizontal="center" shrinkToFit="0" vertical="bottom" wrapText="1"/>
    </xf>
    <xf borderId="1" fillId="3" fontId="5" numFmtId="0" xfId="0" applyAlignment="1" applyBorder="1" applyFont="1">
      <alignment shrinkToFit="0" vertical="top" wrapText="1"/>
    </xf>
    <xf borderId="1" fillId="3" fontId="6" numFmtId="3" xfId="0" applyAlignment="1" applyBorder="1" applyFont="1" applyNumberFormat="1">
      <alignment horizontal="right" shrinkToFit="0" vertical="bottom" wrapText="0"/>
    </xf>
    <xf borderId="1" fillId="5" fontId="5" numFmtId="0" xfId="0" applyAlignment="1" applyBorder="1" applyFont="1">
      <alignment shrinkToFit="0" vertical="top" wrapText="1"/>
    </xf>
    <xf borderId="1" fillId="5" fontId="6" numFmtId="3" xfId="0" applyAlignment="1" applyBorder="1" applyFont="1" applyNumberFormat="1">
      <alignment horizontal="right" shrinkToFit="0" vertical="bottom" wrapText="0"/>
    </xf>
    <xf borderId="1" fillId="7" fontId="5" numFmtId="0" xfId="0" applyAlignment="1" applyBorder="1" applyFont="1">
      <alignment shrinkToFit="0" vertical="top" wrapText="1"/>
    </xf>
    <xf borderId="1" fillId="7" fontId="6" numFmtId="3" xfId="0" applyAlignment="1" applyBorder="1" applyFont="1" applyNumberFormat="1">
      <alignment horizontal="right" shrinkToFit="0" vertical="bottom" wrapText="0"/>
    </xf>
    <xf borderId="1" fillId="8" fontId="5" numFmtId="0" xfId="0" applyAlignment="1" applyBorder="1" applyFont="1">
      <alignment shrinkToFit="0" vertical="top" wrapText="1"/>
    </xf>
    <xf borderId="1" fillId="8" fontId="6" numFmtId="3" xfId="0" applyAlignment="1" applyBorder="1" applyFont="1" applyNumberFormat="1">
      <alignment horizontal="right" shrinkToFit="0" vertical="bottom" wrapText="0"/>
    </xf>
    <xf borderId="1" fillId="9" fontId="5" numFmtId="0" xfId="0" applyAlignment="1" applyBorder="1" applyFont="1">
      <alignment shrinkToFit="0" vertical="top" wrapText="1"/>
    </xf>
    <xf borderId="1" fillId="9" fontId="6" numFmtId="3" xfId="0" applyAlignment="1" applyBorder="1" applyFont="1" applyNumberFormat="1">
      <alignment horizontal="right" shrinkToFit="0" vertical="bottom" wrapText="0"/>
    </xf>
    <xf borderId="1" fillId="10" fontId="5" numFmtId="0" xfId="0" applyAlignment="1" applyBorder="1" applyFont="1">
      <alignment shrinkToFit="0" vertical="top" wrapText="1"/>
    </xf>
    <xf borderId="1" fillId="10" fontId="6" numFmtId="3" xfId="0" applyAlignment="1" applyBorder="1" applyFont="1" applyNumberFormat="1">
      <alignment horizontal="right" shrinkToFit="0" vertical="bottom" wrapText="0"/>
    </xf>
    <xf borderId="1" fillId="11" fontId="5" numFmtId="0" xfId="0" applyAlignment="1" applyBorder="1" applyFont="1">
      <alignment shrinkToFit="0" vertical="top" wrapText="1"/>
    </xf>
    <xf borderId="1" fillId="11" fontId="6" numFmtId="3" xfId="0" applyAlignment="1" applyBorder="1" applyFont="1" applyNumberFormat="1">
      <alignment horizontal="right" shrinkToFit="0" vertical="bottom" wrapText="0"/>
    </xf>
    <xf borderId="1" fillId="11" fontId="5" numFmtId="0" xfId="0" applyAlignment="1" applyBorder="1" applyFont="1">
      <alignment readingOrder="0" shrinkToFit="0" vertical="bottom" wrapText="0"/>
    </xf>
    <xf borderId="1" fillId="12" fontId="5" numFmtId="0" xfId="0" applyAlignment="1" applyBorder="1" applyFont="1">
      <alignment shrinkToFit="0" vertical="top" wrapText="1"/>
    </xf>
    <xf borderId="1" fillId="12" fontId="6" numFmtId="3" xfId="0" applyAlignment="1" applyBorder="1" applyFont="1" applyNumberFormat="1">
      <alignment horizontal="right" shrinkToFit="0" vertical="bottom" wrapText="0"/>
    </xf>
    <xf borderId="1" fillId="3" fontId="8" numFmtId="0" xfId="0" applyAlignment="1" applyBorder="1" applyFont="1">
      <alignment shrinkToFit="0" vertical="bottom" wrapText="0"/>
    </xf>
    <xf borderId="1" fillId="6" fontId="5" numFmtId="0" xfId="0" applyAlignment="1" applyBorder="1" applyFont="1">
      <alignment shrinkToFit="0" vertical="top" wrapText="1"/>
    </xf>
    <xf borderId="1" fillId="6" fontId="6" numFmtId="3" xfId="0" applyAlignment="1" applyBorder="1" applyFont="1" applyNumberFormat="1">
      <alignment horizontal="right" shrinkToFit="0" vertical="bottom" wrapText="0"/>
    </xf>
    <xf borderId="1" fillId="12" fontId="8" numFmtId="0" xfId="0" applyAlignment="1" applyBorder="1" applyFont="1">
      <alignment shrinkToFit="0" vertical="bottom" wrapText="0"/>
    </xf>
    <xf borderId="1" fillId="12" fontId="5" numFmtId="167" xfId="0" applyAlignment="1" applyBorder="1" applyFont="1" applyNumberFormat="1">
      <alignment readingOrder="0" shrinkToFit="0" vertical="bottom" wrapText="0"/>
    </xf>
    <xf borderId="1" fillId="12" fontId="5" numFmtId="0" xfId="0" applyAlignment="1" applyBorder="1" applyFont="1">
      <alignment readingOrder="0" shrinkToFit="0" vertical="top" wrapText="1"/>
    </xf>
    <xf borderId="1" fillId="12" fontId="6" numFmtId="3" xfId="0" applyAlignment="1" applyBorder="1" applyFont="1" applyNumberFormat="1">
      <alignment horizontal="right" readingOrder="0" shrinkToFit="0" vertical="bottom" wrapText="0"/>
    </xf>
    <xf borderId="1" fillId="2" fontId="23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5" numFmtId="3" xfId="0" applyAlignment="1" applyBorder="1" applyFont="1" applyNumberFormat="1">
      <alignment shrinkToFit="0" vertical="bottom" wrapText="0"/>
    </xf>
    <xf borderId="1" fillId="0" fontId="8" numFmtId="3" xfId="0" applyAlignment="1" applyBorder="1" applyFont="1" applyNumberFormat="1">
      <alignment shrinkToFit="0" vertical="bottom" wrapText="0"/>
    </xf>
    <xf borderId="1" fillId="0" fontId="6" numFmtId="3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k Alexis Mungcal" id="{0a17d7c0-2484-4468-a1ac-7776cffb62f0}" providerId="google-sheets"/>
  <x18tc:person displayName="francis@nrdev.ph" id="{9bd90e1a-6dd0-457d-924c-a0bc4d831387}" userId="francis@nrdev.ph" providerId="google-sheets"/>
  <x18tc:person displayName="Francis Simisim" id="{efbfaebe-8f21-4642-abeb-87e96249396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8" dT="2026-06-27T08:46:31.00" personId="{0a17d7c0-2484-4468-a1ac-7776cffb62f0}" id="{d242e1df-e98c-4843-bd93-2738ef323818}" done="0">
    <x18tc:text xml:space="preserve">@francis@nrdev.ph  Variance on current DP with supplier</x18tc:text>
    <x18tc:mentions>
      <x18tc:mention mentionpersonId="{9bd90e1a-6dd0-457d-924c-a0bc4d831387}" mentionId="{640bd001-56c9-4ab7-a8f8-cba6c6318849}" startIndex="0" length="17"/>
    </x18tc:mentions>
  </x18tc:threadedComment>
  <x18tc:threadedComment ref="F8" dT="2026-06-27T10:20:11.00" personId="{efbfaebe-8f21-4642-abeb-87e96249396e}" id="{4d1c1f65-e09e-4072-83d5-2baeb6d26c52}" parentId="{d242e1df-e98c-4843-bd93-2738ef323818}">
    <x18tc:text xml:space="preserve">Let’s discuss this during our catchup, so I can walk you through the setup</x18tc:text>
  </x18tc:threadedComment>
  <x18tc:threadedComment ref="F8" dT="2026-06-27T10:21:24.00" personId="{0a17d7c0-2484-4468-a1ac-7776cffb62f0}" id="{83f4ab46-1010-4d3e-a657-c40a1993390e}" parentId="{d242e1df-e98c-4843-bd93-2738ef323818}">
    <x18tc:text xml:space="preserve">this is noted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 outlineLevelCol="1"/>
  <cols>
    <col customWidth="1" min="1" max="1" width="16.14"/>
    <col customWidth="1" min="2" max="2" width="19.29"/>
    <col customWidth="1" min="3" max="3" width="46.43"/>
    <col customWidth="1" hidden="1" min="4" max="4" width="9.0"/>
    <col customWidth="1" hidden="1" min="5" max="8" width="10.0" outlineLevel="1"/>
    <col collapsed="1" customWidth="1" min="9" max="9" width="10.0"/>
    <col customWidth="1" min="10" max="12" width="10.0"/>
    <col customWidth="1" min="13" max="16" width="10.0" outlineLevel="1"/>
    <col customWidth="1" min="17" max="17" width="13.0" outlineLevel="1"/>
    <col customWidth="1" min="18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18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19</v>
      </c>
      <c r="B5" s="6" t="s">
        <v>19</v>
      </c>
      <c r="C5" s="6" t="s">
        <v>20</v>
      </c>
      <c r="D5" s="6" t="s">
        <v>21</v>
      </c>
      <c r="E5" s="7">
        <v>880387.7549999999</v>
      </c>
      <c r="F5" s="7">
        <v>880387.7549999999</v>
      </c>
      <c r="G5" s="7">
        <v>880387.7549999999</v>
      </c>
      <c r="H5" s="7">
        <v>880387.7549999999</v>
      </c>
      <c r="I5" s="7">
        <v>880387.7549999999</v>
      </c>
      <c r="J5" s="7">
        <v>880387.7549999999</v>
      </c>
      <c r="K5" s="7">
        <v>880387.7549999999</v>
      </c>
      <c r="L5" s="7">
        <v>880387.7549999999</v>
      </c>
      <c r="M5" s="7">
        <v>923100.255</v>
      </c>
      <c r="N5" s="7">
        <v>923100.255</v>
      </c>
      <c r="O5" s="7">
        <v>1179375.255</v>
      </c>
      <c r="P5" s="7">
        <v>1179375.255</v>
      </c>
      <c r="Q5" s="8">
        <f t="shared" ref="Q5:Q8" si="1">SUM(E5:P5)</f>
        <v>11248053.06</v>
      </c>
      <c r="R5" s="3"/>
      <c r="S5" s="3"/>
      <c r="T5" s="3"/>
      <c r="U5" s="3"/>
      <c r="V5" s="3"/>
      <c r="W5" s="3"/>
      <c r="X5" s="3"/>
      <c r="Y5" s="3"/>
      <c r="Z5" s="3"/>
    </row>
    <row r="6">
      <c r="A6" s="9" t="s">
        <v>22</v>
      </c>
      <c r="B6" s="9" t="s">
        <v>22</v>
      </c>
      <c r="C6" s="9" t="s">
        <v>20</v>
      </c>
      <c r="D6" s="9" t="s">
        <v>21</v>
      </c>
      <c r="E6" s="10">
        <v>125860.0</v>
      </c>
      <c r="F6" s="10">
        <v>125860.0</v>
      </c>
      <c r="G6" s="10">
        <v>125860.0</v>
      </c>
      <c r="H6" s="10">
        <v>125860.0</v>
      </c>
      <c r="I6" s="10">
        <v>151032.0</v>
      </c>
      <c r="J6" s="10">
        <v>151032.0</v>
      </c>
      <c r="K6" s="10">
        <v>151032.0</v>
      </c>
      <c r="L6" s="10">
        <v>151032.0</v>
      </c>
      <c r="M6" s="10">
        <v>151032.0</v>
      </c>
      <c r="N6" s="10">
        <v>151032.0</v>
      </c>
      <c r="O6" s="10">
        <v>125860.0</v>
      </c>
      <c r="P6" s="10">
        <v>125860.0</v>
      </c>
      <c r="Q6" s="11">
        <f t="shared" si="1"/>
        <v>1661352</v>
      </c>
      <c r="R6" s="3"/>
      <c r="S6" s="3"/>
      <c r="T6" s="3"/>
      <c r="U6" s="3"/>
      <c r="V6" s="3"/>
      <c r="W6" s="3"/>
      <c r="X6" s="3"/>
      <c r="Y6" s="3"/>
      <c r="Z6" s="3"/>
    </row>
    <row r="7">
      <c r="A7" s="12" t="s">
        <v>23</v>
      </c>
      <c r="B7" s="12" t="s">
        <v>24</v>
      </c>
      <c r="C7" s="12" t="s">
        <v>20</v>
      </c>
      <c r="D7" s="12" t="s">
        <v>21</v>
      </c>
      <c r="E7" s="13">
        <v>250020.0</v>
      </c>
      <c r="F7" s="13">
        <v>250020.0</v>
      </c>
      <c r="G7" s="13">
        <v>250020.0</v>
      </c>
      <c r="H7" s="13">
        <v>250020.0</v>
      </c>
      <c r="I7" s="13">
        <v>250020.0</v>
      </c>
      <c r="J7" s="13">
        <v>250020.0</v>
      </c>
      <c r="K7" s="13">
        <v>250020.0</v>
      </c>
      <c r="L7" s="13">
        <v>250020.0</v>
      </c>
      <c r="M7" s="13">
        <v>277360.0</v>
      </c>
      <c r="N7" s="13">
        <v>277360.0</v>
      </c>
      <c r="O7" s="13">
        <v>523420.0</v>
      </c>
      <c r="P7" s="13">
        <v>523420.0</v>
      </c>
      <c r="Q7" s="14">
        <f t="shared" si="1"/>
        <v>3601720</v>
      </c>
      <c r="R7" s="3"/>
      <c r="S7" s="3"/>
      <c r="T7" s="3"/>
      <c r="U7" s="3"/>
      <c r="V7" s="3"/>
      <c r="W7" s="3"/>
      <c r="X7" s="3"/>
      <c r="Y7" s="3"/>
      <c r="Z7" s="3"/>
    </row>
    <row r="8">
      <c r="A8" s="15" t="s">
        <v>25</v>
      </c>
      <c r="B8" s="15" t="s">
        <v>25</v>
      </c>
      <c r="C8" s="15" t="s">
        <v>20</v>
      </c>
      <c r="D8" s="15" t="s">
        <v>21</v>
      </c>
      <c r="E8" s="16">
        <v>40117.875</v>
      </c>
      <c r="F8" s="16">
        <v>40117.875</v>
      </c>
      <c r="G8" s="16">
        <v>40117.875</v>
      </c>
      <c r="H8" s="16">
        <v>40117.875</v>
      </c>
      <c r="I8" s="16">
        <v>40117.875</v>
      </c>
      <c r="J8" s="16">
        <v>40117.875</v>
      </c>
      <c r="K8" s="16">
        <v>40117.875</v>
      </c>
      <c r="L8" s="16">
        <v>40117.875</v>
      </c>
      <c r="M8" s="16">
        <v>53490.5</v>
      </c>
      <c r="N8" s="16">
        <v>53490.5</v>
      </c>
      <c r="O8" s="16">
        <v>93608.375</v>
      </c>
      <c r="P8" s="16">
        <v>93608.375</v>
      </c>
      <c r="Q8" s="17">
        <f t="shared" si="1"/>
        <v>615140.75</v>
      </c>
      <c r="R8" s="3"/>
      <c r="S8" s="3"/>
      <c r="T8" s="3"/>
      <c r="U8" s="3"/>
      <c r="V8" s="3"/>
      <c r="W8" s="3"/>
      <c r="X8" s="3"/>
      <c r="Y8" s="3"/>
      <c r="Z8" s="3"/>
    </row>
    <row r="9">
      <c r="A9" s="18" t="s">
        <v>26</v>
      </c>
      <c r="B9" s="18" t="s">
        <v>26</v>
      </c>
      <c r="C9" s="18" t="s">
        <v>20</v>
      </c>
      <c r="D9" s="18" t="s">
        <v>21</v>
      </c>
      <c r="E9" s="19">
        <v>40117.875</v>
      </c>
      <c r="F9" s="19">
        <v>40117.875</v>
      </c>
      <c r="G9" s="19">
        <v>40117.875</v>
      </c>
      <c r="H9" s="19">
        <v>40117.875</v>
      </c>
      <c r="I9" s="19">
        <v>40117.875</v>
      </c>
      <c r="J9" s="19">
        <v>40117.875</v>
      </c>
      <c r="K9" s="19">
        <v>40117.875</v>
      </c>
      <c r="L9" s="19">
        <v>40117.875</v>
      </c>
      <c r="M9" s="19">
        <v>53490.5</v>
      </c>
      <c r="N9" s="19">
        <v>53490.5</v>
      </c>
      <c r="O9" s="19">
        <v>93608.375</v>
      </c>
      <c r="P9" s="19">
        <v>93608.375</v>
      </c>
      <c r="Q9" s="20">
        <v>615140.75</v>
      </c>
      <c r="R9" s="3"/>
      <c r="S9" s="3"/>
      <c r="T9" s="3"/>
      <c r="U9" s="3"/>
      <c r="V9" s="3"/>
      <c r="W9" s="3"/>
      <c r="X9" s="3"/>
      <c r="Y9" s="3"/>
      <c r="Z9" s="3"/>
    </row>
    <row r="10">
      <c r="A10" s="21" t="s">
        <v>27</v>
      </c>
      <c r="B10" s="21" t="s">
        <v>27</v>
      </c>
      <c r="C10" s="21" t="s">
        <v>20</v>
      </c>
      <c r="D10" s="21" t="s">
        <v>21</v>
      </c>
      <c r="E10" s="22">
        <v>0.0</v>
      </c>
      <c r="F10" s="22">
        <v>0.0</v>
      </c>
      <c r="G10" s="22">
        <v>0.0</v>
      </c>
      <c r="H10" s="22">
        <v>0.0</v>
      </c>
      <c r="I10" s="22">
        <v>125860.0</v>
      </c>
      <c r="J10" s="22">
        <v>226548.0</v>
      </c>
      <c r="K10" s="22">
        <v>276892.0</v>
      </c>
      <c r="L10" s="22">
        <v>302064.0</v>
      </c>
      <c r="M10" s="22">
        <v>377580.0</v>
      </c>
      <c r="N10" s="22">
        <v>402752.0</v>
      </c>
      <c r="O10" s="22">
        <v>478268.0</v>
      </c>
      <c r="P10" s="22">
        <v>553784.0</v>
      </c>
      <c r="Q10" s="23">
        <f t="shared" ref="Q10:Q16" si="2">SUM(E10:P10)</f>
        <v>2743748</v>
      </c>
      <c r="R10" s="3"/>
      <c r="S10" s="3"/>
      <c r="T10" s="3"/>
      <c r="U10" s="3"/>
      <c r="V10" s="3"/>
      <c r="W10" s="3"/>
      <c r="X10" s="3"/>
      <c r="Y10" s="3"/>
      <c r="Z10" s="3"/>
    </row>
    <row r="11">
      <c r="A11" s="24" t="s">
        <v>28</v>
      </c>
      <c r="B11" s="24" t="s">
        <v>28</v>
      </c>
      <c r="C11" s="24" t="s">
        <v>20</v>
      </c>
      <c r="D11" s="24" t="s">
        <v>21</v>
      </c>
      <c r="E11" s="25">
        <v>631987.4524999999</v>
      </c>
      <c r="F11" s="25">
        <v>631987.4524999999</v>
      </c>
      <c r="G11" s="25">
        <v>631987.4524999999</v>
      </c>
      <c r="H11" s="25">
        <v>696587.4524999999</v>
      </c>
      <c r="I11" s="25">
        <v>890387.4524999999</v>
      </c>
      <c r="J11" s="25">
        <v>1277987.4525</v>
      </c>
      <c r="K11" s="25">
        <v>1536387.4525</v>
      </c>
      <c r="L11" s="25">
        <v>1794787.4525</v>
      </c>
      <c r="M11" s="25">
        <v>1859387.4525</v>
      </c>
      <c r="N11" s="25">
        <v>2053187.4524999997</v>
      </c>
      <c r="O11" s="25">
        <v>2053187.4524999997</v>
      </c>
      <c r="P11" s="25">
        <v>2053187.4524999997</v>
      </c>
      <c r="Q11" s="26">
        <f t="shared" si="2"/>
        <v>16111049.43</v>
      </c>
      <c r="R11" s="3"/>
      <c r="S11" s="3"/>
      <c r="T11" s="3"/>
      <c r="U11" s="3"/>
      <c r="V11" s="3"/>
      <c r="W11" s="3"/>
      <c r="X11" s="3"/>
      <c r="Y11" s="3"/>
      <c r="Z11" s="3"/>
    </row>
    <row r="12">
      <c r="A12" s="27" t="s">
        <v>29</v>
      </c>
      <c r="B12" s="27" t="s">
        <v>29</v>
      </c>
      <c r="C12" s="27" t="s">
        <v>20</v>
      </c>
      <c r="D12" s="27" t="s">
        <v>21</v>
      </c>
      <c r="E12" s="28">
        <v>633750.0000000001</v>
      </c>
      <c r="F12" s="28">
        <v>633750.0000000001</v>
      </c>
      <c r="G12" s="28">
        <v>974464.285714286</v>
      </c>
      <c r="H12" s="28">
        <v>340714.2857142861</v>
      </c>
      <c r="I12" s="28">
        <v>390964.2857142861</v>
      </c>
      <c r="J12" s="28">
        <v>390964.2857142861</v>
      </c>
      <c r="K12" s="28">
        <v>390964.2857142861</v>
      </c>
      <c r="L12" s="28">
        <v>390964.2857142861</v>
      </c>
      <c r="M12" s="28">
        <v>390964.2857142861</v>
      </c>
      <c r="N12" s="28">
        <v>441214.2857142861</v>
      </c>
      <c r="O12" s="28">
        <v>441214.2857142861</v>
      </c>
      <c r="P12" s="28">
        <v>441214.2857142861</v>
      </c>
      <c r="Q12" s="29">
        <f t="shared" si="2"/>
        <v>5861142.857</v>
      </c>
      <c r="R12" s="3"/>
      <c r="S12" s="3"/>
      <c r="T12" s="3"/>
      <c r="U12" s="3"/>
      <c r="V12" s="3"/>
      <c r="W12" s="3"/>
      <c r="X12" s="3"/>
      <c r="Y12" s="3"/>
      <c r="Z12" s="3"/>
    </row>
    <row r="13">
      <c r="A13" s="30" t="s">
        <v>30</v>
      </c>
      <c r="B13" s="30" t="s">
        <v>30</v>
      </c>
      <c r="C13" s="30" t="s">
        <v>20</v>
      </c>
      <c r="D13" s="30" t="s">
        <v>21</v>
      </c>
      <c r="E13" s="31">
        <v>57000.0</v>
      </c>
      <c r="F13" s="31">
        <v>57000.0</v>
      </c>
      <c r="G13" s="31">
        <v>57000.0</v>
      </c>
      <c r="H13" s="31">
        <v>57000.0</v>
      </c>
      <c r="I13" s="31">
        <v>61750.0</v>
      </c>
      <c r="J13" s="31">
        <v>61750.0</v>
      </c>
      <c r="K13" s="31">
        <v>61750.0</v>
      </c>
      <c r="L13" s="31">
        <v>61750.0</v>
      </c>
      <c r="M13" s="31">
        <v>61750.0</v>
      </c>
      <c r="N13" s="31">
        <v>61750.0</v>
      </c>
      <c r="O13" s="31">
        <v>61750.0</v>
      </c>
      <c r="P13" s="31">
        <v>61750.0</v>
      </c>
      <c r="Q13" s="32">
        <f t="shared" si="2"/>
        <v>722000</v>
      </c>
      <c r="R13" s="3"/>
      <c r="S13" s="3"/>
      <c r="T13" s="3"/>
      <c r="U13" s="3"/>
      <c r="V13" s="3"/>
      <c r="W13" s="3"/>
      <c r="X13" s="3"/>
      <c r="Y13" s="3"/>
      <c r="Z13" s="3"/>
    </row>
    <row r="14">
      <c r="A14" s="6" t="s">
        <v>31</v>
      </c>
      <c r="B14" s="6" t="s">
        <v>31</v>
      </c>
      <c r="C14" s="6" t="s">
        <v>20</v>
      </c>
      <c r="D14" s="6" t="s">
        <v>21</v>
      </c>
      <c r="E14" s="7">
        <v>154375.0</v>
      </c>
      <c r="F14" s="7">
        <v>154375.0</v>
      </c>
      <c r="G14" s="7">
        <v>154375.0</v>
      </c>
      <c r="H14" s="7">
        <v>154375.0</v>
      </c>
      <c r="I14" s="7">
        <v>154375.0</v>
      </c>
      <c r="J14" s="7">
        <v>154375.0</v>
      </c>
      <c r="K14" s="7">
        <v>154375.0</v>
      </c>
      <c r="L14" s="7">
        <v>154375.0</v>
      </c>
      <c r="M14" s="7">
        <v>154375.0</v>
      </c>
      <c r="N14" s="7">
        <v>154375.0</v>
      </c>
      <c r="O14" s="7">
        <v>154375.0</v>
      </c>
      <c r="P14" s="7">
        <v>154375.0</v>
      </c>
      <c r="Q14" s="8">
        <f t="shared" si="2"/>
        <v>1852500</v>
      </c>
      <c r="R14" s="3"/>
      <c r="S14" s="3"/>
      <c r="T14" s="3"/>
      <c r="U14" s="3"/>
      <c r="V14" s="3"/>
      <c r="W14" s="3"/>
      <c r="X14" s="3"/>
      <c r="Y14" s="3"/>
      <c r="Z14" s="3"/>
    </row>
    <row r="15">
      <c r="A15" s="33" t="s">
        <v>32</v>
      </c>
      <c r="B15" s="33" t="s">
        <v>32</v>
      </c>
      <c r="C15" s="33" t="s">
        <v>20</v>
      </c>
      <c r="D15" s="33" t="s">
        <v>21</v>
      </c>
      <c r="E15" s="34">
        <v>109326.40000000001</v>
      </c>
      <c r="F15" s="34">
        <v>109326.40000000001</v>
      </c>
      <c r="G15" s="34">
        <v>109326.40000000001</v>
      </c>
      <c r="H15" s="34">
        <v>109326.40000000001</v>
      </c>
      <c r="I15" s="34">
        <v>153993.06666666665</v>
      </c>
      <c r="J15" s="34">
        <v>214659.7333333333</v>
      </c>
      <c r="K15" s="34">
        <v>214659.7333333333</v>
      </c>
      <c r="L15" s="34">
        <v>275326.39999999997</v>
      </c>
      <c r="M15" s="34">
        <v>275326.39999999997</v>
      </c>
      <c r="N15" s="34">
        <v>275326.39999999997</v>
      </c>
      <c r="O15" s="34">
        <v>335993.06666666665</v>
      </c>
      <c r="P15" s="34">
        <v>335993.06666666665</v>
      </c>
      <c r="Q15" s="35">
        <f t="shared" si="2"/>
        <v>2518583.467</v>
      </c>
      <c r="R15" s="3"/>
      <c r="S15" s="3"/>
      <c r="T15" s="3"/>
      <c r="U15" s="3"/>
      <c r="V15" s="3"/>
      <c r="W15" s="3"/>
      <c r="X15" s="3"/>
      <c r="Y15" s="3"/>
      <c r="Z15" s="3"/>
    </row>
    <row r="16">
      <c r="A16" s="36"/>
      <c r="B16" s="36"/>
      <c r="C16" s="37" t="s">
        <v>33</v>
      </c>
      <c r="D16" s="36"/>
      <c r="E16" s="38">
        <f t="shared" ref="E16:P16" si="3">SUM(E5:E15)</f>
        <v>2922942.358</v>
      </c>
      <c r="F16" s="38">
        <f t="shared" si="3"/>
        <v>2922942.358</v>
      </c>
      <c r="G16" s="38">
        <f t="shared" si="3"/>
        <v>3263656.643</v>
      </c>
      <c r="H16" s="38">
        <f t="shared" si="3"/>
        <v>2694506.643</v>
      </c>
      <c r="I16" s="38">
        <f t="shared" si="3"/>
        <v>3139005.31</v>
      </c>
      <c r="J16" s="38">
        <f t="shared" si="3"/>
        <v>3687959.977</v>
      </c>
      <c r="K16" s="38">
        <f t="shared" si="3"/>
        <v>3996703.977</v>
      </c>
      <c r="L16" s="38">
        <f t="shared" si="3"/>
        <v>4340942.643</v>
      </c>
      <c r="M16" s="38">
        <f t="shared" si="3"/>
        <v>4577856.393</v>
      </c>
      <c r="N16" s="38">
        <f t="shared" si="3"/>
        <v>4847078.393</v>
      </c>
      <c r="O16" s="38">
        <f t="shared" si="3"/>
        <v>5540659.81</v>
      </c>
      <c r="P16" s="38">
        <f t="shared" si="3"/>
        <v>5616175.81</v>
      </c>
      <c r="Q16" s="38">
        <f t="shared" si="2"/>
        <v>47550430.31</v>
      </c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34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" t="s">
        <v>19</v>
      </c>
      <c r="B19" s="6" t="s">
        <v>35</v>
      </c>
      <c r="C19" s="39" t="s">
        <v>36</v>
      </c>
      <c r="D19" s="6" t="s">
        <v>21</v>
      </c>
      <c r="E19" s="40">
        <v>2000.0</v>
      </c>
      <c r="F19" s="40">
        <v>2000.0</v>
      </c>
      <c r="G19" s="40">
        <v>2000.0</v>
      </c>
      <c r="H19" s="40">
        <v>2000.0</v>
      </c>
      <c r="I19" s="40">
        <v>2000.0</v>
      </c>
      <c r="J19" s="40">
        <v>2000.0</v>
      </c>
      <c r="K19" s="40">
        <v>2000.0</v>
      </c>
      <c r="L19" s="40">
        <v>2000.0</v>
      </c>
      <c r="M19" s="40">
        <v>2000.0</v>
      </c>
      <c r="N19" s="40">
        <v>2000.0</v>
      </c>
      <c r="O19" s="40">
        <v>2000.0</v>
      </c>
      <c r="P19" s="40">
        <v>2000.0</v>
      </c>
      <c r="Q19" s="8">
        <f t="shared" ref="Q19:Q74" si="4">SUM(E19:P19)</f>
        <v>24000</v>
      </c>
      <c r="R19" s="3"/>
      <c r="S19" s="3"/>
      <c r="T19" s="3"/>
      <c r="U19" s="3"/>
      <c r="V19" s="3"/>
      <c r="W19" s="3"/>
      <c r="X19" s="3"/>
      <c r="Y19" s="3"/>
      <c r="Z19" s="3"/>
    </row>
    <row r="20">
      <c r="A20" s="6" t="s">
        <v>19</v>
      </c>
      <c r="B20" s="6" t="s">
        <v>35</v>
      </c>
      <c r="C20" s="39" t="s">
        <v>37</v>
      </c>
      <c r="D20" s="6" t="s">
        <v>21</v>
      </c>
      <c r="E20" s="40">
        <v>1000.0</v>
      </c>
      <c r="F20" s="40">
        <v>1000.0</v>
      </c>
      <c r="G20" s="40">
        <v>1000.0</v>
      </c>
      <c r="H20" s="40">
        <v>1000.0</v>
      </c>
      <c r="I20" s="40">
        <v>1000.0</v>
      </c>
      <c r="J20" s="40">
        <v>1000.0</v>
      </c>
      <c r="K20" s="40">
        <v>1000.0</v>
      </c>
      <c r="L20" s="40">
        <v>1000.0</v>
      </c>
      <c r="M20" s="40">
        <v>1000.0</v>
      </c>
      <c r="N20" s="40">
        <v>1000.0</v>
      </c>
      <c r="O20" s="40">
        <v>1000.0</v>
      </c>
      <c r="P20" s="40">
        <v>1000.0</v>
      </c>
      <c r="Q20" s="8">
        <f t="shared" si="4"/>
        <v>12000</v>
      </c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6" t="s">
        <v>19</v>
      </c>
      <c r="B21" s="6" t="s">
        <v>35</v>
      </c>
      <c r="C21" s="39" t="s">
        <v>38</v>
      </c>
      <c r="D21" s="6" t="s">
        <v>21</v>
      </c>
      <c r="E21" s="40">
        <v>6000.0</v>
      </c>
      <c r="F21" s="40">
        <v>6000.0</v>
      </c>
      <c r="G21" s="40">
        <v>6000.0</v>
      </c>
      <c r="H21" s="40">
        <v>6000.0</v>
      </c>
      <c r="I21" s="40">
        <v>6000.0</v>
      </c>
      <c r="J21" s="40">
        <v>6000.0</v>
      </c>
      <c r="K21" s="40">
        <v>6000.0</v>
      </c>
      <c r="L21" s="40">
        <v>6000.0</v>
      </c>
      <c r="M21" s="40">
        <v>6000.0</v>
      </c>
      <c r="N21" s="40">
        <v>6000.0</v>
      </c>
      <c r="O21" s="40">
        <v>6000.0</v>
      </c>
      <c r="P21" s="40">
        <v>6000.0</v>
      </c>
      <c r="Q21" s="8">
        <f t="shared" si="4"/>
        <v>72000</v>
      </c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6" t="s">
        <v>19</v>
      </c>
      <c r="B22" s="6" t="s">
        <v>35</v>
      </c>
      <c r="C22" s="39" t="s">
        <v>39</v>
      </c>
      <c r="D22" s="6" t="s">
        <v>21</v>
      </c>
      <c r="E22" s="40">
        <v>20000.0</v>
      </c>
      <c r="F22" s="40">
        <v>20000.0</v>
      </c>
      <c r="G22" s="40">
        <v>20000.0</v>
      </c>
      <c r="H22" s="40">
        <v>20000.0</v>
      </c>
      <c r="I22" s="40">
        <v>20000.0</v>
      </c>
      <c r="J22" s="40">
        <v>20000.0</v>
      </c>
      <c r="K22" s="40">
        <v>20000.0</v>
      </c>
      <c r="L22" s="40">
        <v>20000.0</v>
      </c>
      <c r="M22" s="40">
        <v>20000.0</v>
      </c>
      <c r="N22" s="40">
        <v>20000.0</v>
      </c>
      <c r="O22" s="40">
        <v>20000.0</v>
      </c>
      <c r="P22" s="40">
        <v>20000.0</v>
      </c>
      <c r="Q22" s="8">
        <f t="shared" si="4"/>
        <v>240000</v>
      </c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6" t="s">
        <v>19</v>
      </c>
      <c r="B23" s="6" t="s">
        <v>40</v>
      </c>
      <c r="C23" s="39" t="s">
        <v>41</v>
      </c>
      <c r="D23" s="6" t="s">
        <v>21</v>
      </c>
      <c r="E23" s="40">
        <v>15000.0</v>
      </c>
      <c r="F23" s="40">
        <v>15000.0</v>
      </c>
      <c r="G23" s="40">
        <v>15000.0</v>
      </c>
      <c r="H23" s="40">
        <v>15000.0</v>
      </c>
      <c r="I23" s="40">
        <v>15000.0</v>
      </c>
      <c r="J23" s="40">
        <v>15000.0</v>
      </c>
      <c r="K23" s="40">
        <v>15000.0</v>
      </c>
      <c r="L23" s="40">
        <v>15000.0</v>
      </c>
      <c r="M23" s="40">
        <v>15000.0</v>
      </c>
      <c r="N23" s="40">
        <v>15000.0</v>
      </c>
      <c r="O23" s="40">
        <v>15000.0</v>
      </c>
      <c r="P23" s="40">
        <v>15000.0</v>
      </c>
      <c r="Q23" s="8">
        <f t="shared" si="4"/>
        <v>180000</v>
      </c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6" t="s">
        <v>19</v>
      </c>
      <c r="B24" s="6" t="s">
        <v>40</v>
      </c>
      <c r="C24" s="39" t="s">
        <v>42</v>
      </c>
      <c r="D24" s="6" t="s">
        <v>21</v>
      </c>
      <c r="E24" s="40">
        <v>5000.0</v>
      </c>
      <c r="F24" s="40">
        <v>5000.0</v>
      </c>
      <c r="G24" s="40">
        <v>5000.0</v>
      </c>
      <c r="H24" s="40">
        <v>5000.0</v>
      </c>
      <c r="I24" s="40">
        <v>25000.0</v>
      </c>
      <c r="J24" s="40">
        <v>5000.0</v>
      </c>
      <c r="K24" s="40">
        <v>5000.0</v>
      </c>
      <c r="L24" s="40">
        <v>5000.0</v>
      </c>
      <c r="M24" s="40">
        <v>5000.0</v>
      </c>
      <c r="N24" s="40">
        <v>5000.0</v>
      </c>
      <c r="O24" s="40">
        <v>5000.0</v>
      </c>
      <c r="P24" s="40">
        <v>5000.0</v>
      </c>
      <c r="Q24" s="8">
        <f t="shared" si="4"/>
        <v>80000</v>
      </c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6" t="s">
        <v>19</v>
      </c>
      <c r="B25" s="6" t="s">
        <v>40</v>
      </c>
      <c r="C25" s="39" t="s">
        <v>43</v>
      </c>
      <c r="D25" s="6" t="s">
        <v>21</v>
      </c>
      <c r="E25" s="40" t="s">
        <v>44</v>
      </c>
      <c r="F25" s="40" t="s">
        <v>44</v>
      </c>
      <c r="G25" s="40" t="s">
        <v>44</v>
      </c>
      <c r="H25" s="40" t="s">
        <v>44</v>
      </c>
      <c r="I25" s="40">
        <v>100000.0</v>
      </c>
      <c r="J25" s="40" t="s">
        <v>44</v>
      </c>
      <c r="K25" s="40" t="s">
        <v>44</v>
      </c>
      <c r="L25" s="40" t="s">
        <v>44</v>
      </c>
      <c r="M25" s="40" t="s">
        <v>44</v>
      </c>
      <c r="N25" s="40" t="s">
        <v>44</v>
      </c>
      <c r="O25" s="40" t="s">
        <v>44</v>
      </c>
      <c r="P25" s="40" t="s">
        <v>44</v>
      </c>
      <c r="Q25" s="8">
        <f t="shared" si="4"/>
        <v>100000</v>
      </c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6" t="s">
        <v>19</v>
      </c>
      <c r="B26" s="6" t="s">
        <v>40</v>
      </c>
      <c r="C26" s="39" t="s">
        <v>45</v>
      </c>
      <c r="D26" s="6" t="s">
        <v>21</v>
      </c>
      <c r="E26" s="40">
        <v>26340.0</v>
      </c>
      <c r="F26" s="40">
        <v>26340.0</v>
      </c>
      <c r="G26" s="40">
        <v>26340.0</v>
      </c>
      <c r="H26" s="40">
        <v>26340.0</v>
      </c>
      <c r="I26" s="40">
        <v>26340.0</v>
      </c>
      <c r="J26" s="40">
        <v>26340.0</v>
      </c>
      <c r="K26" s="40">
        <v>26340.0</v>
      </c>
      <c r="L26" s="40">
        <v>26340.0</v>
      </c>
      <c r="M26" s="40">
        <v>26340.0</v>
      </c>
      <c r="N26" s="40">
        <v>26340.0</v>
      </c>
      <c r="O26" s="40">
        <v>26340.0</v>
      </c>
      <c r="P26" s="40">
        <v>26340.0</v>
      </c>
      <c r="Q26" s="8">
        <f t="shared" si="4"/>
        <v>316080</v>
      </c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6" t="s">
        <v>19</v>
      </c>
      <c r="B27" s="6" t="s">
        <v>40</v>
      </c>
      <c r="C27" s="39" t="s">
        <v>46</v>
      </c>
      <c r="D27" s="6" t="s">
        <v>21</v>
      </c>
      <c r="E27" s="40">
        <v>13800.0</v>
      </c>
      <c r="F27" s="40">
        <v>21000.0</v>
      </c>
      <c r="G27" s="40">
        <v>33000.0</v>
      </c>
      <c r="H27" s="40">
        <v>45000.0</v>
      </c>
      <c r="I27" s="40">
        <v>66000.0</v>
      </c>
      <c r="J27" s="40">
        <v>78000.0</v>
      </c>
      <c r="K27" s="40">
        <v>84000.0</v>
      </c>
      <c r="L27" s="40">
        <v>99000.0</v>
      </c>
      <c r="M27" s="40">
        <v>75000.0</v>
      </c>
      <c r="N27" s="40">
        <v>120000.0</v>
      </c>
      <c r="O27" s="40">
        <v>270000.0</v>
      </c>
      <c r="P27" s="40">
        <v>180000.0</v>
      </c>
      <c r="Q27" s="8">
        <f t="shared" si="4"/>
        <v>1084800</v>
      </c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6" t="s">
        <v>19</v>
      </c>
      <c r="B28" s="6" t="s">
        <v>40</v>
      </c>
      <c r="C28" s="39" t="s">
        <v>47</v>
      </c>
      <c r="D28" s="6" t="s">
        <v>21</v>
      </c>
      <c r="E28" s="40">
        <v>30000.0</v>
      </c>
      <c r="F28" s="40">
        <v>30000.0</v>
      </c>
      <c r="G28" s="40">
        <v>30000.0</v>
      </c>
      <c r="H28" s="40">
        <v>30000.0</v>
      </c>
      <c r="I28" s="40">
        <v>30000.0</v>
      </c>
      <c r="J28" s="40">
        <v>30000.0</v>
      </c>
      <c r="K28" s="40">
        <v>30000.0</v>
      </c>
      <c r="L28" s="40">
        <v>30000.0</v>
      </c>
      <c r="M28" s="40">
        <v>30000.0</v>
      </c>
      <c r="N28" s="40">
        <v>30000.0</v>
      </c>
      <c r="O28" s="40">
        <v>30000.0</v>
      </c>
      <c r="P28" s="40">
        <v>30000.0</v>
      </c>
      <c r="Q28" s="8">
        <f t="shared" si="4"/>
        <v>360000</v>
      </c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6" t="s">
        <v>19</v>
      </c>
      <c r="B29" s="6" t="s">
        <v>40</v>
      </c>
      <c r="C29" s="39" t="s">
        <v>48</v>
      </c>
      <c r="D29" s="6"/>
      <c r="E29" s="40">
        <v>100000.0</v>
      </c>
      <c r="F29" s="40">
        <v>100000.0</v>
      </c>
      <c r="G29" s="40">
        <v>100000.0</v>
      </c>
      <c r="H29" s="40">
        <v>100000.0</v>
      </c>
      <c r="I29" s="40">
        <v>100000.0</v>
      </c>
      <c r="J29" s="40">
        <v>100000.0</v>
      </c>
      <c r="K29" s="40">
        <v>100000.0</v>
      </c>
      <c r="L29" s="40">
        <v>100000.0</v>
      </c>
      <c r="M29" s="40">
        <v>100000.0</v>
      </c>
      <c r="N29" s="40">
        <v>100000.0</v>
      </c>
      <c r="O29" s="40">
        <v>100000.0</v>
      </c>
      <c r="P29" s="40">
        <v>100000.0</v>
      </c>
      <c r="Q29" s="8">
        <f t="shared" si="4"/>
        <v>1200000</v>
      </c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6" t="s">
        <v>19</v>
      </c>
      <c r="B30" s="6" t="s">
        <v>40</v>
      </c>
      <c r="C30" s="39" t="s">
        <v>49</v>
      </c>
      <c r="D30" s="6"/>
      <c r="E30" s="40">
        <v>50600.0</v>
      </c>
      <c r="F30" s="40">
        <v>77000.0</v>
      </c>
      <c r="G30" s="40">
        <v>121000.0</v>
      </c>
      <c r="H30" s="40">
        <v>165000.0</v>
      </c>
      <c r="I30" s="40">
        <v>242000.0</v>
      </c>
      <c r="J30" s="40">
        <v>286000.0</v>
      </c>
      <c r="K30" s="40">
        <v>308000.0</v>
      </c>
      <c r="L30" s="40">
        <v>363000.0</v>
      </c>
      <c r="M30" s="40">
        <v>275000.0</v>
      </c>
      <c r="N30" s="40">
        <v>440000.0</v>
      </c>
      <c r="O30" s="40">
        <v>990000.0</v>
      </c>
      <c r="P30" s="40">
        <v>660000.0</v>
      </c>
      <c r="Q30" s="8">
        <f t="shared" si="4"/>
        <v>3977600</v>
      </c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 t="s">
        <v>19</v>
      </c>
      <c r="B31" s="6" t="s">
        <v>40</v>
      </c>
      <c r="C31" s="39" t="s">
        <v>50</v>
      </c>
      <c r="D31" s="6" t="s">
        <v>21</v>
      </c>
      <c r="E31" s="40">
        <v>25300.0</v>
      </c>
      <c r="F31" s="40">
        <v>38500.0</v>
      </c>
      <c r="G31" s="40">
        <v>60500.0</v>
      </c>
      <c r="H31" s="40">
        <v>82500.0</v>
      </c>
      <c r="I31" s="40">
        <v>121000.0</v>
      </c>
      <c r="J31" s="40">
        <v>143000.0</v>
      </c>
      <c r="K31" s="40">
        <v>154000.0</v>
      </c>
      <c r="L31" s="40">
        <v>181500.0</v>
      </c>
      <c r="M31" s="40">
        <v>137500.0</v>
      </c>
      <c r="N31" s="40">
        <v>220000.0</v>
      </c>
      <c r="O31" s="40">
        <v>495000.0</v>
      </c>
      <c r="P31" s="40">
        <v>330000.0</v>
      </c>
      <c r="Q31" s="8">
        <f t="shared" si="4"/>
        <v>1988800</v>
      </c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6" t="s">
        <v>19</v>
      </c>
      <c r="B32" s="6" t="s">
        <v>40</v>
      </c>
      <c r="C32" s="39" t="s">
        <v>51</v>
      </c>
      <c r="D32" s="6" t="s">
        <v>21</v>
      </c>
      <c r="E32" s="40">
        <v>20000.0</v>
      </c>
      <c r="F32" s="40">
        <v>20000.0</v>
      </c>
      <c r="G32" s="40">
        <v>20000.0</v>
      </c>
      <c r="H32" s="40">
        <v>20000.0</v>
      </c>
      <c r="I32" s="40">
        <v>20000.0</v>
      </c>
      <c r="J32" s="40">
        <v>20000.0</v>
      </c>
      <c r="K32" s="40">
        <v>20000.0</v>
      </c>
      <c r="L32" s="40">
        <v>20000.0</v>
      </c>
      <c r="M32" s="40">
        <v>20000.0</v>
      </c>
      <c r="N32" s="40">
        <v>20000.0</v>
      </c>
      <c r="O32" s="40">
        <v>20000.0</v>
      </c>
      <c r="P32" s="40">
        <v>20000.0</v>
      </c>
      <c r="Q32" s="8">
        <f t="shared" si="4"/>
        <v>240000</v>
      </c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1"/>
      <c r="B33" s="41"/>
      <c r="C33" s="42" t="s">
        <v>52</v>
      </c>
      <c r="D33" s="41"/>
      <c r="E33" s="43">
        <f t="shared" ref="E33:P33" si="5">SUM(E19:E32)</f>
        <v>315040</v>
      </c>
      <c r="F33" s="43">
        <f t="shared" si="5"/>
        <v>361840</v>
      </c>
      <c r="G33" s="43">
        <f t="shared" si="5"/>
        <v>439840</v>
      </c>
      <c r="H33" s="43">
        <f t="shared" si="5"/>
        <v>517840</v>
      </c>
      <c r="I33" s="43">
        <f t="shared" si="5"/>
        <v>774340</v>
      </c>
      <c r="J33" s="43">
        <f t="shared" si="5"/>
        <v>732340</v>
      </c>
      <c r="K33" s="43">
        <f t="shared" si="5"/>
        <v>771340</v>
      </c>
      <c r="L33" s="43">
        <f t="shared" si="5"/>
        <v>868840</v>
      </c>
      <c r="M33" s="43">
        <f t="shared" si="5"/>
        <v>712840</v>
      </c>
      <c r="N33" s="43">
        <f t="shared" si="5"/>
        <v>1005340</v>
      </c>
      <c r="O33" s="43">
        <f t="shared" si="5"/>
        <v>1980340</v>
      </c>
      <c r="P33" s="43">
        <f t="shared" si="5"/>
        <v>1395340</v>
      </c>
      <c r="Q33" s="43">
        <f t="shared" si="4"/>
        <v>9875280</v>
      </c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9" t="s">
        <v>22</v>
      </c>
      <c r="B34" s="9" t="s">
        <v>22</v>
      </c>
      <c r="C34" s="44" t="s">
        <v>53</v>
      </c>
      <c r="D34" s="9" t="s">
        <v>21</v>
      </c>
      <c r="E34" s="45" t="s">
        <v>44</v>
      </c>
      <c r="F34" s="45" t="s">
        <v>44</v>
      </c>
      <c r="G34" s="45" t="s">
        <v>44</v>
      </c>
      <c r="H34" s="45" t="s">
        <v>44</v>
      </c>
      <c r="I34" s="45" t="s">
        <v>44</v>
      </c>
      <c r="J34" s="45" t="s">
        <v>44</v>
      </c>
      <c r="K34" s="45" t="s">
        <v>44</v>
      </c>
      <c r="L34" s="45" t="s">
        <v>44</v>
      </c>
      <c r="M34" s="45">
        <v>350000.0</v>
      </c>
      <c r="N34" s="45" t="s">
        <v>44</v>
      </c>
      <c r="O34" s="45" t="s">
        <v>44</v>
      </c>
      <c r="P34" s="45" t="s">
        <v>44</v>
      </c>
      <c r="Q34" s="11">
        <f t="shared" si="4"/>
        <v>350000</v>
      </c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9" t="s">
        <v>22</v>
      </c>
      <c r="B35" s="9" t="s">
        <v>22</v>
      </c>
      <c r="C35" s="44" t="s">
        <v>54</v>
      </c>
      <c r="D35" s="9"/>
      <c r="E35" s="45">
        <v>22500.0</v>
      </c>
      <c r="F35" s="45">
        <v>22500.0</v>
      </c>
      <c r="G35" s="45">
        <v>22500.0</v>
      </c>
      <c r="H35" s="45">
        <v>22500.0</v>
      </c>
      <c r="I35" s="45">
        <v>22500.0</v>
      </c>
      <c r="J35" s="45">
        <v>22500.0</v>
      </c>
      <c r="K35" s="45">
        <v>22500.0</v>
      </c>
      <c r="L35" s="45">
        <v>22500.0</v>
      </c>
      <c r="M35" s="45">
        <v>22500.0</v>
      </c>
      <c r="N35" s="45">
        <v>22500.0</v>
      </c>
      <c r="O35" s="45">
        <v>22500.0</v>
      </c>
      <c r="P35" s="45">
        <v>22500.0</v>
      </c>
      <c r="Q35" s="11">
        <f t="shared" si="4"/>
        <v>270000</v>
      </c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9" t="s">
        <v>22</v>
      </c>
      <c r="B36" s="9" t="s">
        <v>22</v>
      </c>
      <c r="C36" s="44" t="s">
        <v>55</v>
      </c>
      <c r="D36" s="9"/>
      <c r="E36" s="45">
        <v>40000.0</v>
      </c>
      <c r="F36" s="45">
        <v>40000.0</v>
      </c>
      <c r="G36" s="45">
        <v>40000.0</v>
      </c>
      <c r="H36" s="45">
        <v>40000.0</v>
      </c>
      <c r="I36" s="45">
        <v>40000.0</v>
      </c>
      <c r="J36" s="45">
        <v>40000.0</v>
      </c>
      <c r="K36" s="45">
        <v>40000.0</v>
      </c>
      <c r="L36" s="45">
        <v>40000.0</v>
      </c>
      <c r="M36" s="45">
        <v>40000.0</v>
      </c>
      <c r="N36" s="45">
        <v>40000.0</v>
      </c>
      <c r="O36" s="45">
        <v>40000.0</v>
      </c>
      <c r="P36" s="45">
        <v>40000.0</v>
      </c>
      <c r="Q36" s="11">
        <f t="shared" si="4"/>
        <v>480000</v>
      </c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9" t="s">
        <v>22</v>
      </c>
      <c r="B37" s="9" t="s">
        <v>22</v>
      </c>
      <c r="C37" s="44" t="s">
        <v>51</v>
      </c>
      <c r="D37" s="9" t="s">
        <v>21</v>
      </c>
      <c r="E37" s="45">
        <v>5000.0</v>
      </c>
      <c r="F37" s="45">
        <v>5000.0</v>
      </c>
      <c r="G37" s="45">
        <v>5000.0</v>
      </c>
      <c r="H37" s="45">
        <v>5000.0</v>
      </c>
      <c r="I37" s="45">
        <v>5000.0</v>
      </c>
      <c r="J37" s="45">
        <v>5000.0</v>
      </c>
      <c r="K37" s="45">
        <v>5000.0</v>
      </c>
      <c r="L37" s="45">
        <v>5000.0</v>
      </c>
      <c r="M37" s="45">
        <v>5000.0</v>
      </c>
      <c r="N37" s="45">
        <v>5000.0</v>
      </c>
      <c r="O37" s="45">
        <v>5000.0</v>
      </c>
      <c r="P37" s="45">
        <v>5000.0</v>
      </c>
      <c r="Q37" s="11">
        <f t="shared" si="4"/>
        <v>60000</v>
      </c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1"/>
      <c r="B38" s="41"/>
      <c r="C38" s="42" t="s">
        <v>56</v>
      </c>
      <c r="D38" s="41"/>
      <c r="E38" s="43">
        <f t="shared" ref="E38:P38" si="6">SUM(E34:E37)</f>
        <v>67500</v>
      </c>
      <c r="F38" s="43">
        <f t="shared" si="6"/>
        <v>67500</v>
      </c>
      <c r="G38" s="43">
        <f t="shared" si="6"/>
        <v>67500</v>
      </c>
      <c r="H38" s="43">
        <f t="shared" si="6"/>
        <v>67500</v>
      </c>
      <c r="I38" s="43">
        <f t="shared" si="6"/>
        <v>67500</v>
      </c>
      <c r="J38" s="43">
        <f t="shared" si="6"/>
        <v>67500</v>
      </c>
      <c r="K38" s="43">
        <f t="shared" si="6"/>
        <v>67500</v>
      </c>
      <c r="L38" s="43">
        <f t="shared" si="6"/>
        <v>67500</v>
      </c>
      <c r="M38" s="43">
        <f t="shared" si="6"/>
        <v>417500</v>
      </c>
      <c r="N38" s="43">
        <f t="shared" si="6"/>
        <v>67500</v>
      </c>
      <c r="O38" s="43">
        <f t="shared" si="6"/>
        <v>67500</v>
      </c>
      <c r="P38" s="43">
        <f t="shared" si="6"/>
        <v>67500</v>
      </c>
      <c r="Q38" s="43">
        <f t="shared" si="4"/>
        <v>1160000</v>
      </c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2" t="s">
        <v>23</v>
      </c>
      <c r="B39" s="12" t="s">
        <v>57</v>
      </c>
      <c r="C39" s="12" t="s">
        <v>58</v>
      </c>
      <c r="D39" s="12" t="s">
        <v>21</v>
      </c>
      <c r="E39" s="13">
        <v>2579.0</v>
      </c>
      <c r="F39" s="13">
        <v>3967.0</v>
      </c>
      <c r="G39" s="13">
        <v>7340.0</v>
      </c>
      <c r="H39" s="13">
        <v>7411.0</v>
      </c>
      <c r="I39" s="13">
        <v>7855.0</v>
      </c>
      <c r="J39" s="13">
        <v>7983.0</v>
      </c>
      <c r="K39" s="13">
        <v>8238.0</v>
      </c>
      <c r="L39" s="13">
        <v>8338.0</v>
      </c>
      <c r="M39" s="13">
        <v>8448.0</v>
      </c>
      <c r="N39" s="13">
        <v>8820.0</v>
      </c>
      <c r="O39" s="13">
        <v>11167.0</v>
      </c>
      <c r="P39" s="13">
        <v>11332.0</v>
      </c>
      <c r="Q39" s="14">
        <f t="shared" si="4"/>
        <v>93478</v>
      </c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2" t="s">
        <v>23</v>
      </c>
      <c r="B40" s="12" t="s">
        <v>24</v>
      </c>
      <c r="C40" s="46" t="s">
        <v>59</v>
      </c>
      <c r="D40" s="12" t="s">
        <v>21</v>
      </c>
      <c r="E40" s="13">
        <v>240306.0</v>
      </c>
      <c r="F40" s="13">
        <v>228698.0</v>
      </c>
      <c r="G40" s="13">
        <v>228698.0</v>
      </c>
      <c r="H40" s="13">
        <v>228698.0</v>
      </c>
      <c r="I40" s="13">
        <v>686097.0</v>
      </c>
      <c r="J40" s="13">
        <v>686092.0</v>
      </c>
      <c r="K40" s="13">
        <v>686092.0</v>
      </c>
      <c r="L40" s="13">
        <v>686092.0</v>
      </c>
      <c r="M40" s="13">
        <v>686092.0</v>
      </c>
      <c r="N40" s="13">
        <v>686092.0</v>
      </c>
      <c r="O40" s="13">
        <v>686092.0</v>
      </c>
      <c r="P40" s="13">
        <v>686092.0</v>
      </c>
      <c r="Q40" s="14">
        <f t="shared" si="4"/>
        <v>6415141</v>
      </c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2" t="s">
        <v>23</v>
      </c>
      <c r="B41" s="12" t="s">
        <v>24</v>
      </c>
      <c r="C41" s="12" t="s">
        <v>60</v>
      </c>
      <c r="D41" s="12" t="s">
        <v>21</v>
      </c>
      <c r="E41" s="13">
        <v>134572.0</v>
      </c>
      <c r="F41" s="13">
        <v>128071.0</v>
      </c>
      <c r="G41" s="13">
        <v>128071.0</v>
      </c>
      <c r="H41" s="13">
        <v>128071.0</v>
      </c>
      <c r="I41" s="13">
        <v>384214.0</v>
      </c>
      <c r="J41" s="13">
        <v>384212.0</v>
      </c>
      <c r="K41" s="13">
        <v>384212.0</v>
      </c>
      <c r="L41" s="13">
        <v>384212.0</v>
      </c>
      <c r="M41" s="13">
        <v>384212.0</v>
      </c>
      <c r="N41" s="13">
        <v>384212.0</v>
      </c>
      <c r="O41" s="13">
        <v>384212.0</v>
      </c>
      <c r="P41" s="13">
        <v>384212.0</v>
      </c>
      <c r="Q41" s="14">
        <f t="shared" si="4"/>
        <v>3592483</v>
      </c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2" t="s">
        <v>23</v>
      </c>
      <c r="B42" s="12" t="s">
        <v>24</v>
      </c>
      <c r="C42" s="12" t="s">
        <v>61</v>
      </c>
      <c r="D42" s="12" t="s">
        <v>21</v>
      </c>
      <c r="E42" s="13">
        <v>48061.0</v>
      </c>
      <c r="F42" s="13">
        <v>45740.0</v>
      </c>
      <c r="G42" s="13">
        <v>45740.0</v>
      </c>
      <c r="H42" s="13">
        <v>45740.0</v>
      </c>
      <c r="I42" s="13">
        <v>137219.0</v>
      </c>
      <c r="J42" s="13">
        <v>137218.0</v>
      </c>
      <c r="K42" s="13">
        <v>137218.0</v>
      </c>
      <c r="L42" s="13">
        <v>137218.0</v>
      </c>
      <c r="M42" s="13">
        <v>137218.0</v>
      </c>
      <c r="N42" s="13">
        <v>137218.0</v>
      </c>
      <c r="O42" s="13">
        <v>137218.0</v>
      </c>
      <c r="P42" s="13">
        <v>137218.0</v>
      </c>
      <c r="Q42" s="14">
        <f t="shared" si="4"/>
        <v>1283026</v>
      </c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2" t="s">
        <v>23</v>
      </c>
      <c r="B43" s="12" t="s">
        <v>24</v>
      </c>
      <c r="C43" s="12" t="s">
        <v>62</v>
      </c>
      <c r="D43" s="12" t="s">
        <v>21</v>
      </c>
      <c r="E43" s="13">
        <v>24031.0</v>
      </c>
      <c r="F43" s="13">
        <v>22870.0</v>
      </c>
      <c r="G43" s="13">
        <v>22870.0</v>
      </c>
      <c r="H43" s="13">
        <v>22870.0</v>
      </c>
      <c r="I43" s="13">
        <v>68610.0</v>
      </c>
      <c r="J43" s="13">
        <v>68609.0</v>
      </c>
      <c r="K43" s="13">
        <v>68609.0</v>
      </c>
      <c r="L43" s="13">
        <v>68609.0</v>
      </c>
      <c r="M43" s="13">
        <v>68609.0</v>
      </c>
      <c r="N43" s="13">
        <v>68609.0</v>
      </c>
      <c r="O43" s="13">
        <v>68609.0</v>
      </c>
      <c r="P43" s="13">
        <v>68609.0</v>
      </c>
      <c r="Q43" s="14">
        <f t="shared" si="4"/>
        <v>641514</v>
      </c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2" t="s">
        <v>23</v>
      </c>
      <c r="B44" s="12" t="s">
        <v>24</v>
      </c>
      <c r="C44" s="46" t="s">
        <v>51</v>
      </c>
      <c r="D44" s="12" t="s">
        <v>21</v>
      </c>
      <c r="E44" s="13">
        <v>12016.0</v>
      </c>
      <c r="F44" s="13">
        <v>11433.0</v>
      </c>
      <c r="G44" s="13">
        <v>11433.0</v>
      </c>
      <c r="H44" s="13">
        <v>11433.0</v>
      </c>
      <c r="I44" s="13">
        <v>34306.0</v>
      </c>
      <c r="J44" s="13">
        <v>34305.0</v>
      </c>
      <c r="K44" s="13">
        <v>34305.0</v>
      </c>
      <c r="L44" s="13">
        <v>34305.0</v>
      </c>
      <c r="M44" s="13">
        <v>34305.0</v>
      </c>
      <c r="N44" s="13">
        <v>34305.0</v>
      </c>
      <c r="O44" s="13">
        <v>34305.0</v>
      </c>
      <c r="P44" s="13">
        <v>34305.0</v>
      </c>
      <c r="Q44" s="14">
        <f t="shared" si="4"/>
        <v>320756</v>
      </c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2" t="s">
        <v>23</v>
      </c>
      <c r="B45" s="12" t="s">
        <v>24</v>
      </c>
      <c r="C45" s="12" t="s">
        <v>63</v>
      </c>
      <c r="D45" s="12" t="s">
        <v>21</v>
      </c>
      <c r="E45" s="13">
        <v>858.0</v>
      </c>
      <c r="F45" s="13">
        <v>817.0</v>
      </c>
      <c r="G45" s="13">
        <v>817.0</v>
      </c>
      <c r="H45" s="13">
        <v>817.0</v>
      </c>
      <c r="I45" s="13">
        <v>2450.0</v>
      </c>
      <c r="J45" s="13">
        <v>2450.0</v>
      </c>
      <c r="K45" s="13">
        <v>2450.0</v>
      </c>
      <c r="L45" s="13">
        <v>2450.0</v>
      </c>
      <c r="M45" s="13">
        <v>2450.0</v>
      </c>
      <c r="N45" s="13">
        <v>2450.0</v>
      </c>
      <c r="O45" s="13">
        <v>2450.0</v>
      </c>
      <c r="P45" s="13">
        <v>2450.0</v>
      </c>
      <c r="Q45" s="14">
        <f t="shared" si="4"/>
        <v>22909</v>
      </c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2" t="s">
        <v>23</v>
      </c>
      <c r="B46" s="12" t="s">
        <v>64</v>
      </c>
      <c r="C46" s="12" t="s">
        <v>65</v>
      </c>
      <c r="D46" s="12" t="s">
        <v>21</v>
      </c>
      <c r="E46" s="13">
        <v>125000.0</v>
      </c>
      <c r="F46" s="13">
        <v>125000.0</v>
      </c>
      <c r="G46" s="13">
        <v>125000.0</v>
      </c>
      <c r="H46" s="13">
        <v>125000.0</v>
      </c>
      <c r="I46" s="13">
        <v>125000.0</v>
      </c>
      <c r="J46" s="13">
        <v>125000.0</v>
      </c>
      <c r="K46" s="13">
        <v>125000.0</v>
      </c>
      <c r="L46" s="13">
        <v>125000.0</v>
      </c>
      <c r="M46" s="13">
        <v>125000.0</v>
      </c>
      <c r="N46" s="13">
        <v>125000.0</v>
      </c>
      <c r="O46" s="13">
        <v>125000.0</v>
      </c>
      <c r="P46" s="13">
        <v>125000.0</v>
      </c>
      <c r="Q46" s="14">
        <f t="shared" si="4"/>
        <v>1500000</v>
      </c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2" t="s">
        <v>23</v>
      </c>
      <c r="B47" s="12" t="s">
        <v>66</v>
      </c>
      <c r="C47" s="12" t="s">
        <v>67</v>
      </c>
      <c r="D47" s="12" t="s">
        <v>21</v>
      </c>
      <c r="E47" s="13">
        <v>14418.0</v>
      </c>
      <c r="F47" s="13">
        <v>13722.0</v>
      </c>
      <c r="G47" s="13">
        <v>13722.0</v>
      </c>
      <c r="H47" s="13">
        <v>13722.0</v>
      </c>
      <c r="I47" s="13">
        <v>41166.0</v>
      </c>
      <c r="J47" s="13">
        <v>41166.0</v>
      </c>
      <c r="K47" s="13">
        <v>41166.0</v>
      </c>
      <c r="L47" s="13">
        <v>41166.0</v>
      </c>
      <c r="M47" s="13">
        <v>41166.0</v>
      </c>
      <c r="N47" s="13">
        <v>41166.0</v>
      </c>
      <c r="O47" s="13">
        <v>41166.0</v>
      </c>
      <c r="P47" s="13">
        <v>41166.0</v>
      </c>
      <c r="Q47" s="14">
        <f t="shared" si="4"/>
        <v>384912</v>
      </c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1"/>
      <c r="B48" s="41"/>
      <c r="C48" s="42" t="s">
        <v>68</v>
      </c>
      <c r="D48" s="41"/>
      <c r="E48" s="43">
        <f t="shared" ref="E48:P48" si="7">SUM(E39:E47)</f>
        <v>601841</v>
      </c>
      <c r="F48" s="43">
        <f t="shared" si="7"/>
        <v>580318</v>
      </c>
      <c r="G48" s="43">
        <f t="shared" si="7"/>
        <v>583691</v>
      </c>
      <c r="H48" s="43">
        <f t="shared" si="7"/>
        <v>583762</v>
      </c>
      <c r="I48" s="43">
        <f t="shared" si="7"/>
        <v>1486917</v>
      </c>
      <c r="J48" s="43">
        <f t="shared" si="7"/>
        <v>1487035</v>
      </c>
      <c r="K48" s="43">
        <f t="shared" si="7"/>
        <v>1487290</v>
      </c>
      <c r="L48" s="43">
        <f t="shared" si="7"/>
        <v>1487390</v>
      </c>
      <c r="M48" s="43">
        <f t="shared" si="7"/>
        <v>1487500</v>
      </c>
      <c r="N48" s="43">
        <f t="shared" si="7"/>
        <v>1487872</v>
      </c>
      <c r="O48" s="43">
        <f t="shared" si="7"/>
        <v>1490219</v>
      </c>
      <c r="P48" s="43">
        <f t="shared" si="7"/>
        <v>1490384</v>
      </c>
      <c r="Q48" s="43">
        <f t="shared" si="4"/>
        <v>14254219</v>
      </c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5" t="s">
        <v>25</v>
      </c>
      <c r="B49" s="15" t="s">
        <v>25</v>
      </c>
      <c r="C49" s="47" t="s">
        <v>69</v>
      </c>
      <c r="D49" s="15" t="s">
        <v>21</v>
      </c>
      <c r="E49" s="48">
        <v>13800.0</v>
      </c>
      <c r="F49" s="48">
        <v>21000.0</v>
      </c>
      <c r="G49" s="48">
        <v>33000.0</v>
      </c>
      <c r="H49" s="48">
        <v>45000.0</v>
      </c>
      <c r="I49" s="48">
        <v>66000.0</v>
      </c>
      <c r="J49" s="48">
        <v>78000.0</v>
      </c>
      <c r="K49" s="48">
        <v>84000.0</v>
      </c>
      <c r="L49" s="48">
        <v>99000.0</v>
      </c>
      <c r="M49" s="48">
        <v>75000.0</v>
      </c>
      <c r="N49" s="48">
        <v>120000.0</v>
      </c>
      <c r="O49" s="48">
        <v>270000.0</v>
      </c>
      <c r="P49" s="48">
        <v>180000.0</v>
      </c>
      <c r="Q49" s="17">
        <f t="shared" si="4"/>
        <v>1084800</v>
      </c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5" t="s">
        <v>25</v>
      </c>
      <c r="B50" s="15" t="s">
        <v>25</v>
      </c>
      <c r="C50" s="47" t="s">
        <v>51</v>
      </c>
      <c r="D50" s="15" t="s">
        <v>21</v>
      </c>
      <c r="E50" s="48">
        <v>15000.0</v>
      </c>
      <c r="F50" s="48">
        <v>15000.0</v>
      </c>
      <c r="G50" s="48">
        <v>15000.0</v>
      </c>
      <c r="H50" s="48">
        <v>15000.0</v>
      </c>
      <c r="I50" s="48">
        <v>15000.0</v>
      </c>
      <c r="J50" s="48">
        <v>15000.0</v>
      </c>
      <c r="K50" s="48">
        <v>15000.0</v>
      </c>
      <c r="L50" s="48">
        <v>15000.0</v>
      </c>
      <c r="M50" s="48">
        <v>15000.0</v>
      </c>
      <c r="N50" s="48">
        <v>15000.0</v>
      </c>
      <c r="O50" s="48">
        <v>15000.0</v>
      </c>
      <c r="P50" s="48">
        <v>15000.0</v>
      </c>
      <c r="Q50" s="17">
        <f t="shared" si="4"/>
        <v>180000</v>
      </c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1"/>
      <c r="B51" s="41"/>
      <c r="C51" s="42" t="s">
        <v>70</v>
      </c>
      <c r="D51" s="41"/>
      <c r="E51" s="43">
        <f t="shared" ref="E51:P51" si="8">SUM(E49:E50)</f>
        <v>28800</v>
      </c>
      <c r="F51" s="43">
        <f t="shared" si="8"/>
        <v>36000</v>
      </c>
      <c r="G51" s="43">
        <f t="shared" si="8"/>
        <v>48000</v>
      </c>
      <c r="H51" s="43">
        <f t="shared" si="8"/>
        <v>60000</v>
      </c>
      <c r="I51" s="43">
        <f t="shared" si="8"/>
        <v>81000</v>
      </c>
      <c r="J51" s="43">
        <f t="shared" si="8"/>
        <v>93000</v>
      </c>
      <c r="K51" s="43">
        <f t="shared" si="8"/>
        <v>99000</v>
      </c>
      <c r="L51" s="43">
        <f t="shared" si="8"/>
        <v>114000</v>
      </c>
      <c r="M51" s="43">
        <f t="shared" si="8"/>
        <v>90000</v>
      </c>
      <c r="N51" s="43">
        <f t="shared" si="8"/>
        <v>135000</v>
      </c>
      <c r="O51" s="43">
        <f t="shared" si="8"/>
        <v>285000</v>
      </c>
      <c r="P51" s="43">
        <f t="shared" si="8"/>
        <v>195000</v>
      </c>
      <c r="Q51" s="43">
        <f t="shared" si="4"/>
        <v>1264800</v>
      </c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8" t="s">
        <v>26</v>
      </c>
      <c r="B52" s="18" t="s">
        <v>71</v>
      </c>
      <c r="C52" s="49" t="s">
        <v>72</v>
      </c>
      <c r="D52" s="18" t="s">
        <v>21</v>
      </c>
      <c r="E52" s="50" t="s">
        <v>44</v>
      </c>
      <c r="F52" s="50" t="s">
        <v>44</v>
      </c>
      <c r="G52" s="50" t="s">
        <v>44</v>
      </c>
      <c r="H52" s="50" t="s">
        <v>44</v>
      </c>
      <c r="I52" s="50" t="s">
        <v>44</v>
      </c>
      <c r="J52" s="50" t="s">
        <v>44</v>
      </c>
      <c r="K52" s="50">
        <v>500000.0</v>
      </c>
      <c r="L52" s="50" t="s">
        <v>44</v>
      </c>
      <c r="M52" s="50" t="s">
        <v>44</v>
      </c>
      <c r="N52" s="50">
        <v>500000.0</v>
      </c>
      <c r="O52" s="50" t="s">
        <v>44</v>
      </c>
      <c r="P52" s="50" t="s">
        <v>44</v>
      </c>
      <c r="Q52" s="20">
        <f t="shared" si="4"/>
        <v>1000000</v>
      </c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8" t="s">
        <v>26</v>
      </c>
      <c r="B53" s="18" t="s">
        <v>71</v>
      </c>
      <c r="C53" s="49" t="s">
        <v>73</v>
      </c>
      <c r="D53" s="18" t="s">
        <v>21</v>
      </c>
      <c r="E53" s="50" t="s">
        <v>44</v>
      </c>
      <c r="F53" s="50" t="s">
        <v>44</v>
      </c>
      <c r="G53" s="50">
        <v>100000.0</v>
      </c>
      <c r="H53" s="50" t="s">
        <v>44</v>
      </c>
      <c r="I53" s="50" t="s">
        <v>44</v>
      </c>
      <c r="J53" s="50">
        <v>100000.0</v>
      </c>
      <c r="K53" s="50" t="s">
        <v>44</v>
      </c>
      <c r="L53" s="50" t="s">
        <v>44</v>
      </c>
      <c r="M53" s="50">
        <v>100000.0</v>
      </c>
      <c r="N53" s="50" t="s">
        <v>44</v>
      </c>
      <c r="O53" s="50" t="s">
        <v>44</v>
      </c>
      <c r="P53" s="50">
        <v>100000.0</v>
      </c>
      <c r="Q53" s="20">
        <f t="shared" si="4"/>
        <v>400000</v>
      </c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8" t="s">
        <v>26</v>
      </c>
      <c r="B54" s="18" t="s">
        <v>71</v>
      </c>
      <c r="C54" s="49" t="s">
        <v>51</v>
      </c>
      <c r="D54" s="18" t="s">
        <v>21</v>
      </c>
      <c r="E54" s="50">
        <v>15000.0</v>
      </c>
      <c r="F54" s="50">
        <v>15000.0</v>
      </c>
      <c r="G54" s="50">
        <v>15000.0</v>
      </c>
      <c r="H54" s="50">
        <v>15000.0</v>
      </c>
      <c r="I54" s="50">
        <v>15000.0</v>
      </c>
      <c r="J54" s="50">
        <v>15000.0</v>
      </c>
      <c r="K54" s="50">
        <v>15000.0</v>
      </c>
      <c r="L54" s="50">
        <v>15000.0</v>
      </c>
      <c r="M54" s="50">
        <v>15000.0</v>
      </c>
      <c r="N54" s="50">
        <v>15000.0</v>
      </c>
      <c r="O54" s="50">
        <v>15000.0</v>
      </c>
      <c r="P54" s="50">
        <v>15000.0</v>
      </c>
      <c r="Q54" s="20">
        <f t="shared" si="4"/>
        <v>180000</v>
      </c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1"/>
      <c r="B55" s="41"/>
      <c r="C55" s="42" t="s">
        <v>74</v>
      </c>
      <c r="D55" s="41"/>
      <c r="E55" s="43">
        <f t="shared" ref="E55:P55" si="9">sum(E52:E54)</f>
        <v>15000</v>
      </c>
      <c r="F55" s="43">
        <f t="shared" si="9"/>
        <v>15000</v>
      </c>
      <c r="G55" s="43">
        <f t="shared" si="9"/>
        <v>115000</v>
      </c>
      <c r="H55" s="43">
        <f t="shared" si="9"/>
        <v>15000</v>
      </c>
      <c r="I55" s="43">
        <f t="shared" si="9"/>
        <v>15000</v>
      </c>
      <c r="J55" s="43">
        <f t="shared" si="9"/>
        <v>115000</v>
      </c>
      <c r="K55" s="43">
        <f t="shared" si="9"/>
        <v>515000</v>
      </c>
      <c r="L55" s="43">
        <f t="shared" si="9"/>
        <v>15000</v>
      </c>
      <c r="M55" s="43">
        <f t="shared" si="9"/>
        <v>115000</v>
      </c>
      <c r="N55" s="43">
        <f t="shared" si="9"/>
        <v>515000</v>
      </c>
      <c r="O55" s="43">
        <f t="shared" si="9"/>
        <v>15000</v>
      </c>
      <c r="P55" s="43">
        <f t="shared" si="9"/>
        <v>115000</v>
      </c>
      <c r="Q55" s="43">
        <f t="shared" si="4"/>
        <v>1580000</v>
      </c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1" t="s">
        <v>27</v>
      </c>
      <c r="B56" s="21" t="s">
        <v>75</v>
      </c>
      <c r="C56" s="21" t="s">
        <v>76</v>
      </c>
      <c r="D56" s="21" t="s">
        <v>21</v>
      </c>
      <c r="E56" s="22"/>
      <c r="F56" s="22"/>
      <c r="G56" s="22"/>
      <c r="H56" s="51">
        <v>37000.0</v>
      </c>
      <c r="I56" s="51">
        <v>68000.0</v>
      </c>
      <c r="J56" s="51">
        <v>85000.0</v>
      </c>
      <c r="K56" s="51">
        <v>138510.0</v>
      </c>
      <c r="L56" s="51">
        <v>153900.0</v>
      </c>
      <c r="M56" s="51">
        <v>171000.0</v>
      </c>
      <c r="N56" s="51">
        <v>284400.0</v>
      </c>
      <c r="O56" s="51">
        <v>316000.0</v>
      </c>
      <c r="P56" s="51">
        <v>347600.0</v>
      </c>
      <c r="Q56" s="23">
        <f t="shared" si="4"/>
        <v>1601410</v>
      </c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1" t="s">
        <v>27</v>
      </c>
      <c r="B57" s="21" t="s">
        <v>77</v>
      </c>
      <c r="C57" s="21" t="s">
        <v>78</v>
      </c>
      <c r="D57" s="21" t="s">
        <v>21</v>
      </c>
      <c r="E57" s="22"/>
      <c r="F57" s="22"/>
      <c r="G57" s="22"/>
      <c r="H57" s="51">
        <v>185000.0</v>
      </c>
      <c r="I57" s="51">
        <v>340000.0</v>
      </c>
      <c r="J57" s="51">
        <v>425000.0</v>
      </c>
      <c r="K57" s="51">
        <v>692550.0</v>
      </c>
      <c r="L57" s="51">
        <v>769500.0</v>
      </c>
      <c r="M57" s="51">
        <v>855000.0</v>
      </c>
      <c r="N57" s="51">
        <v>1422000.0</v>
      </c>
      <c r="O57" s="51">
        <v>1580000.0</v>
      </c>
      <c r="P57" s="51">
        <v>1738000.0</v>
      </c>
      <c r="Q57" s="23">
        <f t="shared" si="4"/>
        <v>8007050</v>
      </c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1" t="s">
        <v>27</v>
      </c>
      <c r="B58" s="21" t="s">
        <v>77</v>
      </c>
      <c r="C58" s="52" t="s">
        <v>79</v>
      </c>
      <c r="D58" s="21"/>
      <c r="E58" s="22"/>
      <c r="F58" s="22"/>
      <c r="G58" s="22"/>
      <c r="H58" s="51"/>
      <c r="I58" s="51"/>
      <c r="J58" s="51"/>
      <c r="K58" s="51"/>
      <c r="L58" s="51"/>
      <c r="M58" s="51"/>
      <c r="N58" s="51"/>
      <c r="O58" s="51"/>
      <c r="P58" s="51"/>
      <c r="Q58" s="23">
        <f t="shared" si="4"/>
        <v>0</v>
      </c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1" t="s">
        <v>27</v>
      </c>
      <c r="B59" s="21" t="s">
        <v>27</v>
      </c>
      <c r="C59" s="21" t="s">
        <v>80</v>
      </c>
      <c r="D59" s="21" t="s">
        <v>21</v>
      </c>
      <c r="E59" s="22"/>
      <c r="F59" s="22"/>
      <c r="G59" s="22"/>
      <c r="H59" s="51">
        <v>2300.0</v>
      </c>
      <c r="I59" s="51">
        <v>7360.0</v>
      </c>
      <c r="J59" s="51">
        <v>9200.0</v>
      </c>
      <c r="K59" s="51">
        <v>14904.0</v>
      </c>
      <c r="L59" s="51">
        <v>16560.0</v>
      </c>
      <c r="M59" s="51">
        <v>18400.0</v>
      </c>
      <c r="N59" s="51">
        <v>26910.0</v>
      </c>
      <c r="O59" s="51">
        <v>29900.0</v>
      </c>
      <c r="P59" s="51">
        <v>32890.0</v>
      </c>
      <c r="Q59" s="23">
        <f t="shared" si="4"/>
        <v>158424</v>
      </c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1" t="s">
        <v>27</v>
      </c>
      <c r="B60" s="21" t="s">
        <v>27</v>
      </c>
      <c r="C60" s="21" t="s">
        <v>81</v>
      </c>
      <c r="D60" s="21" t="s">
        <v>21</v>
      </c>
      <c r="E60" s="22"/>
      <c r="F60" s="22"/>
      <c r="G60" s="22"/>
      <c r="H60" s="51" t="s">
        <v>44</v>
      </c>
      <c r="I60" s="51">
        <v>9200.0</v>
      </c>
      <c r="J60" s="51">
        <v>11500.0</v>
      </c>
      <c r="K60" s="51">
        <v>13973.0</v>
      </c>
      <c r="L60" s="51">
        <v>15525.0</v>
      </c>
      <c r="M60" s="51">
        <v>17250.0</v>
      </c>
      <c r="N60" s="51">
        <v>20700.0</v>
      </c>
      <c r="O60" s="51">
        <v>23000.0</v>
      </c>
      <c r="P60" s="51">
        <v>25300.0</v>
      </c>
      <c r="Q60" s="23">
        <f t="shared" si="4"/>
        <v>136448</v>
      </c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1"/>
      <c r="B61" s="41"/>
      <c r="C61" s="42" t="s">
        <v>82</v>
      </c>
      <c r="D61" s="41"/>
      <c r="E61" s="43">
        <f t="shared" ref="E61:P61" si="10">SUM(E56:E60)</f>
        <v>0</v>
      </c>
      <c r="F61" s="43">
        <f t="shared" si="10"/>
        <v>0</v>
      </c>
      <c r="G61" s="43">
        <f t="shared" si="10"/>
        <v>0</v>
      </c>
      <c r="H61" s="43">
        <f t="shared" si="10"/>
        <v>224300</v>
      </c>
      <c r="I61" s="43">
        <f t="shared" si="10"/>
        <v>424560</v>
      </c>
      <c r="J61" s="43">
        <f t="shared" si="10"/>
        <v>530700</v>
      </c>
      <c r="K61" s="43">
        <f t="shared" si="10"/>
        <v>859937</v>
      </c>
      <c r="L61" s="43">
        <f t="shared" si="10"/>
        <v>955485</v>
      </c>
      <c r="M61" s="43">
        <f t="shared" si="10"/>
        <v>1061650</v>
      </c>
      <c r="N61" s="43">
        <f t="shared" si="10"/>
        <v>1754010</v>
      </c>
      <c r="O61" s="43">
        <f t="shared" si="10"/>
        <v>1948900</v>
      </c>
      <c r="P61" s="43">
        <f t="shared" si="10"/>
        <v>2143790</v>
      </c>
      <c r="Q61" s="43">
        <f t="shared" si="4"/>
        <v>9903332</v>
      </c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4" t="s">
        <v>28</v>
      </c>
      <c r="B62" s="53" t="s">
        <v>83</v>
      </c>
      <c r="C62" s="53" t="s">
        <v>84</v>
      </c>
      <c r="D62" s="24" t="s">
        <v>21</v>
      </c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6">
        <f t="shared" si="4"/>
        <v>0</v>
      </c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4" t="s">
        <v>28</v>
      </c>
      <c r="B63" s="53" t="s">
        <v>83</v>
      </c>
      <c r="C63" s="53" t="s">
        <v>85</v>
      </c>
      <c r="D63" s="24"/>
      <c r="E63" s="25"/>
      <c r="F63" s="25"/>
      <c r="G63" s="25"/>
      <c r="H63" s="54"/>
      <c r="I63" s="54"/>
      <c r="J63" s="54"/>
      <c r="K63" s="54"/>
      <c r="L63" s="54"/>
      <c r="M63" s="54"/>
      <c r="N63" s="54"/>
      <c r="O63" s="54"/>
      <c r="P63" s="54"/>
      <c r="Q63" s="26">
        <f t="shared" si="4"/>
        <v>0</v>
      </c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4" t="s">
        <v>28</v>
      </c>
      <c r="B64" s="53" t="s">
        <v>83</v>
      </c>
      <c r="C64" s="53" t="s">
        <v>86</v>
      </c>
      <c r="D64" s="24"/>
      <c r="E64" s="25"/>
      <c r="F64" s="25"/>
      <c r="G64" s="25"/>
      <c r="H64" s="54">
        <v>15360.0</v>
      </c>
      <c r="I64" s="54">
        <v>15360.0</v>
      </c>
      <c r="J64" s="54">
        <v>24000.0</v>
      </c>
      <c r="K64" s="54">
        <v>24000.0</v>
      </c>
      <c r="L64" s="54">
        <v>24000.0</v>
      </c>
      <c r="M64" s="54">
        <v>36000.0</v>
      </c>
      <c r="N64" s="54">
        <v>36000.0</v>
      </c>
      <c r="O64" s="54">
        <v>48480.0</v>
      </c>
      <c r="P64" s="54">
        <v>48480.0</v>
      </c>
      <c r="Q64" s="26">
        <f t="shared" si="4"/>
        <v>271680</v>
      </c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4" t="s">
        <v>28</v>
      </c>
      <c r="B65" s="53" t="s">
        <v>83</v>
      </c>
      <c r="C65" s="53" t="s">
        <v>87</v>
      </c>
      <c r="D65" s="24"/>
      <c r="E65" s="25"/>
      <c r="F65" s="25"/>
      <c r="G65" s="25"/>
      <c r="H65" s="54">
        <v>35200.0</v>
      </c>
      <c r="I65" s="54">
        <v>35200.0</v>
      </c>
      <c r="J65" s="54">
        <v>55000.0</v>
      </c>
      <c r="K65" s="54">
        <v>55000.0</v>
      </c>
      <c r="L65" s="54">
        <v>55000.0</v>
      </c>
      <c r="M65" s="54">
        <v>82500.0</v>
      </c>
      <c r="N65" s="54">
        <v>82500.0</v>
      </c>
      <c r="O65" s="54">
        <v>111100.0</v>
      </c>
      <c r="P65" s="54">
        <v>111100.0</v>
      </c>
      <c r="Q65" s="26">
        <f t="shared" si="4"/>
        <v>622600</v>
      </c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4" t="s">
        <v>28</v>
      </c>
      <c r="B66" s="53" t="s">
        <v>83</v>
      </c>
      <c r="C66" s="53" t="s">
        <v>88</v>
      </c>
      <c r="D66" s="24"/>
      <c r="E66" s="25"/>
      <c r="F66" s="25"/>
      <c r="G66" s="25"/>
      <c r="H66" s="54">
        <v>27520.0</v>
      </c>
      <c r="I66" s="54">
        <v>27520.0</v>
      </c>
      <c r="J66" s="54">
        <v>43000.0</v>
      </c>
      <c r="K66" s="54">
        <v>43000.0</v>
      </c>
      <c r="L66" s="54">
        <v>43000.0</v>
      </c>
      <c r="M66" s="54">
        <v>64500.0</v>
      </c>
      <c r="N66" s="54">
        <v>64500.0</v>
      </c>
      <c r="O66" s="54">
        <v>86860.0</v>
      </c>
      <c r="P66" s="54">
        <v>86860.0</v>
      </c>
      <c r="Q66" s="26">
        <f t="shared" si="4"/>
        <v>486760</v>
      </c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4" t="s">
        <v>28</v>
      </c>
      <c r="B67" s="53" t="s">
        <v>83</v>
      </c>
      <c r="C67" s="53"/>
      <c r="D67" s="24"/>
      <c r="E67" s="25"/>
      <c r="F67" s="25"/>
      <c r="G67" s="25"/>
      <c r="H67" s="54"/>
      <c r="I67" s="54"/>
      <c r="J67" s="54"/>
      <c r="K67" s="54"/>
      <c r="L67" s="54"/>
      <c r="M67" s="54"/>
      <c r="N67" s="54"/>
      <c r="O67" s="54"/>
      <c r="P67" s="54"/>
      <c r="Q67" s="26">
        <f t="shared" si="4"/>
        <v>0</v>
      </c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4" t="s">
        <v>28</v>
      </c>
      <c r="B68" s="53" t="s">
        <v>83</v>
      </c>
      <c r="C68" s="53" t="s">
        <v>89</v>
      </c>
      <c r="D68" s="24"/>
      <c r="E68" s="25"/>
      <c r="F68" s="25"/>
      <c r="G68" s="25"/>
      <c r="H68" s="54" t="s">
        <v>44</v>
      </c>
      <c r="I68" s="54" t="s">
        <v>44</v>
      </c>
      <c r="J68" s="54" t="s">
        <v>44</v>
      </c>
      <c r="K68" s="54" t="s">
        <v>44</v>
      </c>
      <c r="L68" s="54" t="s">
        <v>44</v>
      </c>
      <c r="M68" s="54">
        <v>50000.0</v>
      </c>
      <c r="N68" s="54">
        <v>50000.0</v>
      </c>
      <c r="O68" s="54">
        <v>50000.0</v>
      </c>
      <c r="P68" s="54">
        <v>50000.0</v>
      </c>
      <c r="Q68" s="26">
        <f t="shared" si="4"/>
        <v>200000</v>
      </c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4" t="s">
        <v>28</v>
      </c>
      <c r="B69" s="53" t="s">
        <v>83</v>
      </c>
      <c r="C69" s="53" t="s">
        <v>90</v>
      </c>
      <c r="D69" s="24"/>
      <c r="E69" s="25"/>
      <c r="F69" s="25"/>
      <c r="G69" s="25"/>
      <c r="H69" s="54"/>
      <c r="I69" s="54"/>
      <c r="J69" s="54"/>
      <c r="K69" s="54"/>
      <c r="L69" s="54"/>
      <c r="M69" s="54"/>
      <c r="N69" s="54"/>
      <c r="O69" s="54"/>
      <c r="P69" s="54"/>
      <c r="Q69" s="26">
        <f t="shared" si="4"/>
        <v>0</v>
      </c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4" t="s">
        <v>28</v>
      </c>
      <c r="B70" s="53" t="s">
        <v>83</v>
      </c>
      <c r="C70" s="53" t="s">
        <v>91</v>
      </c>
      <c r="D70" s="24"/>
      <c r="E70" s="25"/>
      <c r="F70" s="25"/>
      <c r="G70" s="25"/>
      <c r="H70" s="54"/>
      <c r="I70" s="54"/>
      <c r="J70" s="54">
        <v>40000.0</v>
      </c>
      <c r="K70" s="54">
        <v>40000.0</v>
      </c>
      <c r="L70" s="54">
        <v>40000.0</v>
      </c>
      <c r="M70" s="54">
        <v>60000.0</v>
      </c>
      <c r="N70" s="54">
        <v>60000.0</v>
      </c>
      <c r="O70" s="54">
        <v>80800.0</v>
      </c>
      <c r="P70" s="54">
        <v>80800.0</v>
      </c>
      <c r="Q70" s="26">
        <f t="shared" si="4"/>
        <v>401600</v>
      </c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4" t="s">
        <v>28</v>
      </c>
      <c r="B71" s="53" t="s">
        <v>83</v>
      </c>
      <c r="C71" s="53" t="s">
        <v>92</v>
      </c>
      <c r="D71" s="24"/>
      <c r="E71" s="25"/>
      <c r="F71" s="25"/>
      <c r="G71" s="25"/>
      <c r="H71" s="54"/>
      <c r="I71" s="54"/>
      <c r="J71" s="54">
        <v>50000.0</v>
      </c>
      <c r="K71" s="54">
        <v>50000.0</v>
      </c>
      <c r="L71" s="54">
        <v>50000.0</v>
      </c>
      <c r="M71" s="54">
        <v>75000.0</v>
      </c>
      <c r="N71" s="54">
        <v>75000.0</v>
      </c>
      <c r="O71" s="54">
        <v>101000.0</v>
      </c>
      <c r="P71" s="54">
        <v>101000.0</v>
      </c>
      <c r="Q71" s="26">
        <f t="shared" si="4"/>
        <v>502000</v>
      </c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4" t="s">
        <v>28</v>
      </c>
      <c r="B72" s="53" t="s">
        <v>83</v>
      </c>
      <c r="C72" s="53" t="s">
        <v>93</v>
      </c>
      <c r="D72" s="24"/>
      <c r="E72" s="25"/>
      <c r="F72" s="25"/>
      <c r="G72" s="25"/>
      <c r="H72" s="54"/>
      <c r="I72" s="54"/>
      <c r="J72" s="54">
        <v>15000.0</v>
      </c>
      <c r="K72" s="54">
        <v>15000.0</v>
      </c>
      <c r="L72" s="54">
        <v>15000.0</v>
      </c>
      <c r="M72" s="54">
        <v>15000.0</v>
      </c>
      <c r="N72" s="54">
        <v>15000.0</v>
      </c>
      <c r="O72" s="54">
        <v>15000.0</v>
      </c>
      <c r="P72" s="54">
        <v>15000.0</v>
      </c>
      <c r="Q72" s="26">
        <f t="shared" si="4"/>
        <v>105000</v>
      </c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4" t="s">
        <v>28</v>
      </c>
      <c r="B73" s="53" t="s">
        <v>83</v>
      </c>
      <c r="C73" s="53" t="s">
        <v>94</v>
      </c>
      <c r="D73" s="24"/>
      <c r="E73" s="25"/>
      <c r="F73" s="25"/>
      <c r="G73" s="25"/>
      <c r="H73" s="54" t="s">
        <v>44</v>
      </c>
      <c r="I73" s="54" t="s">
        <v>44</v>
      </c>
      <c r="J73" s="54" t="s">
        <v>44</v>
      </c>
      <c r="K73" s="54" t="s">
        <v>44</v>
      </c>
      <c r="L73" s="54" t="s">
        <v>44</v>
      </c>
      <c r="M73" s="54">
        <v>20000.0</v>
      </c>
      <c r="N73" s="54">
        <v>20000.0</v>
      </c>
      <c r="O73" s="54">
        <v>20000.0</v>
      </c>
      <c r="P73" s="54">
        <v>20000.0</v>
      </c>
      <c r="Q73" s="26">
        <f t="shared" si="4"/>
        <v>80000</v>
      </c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4" t="s">
        <v>28</v>
      </c>
      <c r="B74" s="53" t="s">
        <v>83</v>
      </c>
      <c r="C74" s="53" t="s">
        <v>95</v>
      </c>
      <c r="D74" s="24"/>
      <c r="E74" s="25"/>
      <c r="F74" s="25"/>
      <c r="G74" s="25"/>
      <c r="H74" s="54"/>
      <c r="I74" s="54"/>
      <c r="J74" s="54"/>
      <c r="K74" s="54"/>
      <c r="L74" s="54"/>
      <c r="M74" s="54"/>
      <c r="N74" s="54"/>
      <c r="O74" s="54"/>
      <c r="P74" s="54"/>
      <c r="Q74" s="26">
        <f t="shared" si="4"/>
        <v>0</v>
      </c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4" t="s">
        <v>28</v>
      </c>
      <c r="B75" s="53" t="s">
        <v>83</v>
      </c>
      <c r="C75" s="53" t="s">
        <v>96</v>
      </c>
      <c r="D75" s="24"/>
      <c r="E75" s="25"/>
      <c r="F75" s="25"/>
      <c r="G75" s="25"/>
      <c r="H75" s="54" t="s">
        <v>44</v>
      </c>
      <c r="I75" s="54" t="s">
        <v>44</v>
      </c>
      <c r="J75" s="54">
        <v>60000.0</v>
      </c>
      <c r="K75" s="54">
        <v>60000.0</v>
      </c>
      <c r="L75" s="54">
        <v>60000.0</v>
      </c>
      <c r="M75" s="54">
        <v>90000.0</v>
      </c>
      <c r="N75" s="54">
        <v>90000.0</v>
      </c>
      <c r="O75" s="54">
        <v>121200.0</v>
      </c>
      <c r="P75" s="54">
        <v>121200.0</v>
      </c>
      <c r="Q75" s="26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4" t="s">
        <v>28</v>
      </c>
      <c r="B76" s="53" t="s">
        <v>83</v>
      </c>
      <c r="C76" s="53" t="s">
        <v>97</v>
      </c>
      <c r="D76" s="24"/>
      <c r="E76" s="25"/>
      <c r="F76" s="25"/>
      <c r="G76" s="25"/>
      <c r="H76" s="54" t="s">
        <v>44</v>
      </c>
      <c r="I76" s="54" t="s">
        <v>44</v>
      </c>
      <c r="J76" s="54">
        <v>40000.0</v>
      </c>
      <c r="K76" s="54">
        <v>40000.0</v>
      </c>
      <c r="L76" s="54">
        <v>40000.0</v>
      </c>
      <c r="M76" s="54">
        <v>60000.0</v>
      </c>
      <c r="N76" s="54">
        <v>60000.0</v>
      </c>
      <c r="O76" s="54">
        <v>80800.0</v>
      </c>
      <c r="P76" s="54">
        <v>80800.0</v>
      </c>
      <c r="Q76" s="26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4" t="s">
        <v>28</v>
      </c>
      <c r="B77" s="53" t="s">
        <v>83</v>
      </c>
      <c r="C77" s="53" t="s">
        <v>98</v>
      </c>
      <c r="D77" s="24"/>
      <c r="E77" s="25"/>
      <c r="F77" s="25"/>
      <c r="G77" s="25"/>
      <c r="H77" s="54"/>
      <c r="I77" s="54"/>
      <c r="J77" s="54"/>
      <c r="K77" s="54"/>
      <c r="L77" s="54"/>
      <c r="M77" s="54"/>
      <c r="N77" s="54"/>
      <c r="O77" s="54"/>
      <c r="P77" s="54"/>
      <c r="Q77" s="26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4" t="s">
        <v>28</v>
      </c>
      <c r="B78" s="53" t="s">
        <v>83</v>
      </c>
      <c r="C78" s="53" t="s">
        <v>99</v>
      </c>
      <c r="D78" s="24"/>
      <c r="E78" s="25"/>
      <c r="F78" s="25"/>
      <c r="G78" s="25"/>
      <c r="H78" s="54">
        <v>21000.0</v>
      </c>
      <c r="I78" s="54">
        <v>21000.0</v>
      </c>
      <c r="J78" s="54">
        <v>50000.0</v>
      </c>
      <c r="K78" s="54">
        <v>50000.0</v>
      </c>
      <c r="L78" s="54">
        <v>50000.0</v>
      </c>
      <c r="M78" s="54">
        <v>50000.0</v>
      </c>
      <c r="N78" s="54">
        <v>50000.0</v>
      </c>
      <c r="O78" s="54">
        <v>50000.0</v>
      </c>
      <c r="P78" s="54">
        <v>50000.0</v>
      </c>
      <c r="Q78" s="26">
        <f t="shared" ref="Q78:Q127" si="11">SUM(E78:P78)</f>
        <v>392000</v>
      </c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4" t="s">
        <v>28</v>
      </c>
      <c r="B79" s="24" t="s">
        <v>28</v>
      </c>
      <c r="C79" s="53" t="s">
        <v>84</v>
      </c>
      <c r="D79" s="24" t="s">
        <v>21</v>
      </c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6">
        <f t="shared" si="11"/>
        <v>0</v>
      </c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4" t="s">
        <v>28</v>
      </c>
      <c r="B80" s="24" t="s">
        <v>28</v>
      </c>
      <c r="C80" s="53" t="s">
        <v>100</v>
      </c>
      <c r="D80" s="24"/>
      <c r="E80" s="25"/>
      <c r="F80" s="25"/>
      <c r="G80" s="25"/>
      <c r="H80" s="54">
        <v>120000.0</v>
      </c>
      <c r="I80" s="54">
        <v>120000.0</v>
      </c>
      <c r="J80" s="54">
        <v>180000.0</v>
      </c>
      <c r="K80" s="54">
        <v>180000.0</v>
      </c>
      <c r="L80" s="54">
        <v>180000.0</v>
      </c>
      <c r="M80" s="54">
        <v>280000.0</v>
      </c>
      <c r="N80" s="54">
        <v>280000.0</v>
      </c>
      <c r="O80" s="54">
        <v>420000.0</v>
      </c>
      <c r="P80" s="54">
        <v>420000.0</v>
      </c>
      <c r="Q80" s="26">
        <f t="shared" si="11"/>
        <v>2180000</v>
      </c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4" t="s">
        <v>28</v>
      </c>
      <c r="B81" s="24" t="s">
        <v>28</v>
      </c>
      <c r="C81" s="53" t="s">
        <v>101</v>
      </c>
      <c r="D81" s="24"/>
      <c r="E81" s="25"/>
      <c r="F81" s="25"/>
      <c r="G81" s="25"/>
      <c r="H81" s="54">
        <v>5000.0</v>
      </c>
      <c r="I81" s="54">
        <v>5000.0</v>
      </c>
      <c r="J81" s="54">
        <v>5000.0</v>
      </c>
      <c r="K81" s="54">
        <v>5000.0</v>
      </c>
      <c r="L81" s="54">
        <v>5000.0</v>
      </c>
      <c r="M81" s="54">
        <v>12000.0</v>
      </c>
      <c r="N81" s="54">
        <v>12000.0</v>
      </c>
      <c r="O81" s="54">
        <v>28000.0</v>
      </c>
      <c r="P81" s="54">
        <v>28000.0</v>
      </c>
      <c r="Q81" s="26">
        <f t="shared" si="11"/>
        <v>105000</v>
      </c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4" t="s">
        <v>28</v>
      </c>
      <c r="B82" s="24" t="s">
        <v>28</v>
      </c>
      <c r="C82" s="53" t="s">
        <v>102</v>
      </c>
      <c r="D82" s="24"/>
      <c r="E82" s="25"/>
      <c r="F82" s="25"/>
      <c r="G82" s="25"/>
      <c r="H82" s="54" t="s">
        <v>44</v>
      </c>
      <c r="I82" s="54" t="s">
        <v>44</v>
      </c>
      <c r="J82" s="54">
        <v>8000.0</v>
      </c>
      <c r="K82" s="54">
        <v>8000.0</v>
      </c>
      <c r="L82" s="54">
        <v>8000.0</v>
      </c>
      <c r="M82" s="54">
        <v>8000.0</v>
      </c>
      <c r="N82" s="54">
        <v>8000.0</v>
      </c>
      <c r="O82" s="54">
        <v>8000.0</v>
      </c>
      <c r="P82" s="54">
        <v>8000.0</v>
      </c>
      <c r="Q82" s="26">
        <f t="shared" si="11"/>
        <v>56000</v>
      </c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4" t="s">
        <v>28</v>
      </c>
      <c r="B83" s="24" t="s">
        <v>28</v>
      </c>
      <c r="C83" s="53" t="s">
        <v>103</v>
      </c>
      <c r="D83" s="24"/>
      <c r="E83" s="25"/>
      <c r="F83" s="25"/>
      <c r="G83" s="25"/>
      <c r="H83" s="54" t="s">
        <v>44</v>
      </c>
      <c r="I83" s="54" t="s">
        <v>44</v>
      </c>
      <c r="J83" s="54">
        <v>1508.0</v>
      </c>
      <c r="K83" s="54">
        <v>1508.0</v>
      </c>
      <c r="L83" s="54">
        <v>1508.0</v>
      </c>
      <c r="M83" s="54">
        <v>4640.0</v>
      </c>
      <c r="N83" s="54">
        <v>4640.0</v>
      </c>
      <c r="O83" s="54">
        <v>4640.0</v>
      </c>
      <c r="P83" s="54">
        <v>4640.0</v>
      </c>
      <c r="Q83" s="26">
        <f t="shared" si="11"/>
        <v>23084</v>
      </c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4" t="s">
        <v>28</v>
      </c>
      <c r="B84" s="24" t="s">
        <v>28</v>
      </c>
      <c r="C84" s="53" t="s">
        <v>104</v>
      </c>
      <c r="D84" s="24"/>
      <c r="E84" s="25"/>
      <c r="F84" s="25"/>
      <c r="G84" s="25"/>
      <c r="H84" s="54" t="s">
        <v>44</v>
      </c>
      <c r="I84" s="54" t="s">
        <v>44</v>
      </c>
      <c r="J84" s="54">
        <v>460.0</v>
      </c>
      <c r="K84" s="54">
        <v>460.0</v>
      </c>
      <c r="L84" s="54">
        <v>460.0</v>
      </c>
      <c r="M84" s="54">
        <v>1840.0</v>
      </c>
      <c r="N84" s="54">
        <v>1840.0</v>
      </c>
      <c r="O84" s="54">
        <v>3220.0</v>
      </c>
      <c r="P84" s="54">
        <v>3220.0</v>
      </c>
      <c r="Q84" s="26">
        <f t="shared" si="11"/>
        <v>11500</v>
      </c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4" t="s">
        <v>28</v>
      </c>
      <c r="B85" s="24" t="s">
        <v>28</v>
      </c>
      <c r="C85" s="53" t="s">
        <v>105</v>
      </c>
      <c r="D85" s="24"/>
      <c r="E85" s="25"/>
      <c r="F85" s="25"/>
      <c r="G85" s="25"/>
      <c r="H85" s="25"/>
      <c r="I85" s="54"/>
      <c r="J85" s="25"/>
      <c r="K85" s="54"/>
      <c r="L85" s="54"/>
      <c r="M85" s="25"/>
      <c r="N85" s="54"/>
      <c r="O85" s="25"/>
      <c r="P85" s="54"/>
      <c r="Q85" s="26">
        <f t="shared" si="11"/>
        <v>0</v>
      </c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4" t="s">
        <v>28</v>
      </c>
      <c r="B86" s="24" t="s">
        <v>28</v>
      </c>
      <c r="C86" s="53" t="s">
        <v>106</v>
      </c>
      <c r="D86" s="24"/>
      <c r="E86" s="25"/>
      <c r="F86" s="25"/>
      <c r="G86" s="25"/>
      <c r="H86" s="54" t="s">
        <v>44</v>
      </c>
      <c r="I86" s="54" t="s">
        <v>44</v>
      </c>
      <c r="J86" s="54">
        <v>11500.0</v>
      </c>
      <c r="K86" s="54">
        <v>11500.0</v>
      </c>
      <c r="L86" s="54">
        <v>11500.0</v>
      </c>
      <c r="M86" s="54">
        <v>46000.0</v>
      </c>
      <c r="N86" s="54">
        <v>46000.0</v>
      </c>
      <c r="O86" s="54">
        <v>80500.0</v>
      </c>
      <c r="P86" s="54">
        <v>80500.0</v>
      </c>
      <c r="Q86" s="26">
        <f t="shared" si="11"/>
        <v>287500</v>
      </c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4" t="s">
        <v>28</v>
      </c>
      <c r="B87" s="24" t="s">
        <v>28</v>
      </c>
      <c r="C87" s="53" t="s">
        <v>107</v>
      </c>
      <c r="D87" s="24"/>
      <c r="E87" s="25"/>
      <c r="F87" s="25"/>
      <c r="G87" s="25"/>
      <c r="H87" s="54" t="s">
        <v>44</v>
      </c>
      <c r="I87" s="54" t="s">
        <v>44</v>
      </c>
      <c r="J87" s="54">
        <v>862.0</v>
      </c>
      <c r="K87" s="54">
        <v>862.0</v>
      </c>
      <c r="L87" s="54">
        <v>862.0</v>
      </c>
      <c r="M87" s="54">
        <v>3450.0</v>
      </c>
      <c r="N87" s="54">
        <v>3450.0</v>
      </c>
      <c r="O87" s="54">
        <v>3450.0</v>
      </c>
      <c r="P87" s="54">
        <v>3450.0</v>
      </c>
      <c r="Q87" s="26">
        <f t="shared" si="11"/>
        <v>16386</v>
      </c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4" t="s">
        <v>28</v>
      </c>
      <c r="B88" s="24" t="s">
        <v>28</v>
      </c>
      <c r="C88" s="53" t="s">
        <v>108</v>
      </c>
      <c r="D88" s="24"/>
      <c r="E88" s="25"/>
      <c r="F88" s="25"/>
      <c r="G88" s="25"/>
      <c r="H88" s="25"/>
      <c r="I88" s="54"/>
      <c r="J88" s="25"/>
      <c r="K88" s="54"/>
      <c r="L88" s="54"/>
      <c r="M88" s="25"/>
      <c r="N88" s="54"/>
      <c r="O88" s="25"/>
      <c r="P88" s="54"/>
      <c r="Q88" s="26">
        <f t="shared" si="11"/>
        <v>0</v>
      </c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4" t="s">
        <v>28</v>
      </c>
      <c r="B89" s="24" t="s">
        <v>28</v>
      </c>
      <c r="C89" s="53" t="s">
        <v>109</v>
      </c>
      <c r="D89" s="24"/>
      <c r="E89" s="25"/>
      <c r="F89" s="25"/>
      <c r="G89" s="25"/>
      <c r="H89" s="54">
        <v>2588.0</v>
      </c>
      <c r="I89" s="54">
        <v>2588.0</v>
      </c>
      <c r="J89" s="54">
        <v>4312.0</v>
      </c>
      <c r="K89" s="54">
        <v>4312.0</v>
      </c>
      <c r="L89" s="54">
        <v>4312.0</v>
      </c>
      <c r="M89" s="54">
        <v>6900.0</v>
      </c>
      <c r="N89" s="54">
        <v>6900.0</v>
      </c>
      <c r="O89" s="54">
        <v>8625.0</v>
      </c>
      <c r="P89" s="54">
        <v>8625.0</v>
      </c>
      <c r="Q89" s="26">
        <f t="shared" si="11"/>
        <v>49162</v>
      </c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4" t="s">
        <v>28</v>
      </c>
      <c r="B90" s="24" t="s">
        <v>28</v>
      </c>
      <c r="C90" s="53" t="s">
        <v>110</v>
      </c>
      <c r="D90" s="24"/>
      <c r="E90" s="25"/>
      <c r="F90" s="25"/>
      <c r="G90" s="25"/>
      <c r="H90" s="25"/>
      <c r="I90" s="54"/>
      <c r="J90" s="25"/>
      <c r="K90" s="54"/>
      <c r="L90" s="54"/>
      <c r="M90" s="25"/>
      <c r="N90" s="54"/>
      <c r="O90" s="25"/>
      <c r="P90" s="54"/>
      <c r="Q90" s="26">
        <f t="shared" si="11"/>
        <v>0</v>
      </c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4" t="s">
        <v>28</v>
      </c>
      <c r="B91" s="24" t="s">
        <v>28</v>
      </c>
      <c r="C91" s="53" t="s">
        <v>111</v>
      </c>
      <c r="D91" s="24"/>
      <c r="E91" s="25"/>
      <c r="F91" s="25"/>
      <c r="G91" s="25"/>
      <c r="H91" s="54">
        <v>2546.0</v>
      </c>
      <c r="I91" s="54">
        <v>2546.0</v>
      </c>
      <c r="J91" s="54">
        <v>10182.0</v>
      </c>
      <c r="K91" s="54">
        <v>10182.0</v>
      </c>
      <c r="L91" s="54">
        <v>10182.0</v>
      </c>
      <c r="M91" s="54">
        <v>15273.0</v>
      </c>
      <c r="N91" s="54">
        <v>15273.0</v>
      </c>
      <c r="O91" s="54">
        <v>20364.0</v>
      </c>
      <c r="P91" s="54">
        <v>20364.0</v>
      </c>
      <c r="Q91" s="26">
        <f t="shared" si="11"/>
        <v>106912</v>
      </c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4" t="s">
        <v>28</v>
      </c>
      <c r="B92" s="24" t="s">
        <v>28</v>
      </c>
      <c r="C92" s="53" t="s">
        <v>112</v>
      </c>
      <c r="D92" s="24"/>
      <c r="E92" s="25"/>
      <c r="F92" s="25"/>
      <c r="G92" s="25"/>
      <c r="H92" s="25"/>
      <c r="I92" s="54"/>
      <c r="J92" s="25"/>
      <c r="K92" s="54"/>
      <c r="L92" s="54"/>
      <c r="M92" s="25"/>
      <c r="N92" s="54"/>
      <c r="O92" s="25"/>
      <c r="P92" s="54"/>
      <c r="Q92" s="26">
        <f t="shared" si="11"/>
        <v>0</v>
      </c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4" t="s">
        <v>28</v>
      </c>
      <c r="B93" s="24" t="s">
        <v>28</v>
      </c>
      <c r="C93" s="53" t="s">
        <v>113</v>
      </c>
      <c r="D93" s="24"/>
      <c r="E93" s="25"/>
      <c r="F93" s="25"/>
      <c r="G93" s="25"/>
      <c r="H93" s="54">
        <v>6900.0</v>
      </c>
      <c r="I93" s="54">
        <v>6900.0</v>
      </c>
      <c r="J93" s="54">
        <v>12650.0</v>
      </c>
      <c r="K93" s="54">
        <v>12650.0</v>
      </c>
      <c r="L93" s="54">
        <v>12650.0</v>
      </c>
      <c r="M93" s="54">
        <v>21850.0</v>
      </c>
      <c r="N93" s="54">
        <v>21850.0</v>
      </c>
      <c r="O93" s="54">
        <v>37950.0</v>
      </c>
      <c r="P93" s="54">
        <v>37950.0</v>
      </c>
      <c r="Q93" s="26">
        <f t="shared" si="11"/>
        <v>171350</v>
      </c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4" t="s">
        <v>28</v>
      </c>
      <c r="B94" s="24" t="s">
        <v>28</v>
      </c>
      <c r="C94" s="53" t="s">
        <v>96</v>
      </c>
      <c r="D94" s="24"/>
      <c r="E94" s="25"/>
      <c r="F94" s="25"/>
      <c r="G94" s="25"/>
      <c r="H94" s="54">
        <v>5750.0</v>
      </c>
      <c r="I94" s="54">
        <v>5750.0</v>
      </c>
      <c r="J94" s="54">
        <v>11500.0</v>
      </c>
      <c r="K94" s="54">
        <v>11500.0</v>
      </c>
      <c r="L94" s="54">
        <v>11500.0</v>
      </c>
      <c r="M94" s="54">
        <v>23000.0</v>
      </c>
      <c r="N94" s="54">
        <v>23000.0</v>
      </c>
      <c r="O94" s="54">
        <v>40250.0</v>
      </c>
      <c r="P94" s="54">
        <v>40250.0</v>
      </c>
      <c r="Q94" s="26">
        <f t="shared" si="11"/>
        <v>172500</v>
      </c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4" t="s">
        <v>28</v>
      </c>
      <c r="B95" s="24" t="s">
        <v>28</v>
      </c>
      <c r="C95" s="53" t="s">
        <v>97</v>
      </c>
      <c r="D95" s="24"/>
      <c r="E95" s="25"/>
      <c r="F95" s="25"/>
      <c r="G95" s="25"/>
      <c r="H95" s="25"/>
      <c r="I95" s="54"/>
      <c r="J95" s="25"/>
      <c r="K95" s="54"/>
      <c r="L95" s="54"/>
      <c r="M95" s="25"/>
      <c r="N95" s="54"/>
      <c r="O95" s="25"/>
      <c r="P95" s="54"/>
      <c r="Q95" s="26">
        <f t="shared" si="11"/>
        <v>0</v>
      </c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4" t="s">
        <v>28</v>
      </c>
      <c r="B96" s="24" t="s">
        <v>28</v>
      </c>
      <c r="C96" s="53" t="s">
        <v>114</v>
      </c>
      <c r="D96" s="24"/>
      <c r="E96" s="25"/>
      <c r="F96" s="25"/>
      <c r="G96" s="25"/>
      <c r="H96" s="54">
        <v>10000.0</v>
      </c>
      <c r="I96" s="54">
        <v>10000.0</v>
      </c>
      <c r="J96" s="54">
        <v>15000.0</v>
      </c>
      <c r="K96" s="54">
        <v>15000.0</v>
      </c>
      <c r="L96" s="54">
        <v>15000.0</v>
      </c>
      <c r="M96" s="54">
        <v>20000.0</v>
      </c>
      <c r="N96" s="54">
        <v>20000.0</v>
      </c>
      <c r="O96" s="54">
        <v>20000.0</v>
      </c>
      <c r="P96" s="54">
        <v>20000.0</v>
      </c>
      <c r="Q96" s="26">
        <f t="shared" si="11"/>
        <v>145000</v>
      </c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4" t="s">
        <v>28</v>
      </c>
      <c r="B97" s="24" t="s">
        <v>28</v>
      </c>
      <c r="C97" s="53" t="s">
        <v>115</v>
      </c>
      <c r="D97" s="24"/>
      <c r="E97" s="25"/>
      <c r="F97" s="25"/>
      <c r="G97" s="25"/>
      <c r="H97" s="25"/>
      <c r="I97" s="54"/>
      <c r="J97" s="25"/>
      <c r="K97" s="54"/>
      <c r="L97" s="54"/>
      <c r="M97" s="25"/>
      <c r="N97" s="54"/>
      <c r="O97" s="25"/>
      <c r="P97" s="54"/>
      <c r="Q97" s="26">
        <f t="shared" si="11"/>
        <v>0</v>
      </c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4" t="s">
        <v>28</v>
      </c>
      <c r="B98" s="24" t="s">
        <v>28</v>
      </c>
      <c r="C98" s="53" t="s">
        <v>116</v>
      </c>
      <c r="D98" s="24"/>
      <c r="E98" s="25"/>
      <c r="F98" s="25"/>
      <c r="G98" s="25"/>
      <c r="H98" s="54" t="s">
        <v>44</v>
      </c>
      <c r="I98" s="54" t="s">
        <v>44</v>
      </c>
      <c r="J98" s="54">
        <v>5000.0</v>
      </c>
      <c r="K98" s="54">
        <v>5000.0</v>
      </c>
      <c r="L98" s="54">
        <v>5000.0</v>
      </c>
      <c r="M98" s="54">
        <v>10000.0</v>
      </c>
      <c r="N98" s="54">
        <v>10000.0</v>
      </c>
      <c r="O98" s="54">
        <v>10000.0</v>
      </c>
      <c r="P98" s="54">
        <v>10000.0</v>
      </c>
      <c r="Q98" s="26">
        <f t="shared" si="11"/>
        <v>55000</v>
      </c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4" t="s">
        <v>28</v>
      </c>
      <c r="B99" s="24" t="s">
        <v>28</v>
      </c>
      <c r="C99" s="53" t="s">
        <v>117</v>
      </c>
      <c r="D99" s="24" t="s">
        <v>21</v>
      </c>
      <c r="E99" s="25"/>
      <c r="F99" s="25"/>
      <c r="G99" s="25"/>
      <c r="H99" s="25"/>
      <c r="I99" s="54"/>
      <c r="J99" s="25"/>
      <c r="K99" s="54"/>
      <c r="L99" s="54"/>
      <c r="M99" s="25"/>
      <c r="N99" s="54"/>
      <c r="O99" s="25"/>
      <c r="P99" s="54"/>
      <c r="Q99" s="26">
        <f t="shared" si="11"/>
        <v>0</v>
      </c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4" t="s">
        <v>28</v>
      </c>
      <c r="B100" s="24" t="s">
        <v>28</v>
      </c>
      <c r="C100" s="53" t="s">
        <v>118</v>
      </c>
      <c r="D100" s="24" t="s">
        <v>21</v>
      </c>
      <c r="E100" s="25"/>
      <c r="F100" s="25"/>
      <c r="G100" s="25"/>
      <c r="H100" s="54" t="s">
        <v>44</v>
      </c>
      <c r="I100" s="54" t="s">
        <v>44</v>
      </c>
      <c r="J100" s="54">
        <v>3000.0</v>
      </c>
      <c r="K100" s="54">
        <v>3000.0</v>
      </c>
      <c r="L100" s="54">
        <v>3000.0</v>
      </c>
      <c r="M100" s="54">
        <v>5000.0</v>
      </c>
      <c r="N100" s="54">
        <v>5000.0</v>
      </c>
      <c r="O100" s="54">
        <v>8000.0</v>
      </c>
      <c r="P100" s="54">
        <v>8000.0</v>
      </c>
      <c r="Q100" s="26">
        <f t="shared" si="11"/>
        <v>35000</v>
      </c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1"/>
      <c r="B101" s="41"/>
      <c r="C101" s="55" t="s">
        <v>119</v>
      </c>
      <c r="D101" s="41"/>
      <c r="E101" s="43">
        <f t="shared" ref="E101:P101" si="12">SUM(E62:E100)</f>
        <v>0</v>
      </c>
      <c r="F101" s="43">
        <f t="shared" si="12"/>
        <v>0</v>
      </c>
      <c r="G101" s="43">
        <f t="shared" si="12"/>
        <v>0</v>
      </c>
      <c r="H101" s="43">
        <f t="shared" si="12"/>
        <v>251864</v>
      </c>
      <c r="I101" s="43">
        <f t="shared" si="12"/>
        <v>251864</v>
      </c>
      <c r="J101" s="43">
        <f t="shared" si="12"/>
        <v>645974</v>
      </c>
      <c r="K101" s="43">
        <f t="shared" si="12"/>
        <v>645974</v>
      </c>
      <c r="L101" s="43">
        <f t="shared" si="12"/>
        <v>645974</v>
      </c>
      <c r="M101" s="43">
        <f t="shared" si="12"/>
        <v>1060953</v>
      </c>
      <c r="N101" s="43">
        <f t="shared" si="12"/>
        <v>1060953</v>
      </c>
      <c r="O101" s="43">
        <f t="shared" si="12"/>
        <v>1458239</v>
      </c>
      <c r="P101" s="43">
        <f t="shared" si="12"/>
        <v>1458239</v>
      </c>
      <c r="Q101" s="43">
        <f t="shared" si="11"/>
        <v>7480034</v>
      </c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7" t="s">
        <v>29</v>
      </c>
      <c r="B102" s="27" t="s">
        <v>29</v>
      </c>
      <c r="C102" s="56" t="s">
        <v>120</v>
      </c>
      <c r="D102" s="27" t="s">
        <v>21</v>
      </c>
      <c r="E102" s="57">
        <v>0.0</v>
      </c>
      <c r="F102" s="57">
        <v>0.0</v>
      </c>
      <c r="G102" s="57">
        <v>0.0</v>
      </c>
      <c r="H102" s="57">
        <v>0.0</v>
      </c>
      <c r="I102" s="57">
        <v>50000.0</v>
      </c>
      <c r="J102" s="57">
        <v>50000.0</v>
      </c>
      <c r="K102" s="57">
        <v>50000.0</v>
      </c>
      <c r="L102" s="57">
        <v>50000.0</v>
      </c>
      <c r="M102" s="57">
        <v>50000.0</v>
      </c>
      <c r="N102" s="57">
        <v>50000.0</v>
      </c>
      <c r="O102" s="57">
        <v>50000.0</v>
      </c>
      <c r="P102" s="57">
        <v>50000.0</v>
      </c>
      <c r="Q102" s="29">
        <f t="shared" si="11"/>
        <v>400000</v>
      </c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7" t="s">
        <v>29</v>
      </c>
      <c r="B103" s="27" t="s">
        <v>29</v>
      </c>
      <c r="C103" s="27" t="s">
        <v>121</v>
      </c>
      <c r="D103" s="27" t="s">
        <v>21</v>
      </c>
      <c r="E103" s="28">
        <v>38472.0</v>
      </c>
      <c r="F103" s="28">
        <v>38472.0</v>
      </c>
      <c r="G103" s="28">
        <v>38472.0</v>
      </c>
      <c r="H103" s="28">
        <v>34526.0</v>
      </c>
      <c r="I103" s="28">
        <v>34526.0</v>
      </c>
      <c r="J103" s="28">
        <v>34526.0</v>
      </c>
      <c r="K103" s="28">
        <v>34526.0</v>
      </c>
      <c r="L103" s="28">
        <v>34526.0</v>
      </c>
      <c r="M103" s="28">
        <v>34526.0</v>
      </c>
      <c r="N103" s="28">
        <v>34526.0</v>
      </c>
      <c r="O103" s="28">
        <v>34526.0</v>
      </c>
      <c r="P103" s="28">
        <v>34526.0</v>
      </c>
      <c r="Q103" s="29">
        <f t="shared" si="11"/>
        <v>426150</v>
      </c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7" t="s">
        <v>29</v>
      </c>
      <c r="B104" s="27" t="s">
        <v>29</v>
      </c>
      <c r="C104" s="56" t="s">
        <v>122</v>
      </c>
      <c r="D104" s="27" t="s">
        <v>21</v>
      </c>
      <c r="E104" s="57">
        <v>8000.0</v>
      </c>
      <c r="F104" s="57">
        <v>8000.0</v>
      </c>
      <c r="G104" s="57">
        <v>8000.0</v>
      </c>
      <c r="H104" s="57">
        <v>8000.0</v>
      </c>
      <c r="I104" s="57">
        <v>8000.0</v>
      </c>
      <c r="J104" s="57">
        <v>8000.0</v>
      </c>
      <c r="K104" s="57">
        <v>8000.0</v>
      </c>
      <c r="L104" s="57">
        <v>8000.0</v>
      </c>
      <c r="M104" s="57">
        <v>8000.0</v>
      </c>
      <c r="N104" s="57">
        <v>8000.0</v>
      </c>
      <c r="O104" s="57">
        <v>8000.0</v>
      </c>
      <c r="P104" s="57">
        <v>8000.0</v>
      </c>
      <c r="Q104" s="29">
        <f t="shared" si="11"/>
        <v>96000</v>
      </c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1"/>
      <c r="B105" s="41"/>
      <c r="C105" s="42" t="s">
        <v>123</v>
      </c>
      <c r="D105" s="41"/>
      <c r="E105" s="43">
        <f t="shared" ref="E105:P105" si="13">SUM(E102:E104)</f>
        <v>46472</v>
      </c>
      <c r="F105" s="43">
        <f t="shared" si="13"/>
        <v>46472</v>
      </c>
      <c r="G105" s="43">
        <f t="shared" si="13"/>
        <v>46472</v>
      </c>
      <c r="H105" s="43">
        <f t="shared" si="13"/>
        <v>42526</v>
      </c>
      <c r="I105" s="43">
        <f t="shared" si="13"/>
        <v>92526</v>
      </c>
      <c r="J105" s="43">
        <f t="shared" si="13"/>
        <v>92526</v>
      </c>
      <c r="K105" s="43">
        <f t="shared" si="13"/>
        <v>92526</v>
      </c>
      <c r="L105" s="43">
        <f t="shared" si="13"/>
        <v>92526</v>
      </c>
      <c r="M105" s="43">
        <f t="shared" si="13"/>
        <v>92526</v>
      </c>
      <c r="N105" s="43">
        <f t="shared" si="13"/>
        <v>92526</v>
      </c>
      <c r="O105" s="43">
        <f t="shared" si="13"/>
        <v>92526</v>
      </c>
      <c r="P105" s="43">
        <f t="shared" si="13"/>
        <v>92526</v>
      </c>
      <c r="Q105" s="43">
        <f t="shared" si="11"/>
        <v>922150</v>
      </c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0" t="s">
        <v>30</v>
      </c>
      <c r="B106" s="30" t="s">
        <v>30</v>
      </c>
      <c r="C106" s="30" t="s">
        <v>124</v>
      </c>
      <c r="D106" s="30" t="s">
        <v>21</v>
      </c>
      <c r="E106" s="58">
        <v>400000.0</v>
      </c>
      <c r="F106" s="58">
        <v>400000.0</v>
      </c>
      <c r="G106" s="58">
        <v>400000.0</v>
      </c>
      <c r="H106" s="58">
        <v>400000.0</v>
      </c>
      <c r="I106" s="58">
        <v>400000.0</v>
      </c>
      <c r="J106" s="58">
        <v>400000.0</v>
      </c>
      <c r="K106" s="58">
        <v>400000.0</v>
      </c>
      <c r="L106" s="58">
        <v>400000.0</v>
      </c>
      <c r="M106" s="58">
        <v>400000.0</v>
      </c>
      <c r="N106" s="58">
        <v>400000.0</v>
      </c>
      <c r="O106" s="58">
        <v>400000.0</v>
      </c>
      <c r="P106" s="58">
        <v>400000.0</v>
      </c>
      <c r="Q106" s="32">
        <f t="shared" si="11"/>
        <v>4800000</v>
      </c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0" t="s">
        <v>30</v>
      </c>
      <c r="B107" s="30" t="s">
        <v>30</v>
      </c>
      <c r="C107" s="30" t="s">
        <v>125</v>
      </c>
      <c r="D107" s="30" t="s">
        <v>21</v>
      </c>
      <c r="E107" s="31">
        <v>159406.0</v>
      </c>
      <c r="F107" s="31">
        <v>159406.0</v>
      </c>
      <c r="G107" s="31">
        <v>159406.0</v>
      </c>
      <c r="H107" s="31">
        <v>159406.0</v>
      </c>
      <c r="I107" s="31">
        <v>167163.0</v>
      </c>
      <c r="J107" s="31">
        <v>210991.0</v>
      </c>
      <c r="K107" s="31">
        <v>201294.0</v>
      </c>
      <c r="L107" s="31">
        <v>201294.0</v>
      </c>
      <c r="M107" s="31">
        <v>210216.0</v>
      </c>
      <c r="N107" s="31">
        <v>201294.0</v>
      </c>
      <c r="O107" s="31">
        <v>201294.0</v>
      </c>
      <c r="P107" s="31">
        <v>201294.0</v>
      </c>
      <c r="Q107" s="32">
        <f t="shared" si="11"/>
        <v>2232464</v>
      </c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0" t="s">
        <v>30</v>
      </c>
      <c r="B108" s="30" t="s">
        <v>30</v>
      </c>
      <c r="C108" s="30" t="s">
        <v>126</v>
      </c>
      <c r="D108" s="30" t="s">
        <v>21</v>
      </c>
      <c r="E108" s="31">
        <v>8000.0</v>
      </c>
      <c r="F108" s="31">
        <v>8000.0</v>
      </c>
      <c r="G108" s="31">
        <v>8000.0</v>
      </c>
      <c r="H108" s="31">
        <v>8000.0</v>
      </c>
      <c r="I108" s="31">
        <v>8000.0</v>
      </c>
      <c r="J108" s="31">
        <v>8000.0</v>
      </c>
      <c r="K108" s="31">
        <v>8000.0</v>
      </c>
      <c r="L108" s="31">
        <v>8000.0</v>
      </c>
      <c r="M108" s="31">
        <v>8000.0</v>
      </c>
      <c r="N108" s="58">
        <v>8000.0</v>
      </c>
      <c r="O108" s="58">
        <v>8000.0</v>
      </c>
      <c r="P108" s="58">
        <v>8000.0</v>
      </c>
      <c r="Q108" s="32">
        <f t="shared" si="11"/>
        <v>96000</v>
      </c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0" t="s">
        <v>30</v>
      </c>
      <c r="B109" s="30" t="s">
        <v>30</v>
      </c>
      <c r="C109" s="30" t="s">
        <v>127</v>
      </c>
      <c r="D109" s="30" t="s">
        <v>21</v>
      </c>
      <c r="E109" s="31">
        <v>6000.0</v>
      </c>
      <c r="F109" s="31">
        <v>6000.0</v>
      </c>
      <c r="G109" s="31">
        <v>6000.0</v>
      </c>
      <c r="H109" s="31">
        <v>6000.0</v>
      </c>
      <c r="I109" s="31">
        <v>6000.0</v>
      </c>
      <c r="J109" s="31">
        <v>6000.0</v>
      </c>
      <c r="K109" s="31">
        <v>6000.0</v>
      </c>
      <c r="L109" s="31">
        <v>6000.0</v>
      </c>
      <c r="M109" s="31">
        <v>6000.0</v>
      </c>
      <c r="N109" s="58">
        <v>6000.0</v>
      </c>
      <c r="O109" s="58">
        <v>6000.0</v>
      </c>
      <c r="P109" s="58">
        <v>6000.0</v>
      </c>
      <c r="Q109" s="32">
        <f t="shared" si="11"/>
        <v>72000</v>
      </c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0" t="s">
        <v>30</v>
      </c>
      <c r="B110" s="30" t="s">
        <v>30</v>
      </c>
      <c r="C110" s="30" t="s">
        <v>128</v>
      </c>
      <c r="D110" s="30" t="s">
        <v>21</v>
      </c>
      <c r="E110" s="58">
        <v>5000.0</v>
      </c>
      <c r="F110" s="58">
        <v>5000.0</v>
      </c>
      <c r="G110" s="58">
        <v>5000.0</v>
      </c>
      <c r="H110" s="58">
        <v>5000.0</v>
      </c>
      <c r="I110" s="58">
        <v>5000.0</v>
      </c>
      <c r="J110" s="58">
        <v>5000.0</v>
      </c>
      <c r="K110" s="58">
        <v>5000.0</v>
      </c>
      <c r="L110" s="58">
        <v>5000.0</v>
      </c>
      <c r="M110" s="58">
        <v>5000.0</v>
      </c>
      <c r="N110" s="58">
        <v>5000.0</v>
      </c>
      <c r="O110" s="58">
        <v>5000.0</v>
      </c>
      <c r="P110" s="58">
        <v>5000.0</v>
      </c>
      <c r="Q110" s="32">
        <f t="shared" si="11"/>
        <v>60000</v>
      </c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0" t="s">
        <v>30</v>
      </c>
      <c r="B111" s="30" t="s">
        <v>30</v>
      </c>
      <c r="C111" s="30" t="s">
        <v>129</v>
      </c>
      <c r="D111" s="30" t="s">
        <v>21</v>
      </c>
      <c r="E111" s="31">
        <v>2487.0</v>
      </c>
      <c r="F111" s="31">
        <v>2487.0</v>
      </c>
      <c r="G111" s="31">
        <v>2487.0</v>
      </c>
      <c r="H111" s="31">
        <v>2487.0</v>
      </c>
      <c r="I111" s="31">
        <v>2608.0</v>
      </c>
      <c r="J111" s="31">
        <v>3291.0</v>
      </c>
      <c r="K111" s="31">
        <v>3140.0</v>
      </c>
      <c r="L111" s="31">
        <v>3140.0</v>
      </c>
      <c r="M111" s="31">
        <v>3279.0</v>
      </c>
      <c r="N111" s="31">
        <v>3140.0</v>
      </c>
      <c r="O111" s="31">
        <v>3140.0</v>
      </c>
      <c r="P111" s="31">
        <v>3140.0</v>
      </c>
      <c r="Q111" s="32">
        <f t="shared" si="11"/>
        <v>34826</v>
      </c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1"/>
      <c r="B112" s="41"/>
      <c r="C112" s="42" t="s">
        <v>130</v>
      </c>
      <c r="D112" s="41"/>
      <c r="E112" s="43">
        <f t="shared" ref="E112:P112" si="14">SUM(E106:E111)</f>
        <v>580893</v>
      </c>
      <c r="F112" s="43">
        <f t="shared" si="14"/>
        <v>580893</v>
      </c>
      <c r="G112" s="43">
        <f t="shared" si="14"/>
        <v>580893</v>
      </c>
      <c r="H112" s="43">
        <f t="shared" si="14"/>
        <v>580893</v>
      </c>
      <c r="I112" s="43">
        <f t="shared" si="14"/>
        <v>588771</v>
      </c>
      <c r="J112" s="43">
        <f t="shared" si="14"/>
        <v>633282</v>
      </c>
      <c r="K112" s="43">
        <f t="shared" si="14"/>
        <v>623434</v>
      </c>
      <c r="L112" s="43">
        <f t="shared" si="14"/>
        <v>623434</v>
      </c>
      <c r="M112" s="43">
        <f t="shared" si="14"/>
        <v>632495</v>
      </c>
      <c r="N112" s="43">
        <f t="shared" si="14"/>
        <v>623434</v>
      </c>
      <c r="O112" s="43">
        <f t="shared" si="14"/>
        <v>623434</v>
      </c>
      <c r="P112" s="43">
        <f t="shared" si="14"/>
        <v>623434</v>
      </c>
      <c r="Q112" s="43">
        <f t="shared" si="11"/>
        <v>7295290</v>
      </c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6" t="s">
        <v>31</v>
      </c>
      <c r="B113" s="6" t="s">
        <v>31</v>
      </c>
      <c r="C113" s="39" t="s">
        <v>131</v>
      </c>
      <c r="D113" s="6" t="s">
        <v>21</v>
      </c>
      <c r="E113" s="40"/>
      <c r="F113" s="40"/>
      <c r="G113" s="40"/>
      <c r="H113" s="40">
        <v>10000.0</v>
      </c>
      <c r="I113" s="40">
        <v>10000.0</v>
      </c>
      <c r="J113" s="40">
        <v>10000.0</v>
      </c>
      <c r="K113" s="40">
        <v>10000.0</v>
      </c>
      <c r="L113" s="40">
        <v>15000.0</v>
      </c>
      <c r="M113" s="40">
        <v>15000.0</v>
      </c>
      <c r="N113" s="40">
        <v>15000.0</v>
      </c>
      <c r="O113" s="40">
        <v>15000.0</v>
      </c>
      <c r="P113" s="40">
        <v>15000.0</v>
      </c>
      <c r="Q113" s="8">
        <f t="shared" si="11"/>
        <v>115000</v>
      </c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6" t="s">
        <v>31</v>
      </c>
      <c r="B114" s="6" t="s">
        <v>31</v>
      </c>
      <c r="C114" s="39" t="s">
        <v>132</v>
      </c>
      <c r="D114" s="6" t="s">
        <v>21</v>
      </c>
      <c r="E114" s="7"/>
      <c r="F114" s="7"/>
      <c r="G114" s="7"/>
      <c r="H114" s="40">
        <v>70000.0</v>
      </c>
      <c r="I114" s="40">
        <v>70000.0</v>
      </c>
      <c r="J114" s="40">
        <v>70000.0</v>
      </c>
      <c r="K114" s="7"/>
      <c r="L114" s="40">
        <v>70000.0</v>
      </c>
      <c r="M114" s="40">
        <v>70000.0</v>
      </c>
      <c r="N114" s="40">
        <v>70000.0</v>
      </c>
      <c r="O114" s="7"/>
      <c r="P114" s="7"/>
      <c r="Q114" s="8">
        <f t="shared" si="11"/>
        <v>420000</v>
      </c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6" t="s">
        <v>31</v>
      </c>
      <c r="B115" s="6" t="s">
        <v>31</v>
      </c>
      <c r="C115" s="39" t="s">
        <v>133</v>
      </c>
      <c r="D115" s="6" t="s">
        <v>21</v>
      </c>
      <c r="E115" s="7"/>
      <c r="F115" s="7"/>
      <c r="G115" s="7"/>
      <c r="H115" s="40">
        <v>50000.0</v>
      </c>
      <c r="I115" s="40">
        <v>50000.0</v>
      </c>
      <c r="J115" s="40">
        <v>50000.0</v>
      </c>
      <c r="K115" s="40">
        <v>50000.0</v>
      </c>
      <c r="L115" s="40">
        <v>50000.0</v>
      </c>
      <c r="M115" s="40">
        <v>50000.0</v>
      </c>
      <c r="N115" s="40">
        <v>50000.0</v>
      </c>
      <c r="O115" s="40">
        <v>50000.0</v>
      </c>
      <c r="P115" s="40">
        <v>50000.0</v>
      </c>
      <c r="Q115" s="8">
        <f t="shared" si="11"/>
        <v>450000</v>
      </c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6" t="s">
        <v>31</v>
      </c>
      <c r="B116" s="6" t="s">
        <v>31</v>
      </c>
      <c r="C116" s="39" t="s">
        <v>134</v>
      </c>
      <c r="D116" s="6"/>
      <c r="E116" s="40"/>
      <c r="F116" s="40"/>
      <c r="G116" s="40"/>
      <c r="H116" s="40">
        <v>50000.0</v>
      </c>
      <c r="I116" s="40">
        <v>50000.0</v>
      </c>
      <c r="J116" s="40">
        <v>50000.0</v>
      </c>
      <c r="K116" s="40">
        <v>50000.0</v>
      </c>
      <c r="L116" s="40">
        <v>50000.0</v>
      </c>
      <c r="M116" s="40">
        <v>50000.0</v>
      </c>
      <c r="N116" s="40">
        <v>50000.0</v>
      </c>
      <c r="O116" s="40">
        <v>50000.0</v>
      </c>
      <c r="P116" s="40">
        <v>50000.0</v>
      </c>
      <c r="Q116" s="8">
        <f t="shared" si="11"/>
        <v>450000</v>
      </c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6" t="s">
        <v>31</v>
      </c>
      <c r="B117" s="6" t="s">
        <v>31</v>
      </c>
      <c r="C117" s="39" t="s">
        <v>135</v>
      </c>
      <c r="D117" s="6"/>
      <c r="E117" s="40"/>
      <c r="F117" s="40"/>
      <c r="G117" s="40"/>
      <c r="H117" s="40">
        <v>35000.0</v>
      </c>
      <c r="I117" s="40">
        <v>35000.0</v>
      </c>
      <c r="J117" s="40">
        <v>35000.0</v>
      </c>
      <c r="K117" s="40">
        <v>35000.0</v>
      </c>
      <c r="L117" s="40">
        <v>35000.0</v>
      </c>
      <c r="M117" s="40">
        <v>35000.0</v>
      </c>
      <c r="N117" s="40">
        <v>35000.0</v>
      </c>
      <c r="O117" s="40">
        <v>35000.0</v>
      </c>
      <c r="P117" s="40">
        <v>35000.0</v>
      </c>
      <c r="Q117" s="8">
        <f t="shared" si="11"/>
        <v>315000</v>
      </c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6" t="s">
        <v>31</v>
      </c>
      <c r="B118" s="6" t="s">
        <v>31</v>
      </c>
      <c r="C118" s="39" t="s">
        <v>136</v>
      </c>
      <c r="D118" s="6" t="s">
        <v>21</v>
      </c>
      <c r="E118" s="7"/>
      <c r="F118" s="7"/>
      <c r="G118" s="7"/>
      <c r="H118" s="7"/>
      <c r="I118" s="40">
        <v>20000.0</v>
      </c>
      <c r="J118" s="40">
        <v>18000.0</v>
      </c>
      <c r="K118" s="7"/>
      <c r="L118" s="7"/>
      <c r="M118" s="7"/>
      <c r="N118" s="7"/>
      <c r="O118" s="7"/>
      <c r="P118" s="7"/>
      <c r="Q118" s="8">
        <f t="shared" si="11"/>
        <v>38000</v>
      </c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1"/>
      <c r="B119" s="41"/>
      <c r="C119" s="42" t="s">
        <v>137</v>
      </c>
      <c r="D119" s="41"/>
      <c r="E119" s="43">
        <f t="shared" ref="E119:P119" si="15">SUM(E113:E118)</f>
        <v>0</v>
      </c>
      <c r="F119" s="43">
        <f t="shared" si="15"/>
        <v>0</v>
      </c>
      <c r="G119" s="43">
        <f t="shared" si="15"/>
        <v>0</v>
      </c>
      <c r="H119" s="43">
        <f t="shared" si="15"/>
        <v>215000</v>
      </c>
      <c r="I119" s="43">
        <f t="shared" si="15"/>
        <v>235000</v>
      </c>
      <c r="J119" s="43">
        <f t="shared" si="15"/>
        <v>233000</v>
      </c>
      <c r="K119" s="43">
        <f t="shared" si="15"/>
        <v>145000</v>
      </c>
      <c r="L119" s="43">
        <f t="shared" si="15"/>
        <v>220000</v>
      </c>
      <c r="M119" s="43">
        <f t="shared" si="15"/>
        <v>220000</v>
      </c>
      <c r="N119" s="43">
        <f t="shared" si="15"/>
        <v>220000</v>
      </c>
      <c r="O119" s="43">
        <f t="shared" si="15"/>
        <v>150000</v>
      </c>
      <c r="P119" s="43">
        <f t="shared" si="15"/>
        <v>150000</v>
      </c>
      <c r="Q119" s="43">
        <f t="shared" si="11"/>
        <v>1788000</v>
      </c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3" t="s">
        <v>32</v>
      </c>
      <c r="B120" s="33" t="s">
        <v>138</v>
      </c>
      <c r="C120" s="59" t="s">
        <v>139</v>
      </c>
      <c r="D120" s="33" t="s">
        <v>21</v>
      </c>
      <c r="E120" s="60">
        <v>30000.0</v>
      </c>
      <c r="F120" s="60">
        <v>30000.0</v>
      </c>
      <c r="G120" s="60">
        <v>30000.0</v>
      </c>
      <c r="H120" s="60">
        <v>50000.0</v>
      </c>
      <c r="I120" s="60">
        <v>50000.0</v>
      </c>
      <c r="J120" s="60">
        <v>50000.0</v>
      </c>
      <c r="K120" s="60">
        <v>50000.0</v>
      </c>
      <c r="L120" s="60">
        <v>80000.0</v>
      </c>
      <c r="M120" s="60">
        <v>80000.0</v>
      </c>
      <c r="N120" s="60">
        <v>80000.0</v>
      </c>
      <c r="O120" s="60">
        <v>80000.0</v>
      </c>
      <c r="P120" s="60">
        <v>80000.0</v>
      </c>
      <c r="Q120" s="35">
        <f t="shared" si="11"/>
        <v>690000</v>
      </c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3" t="s">
        <v>32</v>
      </c>
      <c r="B121" s="33" t="s">
        <v>140</v>
      </c>
      <c r="C121" s="59" t="s">
        <v>141</v>
      </c>
      <c r="D121" s="33" t="s">
        <v>21</v>
      </c>
      <c r="E121" s="61"/>
      <c r="F121" s="61"/>
      <c r="G121" s="61"/>
      <c r="H121" s="61"/>
      <c r="I121" s="60">
        <v>500000.0</v>
      </c>
      <c r="J121" s="61"/>
      <c r="K121" s="60">
        <v>250000.0</v>
      </c>
      <c r="L121" s="61"/>
      <c r="M121" s="60">
        <v>250000.0</v>
      </c>
      <c r="N121" s="61"/>
      <c r="O121" s="61"/>
      <c r="P121" s="61"/>
      <c r="Q121" s="35">
        <f t="shared" si="11"/>
        <v>1000000</v>
      </c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3" t="s">
        <v>32</v>
      </c>
      <c r="B122" s="33" t="s">
        <v>138</v>
      </c>
      <c r="C122" s="59" t="s">
        <v>142</v>
      </c>
      <c r="D122" s="33"/>
      <c r="E122" s="60">
        <v>20000.0</v>
      </c>
      <c r="F122" s="60">
        <v>20000.0</v>
      </c>
      <c r="G122" s="60">
        <v>20000.0</v>
      </c>
      <c r="H122" s="60">
        <v>20000.0</v>
      </c>
      <c r="I122" s="60">
        <v>20000.0</v>
      </c>
      <c r="J122" s="60">
        <v>20000.0</v>
      </c>
      <c r="K122" s="60">
        <v>20000.0</v>
      </c>
      <c r="L122" s="60">
        <v>20000.0</v>
      </c>
      <c r="M122" s="60">
        <v>20000.0</v>
      </c>
      <c r="N122" s="60">
        <v>20000.0</v>
      </c>
      <c r="O122" s="60">
        <v>20000.0</v>
      </c>
      <c r="P122" s="60">
        <v>20000.0</v>
      </c>
      <c r="Q122" s="35">
        <f t="shared" si="11"/>
        <v>240000</v>
      </c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3" t="s">
        <v>32</v>
      </c>
      <c r="B123" s="33" t="s">
        <v>140</v>
      </c>
      <c r="C123" s="59" t="s">
        <v>143</v>
      </c>
      <c r="D123" s="33" t="s">
        <v>21</v>
      </c>
      <c r="E123" s="60">
        <v>10000.0</v>
      </c>
      <c r="F123" s="60">
        <v>10000.0</v>
      </c>
      <c r="G123" s="60">
        <v>10000.0</v>
      </c>
      <c r="H123" s="60">
        <v>10000.0</v>
      </c>
      <c r="I123" s="60">
        <v>10000.0</v>
      </c>
      <c r="J123" s="60">
        <v>10000.0</v>
      </c>
      <c r="K123" s="60">
        <v>10000.0</v>
      </c>
      <c r="L123" s="60">
        <v>10000.0</v>
      </c>
      <c r="M123" s="60">
        <v>10000.0</v>
      </c>
      <c r="N123" s="60">
        <v>10000.0</v>
      </c>
      <c r="O123" s="60">
        <v>10000.0</v>
      </c>
      <c r="P123" s="60">
        <v>10000.0</v>
      </c>
      <c r="Q123" s="35">
        <f t="shared" si="11"/>
        <v>120000</v>
      </c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3" t="s">
        <v>32</v>
      </c>
      <c r="B124" s="33" t="s">
        <v>140</v>
      </c>
      <c r="C124" s="59" t="s">
        <v>144</v>
      </c>
      <c r="D124" s="33" t="s">
        <v>21</v>
      </c>
      <c r="E124" s="60">
        <v>50000.0</v>
      </c>
      <c r="F124" s="60">
        <v>50000.0</v>
      </c>
      <c r="G124" s="60">
        <v>50000.0</v>
      </c>
      <c r="H124" s="60">
        <v>50000.0</v>
      </c>
      <c r="I124" s="60">
        <v>50000.0</v>
      </c>
      <c r="J124" s="60">
        <v>50000.0</v>
      </c>
      <c r="K124" s="60">
        <v>50000.0</v>
      </c>
      <c r="L124" s="60">
        <v>50000.0</v>
      </c>
      <c r="M124" s="60">
        <v>50000.0</v>
      </c>
      <c r="N124" s="60">
        <v>50000.0</v>
      </c>
      <c r="O124" s="60">
        <v>50000.0</v>
      </c>
      <c r="P124" s="60">
        <v>50000.0</v>
      </c>
      <c r="Q124" s="35">
        <f t="shared" si="11"/>
        <v>600000</v>
      </c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3" t="s">
        <v>32</v>
      </c>
      <c r="B125" s="33" t="s">
        <v>138</v>
      </c>
      <c r="C125" s="59" t="s">
        <v>145</v>
      </c>
      <c r="D125" s="33" t="s">
        <v>21</v>
      </c>
      <c r="E125" s="60">
        <v>16800.0</v>
      </c>
      <c r="F125" s="60">
        <v>16800.0</v>
      </c>
      <c r="G125" s="60">
        <v>16800.0</v>
      </c>
      <c r="H125" s="60">
        <v>16800.0</v>
      </c>
      <c r="I125" s="60">
        <v>16800.0</v>
      </c>
      <c r="J125" s="60">
        <v>16800.0</v>
      </c>
      <c r="K125" s="60">
        <v>16800.0</v>
      </c>
      <c r="L125" s="60">
        <v>16800.0</v>
      </c>
      <c r="M125" s="60">
        <v>16800.0</v>
      </c>
      <c r="N125" s="60">
        <v>16800.0</v>
      </c>
      <c r="O125" s="60">
        <v>16800.0</v>
      </c>
      <c r="P125" s="60">
        <v>16800.0</v>
      </c>
      <c r="Q125" s="35">
        <f t="shared" si="11"/>
        <v>201600</v>
      </c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1"/>
      <c r="B126" s="41"/>
      <c r="C126" s="42" t="s">
        <v>146</v>
      </c>
      <c r="D126" s="41"/>
      <c r="E126" s="43">
        <f t="shared" ref="E126:P126" si="16">SUM(E120:E125)</f>
        <v>126800</v>
      </c>
      <c r="F126" s="43">
        <f t="shared" si="16"/>
        <v>126800</v>
      </c>
      <c r="G126" s="43">
        <f t="shared" si="16"/>
        <v>126800</v>
      </c>
      <c r="H126" s="43">
        <f t="shared" si="16"/>
        <v>146800</v>
      </c>
      <c r="I126" s="43">
        <f t="shared" si="16"/>
        <v>646800</v>
      </c>
      <c r="J126" s="43">
        <f t="shared" si="16"/>
        <v>146800</v>
      </c>
      <c r="K126" s="43">
        <f t="shared" si="16"/>
        <v>396800</v>
      </c>
      <c r="L126" s="43">
        <f t="shared" si="16"/>
        <v>176800</v>
      </c>
      <c r="M126" s="43">
        <f t="shared" si="16"/>
        <v>426800</v>
      </c>
      <c r="N126" s="43">
        <f t="shared" si="16"/>
        <v>176800</v>
      </c>
      <c r="O126" s="43">
        <f t="shared" si="16"/>
        <v>176800</v>
      </c>
      <c r="P126" s="43">
        <f t="shared" si="16"/>
        <v>176800</v>
      </c>
      <c r="Q126" s="43">
        <f t="shared" si="11"/>
        <v>2851600</v>
      </c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6"/>
      <c r="B127" s="36"/>
      <c r="C127" s="37" t="s">
        <v>147</v>
      </c>
      <c r="D127" s="36"/>
      <c r="E127" s="38">
        <f t="shared" ref="E127:P127" si="17">E33+E38+E48+E51+E55+E61+E101+E105+E112+E119+E126</f>
        <v>1782346</v>
      </c>
      <c r="F127" s="38">
        <f t="shared" si="17"/>
        <v>1814823</v>
      </c>
      <c r="G127" s="38">
        <f t="shared" si="17"/>
        <v>2008196</v>
      </c>
      <c r="H127" s="38">
        <f t="shared" si="17"/>
        <v>2705485</v>
      </c>
      <c r="I127" s="38">
        <f t="shared" si="17"/>
        <v>4664278</v>
      </c>
      <c r="J127" s="38">
        <f t="shared" si="17"/>
        <v>4777157</v>
      </c>
      <c r="K127" s="38">
        <f t="shared" si="17"/>
        <v>5703801</v>
      </c>
      <c r="L127" s="38">
        <f t="shared" si="17"/>
        <v>5266949</v>
      </c>
      <c r="M127" s="38">
        <f t="shared" si="17"/>
        <v>6317264</v>
      </c>
      <c r="N127" s="38">
        <f t="shared" si="17"/>
        <v>7138435</v>
      </c>
      <c r="O127" s="38">
        <f t="shared" si="17"/>
        <v>8287958</v>
      </c>
      <c r="P127" s="38">
        <f t="shared" si="17"/>
        <v>7908013</v>
      </c>
      <c r="Q127" s="38">
        <f t="shared" si="11"/>
        <v>58374705</v>
      </c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5" t="s">
        <v>148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2" t="s">
        <v>23</v>
      </c>
      <c r="B130" s="12" t="s">
        <v>57</v>
      </c>
      <c r="C130" s="12" t="s">
        <v>149</v>
      </c>
      <c r="D130" s="62" t="s">
        <v>148</v>
      </c>
      <c r="E130" s="13">
        <v>2365982.6</v>
      </c>
      <c r="F130" s="13">
        <v>3460620.416666667</v>
      </c>
      <c r="G130" s="13">
        <v>5313635.579999999</v>
      </c>
      <c r="H130" s="13">
        <v>7217421.914999999</v>
      </c>
      <c r="I130" s="13">
        <v>1.05189507885E7</v>
      </c>
      <c r="J130" s="13">
        <v>1.24384786185E7</v>
      </c>
      <c r="K130" s="13">
        <v>1.3430149969500002E7</v>
      </c>
      <c r="L130" s="13">
        <v>1.5830622819000002E7</v>
      </c>
      <c r="M130" s="13">
        <v>1.2155356587E7</v>
      </c>
      <c r="N130" s="13">
        <v>1.9231276382999998E7</v>
      </c>
      <c r="O130" s="13">
        <v>4.2725501478E7</v>
      </c>
      <c r="P130" s="13">
        <v>2.8871459430000003E7</v>
      </c>
      <c r="Q130" s="14">
        <f t="shared" ref="Q130:Q171" si="18">SUM(E130:P130)</f>
        <v>173559456.6</v>
      </c>
      <c r="R130" s="63">
        <f>Q130/7232</f>
        <v>23998.81866</v>
      </c>
      <c r="S130" s="63">
        <f t="shared" ref="S130:S131" si="19">R130/62</f>
        <v>387.0777204</v>
      </c>
      <c r="T130" s="3"/>
      <c r="U130" s="3"/>
      <c r="V130" s="3"/>
      <c r="W130" s="3"/>
      <c r="X130" s="3"/>
      <c r="Y130" s="3"/>
      <c r="Z130" s="3"/>
    </row>
    <row r="131" ht="15.75" customHeight="1">
      <c r="A131" s="12" t="s">
        <v>23</v>
      </c>
      <c r="B131" s="12" t="s">
        <v>57</v>
      </c>
      <c r="C131" s="12" t="s">
        <v>150</v>
      </c>
      <c r="D131" s="62" t="s">
        <v>148</v>
      </c>
      <c r="E131" s="13">
        <v>1996957.2666666664</v>
      </c>
      <c r="F131" s="13">
        <v>3038848.1</v>
      </c>
      <c r="G131" s="13">
        <v>4727579.8185</v>
      </c>
      <c r="H131" s="13">
        <v>6446700.018</v>
      </c>
      <c r="I131" s="13">
        <v>1.09795224E7</v>
      </c>
      <c r="J131" s="13">
        <v>1.1174278863E7</v>
      </c>
      <c r="K131" s="13">
        <v>1.20338394495E7</v>
      </c>
      <c r="L131" s="13">
        <v>1.4182738482E7</v>
      </c>
      <c r="M131" s="13">
        <v>1.0744499056499999E7</v>
      </c>
      <c r="N131" s="13">
        <v>1.7191198101E7</v>
      </c>
      <c r="O131" s="13">
        <v>3.8680195240499996E7</v>
      </c>
      <c r="P131" s="13">
        <v>2.5786796178E7</v>
      </c>
      <c r="Q131" s="14">
        <f t="shared" si="18"/>
        <v>156983153</v>
      </c>
      <c r="R131" s="63">
        <f>Q131/3616</f>
        <v>43413.48257</v>
      </c>
      <c r="S131" s="63">
        <f t="shared" si="19"/>
        <v>700.2174608</v>
      </c>
      <c r="T131" s="3"/>
      <c r="U131" s="3"/>
      <c r="V131" s="3"/>
      <c r="W131" s="3"/>
      <c r="X131" s="3"/>
      <c r="Y131" s="3"/>
      <c r="Z131" s="3"/>
    </row>
    <row r="132" ht="15.75" customHeight="1">
      <c r="A132" s="12" t="s">
        <v>23</v>
      </c>
      <c r="B132" s="12" t="s">
        <v>57</v>
      </c>
      <c r="C132" s="12" t="s">
        <v>151</v>
      </c>
      <c r="D132" s="62" t="s">
        <v>148</v>
      </c>
      <c r="E132" s="13">
        <v>722903.4</v>
      </c>
      <c r="F132" s="13">
        <v>1100070.7333333334</v>
      </c>
      <c r="G132" s="13">
        <v>1711396.4505</v>
      </c>
      <c r="H132" s="13">
        <v>2333722.8749999995</v>
      </c>
      <c r="I132" s="13">
        <v>3974616.5085000005</v>
      </c>
      <c r="J132" s="13">
        <v>4045118.352</v>
      </c>
      <c r="K132" s="13">
        <v>4356282.051</v>
      </c>
      <c r="L132" s="13">
        <v>5134189.3515</v>
      </c>
      <c r="M132" s="13">
        <v>3889537.476</v>
      </c>
      <c r="N132" s="13">
        <v>6223259.3775</v>
      </c>
      <c r="O132" s="13">
        <v>1.4002333355999999E7</v>
      </c>
      <c r="P132" s="13">
        <v>9334888.579499999</v>
      </c>
      <c r="Q132" s="14">
        <f t="shared" si="18"/>
        <v>56828318.51</v>
      </c>
      <c r="R132" s="63"/>
      <c r="S132" s="63"/>
      <c r="T132" s="3"/>
      <c r="U132" s="3"/>
      <c r="V132" s="3"/>
      <c r="W132" s="3"/>
      <c r="X132" s="3"/>
      <c r="Y132" s="3"/>
      <c r="Z132" s="3"/>
    </row>
    <row r="133" ht="15.75" customHeight="1">
      <c r="A133" s="12" t="s">
        <v>23</v>
      </c>
      <c r="B133" s="12" t="s">
        <v>57</v>
      </c>
      <c r="C133" s="12" t="s">
        <v>152</v>
      </c>
      <c r="D133" s="62" t="s">
        <v>148</v>
      </c>
      <c r="E133" s="13">
        <v>412722.7</v>
      </c>
      <c r="F133" s="13">
        <v>628055.9833333333</v>
      </c>
      <c r="G133" s="13">
        <v>977074.6919999998</v>
      </c>
      <c r="H133" s="13">
        <v>1332374.934</v>
      </c>
      <c r="I133" s="13">
        <v>2269199.295</v>
      </c>
      <c r="J133" s="13">
        <v>2309450.5995</v>
      </c>
      <c r="K133" s="13">
        <v>2487100.7205000003</v>
      </c>
      <c r="L133" s="13">
        <v>2931226.023</v>
      </c>
      <c r="M133" s="13">
        <v>2220625.539</v>
      </c>
      <c r="N133" s="13">
        <v>3553000.473</v>
      </c>
      <c r="O133" s="13">
        <v>7994251.550999999</v>
      </c>
      <c r="P133" s="13">
        <v>5329500.7095</v>
      </c>
      <c r="Q133" s="14">
        <f t="shared" si="18"/>
        <v>32444583.22</v>
      </c>
      <c r="R133" s="63"/>
      <c r="S133" s="63"/>
      <c r="T133" s="3"/>
      <c r="U133" s="3"/>
      <c r="V133" s="3"/>
      <c r="W133" s="3"/>
      <c r="X133" s="3"/>
      <c r="Y133" s="3"/>
      <c r="Z133" s="3"/>
    </row>
    <row r="134" ht="15.75" customHeight="1">
      <c r="A134" s="12" t="s">
        <v>23</v>
      </c>
      <c r="B134" s="12" t="s">
        <v>57</v>
      </c>
      <c r="C134" s="12" t="s">
        <v>153</v>
      </c>
      <c r="D134" s="62" t="s">
        <v>148</v>
      </c>
      <c r="E134" s="13">
        <v>325417.45</v>
      </c>
      <c r="F134" s="13">
        <v>475973.65</v>
      </c>
      <c r="G134" s="13">
        <v>738218.8166666667</v>
      </c>
      <c r="H134" s="13">
        <v>1002710.8999999999</v>
      </c>
      <c r="I134" s="13">
        <v>1461389.6833333333</v>
      </c>
      <c r="J134" s="13">
        <v>1728067.7166666666</v>
      </c>
      <c r="K134" s="13">
        <v>1865840.5833333335</v>
      </c>
      <c r="L134" s="13">
        <v>2199336.1166666667</v>
      </c>
      <c r="M134" s="13">
        <v>1688734.3833333333</v>
      </c>
      <c r="N134" s="13">
        <v>2671786.4833333334</v>
      </c>
      <c r="O134" s="13">
        <v>5935819.883333334</v>
      </c>
      <c r="P134" s="13">
        <v>4011089.433333333</v>
      </c>
      <c r="Q134" s="14">
        <f t="shared" si="18"/>
        <v>24104385.1</v>
      </c>
      <c r="R134" s="63"/>
      <c r="S134" s="63"/>
      <c r="T134" s="3"/>
      <c r="U134" s="3"/>
      <c r="V134" s="3"/>
      <c r="W134" s="3"/>
      <c r="X134" s="3"/>
      <c r="Y134" s="3"/>
      <c r="Z134" s="3"/>
    </row>
    <row r="135" ht="15.75" customHeight="1">
      <c r="A135" s="12" t="s">
        <v>23</v>
      </c>
      <c r="B135" s="12" t="s">
        <v>57</v>
      </c>
      <c r="C135" s="12" t="s">
        <v>154</v>
      </c>
      <c r="D135" s="62" t="s">
        <v>148</v>
      </c>
      <c r="E135" s="13">
        <v>155147.0</v>
      </c>
      <c r="F135" s="13">
        <v>226927.0</v>
      </c>
      <c r="G135" s="13">
        <v>351956.0</v>
      </c>
      <c r="H135" s="13">
        <v>478055.0</v>
      </c>
      <c r="I135" s="13">
        <v>696736.0</v>
      </c>
      <c r="J135" s="13">
        <v>823879.0</v>
      </c>
      <c r="K135" s="13">
        <v>889564.0</v>
      </c>
      <c r="L135" s="13">
        <v>1048562.0</v>
      </c>
      <c r="M135" s="13">
        <v>805126.0</v>
      </c>
      <c r="N135" s="13">
        <v>1273809.0</v>
      </c>
      <c r="O135" s="13">
        <v>2829979.0</v>
      </c>
      <c r="P135" s="13">
        <v>1912339.0</v>
      </c>
      <c r="Q135" s="14">
        <f t="shared" si="18"/>
        <v>11492079</v>
      </c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2" t="s">
        <v>23</v>
      </c>
      <c r="B136" s="12" t="s">
        <v>57</v>
      </c>
      <c r="C136" s="12" t="s">
        <v>155</v>
      </c>
      <c r="D136" s="62" t="s">
        <v>148</v>
      </c>
      <c r="E136" s="13">
        <v>49165.0</v>
      </c>
      <c r="F136" s="13">
        <v>71911.0</v>
      </c>
      <c r="G136" s="13">
        <v>111532.0</v>
      </c>
      <c r="H136" s="13">
        <v>151492.0</v>
      </c>
      <c r="I136" s="13">
        <v>220790.0</v>
      </c>
      <c r="J136" s="13">
        <v>261080.0</v>
      </c>
      <c r="K136" s="13">
        <v>281895.0</v>
      </c>
      <c r="L136" s="13">
        <v>332280.0</v>
      </c>
      <c r="M136" s="13">
        <v>255137.0</v>
      </c>
      <c r="N136" s="13">
        <v>403659.0</v>
      </c>
      <c r="O136" s="13">
        <v>896795.0</v>
      </c>
      <c r="P136" s="13">
        <v>606003.0</v>
      </c>
      <c r="Q136" s="14">
        <f t="shared" si="18"/>
        <v>3641739</v>
      </c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2" t="s">
        <v>23</v>
      </c>
      <c r="B137" s="12" t="s">
        <v>57</v>
      </c>
      <c r="C137" s="12" t="s">
        <v>156</v>
      </c>
      <c r="D137" s="62" t="s">
        <v>148</v>
      </c>
      <c r="E137" s="13">
        <v>22604.0</v>
      </c>
      <c r="F137" s="13">
        <v>34397.0</v>
      </c>
      <c r="G137" s="13">
        <v>54052.0</v>
      </c>
      <c r="H137" s="13">
        <v>73708.0</v>
      </c>
      <c r="I137" s="13">
        <v>125533.0</v>
      </c>
      <c r="J137" s="13">
        <v>127760.0</v>
      </c>
      <c r="K137" s="13">
        <v>137588.0</v>
      </c>
      <c r="L137" s="13">
        <v>162157.0</v>
      </c>
      <c r="M137" s="13">
        <v>122846.0</v>
      </c>
      <c r="N137" s="13">
        <v>196554.0</v>
      </c>
      <c r="O137" s="13">
        <v>442246.0</v>
      </c>
      <c r="P137" s="13">
        <v>294830.0</v>
      </c>
      <c r="Q137" s="14">
        <f t="shared" si="18"/>
        <v>1794275</v>
      </c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2" t="s">
        <v>23</v>
      </c>
      <c r="B138" s="12" t="s">
        <v>57</v>
      </c>
      <c r="C138" s="12" t="s">
        <v>157</v>
      </c>
      <c r="D138" s="62" t="s">
        <v>148</v>
      </c>
      <c r="E138" s="13">
        <v>22604.0</v>
      </c>
      <c r="F138" s="13">
        <v>34397.0</v>
      </c>
      <c r="G138" s="13">
        <v>54052.0</v>
      </c>
      <c r="H138" s="13">
        <v>73708.0</v>
      </c>
      <c r="I138" s="13">
        <v>125533.0</v>
      </c>
      <c r="J138" s="13">
        <v>127760.0</v>
      </c>
      <c r="K138" s="13">
        <v>137588.0</v>
      </c>
      <c r="L138" s="13">
        <v>162157.0</v>
      </c>
      <c r="M138" s="13">
        <v>122846.0</v>
      </c>
      <c r="N138" s="13">
        <v>196554.0</v>
      </c>
      <c r="O138" s="13">
        <v>442246.0</v>
      </c>
      <c r="P138" s="13">
        <v>294830.0</v>
      </c>
      <c r="Q138" s="14">
        <f t="shared" si="18"/>
        <v>1794275</v>
      </c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2" t="s">
        <v>23</v>
      </c>
      <c r="B139" s="12" t="s">
        <v>57</v>
      </c>
      <c r="C139" s="12" t="s">
        <v>158</v>
      </c>
      <c r="D139" s="62" t="s">
        <v>148</v>
      </c>
      <c r="E139" s="13">
        <v>22677.0</v>
      </c>
      <c r="F139" s="13">
        <v>33169.0</v>
      </c>
      <c r="G139" s="13">
        <v>51444.0</v>
      </c>
      <c r="H139" s="13">
        <v>69875.0</v>
      </c>
      <c r="I139" s="13">
        <v>101839.0</v>
      </c>
      <c r="J139" s="13">
        <v>120423.0</v>
      </c>
      <c r="K139" s="13">
        <v>130024.0</v>
      </c>
      <c r="L139" s="13">
        <v>153264.0</v>
      </c>
      <c r="M139" s="13">
        <v>117682.0</v>
      </c>
      <c r="N139" s="13">
        <v>186187.0</v>
      </c>
      <c r="O139" s="13">
        <v>413646.0</v>
      </c>
      <c r="P139" s="13">
        <v>279519.0</v>
      </c>
      <c r="Q139" s="14">
        <f t="shared" si="18"/>
        <v>1679749</v>
      </c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2" t="s">
        <v>23</v>
      </c>
      <c r="B140" s="12" t="s">
        <v>57</v>
      </c>
      <c r="C140" s="12" t="s">
        <v>159</v>
      </c>
      <c r="D140" s="62" t="s">
        <v>148</v>
      </c>
      <c r="E140" s="13">
        <v>13666.0</v>
      </c>
      <c r="F140" s="13">
        <v>19988.0</v>
      </c>
      <c r="G140" s="13">
        <v>31001.0</v>
      </c>
      <c r="H140" s="13">
        <v>42109.0</v>
      </c>
      <c r="I140" s="13">
        <v>61371.0</v>
      </c>
      <c r="J140" s="13">
        <v>72570.0</v>
      </c>
      <c r="K140" s="13">
        <v>78355.0</v>
      </c>
      <c r="L140" s="13">
        <v>92360.0</v>
      </c>
      <c r="M140" s="13">
        <v>70918.0</v>
      </c>
      <c r="N140" s="13">
        <v>112201.0</v>
      </c>
      <c r="O140" s="13">
        <v>249273.0</v>
      </c>
      <c r="P140" s="13">
        <v>168444.0</v>
      </c>
      <c r="Q140" s="14">
        <f t="shared" si="18"/>
        <v>1012256</v>
      </c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2" t="s">
        <v>23</v>
      </c>
      <c r="B141" s="12" t="s">
        <v>57</v>
      </c>
      <c r="C141" s="12" t="s">
        <v>160</v>
      </c>
      <c r="D141" s="62" t="s">
        <v>148</v>
      </c>
      <c r="E141" s="13">
        <v>12058.0</v>
      </c>
      <c r="F141" s="13">
        <v>17637.0</v>
      </c>
      <c r="G141" s="13">
        <v>27354.0</v>
      </c>
      <c r="H141" s="13">
        <v>37155.0</v>
      </c>
      <c r="I141" s="13">
        <v>54151.0</v>
      </c>
      <c r="J141" s="13">
        <v>64032.0</v>
      </c>
      <c r="K141" s="13">
        <v>69137.0</v>
      </c>
      <c r="L141" s="13">
        <v>81494.0</v>
      </c>
      <c r="M141" s="13">
        <v>62575.0</v>
      </c>
      <c r="N141" s="13">
        <v>99001.0</v>
      </c>
      <c r="O141" s="13">
        <v>219947.0</v>
      </c>
      <c r="P141" s="13">
        <v>148627.0</v>
      </c>
      <c r="Q141" s="14">
        <f t="shared" si="18"/>
        <v>893168</v>
      </c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2" t="s">
        <v>23</v>
      </c>
      <c r="B142" s="12" t="s">
        <v>57</v>
      </c>
      <c r="C142" s="12" t="s">
        <v>161</v>
      </c>
      <c r="D142" s="62" t="s">
        <v>148</v>
      </c>
      <c r="E142" s="13">
        <v>5651.0</v>
      </c>
      <c r="F142" s="13">
        <v>8266.0</v>
      </c>
      <c r="G142" s="13">
        <v>12820.0</v>
      </c>
      <c r="H142" s="13">
        <v>17413.0</v>
      </c>
      <c r="I142" s="13">
        <v>25379.0</v>
      </c>
      <c r="J142" s="13">
        <v>30010.0</v>
      </c>
      <c r="K142" s="13">
        <v>32402.0</v>
      </c>
      <c r="L142" s="13">
        <v>38194.0</v>
      </c>
      <c r="M142" s="13">
        <v>29327.0</v>
      </c>
      <c r="N142" s="13">
        <v>46398.0</v>
      </c>
      <c r="O142" s="13">
        <v>103082.0</v>
      </c>
      <c r="P142" s="13">
        <v>69657.0</v>
      </c>
      <c r="Q142" s="14">
        <f t="shared" si="18"/>
        <v>418599</v>
      </c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2" t="s">
        <v>23</v>
      </c>
      <c r="B143" s="12" t="s">
        <v>57</v>
      </c>
      <c r="C143" s="12" t="s">
        <v>162</v>
      </c>
      <c r="D143" s="62" t="s">
        <v>148</v>
      </c>
      <c r="E143" s="13">
        <v>1071.0</v>
      </c>
      <c r="F143" s="13">
        <v>1567.0</v>
      </c>
      <c r="G143" s="13">
        <v>2430.0</v>
      </c>
      <c r="H143" s="13">
        <v>3301.0</v>
      </c>
      <c r="I143" s="13">
        <v>4810.0</v>
      </c>
      <c r="J143" s="13">
        <v>5688.0</v>
      </c>
      <c r="K143" s="13">
        <v>6142.0</v>
      </c>
      <c r="L143" s="13">
        <v>7239.0</v>
      </c>
      <c r="M143" s="13">
        <v>5559.0</v>
      </c>
      <c r="N143" s="13">
        <v>8795.0</v>
      </c>
      <c r="O143" s="13">
        <v>19539.0</v>
      </c>
      <c r="P143" s="13">
        <v>13203.0</v>
      </c>
      <c r="Q143" s="14">
        <f t="shared" si="18"/>
        <v>79344</v>
      </c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2" t="s">
        <v>23</v>
      </c>
      <c r="B144" s="12" t="s">
        <v>24</v>
      </c>
      <c r="C144" s="46" t="s">
        <v>163</v>
      </c>
      <c r="D144" s="62" t="s">
        <v>148</v>
      </c>
      <c r="E144" s="13">
        <v>0.0</v>
      </c>
      <c r="F144" s="13">
        <v>0.0</v>
      </c>
      <c r="G144" s="13">
        <v>0.0</v>
      </c>
      <c r="H144" s="13">
        <v>0.0</v>
      </c>
      <c r="I144" s="64">
        <v>0.0</v>
      </c>
      <c r="J144" s="13">
        <v>0.0</v>
      </c>
      <c r="K144" s="64">
        <v>5132129.42820442</v>
      </c>
      <c r="L144" s="13">
        <v>0.0</v>
      </c>
      <c r="M144" s="13">
        <v>0.0</v>
      </c>
      <c r="N144" s="13">
        <v>0.0</v>
      </c>
      <c r="O144" s="13">
        <v>0.0</v>
      </c>
      <c r="P144" s="13">
        <v>0.0</v>
      </c>
      <c r="Q144" s="14">
        <f t="shared" si="18"/>
        <v>5132129.428</v>
      </c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2" t="s">
        <v>23</v>
      </c>
      <c r="B145" s="12" t="s">
        <v>66</v>
      </c>
      <c r="C145" s="12" t="s">
        <v>164</v>
      </c>
      <c r="D145" s="62" t="s">
        <v>148</v>
      </c>
      <c r="E145" s="13">
        <v>124529.0</v>
      </c>
      <c r="F145" s="13">
        <v>179479.0</v>
      </c>
      <c r="G145" s="13">
        <v>277659.0</v>
      </c>
      <c r="H145" s="13">
        <v>375838.0</v>
      </c>
      <c r="I145" s="13">
        <v>547652.0</v>
      </c>
      <c r="J145" s="13">
        <v>645832.0</v>
      </c>
      <c r="K145" s="13">
        <v>694922.0</v>
      </c>
      <c r="L145" s="13">
        <v>817646.0</v>
      </c>
      <c r="M145" s="13">
        <v>621287.0</v>
      </c>
      <c r="N145" s="13">
        <v>989460.0</v>
      </c>
      <c r="O145" s="13">
        <v>2216703.0</v>
      </c>
      <c r="P145" s="13">
        <v>1480357.0</v>
      </c>
      <c r="Q145" s="14">
        <f t="shared" si="18"/>
        <v>8971364</v>
      </c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2" t="s">
        <v>23</v>
      </c>
      <c r="B146" s="12" t="s">
        <v>66</v>
      </c>
      <c r="C146" s="12" t="s">
        <v>165</v>
      </c>
      <c r="D146" s="62" t="s">
        <v>148</v>
      </c>
      <c r="E146" s="13">
        <v>99624.0</v>
      </c>
      <c r="F146" s="13">
        <v>143583.0</v>
      </c>
      <c r="G146" s="13">
        <v>222127.0</v>
      </c>
      <c r="H146" s="13">
        <v>300670.0</v>
      </c>
      <c r="I146" s="13">
        <v>438122.0</v>
      </c>
      <c r="J146" s="13">
        <v>516665.0</v>
      </c>
      <c r="K146" s="13">
        <v>555936.0</v>
      </c>
      <c r="L146" s="13">
        <v>654116.0</v>
      </c>
      <c r="M146" s="13">
        <v>497029.0</v>
      </c>
      <c r="N146" s="13">
        <v>791567.0</v>
      </c>
      <c r="O146" s="13">
        <v>1773364.0</v>
      </c>
      <c r="P146" s="13">
        <v>1184286.0</v>
      </c>
      <c r="Q146" s="14">
        <f t="shared" si="18"/>
        <v>7177089</v>
      </c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2" t="s">
        <v>23</v>
      </c>
      <c r="B147" s="12" t="s">
        <v>66</v>
      </c>
      <c r="C147" s="12" t="s">
        <v>166</v>
      </c>
      <c r="D147" s="62" t="s">
        <v>148</v>
      </c>
      <c r="E147" s="13">
        <v>56038.0</v>
      </c>
      <c r="F147" s="13">
        <v>80766.0</v>
      </c>
      <c r="G147" s="13">
        <v>124946.0</v>
      </c>
      <c r="H147" s="13">
        <v>169127.0</v>
      </c>
      <c r="I147" s="13">
        <v>246443.0</v>
      </c>
      <c r="J147" s="13">
        <v>290624.0</v>
      </c>
      <c r="K147" s="13">
        <v>312715.0</v>
      </c>
      <c r="L147" s="13">
        <v>367941.0</v>
      </c>
      <c r="M147" s="13">
        <v>279579.0</v>
      </c>
      <c r="N147" s="13">
        <v>445257.0</v>
      </c>
      <c r="O147" s="13">
        <v>997516.0</v>
      </c>
      <c r="P147" s="13">
        <v>666161.0</v>
      </c>
      <c r="Q147" s="14">
        <f t="shared" si="18"/>
        <v>4037113</v>
      </c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2" t="s">
        <v>23</v>
      </c>
      <c r="B148" s="12" t="s">
        <v>66</v>
      </c>
      <c r="C148" s="12" t="s">
        <v>167</v>
      </c>
      <c r="D148" s="62" t="s">
        <v>148</v>
      </c>
      <c r="E148" s="13">
        <v>6612.0</v>
      </c>
      <c r="F148" s="13">
        <v>9530.0</v>
      </c>
      <c r="G148" s="13">
        <v>14743.0</v>
      </c>
      <c r="H148" s="13">
        <v>19956.0</v>
      </c>
      <c r="I148" s="13">
        <v>29079.0</v>
      </c>
      <c r="J148" s="13">
        <v>34292.0</v>
      </c>
      <c r="K148" s="13">
        <v>36899.0</v>
      </c>
      <c r="L148" s="13">
        <v>43415.0</v>
      </c>
      <c r="M148" s="13">
        <v>32989.0</v>
      </c>
      <c r="N148" s="13">
        <v>52538.0</v>
      </c>
      <c r="O148" s="13">
        <v>117701.0</v>
      </c>
      <c r="P148" s="13">
        <v>78603.0</v>
      </c>
      <c r="Q148" s="14">
        <f t="shared" si="18"/>
        <v>476357</v>
      </c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1"/>
      <c r="B149" s="41"/>
      <c r="C149" s="42" t="s">
        <v>68</v>
      </c>
      <c r="D149" s="41"/>
      <c r="E149" s="43">
        <f t="shared" ref="E149:P149" si="20">SUM(E130:E148)</f>
        <v>6415429.417</v>
      </c>
      <c r="F149" s="43">
        <f t="shared" si="20"/>
        <v>9565185.883</v>
      </c>
      <c r="G149" s="43">
        <f t="shared" si="20"/>
        <v>14804021.36</v>
      </c>
      <c r="H149" s="43">
        <f t="shared" si="20"/>
        <v>20145337.64</v>
      </c>
      <c r="I149" s="43">
        <f t="shared" si="20"/>
        <v>31881116.68</v>
      </c>
      <c r="J149" s="43">
        <f t="shared" si="20"/>
        <v>34816009.15</v>
      </c>
      <c r="K149" s="43">
        <f t="shared" si="20"/>
        <v>42668509.2</v>
      </c>
      <c r="L149" s="43">
        <f t="shared" si="20"/>
        <v>44238937.79</v>
      </c>
      <c r="M149" s="43">
        <f t="shared" si="20"/>
        <v>33721653.04</v>
      </c>
      <c r="N149" s="43">
        <f t="shared" si="20"/>
        <v>53672500.82</v>
      </c>
      <c r="O149" s="43">
        <f t="shared" si="20"/>
        <v>120060138.5</v>
      </c>
      <c r="P149" s="43">
        <f t="shared" si="20"/>
        <v>80530593.33</v>
      </c>
      <c r="Q149" s="43">
        <f t="shared" si="18"/>
        <v>492519432.8</v>
      </c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8" t="s">
        <v>26</v>
      </c>
      <c r="B150" s="18" t="s">
        <v>71</v>
      </c>
      <c r="C150" s="18" t="s">
        <v>168</v>
      </c>
      <c r="D150" s="65" t="s">
        <v>148</v>
      </c>
      <c r="E150" s="19">
        <f t="shared" ref="E150:P150" si="21">(E131+E133)*1.6%</f>
        <v>38554.87947</v>
      </c>
      <c r="F150" s="19">
        <f t="shared" si="21"/>
        <v>58670.46533</v>
      </c>
      <c r="G150" s="19">
        <f t="shared" si="21"/>
        <v>91274.47217</v>
      </c>
      <c r="H150" s="19">
        <f t="shared" si="21"/>
        <v>124465.1992</v>
      </c>
      <c r="I150" s="19">
        <f t="shared" si="21"/>
        <v>211979.5471</v>
      </c>
      <c r="J150" s="19">
        <f t="shared" si="21"/>
        <v>215739.6714</v>
      </c>
      <c r="K150" s="19">
        <f t="shared" si="21"/>
        <v>232335.0427</v>
      </c>
      <c r="L150" s="19">
        <f t="shared" si="21"/>
        <v>273823.4321</v>
      </c>
      <c r="M150" s="19">
        <f t="shared" si="21"/>
        <v>207441.9935</v>
      </c>
      <c r="N150" s="19">
        <f t="shared" si="21"/>
        <v>331907.1772</v>
      </c>
      <c r="O150" s="19">
        <f t="shared" si="21"/>
        <v>746791.1487</v>
      </c>
      <c r="P150" s="19">
        <f t="shared" si="21"/>
        <v>497860.7502</v>
      </c>
      <c r="Q150" s="20">
        <f t="shared" si="18"/>
        <v>3030843.779</v>
      </c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8" t="s">
        <v>26</v>
      </c>
      <c r="B151" s="18" t="s">
        <v>71</v>
      </c>
      <c r="C151" s="49" t="s">
        <v>169</v>
      </c>
      <c r="D151" s="65"/>
      <c r="E151" s="19">
        <f t="shared" ref="E151:P151" si="22">(sum(E130:E134))*2%</f>
        <v>116479.6683</v>
      </c>
      <c r="F151" s="19">
        <f t="shared" si="22"/>
        <v>174071.3777</v>
      </c>
      <c r="G151" s="19">
        <f t="shared" si="22"/>
        <v>269358.1072</v>
      </c>
      <c r="H151" s="19">
        <f t="shared" si="22"/>
        <v>366658.6128</v>
      </c>
      <c r="I151" s="19">
        <f t="shared" si="22"/>
        <v>584073.5735</v>
      </c>
      <c r="J151" s="19">
        <f t="shared" si="22"/>
        <v>633907.883</v>
      </c>
      <c r="K151" s="19">
        <f t="shared" si="22"/>
        <v>683464.2555</v>
      </c>
      <c r="L151" s="19">
        <f t="shared" si="22"/>
        <v>805562.2558</v>
      </c>
      <c r="M151" s="19">
        <f t="shared" si="22"/>
        <v>613975.0608</v>
      </c>
      <c r="N151" s="19">
        <f t="shared" si="22"/>
        <v>977410.4164</v>
      </c>
      <c r="O151" s="19">
        <f t="shared" si="22"/>
        <v>2186762.03</v>
      </c>
      <c r="P151" s="19">
        <f t="shared" si="22"/>
        <v>1466674.687</v>
      </c>
      <c r="Q151" s="20">
        <f t="shared" si="18"/>
        <v>8878397.928</v>
      </c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8" t="s">
        <v>26</v>
      </c>
      <c r="B152" s="18" t="s">
        <v>71</v>
      </c>
      <c r="C152" s="18" t="s">
        <v>170</v>
      </c>
      <c r="D152" s="65" t="s">
        <v>148</v>
      </c>
      <c r="E152" s="19">
        <v>46342.0</v>
      </c>
      <c r="F152" s="19">
        <v>70521.0</v>
      </c>
      <c r="G152" s="19">
        <v>110819.0</v>
      </c>
      <c r="H152" s="19">
        <v>151117.0</v>
      </c>
      <c r="I152" s="19">
        <v>257371.0</v>
      </c>
      <c r="J152" s="19">
        <v>261936.0</v>
      </c>
      <c r="K152" s="19">
        <v>282085.0</v>
      </c>
      <c r="L152" s="19">
        <v>332457.0</v>
      </c>
      <c r="M152" s="19">
        <v>251861.0</v>
      </c>
      <c r="N152" s="19">
        <v>402978.0</v>
      </c>
      <c r="O152" s="19">
        <v>906701.0</v>
      </c>
      <c r="P152" s="19">
        <v>604467.0</v>
      </c>
      <c r="Q152" s="20">
        <f t="shared" si="18"/>
        <v>3678655</v>
      </c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8" t="s">
        <v>26</v>
      </c>
      <c r="B153" s="18" t="s">
        <v>71</v>
      </c>
      <c r="C153" s="18" t="s">
        <v>171</v>
      </c>
      <c r="D153" s="65" t="s">
        <v>148</v>
      </c>
      <c r="E153" s="19">
        <v>27153.0</v>
      </c>
      <c r="F153" s="19">
        <v>41322.0</v>
      </c>
      <c r="G153" s="19">
        <v>64935.0</v>
      </c>
      <c r="H153" s="19">
        <v>88546.0</v>
      </c>
      <c r="I153" s="19">
        <v>150806.0</v>
      </c>
      <c r="J153" s="19">
        <v>153480.0</v>
      </c>
      <c r="K153" s="19">
        <v>165286.0</v>
      </c>
      <c r="L153" s="19">
        <v>194803.0</v>
      </c>
      <c r="M153" s="19">
        <v>147577.0</v>
      </c>
      <c r="N153" s="19">
        <v>236126.0</v>
      </c>
      <c r="O153" s="19">
        <v>531281.0</v>
      </c>
      <c r="P153" s="19">
        <v>354189.0</v>
      </c>
      <c r="Q153" s="20">
        <f t="shared" si="18"/>
        <v>2155504</v>
      </c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8" t="s">
        <v>26</v>
      </c>
      <c r="B154" s="18" t="s">
        <v>71</v>
      </c>
      <c r="C154" s="18" t="s">
        <v>172</v>
      </c>
      <c r="D154" s="65" t="s">
        <v>148</v>
      </c>
      <c r="E154" s="19">
        <v>18746.0</v>
      </c>
      <c r="F154" s="19">
        <v>28526.0</v>
      </c>
      <c r="G154" s="19">
        <v>44826.0</v>
      </c>
      <c r="H154" s="19">
        <v>61127.0</v>
      </c>
      <c r="I154" s="19">
        <v>104106.0</v>
      </c>
      <c r="J154" s="19">
        <v>105953.0</v>
      </c>
      <c r="K154" s="19">
        <v>114103.0</v>
      </c>
      <c r="L154" s="19">
        <v>134479.0</v>
      </c>
      <c r="M154" s="19">
        <v>101878.0</v>
      </c>
      <c r="N154" s="19">
        <v>163005.0</v>
      </c>
      <c r="O154" s="19">
        <v>366760.0</v>
      </c>
      <c r="P154" s="19">
        <v>244507.0</v>
      </c>
      <c r="Q154" s="20">
        <f t="shared" si="18"/>
        <v>1488016</v>
      </c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8" t="s">
        <v>26</v>
      </c>
      <c r="B155" s="18" t="s">
        <v>71</v>
      </c>
      <c r="C155" s="18" t="s">
        <v>173</v>
      </c>
      <c r="D155" s="65" t="s">
        <v>148</v>
      </c>
      <c r="E155" s="19">
        <v>12502.0</v>
      </c>
      <c r="F155" s="19">
        <v>19025.0</v>
      </c>
      <c r="G155" s="19">
        <v>29896.0</v>
      </c>
      <c r="H155" s="19">
        <v>40767.0</v>
      </c>
      <c r="I155" s="19">
        <v>69432.0</v>
      </c>
      <c r="J155" s="19">
        <v>70664.0</v>
      </c>
      <c r="K155" s="19">
        <v>76099.0</v>
      </c>
      <c r="L155" s="19">
        <v>89688.0</v>
      </c>
      <c r="M155" s="19">
        <v>67946.0</v>
      </c>
      <c r="N155" s="19">
        <v>108713.0</v>
      </c>
      <c r="O155" s="19">
        <v>244605.0</v>
      </c>
      <c r="P155" s="19">
        <v>163070.0</v>
      </c>
      <c r="Q155" s="20">
        <f t="shared" si="18"/>
        <v>992407</v>
      </c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1"/>
      <c r="B156" s="41"/>
      <c r="C156" s="42" t="s">
        <v>74</v>
      </c>
      <c r="D156" s="41"/>
      <c r="E156" s="43">
        <f t="shared" ref="E156:P156" si="23">SUM(E150:E155)</f>
        <v>259777.5478</v>
      </c>
      <c r="F156" s="43">
        <f t="shared" si="23"/>
        <v>392135.843</v>
      </c>
      <c r="G156" s="43">
        <f t="shared" si="23"/>
        <v>611108.5793</v>
      </c>
      <c r="H156" s="43">
        <f t="shared" si="23"/>
        <v>832680.8121</v>
      </c>
      <c r="I156" s="43">
        <f t="shared" si="23"/>
        <v>1377768.121</v>
      </c>
      <c r="J156" s="43">
        <f t="shared" si="23"/>
        <v>1441680.554</v>
      </c>
      <c r="K156" s="43">
        <f t="shared" si="23"/>
        <v>1553372.298</v>
      </c>
      <c r="L156" s="43">
        <f t="shared" si="23"/>
        <v>1830812.688</v>
      </c>
      <c r="M156" s="43">
        <f t="shared" si="23"/>
        <v>1390679.054</v>
      </c>
      <c r="N156" s="43">
        <f t="shared" si="23"/>
        <v>2220139.594</v>
      </c>
      <c r="O156" s="43">
        <f t="shared" si="23"/>
        <v>4982900.179</v>
      </c>
      <c r="P156" s="43">
        <f t="shared" si="23"/>
        <v>3330768.437</v>
      </c>
      <c r="Q156" s="43">
        <f t="shared" si="18"/>
        <v>20223823.71</v>
      </c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1" t="s">
        <v>27</v>
      </c>
      <c r="B157" s="21" t="s">
        <v>77</v>
      </c>
      <c r="C157" s="21" t="s">
        <v>174</v>
      </c>
      <c r="D157" s="66" t="s">
        <v>148</v>
      </c>
      <c r="E157" s="22">
        <f t="shared" ref="E157:P157" si="24">E134*1.6%</f>
        <v>5206.6792</v>
      </c>
      <c r="F157" s="22">
        <f t="shared" si="24"/>
        <v>7615.5784</v>
      </c>
      <c r="G157" s="22">
        <f t="shared" si="24"/>
        <v>11811.50107</v>
      </c>
      <c r="H157" s="22">
        <f t="shared" si="24"/>
        <v>16043.3744</v>
      </c>
      <c r="I157" s="22">
        <f t="shared" si="24"/>
        <v>23382.23493</v>
      </c>
      <c r="J157" s="22">
        <f t="shared" si="24"/>
        <v>27649.08347</v>
      </c>
      <c r="K157" s="22">
        <f t="shared" si="24"/>
        <v>29853.44933</v>
      </c>
      <c r="L157" s="22">
        <f t="shared" si="24"/>
        <v>35189.37787</v>
      </c>
      <c r="M157" s="22">
        <f t="shared" si="24"/>
        <v>27019.75013</v>
      </c>
      <c r="N157" s="22">
        <f t="shared" si="24"/>
        <v>42748.58373</v>
      </c>
      <c r="O157" s="22">
        <f t="shared" si="24"/>
        <v>94973.11813</v>
      </c>
      <c r="P157" s="22">
        <f t="shared" si="24"/>
        <v>64177.43093</v>
      </c>
      <c r="Q157" s="23">
        <f t="shared" si="18"/>
        <v>385670.1616</v>
      </c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1" t="s">
        <v>27</v>
      </c>
      <c r="B158" s="21" t="s">
        <v>27</v>
      </c>
      <c r="C158" s="21" t="s">
        <v>175</v>
      </c>
      <c r="D158" s="66" t="s">
        <v>148</v>
      </c>
      <c r="E158" s="22">
        <v>7274.0</v>
      </c>
      <c r="F158" s="22">
        <v>10640.0</v>
      </c>
      <c r="G158" s="22">
        <v>16503.0</v>
      </c>
      <c r="H158" s="22">
        <v>22416.0</v>
      </c>
      <c r="I158" s="22">
        <v>32670.0</v>
      </c>
      <c r="J158" s="22">
        <v>38632.0</v>
      </c>
      <c r="K158" s="22">
        <v>41712.0</v>
      </c>
      <c r="L158" s="22">
        <v>49169.0</v>
      </c>
      <c r="M158" s="22">
        <v>37752.0</v>
      </c>
      <c r="N158" s="22">
        <v>59729.0</v>
      </c>
      <c r="O158" s="22">
        <v>132700.0</v>
      </c>
      <c r="P158" s="22">
        <v>89671.0</v>
      </c>
      <c r="Q158" s="23">
        <f t="shared" si="18"/>
        <v>538868</v>
      </c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1" t="s">
        <v>27</v>
      </c>
      <c r="B159" s="21" t="s">
        <v>27</v>
      </c>
      <c r="C159" s="21" t="s">
        <v>176</v>
      </c>
      <c r="D159" s="66" t="s">
        <v>148</v>
      </c>
      <c r="E159" s="22">
        <v>485.0</v>
      </c>
      <c r="F159" s="22">
        <v>709.0</v>
      </c>
      <c r="G159" s="22">
        <v>1100.0</v>
      </c>
      <c r="H159" s="22">
        <v>1494.0</v>
      </c>
      <c r="I159" s="22">
        <v>2178.0</v>
      </c>
      <c r="J159" s="22">
        <v>2576.0</v>
      </c>
      <c r="K159" s="22">
        <v>2781.0</v>
      </c>
      <c r="L159" s="22">
        <v>3278.0</v>
      </c>
      <c r="M159" s="22">
        <v>2517.0</v>
      </c>
      <c r="N159" s="22">
        <v>3982.0</v>
      </c>
      <c r="O159" s="22">
        <v>8847.0</v>
      </c>
      <c r="P159" s="22">
        <v>5978.0</v>
      </c>
      <c r="Q159" s="23">
        <f t="shared" si="18"/>
        <v>35925</v>
      </c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1"/>
      <c r="B160" s="41"/>
      <c r="C160" s="42" t="s">
        <v>82</v>
      </c>
      <c r="D160" s="41"/>
      <c r="E160" s="43">
        <f t="shared" ref="E160:P160" si="25">SUM(E157:E159)</f>
        <v>12965.6792</v>
      </c>
      <c r="F160" s="43">
        <f t="shared" si="25"/>
        <v>18964.5784</v>
      </c>
      <c r="G160" s="43">
        <f t="shared" si="25"/>
        <v>29414.50107</v>
      </c>
      <c r="H160" s="43">
        <f t="shared" si="25"/>
        <v>39953.3744</v>
      </c>
      <c r="I160" s="43">
        <f t="shared" si="25"/>
        <v>58230.23493</v>
      </c>
      <c r="J160" s="43">
        <f t="shared" si="25"/>
        <v>68857.08347</v>
      </c>
      <c r="K160" s="43">
        <f t="shared" si="25"/>
        <v>74346.44933</v>
      </c>
      <c r="L160" s="43">
        <f t="shared" si="25"/>
        <v>87636.37787</v>
      </c>
      <c r="M160" s="43">
        <f t="shared" si="25"/>
        <v>67288.75013</v>
      </c>
      <c r="N160" s="43">
        <f t="shared" si="25"/>
        <v>106459.5837</v>
      </c>
      <c r="O160" s="43">
        <f t="shared" si="25"/>
        <v>236520.1181</v>
      </c>
      <c r="P160" s="43">
        <f t="shared" si="25"/>
        <v>159826.4309</v>
      </c>
      <c r="Q160" s="43">
        <f t="shared" si="18"/>
        <v>960463.1616</v>
      </c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4" t="s">
        <v>28</v>
      </c>
      <c r="B161" s="24" t="s">
        <v>28</v>
      </c>
      <c r="C161" s="53" t="s">
        <v>177</v>
      </c>
      <c r="D161" s="67" t="s">
        <v>148</v>
      </c>
      <c r="E161" s="25">
        <v>0.0</v>
      </c>
      <c r="F161" s="25">
        <v>0.0</v>
      </c>
      <c r="G161" s="25">
        <v>0.0</v>
      </c>
      <c r="H161" s="54">
        <v>650000.0</v>
      </c>
      <c r="I161" s="54">
        <v>650000.0</v>
      </c>
      <c r="J161" s="54">
        <v>650000.0</v>
      </c>
      <c r="K161" s="54">
        <v>650000.0</v>
      </c>
      <c r="L161" s="54">
        <v>650000.0</v>
      </c>
      <c r="M161" s="54">
        <v>325000.0</v>
      </c>
      <c r="N161" s="54">
        <v>325000.0</v>
      </c>
      <c r="O161" s="54">
        <v>162500.0</v>
      </c>
      <c r="P161" s="54">
        <v>162500.0</v>
      </c>
      <c r="Q161" s="26">
        <f t="shared" si="18"/>
        <v>4225000</v>
      </c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4" t="s">
        <v>28</v>
      </c>
      <c r="B162" s="24" t="s">
        <v>28</v>
      </c>
      <c r="C162" s="53" t="s">
        <v>178</v>
      </c>
      <c r="D162" s="67" t="s">
        <v>148</v>
      </c>
      <c r="E162" s="25">
        <v>0.0</v>
      </c>
      <c r="F162" s="25">
        <v>0.0</v>
      </c>
      <c r="G162" s="25">
        <v>0.0</v>
      </c>
      <c r="H162" s="54">
        <v>140000.0</v>
      </c>
      <c r="I162" s="54">
        <v>140000.0</v>
      </c>
      <c r="J162" s="54">
        <v>280000.0</v>
      </c>
      <c r="K162" s="54">
        <v>280000.0</v>
      </c>
      <c r="L162" s="54">
        <v>280000.0</v>
      </c>
      <c r="M162" s="54">
        <v>280000.0</v>
      </c>
      <c r="N162" s="54">
        <v>280000.0</v>
      </c>
      <c r="O162" s="54">
        <v>560000.0</v>
      </c>
      <c r="P162" s="54">
        <v>560000.0</v>
      </c>
      <c r="Q162" s="26">
        <f t="shared" si="18"/>
        <v>2800000</v>
      </c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4" t="s">
        <v>28</v>
      </c>
      <c r="B163" s="24" t="s">
        <v>28</v>
      </c>
      <c r="C163" s="53" t="s">
        <v>179</v>
      </c>
      <c r="D163" s="67" t="s">
        <v>148</v>
      </c>
      <c r="E163" s="25">
        <v>0.0</v>
      </c>
      <c r="F163" s="25">
        <v>0.0</v>
      </c>
      <c r="G163" s="25">
        <v>0.0</v>
      </c>
      <c r="H163" s="54">
        <v>440000.0</v>
      </c>
      <c r="I163" s="54">
        <v>440000.0</v>
      </c>
      <c r="J163" s="54" t="s">
        <v>44</v>
      </c>
      <c r="K163" s="54" t="s">
        <v>44</v>
      </c>
      <c r="L163" s="54" t="s">
        <v>44</v>
      </c>
      <c r="M163" s="54" t="s">
        <v>44</v>
      </c>
      <c r="N163" s="54" t="s">
        <v>44</v>
      </c>
      <c r="O163" s="54" t="s">
        <v>44</v>
      </c>
      <c r="P163" s="54" t="s">
        <v>44</v>
      </c>
      <c r="Q163" s="26">
        <f t="shared" si="18"/>
        <v>880000</v>
      </c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4" t="s">
        <v>28</v>
      </c>
      <c r="B164" s="24" t="s">
        <v>28</v>
      </c>
      <c r="C164" s="53" t="s">
        <v>180</v>
      </c>
      <c r="D164" s="67" t="s">
        <v>148</v>
      </c>
      <c r="E164" s="25">
        <v>0.0</v>
      </c>
      <c r="F164" s="25">
        <v>0.0</v>
      </c>
      <c r="G164" s="25">
        <v>0.0</v>
      </c>
      <c r="H164" s="54">
        <v>80000.0</v>
      </c>
      <c r="I164" s="54">
        <v>80000.0</v>
      </c>
      <c r="J164" s="54">
        <v>80000.0</v>
      </c>
      <c r="K164" s="54">
        <v>80000.0</v>
      </c>
      <c r="L164" s="54">
        <v>80000.0</v>
      </c>
      <c r="M164" s="54">
        <v>80000.0</v>
      </c>
      <c r="N164" s="54">
        <v>80000.0</v>
      </c>
      <c r="O164" s="54">
        <v>80000.0</v>
      </c>
      <c r="P164" s="54">
        <v>80000.0</v>
      </c>
      <c r="Q164" s="26">
        <f t="shared" si="18"/>
        <v>720000</v>
      </c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53" t="s">
        <v>181</v>
      </c>
      <c r="B165" s="53" t="s">
        <v>181</v>
      </c>
      <c r="C165" s="53" t="s">
        <v>182</v>
      </c>
      <c r="D165" s="67"/>
      <c r="E165" s="54"/>
      <c r="F165" s="54"/>
      <c r="G165" s="54"/>
      <c r="H165" s="54"/>
      <c r="I165" s="54"/>
      <c r="J165" s="54">
        <v>500000.0</v>
      </c>
      <c r="K165" s="54">
        <v>500000.0</v>
      </c>
      <c r="L165" s="54">
        <v>500000.0</v>
      </c>
      <c r="M165" s="54">
        <v>500000.0</v>
      </c>
      <c r="N165" s="54">
        <v>500000.0</v>
      </c>
      <c r="O165" s="54"/>
      <c r="P165" s="54"/>
      <c r="Q165" s="26">
        <f t="shared" si="18"/>
        <v>2500000</v>
      </c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4" t="s">
        <v>28</v>
      </c>
      <c r="B166" s="53" t="s">
        <v>83</v>
      </c>
      <c r="C166" s="53" t="s">
        <v>183</v>
      </c>
      <c r="D166" s="67" t="s">
        <v>148</v>
      </c>
      <c r="E166" s="54">
        <v>28380.0</v>
      </c>
      <c r="F166" s="54">
        <v>28380.0</v>
      </c>
      <c r="G166" s="54">
        <v>28380.0</v>
      </c>
      <c r="H166" s="54">
        <v>28380.0</v>
      </c>
      <c r="I166" s="54">
        <v>28380.0</v>
      </c>
      <c r="J166" s="54">
        <v>28380.0</v>
      </c>
      <c r="K166" s="54">
        <v>28380.0</v>
      </c>
      <c r="L166" s="54">
        <v>28380.0</v>
      </c>
      <c r="M166" s="54">
        <v>28380.0</v>
      </c>
      <c r="N166" s="54">
        <v>28380.0</v>
      </c>
      <c r="O166" s="54">
        <v>28380.0</v>
      </c>
      <c r="P166" s="54">
        <v>28380.0</v>
      </c>
      <c r="Q166" s="26">
        <f t="shared" si="18"/>
        <v>340560</v>
      </c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1"/>
      <c r="B167" s="41"/>
      <c r="C167" s="42" t="s">
        <v>184</v>
      </c>
      <c r="D167" s="41"/>
      <c r="E167" s="43">
        <f t="shared" ref="E167:P167" si="26">SUM(E161:E166)</f>
        <v>28380</v>
      </c>
      <c r="F167" s="43">
        <f t="shared" si="26"/>
        <v>28380</v>
      </c>
      <c r="G167" s="43">
        <f t="shared" si="26"/>
        <v>28380</v>
      </c>
      <c r="H167" s="43">
        <f t="shared" si="26"/>
        <v>1338380</v>
      </c>
      <c r="I167" s="43">
        <f t="shared" si="26"/>
        <v>1338380</v>
      </c>
      <c r="J167" s="43">
        <f t="shared" si="26"/>
        <v>1538380</v>
      </c>
      <c r="K167" s="43">
        <f t="shared" si="26"/>
        <v>1538380</v>
      </c>
      <c r="L167" s="43">
        <f t="shared" si="26"/>
        <v>1538380</v>
      </c>
      <c r="M167" s="43">
        <f t="shared" si="26"/>
        <v>1213380</v>
      </c>
      <c r="N167" s="43">
        <f t="shared" si="26"/>
        <v>1213380</v>
      </c>
      <c r="O167" s="43">
        <f t="shared" si="26"/>
        <v>830880</v>
      </c>
      <c r="P167" s="43">
        <f t="shared" si="26"/>
        <v>830880</v>
      </c>
      <c r="Q167" s="43">
        <f t="shared" si="18"/>
        <v>11465560</v>
      </c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0" t="s">
        <v>30</v>
      </c>
      <c r="B168" s="30" t="s">
        <v>30</v>
      </c>
      <c r="C168" s="30" t="s">
        <v>185</v>
      </c>
      <c r="D168" s="68" t="s">
        <v>148</v>
      </c>
      <c r="E168" s="31">
        <v>0.0</v>
      </c>
      <c r="F168" s="31">
        <v>0.0</v>
      </c>
      <c r="G168" s="31">
        <v>0.0</v>
      </c>
      <c r="H168" s="31">
        <v>0.0</v>
      </c>
      <c r="I168" s="31">
        <v>89813.0</v>
      </c>
      <c r="J168" s="31">
        <v>359251.0</v>
      </c>
      <c r="K168" s="31">
        <v>0.0</v>
      </c>
      <c r="L168" s="31">
        <v>1347193.0</v>
      </c>
      <c r="M168" s="31">
        <v>0.0</v>
      </c>
      <c r="N168" s="31">
        <v>0.0</v>
      </c>
      <c r="O168" s="31">
        <v>0.0</v>
      </c>
      <c r="P168" s="31">
        <v>0.0</v>
      </c>
      <c r="Q168" s="32">
        <f t="shared" si="18"/>
        <v>1796257</v>
      </c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0" t="s">
        <v>30</v>
      </c>
      <c r="B169" s="30" t="s">
        <v>30</v>
      </c>
      <c r="C169" s="30" t="s">
        <v>186</v>
      </c>
      <c r="D169" s="68" t="s">
        <v>148</v>
      </c>
      <c r="E169" s="31">
        <v>0.0</v>
      </c>
      <c r="F169" s="31">
        <v>0.0</v>
      </c>
      <c r="G169" s="31">
        <v>0.0</v>
      </c>
      <c r="H169" s="31">
        <v>0.0</v>
      </c>
      <c r="I169" s="31">
        <f t="shared" ref="I169:O169" si="27">60000*7</f>
        <v>420000</v>
      </c>
      <c r="J169" s="31">
        <f t="shared" si="27"/>
        <v>420000</v>
      </c>
      <c r="K169" s="31">
        <f t="shared" si="27"/>
        <v>420000</v>
      </c>
      <c r="L169" s="31">
        <f t="shared" si="27"/>
        <v>420000</v>
      </c>
      <c r="M169" s="31">
        <f t="shared" si="27"/>
        <v>420000</v>
      </c>
      <c r="N169" s="31">
        <f t="shared" si="27"/>
        <v>420000</v>
      </c>
      <c r="O169" s="31">
        <f t="shared" si="27"/>
        <v>420000</v>
      </c>
      <c r="P169" s="58">
        <v>0.0</v>
      </c>
      <c r="Q169" s="32">
        <f t="shared" si="18"/>
        <v>2940000</v>
      </c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1"/>
      <c r="B170" s="41"/>
      <c r="C170" s="42" t="s">
        <v>130</v>
      </c>
      <c r="D170" s="41"/>
      <c r="E170" s="43">
        <f t="shared" ref="E170:P170" si="28">SUM(E168:E169)</f>
        <v>0</v>
      </c>
      <c r="F170" s="43">
        <f t="shared" si="28"/>
        <v>0</v>
      </c>
      <c r="G170" s="43">
        <f t="shared" si="28"/>
        <v>0</v>
      </c>
      <c r="H170" s="43">
        <f t="shared" si="28"/>
        <v>0</v>
      </c>
      <c r="I170" s="43">
        <f t="shared" si="28"/>
        <v>509813</v>
      </c>
      <c r="J170" s="43">
        <f t="shared" si="28"/>
        <v>779251</v>
      </c>
      <c r="K170" s="43">
        <f t="shared" si="28"/>
        <v>420000</v>
      </c>
      <c r="L170" s="43">
        <f t="shared" si="28"/>
        <v>1767193</v>
      </c>
      <c r="M170" s="43">
        <f t="shared" si="28"/>
        <v>420000</v>
      </c>
      <c r="N170" s="43">
        <f t="shared" si="28"/>
        <v>420000</v>
      </c>
      <c r="O170" s="43">
        <f t="shared" si="28"/>
        <v>420000</v>
      </c>
      <c r="P170" s="43">
        <f t="shared" si="28"/>
        <v>0</v>
      </c>
      <c r="Q170" s="43">
        <f t="shared" si="18"/>
        <v>4736257</v>
      </c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6"/>
      <c r="B171" s="36"/>
      <c r="C171" s="37" t="s">
        <v>187</v>
      </c>
      <c r="D171" s="36"/>
      <c r="E171" s="38">
        <f t="shared" ref="E171:P171" si="29">E149+E156+E160+E167+E170</f>
        <v>6716552.644</v>
      </c>
      <c r="F171" s="38">
        <f t="shared" si="29"/>
        <v>10004666.3</v>
      </c>
      <c r="G171" s="38">
        <f t="shared" si="29"/>
        <v>15472924.44</v>
      </c>
      <c r="H171" s="38">
        <f t="shared" si="29"/>
        <v>22356351.83</v>
      </c>
      <c r="I171" s="38">
        <f t="shared" si="29"/>
        <v>35165308.03</v>
      </c>
      <c r="J171" s="38">
        <f t="shared" si="29"/>
        <v>38644177.79</v>
      </c>
      <c r="K171" s="38">
        <f t="shared" si="29"/>
        <v>46254607.95</v>
      </c>
      <c r="L171" s="38">
        <f t="shared" si="29"/>
        <v>49462959.86</v>
      </c>
      <c r="M171" s="38">
        <f t="shared" si="29"/>
        <v>36813000.85</v>
      </c>
      <c r="N171" s="38">
        <f t="shared" si="29"/>
        <v>57632480</v>
      </c>
      <c r="O171" s="38">
        <f t="shared" si="29"/>
        <v>126530438.8</v>
      </c>
      <c r="P171" s="38">
        <f t="shared" si="29"/>
        <v>84852068.2</v>
      </c>
      <c r="Q171" s="38">
        <f t="shared" si="18"/>
        <v>529905536.7</v>
      </c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1"/>
      <c r="B173" s="41"/>
      <c r="C173" s="42" t="s">
        <v>188</v>
      </c>
      <c r="D173" s="41"/>
      <c r="E173" s="43">
        <f t="shared" ref="E173:P173" si="30">E16+E127+E171</f>
        <v>11421841</v>
      </c>
      <c r="F173" s="43">
        <f t="shared" si="30"/>
        <v>14742431.66</v>
      </c>
      <c r="G173" s="43">
        <f t="shared" si="30"/>
        <v>20744777.08</v>
      </c>
      <c r="H173" s="43">
        <f t="shared" si="30"/>
        <v>27756343.47</v>
      </c>
      <c r="I173" s="43">
        <f t="shared" si="30"/>
        <v>42968591.34</v>
      </c>
      <c r="J173" s="43">
        <f t="shared" si="30"/>
        <v>47109294.76</v>
      </c>
      <c r="K173" s="43">
        <f t="shared" si="30"/>
        <v>55955112.93</v>
      </c>
      <c r="L173" s="43">
        <f t="shared" si="30"/>
        <v>59070851.5</v>
      </c>
      <c r="M173" s="43">
        <f t="shared" si="30"/>
        <v>47708121.24</v>
      </c>
      <c r="N173" s="43">
        <f t="shared" si="30"/>
        <v>69617993.39</v>
      </c>
      <c r="O173" s="43">
        <f t="shared" si="30"/>
        <v>140359056.6</v>
      </c>
      <c r="P173" s="43">
        <f t="shared" si="30"/>
        <v>98376257.01</v>
      </c>
      <c r="Q173" s="43">
        <f>SUM(E173:P173)</f>
        <v>635830672</v>
      </c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43">
        <v>6.35830672E8</v>
      </c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7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5.7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7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5.7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5.7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5.7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5.7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5.75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5.75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5.75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5.75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5.75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8.29"/>
  </cols>
  <sheetData>
    <row r="1">
      <c r="A1" s="69" t="s">
        <v>1</v>
      </c>
      <c r="B1" s="70"/>
      <c r="C1" s="70"/>
      <c r="D1" s="71"/>
      <c r="E1" s="71" t="s">
        <v>189</v>
      </c>
      <c r="F1" s="71" t="s">
        <v>190</v>
      </c>
      <c r="G1" s="72" t="s">
        <v>191</v>
      </c>
      <c r="H1" s="72" t="s">
        <v>192</v>
      </c>
      <c r="I1" s="72" t="s">
        <v>193</v>
      </c>
      <c r="J1" s="72" t="s">
        <v>194</v>
      </c>
      <c r="K1" s="72" t="s">
        <v>195</v>
      </c>
      <c r="L1" s="72" t="s">
        <v>196</v>
      </c>
      <c r="M1" s="72" t="s">
        <v>197</v>
      </c>
      <c r="N1" s="72" t="s">
        <v>198</v>
      </c>
      <c r="O1" s="72" t="s">
        <v>199</v>
      </c>
      <c r="P1" s="72" t="s">
        <v>200</v>
      </c>
    </row>
    <row r="2">
      <c r="A2" s="73" t="s">
        <v>201</v>
      </c>
      <c r="B2" s="74"/>
      <c r="C2" s="74"/>
      <c r="D2" s="75"/>
      <c r="E2" s="75">
        <v>8.0</v>
      </c>
      <c r="F2" s="75">
        <v>8.0</v>
      </c>
      <c r="G2" s="76">
        <v>8.0</v>
      </c>
      <c r="H2" s="76">
        <v>8.0</v>
      </c>
      <c r="I2" s="76">
        <v>8.0</v>
      </c>
      <c r="J2" s="77">
        <v>8.0</v>
      </c>
      <c r="K2" s="77">
        <v>8.0</v>
      </c>
      <c r="L2" s="77">
        <v>8.0</v>
      </c>
      <c r="M2" s="77">
        <v>9.0</v>
      </c>
      <c r="N2" s="77">
        <v>9.0</v>
      </c>
      <c r="O2" s="77">
        <v>17.0</v>
      </c>
      <c r="P2" s="77">
        <v>17.0</v>
      </c>
      <c r="Q2" s="78" t="s">
        <v>202</v>
      </c>
    </row>
    <row r="3">
      <c r="A3" s="73" t="s">
        <v>203</v>
      </c>
      <c r="B3" s="74"/>
      <c r="C3" s="74"/>
      <c r="D3" s="75"/>
      <c r="E3" s="75">
        <v>3.0</v>
      </c>
      <c r="F3" s="75">
        <v>3.0</v>
      </c>
      <c r="G3" s="76">
        <v>3.0</v>
      </c>
      <c r="H3" s="76">
        <v>3.0</v>
      </c>
      <c r="I3" s="76">
        <v>3.0</v>
      </c>
      <c r="J3" s="77">
        <v>3.0</v>
      </c>
      <c r="K3" s="77">
        <v>3.0</v>
      </c>
      <c r="L3" s="77">
        <v>3.0</v>
      </c>
      <c r="M3" s="77">
        <v>4.0</v>
      </c>
      <c r="N3" s="77">
        <v>4.0</v>
      </c>
      <c r="O3" s="77">
        <v>7.0</v>
      </c>
      <c r="P3" s="77">
        <v>7.0</v>
      </c>
    </row>
    <row r="4">
      <c r="A4" s="73" t="s">
        <v>23</v>
      </c>
      <c r="B4" s="74"/>
      <c r="C4" s="74"/>
      <c r="D4" s="75"/>
      <c r="E4" s="75">
        <v>3.0</v>
      </c>
      <c r="F4" s="75">
        <v>3.0</v>
      </c>
      <c r="G4" s="76">
        <v>3.0</v>
      </c>
      <c r="H4" s="76">
        <v>3.0</v>
      </c>
      <c r="I4" s="76">
        <v>3.0</v>
      </c>
      <c r="J4" s="77">
        <v>3.0</v>
      </c>
      <c r="K4" s="77">
        <v>3.0</v>
      </c>
      <c r="L4" s="77">
        <v>3.0</v>
      </c>
      <c r="M4" s="77">
        <v>4.0</v>
      </c>
      <c r="N4" s="77">
        <v>4.0</v>
      </c>
      <c r="O4" s="77">
        <v>13.0</v>
      </c>
      <c r="P4" s="77">
        <v>13.0</v>
      </c>
      <c r="Q4" s="78" t="s">
        <v>202</v>
      </c>
    </row>
    <row r="5">
      <c r="A5" s="73" t="s">
        <v>204</v>
      </c>
      <c r="B5" s="79"/>
      <c r="C5" s="79"/>
      <c r="D5" s="80"/>
      <c r="E5" s="80">
        <v>5.0</v>
      </c>
      <c r="F5" s="80">
        <v>5.0</v>
      </c>
      <c r="G5" s="77">
        <v>5.0</v>
      </c>
      <c r="H5" s="77">
        <v>5.0</v>
      </c>
      <c r="I5" s="76">
        <v>6.0</v>
      </c>
      <c r="J5" s="77">
        <v>6.0</v>
      </c>
      <c r="K5" s="77">
        <v>6.0</v>
      </c>
      <c r="L5" s="77">
        <v>6.0</v>
      </c>
      <c r="M5" s="77">
        <v>6.0</v>
      </c>
      <c r="N5" s="77">
        <v>6.0</v>
      </c>
      <c r="O5" s="77">
        <v>5.0</v>
      </c>
      <c r="P5" s="77">
        <v>5.0</v>
      </c>
    </row>
    <row r="6">
      <c r="A6" s="81"/>
      <c r="B6" s="82"/>
      <c r="C6" s="83"/>
      <c r="D6" s="84"/>
      <c r="E6" s="84"/>
      <c r="F6" s="84"/>
      <c r="G6" s="84"/>
      <c r="H6" s="84"/>
      <c r="I6" s="85"/>
      <c r="J6" s="85"/>
      <c r="K6" s="85"/>
      <c r="L6" s="86"/>
      <c r="M6" s="86"/>
      <c r="N6" s="86"/>
      <c r="O6" s="86"/>
      <c r="P6" s="86"/>
    </row>
    <row r="7">
      <c r="A7" s="87" t="s">
        <v>205</v>
      </c>
      <c r="B7" s="88" t="s">
        <v>206</v>
      </c>
      <c r="C7" s="89" t="s">
        <v>207</v>
      </c>
      <c r="D7" s="90" t="s">
        <v>208</v>
      </c>
      <c r="E7" s="90"/>
      <c r="F7" s="90"/>
      <c r="G7" s="90"/>
      <c r="H7" s="90"/>
      <c r="I7" s="91">
        <v>1.0</v>
      </c>
      <c r="J7" s="91">
        <v>1.0</v>
      </c>
      <c r="K7" s="91">
        <v>1.0</v>
      </c>
      <c r="L7" s="92">
        <v>1.0</v>
      </c>
      <c r="M7" s="92">
        <v>1.0</v>
      </c>
      <c r="N7" s="92">
        <v>1.0</v>
      </c>
      <c r="O7" s="92">
        <v>1.0</v>
      </c>
      <c r="P7" s="92">
        <v>1.0</v>
      </c>
    </row>
    <row r="8">
      <c r="A8" s="93" t="s">
        <v>209</v>
      </c>
      <c r="B8" s="94" t="s">
        <v>206</v>
      </c>
      <c r="C8" s="95" t="s">
        <v>210</v>
      </c>
      <c r="D8" s="95" t="s">
        <v>208</v>
      </c>
      <c r="E8" s="95"/>
      <c r="F8" s="95"/>
      <c r="G8" s="95"/>
      <c r="H8" s="95"/>
      <c r="I8" s="96">
        <v>1.0</v>
      </c>
      <c r="J8" s="96">
        <v>1.0</v>
      </c>
      <c r="K8" s="96">
        <v>1.0</v>
      </c>
      <c r="L8" s="97">
        <v>1.0</v>
      </c>
      <c r="M8" s="97">
        <v>1.0</v>
      </c>
      <c r="N8" s="97">
        <v>1.0</v>
      </c>
      <c r="O8" s="97">
        <v>1.0</v>
      </c>
      <c r="P8" s="97">
        <v>1.0</v>
      </c>
    </row>
    <row r="9">
      <c r="A9" s="93" t="s">
        <v>211</v>
      </c>
      <c r="B9" s="94" t="s">
        <v>206</v>
      </c>
      <c r="C9" s="89" t="s">
        <v>207</v>
      </c>
      <c r="D9" s="89" t="s">
        <v>212</v>
      </c>
      <c r="E9" s="89"/>
      <c r="F9" s="89"/>
      <c r="G9" s="89"/>
      <c r="H9" s="89"/>
      <c r="I9" s="98">
        <v>1.0</v>
      </c>
      <c r="J9" s="96">
        <v>1.0</v>
      </c>
      <c r="K9" s="96">
        <v>1.0</v>
      </c>
      <c r="L9" s="97">
        <v>1.0</v>
      </c>
      <c r="M9" s="97">
        <v>1.0</v>
      </c>
      <c r="N9" s="97">
        <v>1.0</v>
      </c>
      <c r="O9" s="97">
        <v>1.0</v>
      </c>
      <c r="P9" s="97">
        <v>1.0</v>
      </c>
    </row>
    <row r="10">
      <c r="A10" s="99" t="s">
        <v>213</v>
      </c>
      <c r="B10" s="88" t="s">
        <v>206</v>
      </c>
      <c r="C10" s="100" t="s">
        <v>214</v>
      </c>
      <c r="D10" s="100" t="s">
        <v>212</v>
      </c>
      <c r="E10" s="100"/>
      <c r="F10" s="100"/>
      <c r="G10" s="100"/>
      <c r="H10" s="100"/>
      <c r="I10" s="91">
        <v>1.0</v>
      </c>
      <c r="J10" s="91">
        <v>1.0</v>
      </c>
      <c r="K10" s="91">
        <v>1.0</v>
      </c>
      <c r="L10" s="92">
        <v>1.0</v>
      </c>
      <c r="M10" s="92">
        <v>1.0</v>
      </c>
      <c r="N10" s="92">
        <v>1.0</v>
      </c>
      <c r="O10" s="92">
        <v>1.0</v>
      </c>
      <c r="P10" s="92">
        <v>1.0</v>
      </c>
    </row>
    <row r="11">
      <c r="A11" s="93" t="s">
        <v>215</v>
      </c>
      <c r="B11" s="94" t="s">
        <v>206</v>
      </c>
      <c r="C11" s="100" t="s">
        <v>214</v>
      </c>
      <c r="D11" s="89" t="s">
        <v>212</v>
      </c>
      <c r="E11" s="89"/>
      <c r="F11" s="89"/>
      <c r="G11" s="89"/>
      <c r="H11" s="89"/>
      <c r="I11" s="96">
        <v>1.0</v>
      </c>
      <c r="J11" s="96">
        <v>1.0</v>
      </c>
      <c r="K11" s="96">
        <v>1.0</v>
      </c>
      <c r="L11" s="97">
        <v>1.0</v>
      </c>
      <c r="M11" s="97">
        <v>1.0</v>
      </c>
      <c r="N11" s="97">
        <v>1.0</v>
      </c>
      <c r="O11" s="97">
        <v>1.0</v>
      </c>
      <c r="P11" s="97">
        <v>1.0</v>
      </c>
    </row>
    <row r="12">
      <c r="A12" s="99" t="s">
        <v>216</v>
      </c>
      <c r="B12" s="88" t="s">
        <v>206</v>
      </c>
      <c r="C12" s="100" t="s">
        <v>75</v>
      </c>
      <c r="D12" s="100" t="s">
        <v>212</v>
      </c>
      <c r="E12" s="100"/>
      <c r="F12" s="100"/>
      <c r="G12" s="100"/>
      <c r="H12" s="100"/>
      <c r="I12" s="101"/>
      <c r="J12" s="91">
        <v>1.0</v>
      </c>
      <c r="K12" s="91">
        <v>1.0</v>
      </c>
      <c r="L12" s="92">
        <v>1.0</v>
      </c>
      <c r="M12" s="92">
        <v>1.0</v>
      </c>
      <c r="N12" s="92">
        <v>1.0</v>
      </c>
      <c r="O12" s="92">
        <v>1.0</v>
      </c>
      <c r="P12" s="92">
        <v>1.0</v>
      </c>
    </row>
    <row r="13">
      <c r="A13" s="93" t="s">
        <v>217</v>
      </c>
      <c r="B13" s="94" t="s">
        <v>206</v>
      </c>
      <c r="C13" s="89" t="s">
        <v>207</v>
      </c>
      <c r="D13" s="89" t="s">
        <v>212</v>
      </c>
      <c r="E13" s="89"/>
      <c r="F13" s="89"/>
      <c r="G13" s="89"/>
      <c r="H13" s="89"/>
      <c r="I13" s="102"/>
      <c r="J13" s="96">
        <v>1.0</v>
      </c>
      <c r="K13" s="96">
        <v>1.0</v>
      </c>
      <c r="L13" s="97">
        <v>1.0</v>
      </c>
      <c r="M13" s="97">
        <v>1.0</v>
      </c>
      <c r="N13" s="97">
        <v>1.0</v>
      </c>
      <c r="O13" s="97">
        <v>1.0</v>
      </c>
      <c r="P13" s="97">
        <v>1.0</v>
      </c>
    </row>
    <row r="14">
      <c r="A14" s="99" t="s">
        <v>218</v>
      </c>
      <c r="B14" s="103" t="s">
        <v>206</v>
      </c>
      <c r="C14" s="104" t="s">
        <v>207</v>
      </c>
      <c r="D14" s="105" t="s">
        <v>212</v>
      </c>
      <c r="E14" s="105"/>
      <c r="F14" s="105"/>
      <c r="G14" s="105"/>
      <c r="H14" s="105"/>
      <c r="I14" s="106"/>
      <c r="J14" s="107">
        <v>1.0</v>
      </c>
      <c r="K14" s="91">
        <v>1.0</v>
      </c>
      <c r="L14" s="92">
        <v>1.0</v>
      </c>
      <c r="M14" s="108">
        <v>2.0</v>
      </c>
      <c r="N14" s="108">
        <v>2.0</v>
      </c>
      <c r="O14" s="108">
        <v>2.0</v>
      </c>
      <c r="P14" s="108">
        <v>2.0</v>
      </c>
    </row>
    <row r="15">
      <c r="A15" s="93" t="s">
        <v>219</v>
      </c>
      <c r="B15" s="109" t="s">
        <v>206</v>
      </c>
      <c r="C15" s="105" t="s">
        <v>75</v>
      </c>
      <c r="D15" s="104" t="s">
        <v>212</v>
      </c>
      <c r="E15" s="104"/>
      <c r="F15" s="104"/>
      <c r="G15" s="104"/>
      <c r="H15" s="104"/>
      <c r="I15" s="110"/>
      <c r="J15" s="111">
        <v>1.0</v>
      </c>
      <c r="K15" s="96">
        <v>1.0</v>
      </c>
      <c r="L15" s="97">
        <v>1.0</v>
      </c>
      <c r="M15" s="97">
        <v>1.0</v>
      </c>
      <c r="N15" s="97">
        <v>1.0</v>
      </c>
      <c r="O15" s="97">
        <v>1.0</v>
      </c>
      <c r="P15" s="97">
        <v>1.0</v>
      </c>
    </row>
    <row r="16">
      <c r="A16" s="93" t="s">
        <v>220</v>
      </c>
      <c r="B16" s="109" t="s">
        <v>206</v>
      </c>
      <c r="C16" s="105" t="s">
        <v>75</v>
      </c>
      <c r="D16" s="112" t="s">
        <v>221</v>
      </c>
      <c r="E16" s="112"/>
      <c r="F16" s="112"/>
      <c r="G16" s="112"/>
      <c r="H16" s="112"/>
      <c r="I16" s="110"/>
      <c r="J16" s="110"/>
      <c r="K16" s="96">
        <v>1.0</v>
      </c>
      <c r="L16" s="97">
        <v>1.0</v>
      </c>
      <c r="M16" s="97">
        <v>1.0</v>
      </c>
      <c r="N16" s="97">
        <v>1.0</v>
      </c>
      <c r="O16" s="97">
        <v>1.0</v>
      </c>
      <c r="P16" s="97">
        <v>1.0</v>
      </c>
    </row>
    <row r="17">
      <c r="A17" s="87" t="s">
        <v>222</v>
      </c>
      <c r="B17" s="103" t="s">
        <v>206</v>
      </c>
      <c r="C17" s="105" t="s">
        <v>75</v>
      </c>
      <c r="D17" s="113" t="s">
        <v>221</v>
      </c>
      <c r="E17" s="113"/>
      <c r="F17" s="113"/>
      <c r="G17" s="113"/>
      <c r="H17" s="113"/>
      <c r="I17" s="106"/>
      <c r="J17" s="106"/>
      <c r="K17" s="98">
        <v>1.0</v>
      </c>
      <c r="L17" s="92">
        <v>1.0</v>
      </c>
      <c r="M17" s="92">
        <v>1.0</v>
      </c>
      <c r="N17" s="108">
        <v>2.0</v>
      </c>
      <c r="O17" s="108">
        <v>2.0</v>
      </c>
      <c r="P17" s="108">
        <v>2.0</v>
      </c>
    </row>
    <row r="18">
      <c r="A18" s="99" t="s">
        <v>223</v>
      </c>
      <c r="B18" s="103" t="s">
        <v>206</v>
      </c>
      <c r="C18" s="105" t="s">
        <v>210</v>
      </c>
      <c r="D18" s="113" t="s">
        <v>221</v>
      </c>
      <c r="E18" s="113"/>
      <c r="F18" s="113"/>
      <c r="G18" s="113"/>
      <c r="H18" s="113"/>
      <c r="I18" s="106"/>
      <c r="J18" s="106"/>
      <c r="K18" s="101"/>
      <c r="L18" s="92">
        <v>1.0</v>
      </c>
      <c r="M18" s="92">
        <v>1.0</v>
      </c>
      <c r="N18" s="92">
        <v>1.0</v>
      </c>
      <c r="O18" s="108">
        <v>2.0</v>
      </c>
      <c r="P18" s="108">
        <v>2.0</v>
      </c>
    </row>
    <row r="19">
      <c r="A19" s="93" t="s">
        <v>224</v>
      </c>
      <c r="B19" s="109" t="s">
        <v>206</v>
      </c>
      <c r="C19" s="105" t="s">
        <v>75</v>
      </c>
      <c r="D19" s="112" t="s">
        <v>221</v>
      </c>
      <c r="E19" s="112"/>
      <c r="F19" s="112"/>
      <c r="G19" s="112"/>
      <c r="H19" s="112"/>
      <c r="I19" s="110"/>
      <c r="J19" s="110"/>
      <c r="K19" s="102"/>
      <c r="L19" s="114"/>
      <c r="M19" s="97">
        <v>1.0</v>
      </c>
      <c r="N19" s="97">
        <v>1.0</v>
      </c>
      <c r="O19" s="97">
        <v>1.0</v>
      </c>
      <c r="P19" s="97">
        <v>1.0</v>
      </c>
    </row>
    <row r="20">
      <c r="A20" s="99" t="s">
        <v>225</v>
      </c>
      <c r="B20" s="103" t="s">
        <v>206</v>
      </c>
      <c r="C20" s="105" t="s">
        <v>210</v>
      </c>
      <c r="D20" s="113" t="s">
        <v>221</v>
      </c>
      <c r="E20" s="113"/>
      <c r="F20" s="113"/>
      <c r="G20" s="113"/>
      <c r="H20" s="113"/>
      <c r="I20" s="106"/>
      <c r="J20" s="106"/>
      <c r="K20" s="101"/>
      <c r="L20" s="115"/>
      <c r="M20" s="92">
        <v>1.0</v>
      </c>
      <c r="N20" s="92">
        <v>1.0</v>
      </c>
      <c r="O20" s="92">
        <v>1.0</v>
      </c>
      <c r="P20" s="92">
        <v>1.0</v>
      </c>
    </row>
    <row r="21">
      <c r="A21" s="99" t="s">
        <v>226</v>
      </c>
      <c r="B21" s="103" t="s">
        <v>206</v>
      </c>
      <c r="C21" s="105" t="s">
        <v>210</v>
      </c>
      <c r="D21" s="116" t="s">
        <v>227</v>
      </c>
      <c r="E21" s="116"/>
      <c r="F21" s="116"/>
      <c r="G21" s="116"/>
      <c r="H21" s="116"/>
      <c r="I21" s="106"/>
      <c r="J21" s="106"/>
      <c r="K21" s="101"/>
      <c r="L21" s="115"/>
      <c r="M21" s="115"/>
      <c r="N21" s="115"/>
      <c r="O21" s="92">
        <v>1.0</v>
      </c>
      <c r="P21" s="92">
        <v>1.0</v>
      </c>
    </row>
    <row r="22">
      <c r="A22" s="93" t="s">
        <v>228</v>
      </c>
      <c r="B22" s="109" t="s">
        <v>206</v>
      </c>
      <c r="C22" s="105" t="s">
        <v>214</v>
      </c>
      <c r="D22" s="117" t="s">
        <v>227</v>
      </c>
      <c r="E22" s="117"/>
      <c r="F22" s="117"/>
      <c r="G22" s="117"/>
      <c r="H22" s="117"/>
      <c r="I22" s="110"/>
      <c r="J22" s="110"/>
      <c r="K22" s="102"/>
      <c r="L22" s="114"/>
      <c r="M22" s="114"/>
      <c r="N22" s="114"/>
      <c r="O22" s="97">
        <v>1.0</v>
      </c>
      <c r="P22" s="97">
        <v>1.0</v>
      </c>
    </row>
    <row r="23">
      <c r="A23" s="99" t="s">
        <v>229</v>
      </c>
      <c r="B23" s="103" t="s">
        <v>206</v>
      </c>
      <c r="C23" s="105" t="s">
        <v>214</v>
      </c>
      <c r="D23" s="116" t="s">
        <v>227</v>
      </c>
      <c r="E23" s="116"/>
      <c r="F23" s="116"/>
      <c r="G23" s="116"/>
      <c r="H23" s="116"/>
      <c r="I23" s="106"/>
      <c r="J23" s="106"/>
      <c r="K23" s="101"/>
      <c r="L23" s="115"/>
      <c r="M23" s="115"/>
      <c r="N23" s="115"/>
      <c r="O23" s="115"/>
      <c r="P23" s="118">
        <v>1.0</v>
      </c>
    </row>
    <row r="24">
      <c r="A24" s="93" t="s">
        <v>230</v>
      </c>
      <c r="B24" s="94" t="s">
        <v>206</v>
      </c>
      <c r="C24" s="100" t="s">
        <v>214</v>
      </c>
      <c r="D24" s="95" t="s">
        <v>227</v>
      </c>
      <c r="E24" s="95"/>
      <c r="F24" s="95"/>
      <c r="G24" s="95"/>
      <c r="H24" s="95"/>
      <c r="I24" s="102"/>
      <c r="J24" s="102"/>
      <c r="K24" s="102"/>
      <c r="L24" s="114"/>
      <c r="M24" s="114"/>
      <c r="N24" s="114"/>
      <c r="O24" s="114"/>
      <c r="P24" s="97">
        <v>1.0</v>
      </c>
    </row>
    <row r="25">
      <c r="A25" s="99" t="s">
        <v>231</v>
      </c>
      <c r="B25" s="88" t="s">
        <v>206</v>
      </c>
      <c r="C25" s="100" t="s">
        <v>214</v>
      </c>
      <c r="D25" s="90" t="s">
        <v>227</v>
      </c>
      <c r="E25" s="90"/>
      <c r="F25" s="90"/>
      <c r="G25" s="90"/>
      <c r="H25" s="90"/>
      <c r="I25" s="101"/>
      <c r="J25" s="101"/>
      <c r="K25" s="101"/>
      <c r="L25" s="115"/>
      <c r="M25" s="115"/>
      <c r="N25" s="115"/>
      <c r="O25" s="115"/>
      <c r="P25" s="92">
        <v>1.0</v>
      </c>
    </row>
    <row r="26">
      <c r="A26" s="73"/>
      <c r="B26" s="119"/>
      <c r="C26" s="74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</row>
    <row r="27">
      <c r="A27" s="73"/>
      <c r="B27" s="119"/>
      <c r="C27" s="74"/>
      <c r="D27" s="75"/>
      <c r="E27" s="75"/>
      <c r="F27" s="75"/>
      <c r="G27" s="76"/>
      <c r="H27" s="76"/>
      <c r="I27" s="76"/>
      <c r="J27" s="77"/>
      <c r="K27" s="77"/>
      <c r="L27" s="77"/>
      <c r="M27" s="77"/>
      <c r="N27" s="77"/>
      <c r="O27" s="77"/>
      <c r="P27" s="77"/>
    </row>
    <row r="28">
      <c r="A28" s="73"/>
      <c r="B28" s="119"/>
      <c r="C28" s="74"/>
      <c r="D28" s="75"/>
      <c r="E28" s="75"/>
      <c r="F28" s="75"/>
      <c r="G28" s="76"/>
      <c r="H28" s="76"/>
      <c r="I28" s="76"/>
      <c r="J28" s="77"/>
      <c r="K28" s="77"/>
      <c r="L28" s="77"/>
      <c r="M28" s="77"/>
      <c r="N28" s="77"/>
      <c r="O28" s="77"/>
      <c r="P28" s="77"/>
    </row>
    <row r="29">
      <c r="A29" s="99"/>
      <c r="B29" s="88"/>
      <c r="C29" s="90"/>
      <c r="D29" s="90"/>
      <c r="E29" s="90"/>
      <c r="F29" s="90"/>
      <c r="G29" s="90"/>
      <c r="H29" s="91"/>
      <c r="I29" s="91"/>
      <c r="J29" s="92"/>
      <c r="K29" s="92"/>
      <c r="L29" s="92"/>
      <c r="M29" s="92"/>
      <c r="N29" s="92"/>
      <c r="O29" s="92"/>
      <c r="P29" s="92"/>
    </row>
    <row r="30">
      <c r="A30" s="93"/>
      <c r="B30" s="94"/>
      <c r="C30" s="90"/>
      <c r="D30" s="95"/>
      <c r="E30" s="95"/>
      <c r="F30" s="95"/>
      <c r="G30" s="95"/>
      <c r="H30" s="96"/>
      <c r="I30" s="96"/>
      <c r="J30" s="97"/>
      <c r="K30" s="97"/>
      <c r="L30" s="97"/>
      <c r="M30" s="97"/>
      <c r="N30" s="97"/>
      <c r="O30" s="97"/>
      <c r="P30" s="97"/>
    </row>
    <row r="31">
      <c r="A31" s="93"/>
      <c r="B31" s="94"/>
      <c r="C31" s="90"/>
      <c r="D31" s="95"/>
      <c r="E31" s="95"/>
      <c r="F31" s="95"/>
      <c r="G31" s="95"/>
      <c r="H31" s="96"/>
      <c r="I31" s="96"/>
      <c r="J31" s="97"/>
      <c r="K31" s="97"/>
      <c r="L31" s="97"/>
      <c r="M31" s="97"/>
      <c r="N31" s="97"/>
      <c r="O31" s="97"/>
      <c r="P31" s="97"/>
    </row>
    <row r="32">
      <c r="A32" s="99" t="s">
        <v>232</v>
      </c>
      <c r="B32" s="88" t="s">
        <v>233</v>
      </c>
      <c r="C32" s="90" t="s">
        <v>234</v>
      </c>
      <c r="D32" s="100" t="s">
        <v>212</v>
      </c>
      <c r="E32" s="100"/>
      <c r="F32" s="100"/>
      <c r="G32" s="100"/>
      <c r="H32" s="101"/>
      <c r="I32" s="91">
        <v>1.0</v>
      </c>
      <c r="J32" s="92">
        <v>1.0</v>
      </c>
      <c r="K32" s="92">
        <v>1.0</v>
      </c>
      <c r="L32" s="92">
        <v>1.0</v>
      </c>
      <c r="M32" s="92">
        <v>1.0</v>
      </c>
      <c r="N32" s="92">
        <v>1.0</v>
      </c>
      <c r="O32" s="92">
        <v>1.0</v>
      </c>
      <c r="P32" s="92">
        <v>1.0</v>
      </c>
    </row>
    <row r="33">
      <c r="A33" s="93" t="s">
        <v>235</v>
      </c>
      <c r="B33" s="94" t="s">
        <v>233</v>
      </c>
      <c r="C33" s="90" t="s">
        <v>234</v>
      </c>
      <c r="D33" s="89" t="s">
        <v>212</v>
      </c>
      <c r="E33" s="89"/>
      <c r="F33" s="89"/>
      <c r="G33" s="89"/>
      <c r="H33" s="102"/>
      <c r="I33" s="96">
        <v>1.0</v>
      </c>
      <c r="J33" s="97">
        <v>1.0</v>
      </c>
      <c r="K33" s="97">
        <v>1.0</v>
      </c>
      <c r="L33" s="97">
        <v>1.0</v>
      </c>
      <c r="M33" s="97">
        <v>1.0</v>
      </c>
      <c r="N33" s="97">
        <v>1.0</v>
      </c>
      <c r="O33" s="97">
        <v>1.0</v>
      </c>
      <c r="P33" s="97">
        <v>1.0</v>
      </c>
    </row>
    <row r="34">
      <c r="A34" s="99" t="s">
        <v>236</v>
      </c>
      <c r="B34" s="88" t="s">
        <v>233</v>
      </c>
      <c r="C34" s="90" t="s">
        <v>234</v>
      </c>
      <c r="D34" s="100" t="s">
        <v>212</v>
      </c>
      <c r="E34" s="100"/>
      <c r="F34" s="100"/>
      <c r="G34" s="100"/>
      <c r="H34" s="101"/>
      <c r="I34" s="91">
        <v>1.0</v>
      </c>
      <c r="J34" s="92">
        <v>1.0</v>
      </c>
      <c r="K34" s="92">
        <v>1.0</v>
      </c>
      <c r="L34" s="92">
        <v>1.0</v>
      </c>
      <c r="M34" s="92">
        <v>1.0</v>
      </c>
      <c r="N34" s="92">
        <v>1.0</v>
      </c>
      <c r="O34" s="92">
        <v>1.0</v>
      </c>
      <c r="P34" s="92">
        <v>1.0</v>
      </c>
    </row>
    <row r="35">
      <c r="A35" s="99" t="s">
        <v>237</v>
      </c>
      <c r="B35" s="88" t="s">
        <v>233</v>
      </c>
      <c r="C35" s="90" t="s">
        <v>234</v>
      </c>
      <c r="D35" s="100" t="s">
        <v>212</v>
      </c>
      <c r="E35" s="100"/>
      <c r="F35" s="100"/>
      <c r="G35" s="100"/>
      <c r="H35" s="101"/>
      <c r="I35" s="101"/>
      <c r="J35" s="92">
        <v>1.0</v>
      </c>
      <c r="K35" s="108">
        <v>2.0</v>
      </c>
      <c r="L35" s="108">
        <v>2.0</v>
      </c>
      <c r="M35" s="108">
        <v>2.0</v>
      </c>
      <c r="N35" s="108">
        <v>2.0</v>
      </c>
      <c r="O35" s="108">
        <v>2.0</v>
      </c>
      <c r="P35" s="108">
        <v>2.0</v>
      </c>
    </row>
    <row r="36">
      <c r="A36" s="99" t="s">
        <v>238</v>
      </c>
      <c r="B36" s="88" t="s">
        <v>233</v>
      </c>
      <c r="C36" s="90" t="s">
        <v>234</v>
      </c>
      <c r="D36" s="100" t="s">
        <v>212</v>
      </c>
      <c r="E36" s="100"/>
      <c r="F36" s="100"/>
      <c r="G36" s="100"/>
      <c r="H36" s="101"/>
      <c r="I36" s="101"/>
      <c r="J36" s="92">
        <v>1.0</v>
      </c>
      <c r="K36" s="92">
        <v>1.0</v>
      </c>
      <c r="L36" s="108">
        <v>2.0</v>
      </c>
      <c r="M36" s="108">
        <v>2.0</v>
      </c>
      <c r="N36" s="108">
        <v>2.0</v>
      </c>
      <c r="O36" s="108">
        <v>2.0</v>
      </c>
      <c r="P36" s="108">
        <v>2.0</v>
      </c>
    </row>
    <row r="37">
      <c r="A37" s="99" t="s">
        <v>239</v>
      </c>
      <c r="B37" s="88" t="s">
        <v>233</v>
      </c>
      <c r="C37" s="90" t="s">
        <v>234</v>
      </c>
      <c r="D37" s="120" t="s">
        <v>221</v>
      </c>
      <c r="E37" s="120"/>
      <c r="F37" s="120"/>
      <c r="G37" s="120"/>
      <c r="H37" s="101"/>
      <c r="I37" s="101"/>
      <c r="J37" s="115"/>
      <c r="K37" s="92">
        <v>1.0</v>
      </c>
      <c r="L37" s="92">
        <v>1.0</v>
      </c>
      <c r="M37" s="92">
        <v>1.0</v>
      </c>
      <c r="N37" s="92">
        <v>1.0</v>
      </c>
      <c r="O37" s="92">
        <v>1.0</v>
      </c>
      <c r="P37" s="92">
        <v>1.0</v>
      </c>
    </row>
    <row r="38">
      <c r="A38" s="93" t="s">
        <v>240</v>
      </c>
      <c r="B38" s="94" t="s">
        <v>233</v>
      </c>
      <c r="C38" s="90" t="s">
        <v>234</v>
      </c>
      <c r="D38" s="121" t="s">
        <v>221</v>
      </c>
      <c r="E38" s="121"/>
      <c r="F38" s="121"/>
      <c r="G38" s="121"/>
      <c r="H38" s="102"/>
      <c r="I38" s="102"/>
      <c r="J38" s="114"/>
      <c r="K38" s="97">
        <v>1.0</v>
      </c>
      <c r="L38" s="97">
        <v>1.0</v>
      </c>
      <c r="M38" s="97">
        <v>1.0</v>
      </c>
      <c r="N38" s="97">
        <v>1.0</v>
      </c>
      <c r="O38" s="97">
        <v>1.0</v>
      </c>
      <c r="P38" s="97">
        <v>1.0</v>
      </c>
    </row>
    <row r="39">
      <c r="A39" s="99" t="s">
        <v>241</v>
      </c>
      <c r="B39" s="88" t="s">
        <v>233</v>
      </c>
      <c r="C39" s="90" t="s">
        <v>234</v>
      </c>
      <c r="D39" s="120" t="s">
        <v>221</v>
      </c>
      <c r="E39" s="120"/>
      <c r="F39" s="120"/>
      <c r="G39" s="120"/>
      <c r="H39" s="101"/>
      <c r="I39" s="101"/>
      <c r="J39" s="115"/>
      <c r="K39" s="92">
        <v>1.0</v>
      </c>
      <c r="L39" s="92">
        <v>1.0</v>
      </c>
      <c r="M39" s="92">
        <v>1.0</v>
      </c>
      <c r="N39" s="92">
        <v>1.0</v>
      </c>
      <c r="O39" s="92">
        <v>1.0</v>
      </c>
      <c r="P39" s="92">
        <v>1.0</v>
      </c>
    </row>
    <row r="40">
      <c r="A40" s="93" t="s">
        <v>242</v>
      </c>
      <c r="B40" s="94" t="s">
        <v>233</v>
      </c>
      <c r="C40" s="90" t="s">
        <v>234</v>
      </c>
      <c r="D40" s="121" t="s">
        <v>221</v>
      </c>
      <c r="E40" s="121"/>
      <c r="F40" s="121"/>
      <c r="G40" s="121"/>
      <c r="H40" s="102"/>
      <c r="I40" s="102"/>
      <c r="J40" s="114"/>
      <c r="K40" s="114"/>
      <c r="L40" s="97">
        <v>1.0</v>
      </c>
      <c r="M40" s="97">
        <v>1.0</v>
      </c>
      <c r="N40" s="97">
        <v>1.0</v>
      </c>
      <c r="O40" s="97">
        <v>1.0</v>
      </c>
      <c r="P40" s="97">
        <v>1.0</v>
      </c>
    </row>
    <row r="41">
      <c r="A41" s="93" t="s">
        <v>243</v>
      </c>
      <c r="B41" s="94" t="s">
        <v>233</v>
      </c>
      <c r="C41" s="90" t="s">
        <v>234</v>
      </c>
      <c r="D41" s="95" t="s">
        <v>227</v>
      </c>
      <c r="E41" s="95"/>
      <c r="F41" s="95"/>
      <c r="G41" s="95"/>
      <c r="H41" s="102"/>
      <c r="I41" s="102"/>
      <c r="J41" s="114"/>
      <c r="K41" s="114"/>
      <c r="L41" s="114"/>
      <c r="M41" s="114"/>
      <c r="N41" s="122">
        <v>3.0</v>
      </c>
      <c r="O41" s="122">
        <v>3.0</v>
      </c>
      <c r="P41" s="122">
        <v>3.0</v>
      </c>
    </row>
    <row r="42">
      <c r="A42" s="99" t="s">
        <v>244</v>
      </c>
      <c r="B42" s="88" t="s">
        <v>233</v>
      </c>
      <c r="C42" s="90" t="s">
        <v>245</v>
      </c>
      <c r="D42" s="90" t="s">
        <v>208</v>
      </c>
      <c r="E42" s="90"/>
      <c r="F42" s="90"/>
      <c r="G42" s="90"/>
      <c r="H42" s="91">
        <v>1.0</v>
      </c>
      <c r="I42" s="91">
        <v>1.0</v>
      </c>
      <c r="J42" s="92">
        <v>1.0</v>
      </c>
      <c r="K42" s="92">
        <v>1.0</v>
      </c>
      <c r="L42" s="92">
        <v>1.0</v>
      </c>
      <c r="M42" s="92">
        <v>1.0</v>
      </c>
      <c r="N42" s="92">
        <v>1.0</v>
      </c>
      <c r="O42" s="92">
        <v>1.0</v>
      </c>
      <c r="P42" s="92">
        <v>1.0</v>
      </c>
    </row>
    <row r="43">
      <c r="A43" s="93" t="s">
        <v>246</v>
      </c>
      <c r="B43" s="94" t="s">
        <v>233</v>
      </c>
      <c r="C43" s="90" t="s">
        <v>245</v>
      </c>
      <c r="D43" s="89" t="s">
        <v>212</v>
      </c>
      <c r="E43" s="89"/>
      <c r="F43" s="89"/>
      <c r="G43" s="89"/>
      <c r="H43" s="102"/>
      <c r="I43" s="102"/>
      <c r="J43" s="97">
        <v>1.0</v>
      </c>
      <c r="K43" s="97">
        <v>1.0</v>
      </c>
      <c r="L43" s="97">
        <v>1.0</v>
      </c>
      <c r="M43" s="97">
        <v>1.0</v>
      </c>
      <c r="N43" s="97">
        <v>1.0</v>
      </c>
      <c r="O43" s="97">
        <v>1.0</v>
      </c>
      <c r="P43" s="97">
        <v>1.0</v>
      </c>
    </row>
    <row r="44">
      <c r="A44" s="93" t="s">
        <v>247</v>
      </c>
      <c r="B44" s="94" t="s">
        <v>233</v>
      </c>
      <c r="C44" s="90" t="s">
        <v>245</v>
      </c>
      <c r="D44" s="89" t="s">
        <v>212</v>
      </c>
      <c r="E44" s="89"/>
      <c r="F44" s="89"/>
      <c r="G44" s="89"/>
      <c r="H44" s="102"/>
      <c r="I44" s="102"/>
      <c r="J44" s="97">
        <v>1.0</v>
      </c>
      <c r="K44" s="97">
        <v>1.0</v>
      </c>
      <c r="L44" s="97">
        <v>1.0</v>
      </c>
      <c r="M44" s="97">
        <v>1.0</v>
      </c>
      <c r="N44" s="97">
        <v>1.0</v>
      </c>
      <c r="O44" s="97">
        <v>1.0</v>
      </c>
      <c r="P44" s="97">
        <v>1.0</v>
      </c>
    </row>
    <row r="45">
      <c r="A45" s="99" t="s">
        <v>248</v>
      </c>
      <c r="B45" s="88" t="s">
        <v>233</v>
      </c>
      <c r="C45" s="90" t="s">
        <v>245</v>
      </c>
      <c r="D45" s="120" t="s">
        <v>221</v>
      </c>
      <c r="E45" s="120"/>
      <c r="F45" s="120"/>
      <c r="G45" s="120"/>
      <c r="H45" s="101"/>
      <c r="I45" s="101"/>
      <c r="J45" s="115"/>
      <c r="K45" s="115"/>
      <c r="L45" s="92">
        <v>1.0</v>
      </c>
      <c r="M45" s="92">
        <v>1.0</v>
      </c>
      <c r="N45" s="92">
        <v>1.0</v>
      </c>
      <c r="O45" s="92">
        <v>1.0</v>
      </c>
      <c r="P45" s="92">
        <v>1.0</v>
      </c>
    </row>
    <row r="46">
      <c r="A46" s="73"/>
      <c r="B46" s="119"/>
      <c r="C46" s="74"/>
      <c r="D46" s="75"/>
      <c r="E46" s="75"/>
      <c r="F46" s="75"/>
      <c r="G46" s="76"/>
      <c r="H46" s="76"/>
      <c r="I46" s="76"/>
      <c r="J46" s="77"/>
      <c r="K46" s="77"/>
      <c r="L46" s="77"/>
      <c r="M46" s="77"/>
      <c r="N46" s="77"/>
      <c r="O46" s="77"/>
      <c r="P46" s="77"/>
    </row>
    <row r="47">
      <c r="A47" s="99" t="s">
        <v>249</v>
      </c>
      <c r="B47" s="88" t="s">
        <v>250</v>
      </c>
      <c r="C47" s="88" t="s">
        <v>250</v>
      </c>
      <c r="D47" s="100" t="s">
        <v>212</v>
      </c>
      <c r="E47" s="101"/>
      <c r="F47" s="101"/>
      <c r="G47" s="101"/>
      <c r="H47" s="101"/>
      <c r="I47" s="101"/>
      <c r="J47" s="92">
        <v>1.0</v>
      </c>
      <c r="K47" s="92">
        <v>1.0</v>
      </c>
      <c r="L47" s="92">
        <v>1.0</v>
      </c>
      <c r="M47" s="92">
        <v>1.0</v>
      </c>
      <c r="N47" s="92">
        <v>1.0</v>
      </c>
      <c r="O47" s="92">
        <v>1.0</v>
      </c>
      <c r="P47" s="92">
        <v>1.0</v>
      </c>
    </row>
    <row r="48">
      <c r="A48" s="93" t="s">
        <v>251</v>
      </c>
      <c r="B48" s="94" t="s">
        <v>250</v>
      </c>
      <c r="C48" s="88" t="s">
        <v>250</v>
      </c>
      <c r="D48" s="89" t="s">
        <v>212</v>
      </c>
      <c r="E48" s="102"/>
      <c r="F48" s="102"/>
      <c r="G48" s="102"/>
      <c r="H48" s="102"/>
      <c r="I48" s="102"/>
      <c r="J48" s="97">
        <v>1.0</v>
      </c>
      <c r="K48" s="97">
        <v>1.0</v>
      </c>
      <c r="L48" s="97">
        <v>1.0</v>
      </c>
      <c r="M48" s="97">
        <v>1.0</v>
      </c>
      <c r="N48" s="97">
        <v>1.0</v>
      </c>
      <c r="O48" s="97">
        <v>1.0</v>
      </c>
      <c r="P48" s="97">
        <v>1.0</v>
      </c>
    </row>
    <row r="49">
      <c r="A49" s="93" t="s">
        <v>252</v>
      </c>
      <c r="B49" s="94" t="s">
        <v>250</v>
      </c>
      <c r="C49" s="88" t="s">
        <v>250</v>
      </c>
      <c r="D49" s="121" t="s">
        <v>221</v>
      </c>
      <c r="E49" s="102"/>
      <c r="F49" s="102"/>
      <c r="G49" s="102"/>
      <c r="H49" s="102"/>
      <c r="I49" s="102"/>
      <c r="J49" s="114"/>
      <c r="K49" s="114"/>
      <c r="L49" s="97">
        <v>1.0</v>
      </c>
      <c r="M49" s="97">
        <v>1.0</v>
      </c>
      <c r="N49" s="97">
        <v>1.0</v>
      </c>
      <c r="O49" s="97">
        <v>1.0</v>
      </c>
      <c r="P49" s="97">
        <v>1.0</v>
      </c>
    </row>
    <row r="50">
      <c r="A50" s="123" t="s">
        <v>253</v>
      </c>
      <c r="B50" s="94" t="s">
        <v>250</v>
      </c>
      <c r="C50" s="88" t="s">
        <v>250</v>
      </c>
      <c r="D50" s="120" t="s">
        <v>221</v>
      </c>
      <c r="E50" s="124"/>
      <c r="F50" s="124"/>
      <c r="G50" s="124"/>
      <c r="H50" s="124"/>
      <c r="I50" s="124"/>
      <c r="J50" s="125"/>
      <c r="K50" s="125"/>
      <c r="L50" s="125"/>
      <c r="M50" s="126">
        <v>1.0</v>
      </c>
      <c r="N50" s="126">
        <v>1.0</v>
      </c>
      <c r="O50" s="126">
        <v>1.0</v>
      </c>
      <c r="P50" s="126">
        <v>1.0</v>
      </c>
    </row>
    <row r="51">
      <c r="A51" s="73"/>
      <c r="B51" s="119"/>
      <c r="C51" s="74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</row>
    <row r="52">
      <c r="A52" s="73" t="s">
        <v>254</v>
      </c>
      <c r="B52" s="74"/>
      <c r="C52" s="74"/>
      <c r="D52" s="75"/>
      <c r="E52" s="75">
        <v>2.0</v>
      </c>
      <c r="F52" s="75">
        <v>2.0</v>
      </c>
      <c r="G52" s="76">
        <v>2.0</v>
      </c>
      <c r="H52" s="76">
        <v>2.0</v>
      </c>
      <c r="I52" s="76">
        <v>3.0</v>
      </c>
      <c r="J52" s="77">
        <v>4.0</v>
      </c>
      <c r="K52" s="77">
        <v>5.0</v>
      </c>
      <c r="L52" s="77">
        <v>5.0</v>
      </c>
      <c r="M52" s="77">
        <v>5.0</v>
      </c>
      <c r="N52" s="77">
        <v>5.0</v>
      </c>
      <c r="O52" s="77">
        <v>7.0</v>
      </c>
      <c r="P52" s="77">
        <v>7.0</v>
      </c>
    </row>
    <row r="53">
      <c r="A53" s="73" t="s">
        <v>30</v>
      </c>
      <c r="B53" s="74"/>
      <c r="C53" s="74"/>
      <c r="D53" s="75"/>
      <c r="E53" s="75">
        <v>1.0</v>
      </c>
      <c r="F53" s="75">
        <v>1.0</v>
      </c>
      <c r="G53" s="76">
        <v>1.0</v>
      </c>
      <c r="H53" s="76">
        <v>1.0</v>
      </c>
      <c r="I53" s="76">
        <v>1.0</v>
      </c>
      <c r="J53" s="77">
        <v>1.0</v>
      </c>
      <c r="K53" s="77">
        <v>2.0</v>
      </c>
      <c r="L53" s="77">
        <v>2.0</v>
      </c>
      <c r="M53" s="77">
        <v>2.0</v>
      </c>
      <c r="N53" s="77">
        <v>2.0</v>
      </c>
      <c r="O53" s="77">
        <v>2.0</v>
      </c>
      <c r="P53" s="77">
        <v>2.0</v>
      </c>
    </row>
    <row r="54">
      <c r="A54" s="73" t="s">
        <v>31</v>
      </c>
      <c r="B54" s="74"/>
      <c r="C54" s="74"/>
      <c r="D54" s="75"/>
      <c r="E54" s="75">
        <v>1.0</v>
      </c>
      <c r="F54" s="75">
        <v>1.0</v>
      </c>
      <c r="G54" s="76">
        <v>1.0</v>
      </c>
      <c r="H54" s="76">
        <v>1.0</v>
      </c>
      <c r="I54" s="76">
        <v>2.0</v>
      </c>
      <c r="J54" s="77">
        <v>2.0</v>
      </c>
      <c r="K54" s="77">
        <v>2.0</v>
      </c>
      <c r="L54" s="77">
        <v>2.0</v>
      </c>
      <c r="M54" s="77">
        <v>2.0</v>
      </c>
      <c r="N54" s="77">
        <v>2.0</v>
      </c>
      <c r="O54" s="77">
        <v>5.0</v>
      </c>
      <c r="P54" s="77">
        <v>5.0</v>
      </c>
    </row>
    <row r="55">
      <c r="A55" s="73" t="s">
        <v>29</v>
      </c>
      <c r="B55" s="74"/>
      <c r="C55" s="74"/>
      <c r="D55" s="75"/>
      <c r="E55" s="75">
        <v>1.0</v>
      </c>
      <c r="F55" s="75">
        <v>1.0</v>
      </c>
      <c r="G55" s="76">
        <v>1.0</v>
      </c>
      <c r="H55" s="76">
        <v>1.0</v>
      </c>
      <c r="I55" s="76">
        <v>1.0</v>
      </c>
      <c r="J55" s="77">
        <v>2.0</v>
      </c>
      <c r="K55" s="77">
        <v>2.0</v>
      </c>
      <c r="L55" s="77">
        <v>2.0</v>
      </c>
      <c r="M55" s="77">
        <v>2.0</v>
      </c>
      <c r="N55" s="77">
        <v>2.0</v>
      </c>
      <c r="O55" s="77">
        <v>3.0</v>
      </c>
      <c r="P55" s="77">
        <v>3.0</v>
      </c>
    </row>
    <row r="56">
      <c r="A56" s="127" t="s">
        <v>255</v>
      </c>
      <c r="B56" s="128"/>
      <c r="C56" s="128"/>
      <c r="D56" s="129"/>
      <c r="E56" s="129">
        <f t="shared" ref="E56:P56" si="1">SUM(E2:E55)</f>
        <v>24</v>
      </c>
      <c r="F56" s="129">
        <f t="shared" si="1"/>
        <v>24</v>
      </c>
      <c r="G56" s="129">
        <f t="shared" si="1"/>
        <v>24</v>
      </c>
      <c r="H56" s="129">
        <f t="shared" si="1"/>
        <v>25</v>
      </c>
      <c r="I56" s="129">
        <f t="shared" si="1"/>
        <v>36</v>
      </c>
      <c r="J56" s="129">
        <f t="shared" si="1"/>
        <v>48</v>
      </c>
      <c r="K56" s="129">
        <f t="shared" si="1"/>
        <v>56</v>
      </c>
      <c r="L56" s="129">
        <f t="shared" si="1"/>
        <v>61</v>
      </c>
      <c r="M56" s="129">
        <f t="shared" si="1"/>
        <v>68</v>
      </c>
      <c r="N56" s="129">
        <f t="shared" si="1"/>
        <v>72</v>
      </c>
      <c r="O56" s="129">
        <f t="shared" si="1"/>
        <v>100</v>
      </c>
      <c r="P56" s="129">
        <f t="shared" si="1"/>
        <v>103</v>
      </c>
    </row>
    <row r="57">
      <c r="P57" s="130">
        <v>3.0</v>
      </c>
      <c r="Q57" s="78" t="s">
        <v>256</v>
      </c>
    </row>
    <row r="82">
      <c r="A82" s="73"/>
      <c r="B82" s="119" t="s">
        <v>228</v>
      </c>
      <c r="C82" s="74"/>
      <c r="D82" s="75"/>
      <c r="E82" s="75"/>
      <c r="F82" s="75"/>
      <c r="G82" s="76"/>
      <c r="H82" s="76"/>
      <c r="I82" s="76"/>
      <c r="J82" s="77"/>
      <c r="K82" s="77"/>
      <c r="L82" s="77"/>
      <c r="M82" s="77"/>
      <c r="N82" s="77"/>
      <c r="O82" s="77"/>
      <c r="P82" s="7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8.0"/>
    <col customWidth="1" min="3" max="3" width="14.0"/>
    <col customWidth="1" min="4" max="6" width="18.0"/>
    <col customWidth="1" min="7" max="26" width="8.71"/>
  </cols>
  <sheetData>
    <row r="1">
      <c r="A1" s="131" t="s">
        <v>257</v>
      </c>
    </row>
    <row r="2">
      <c r="A2" s="132"/>
    </row>
    <row r="3">
      <c r="E3" s="78">
        <v>61.7</v>
      </c>
    </row>
    <row r="4">
      <c r="A4" s="133" t="s">
        <v>258</v>
      </c>
      <c r="B4" s="133" t="s">
        <v>259</v>
      </c>
      <c r="C4" s="133" t="s">
        <v>260</v>
      </c>
      <c r="D4" s="133" t="s">
        <v>261</v>
      </c>
      <c r="E4" s="133" t="s">
        <v>262</v>
      </c>
      <c r="F4" s="133" t="s">
        <v>263</v>
      </c>
    </row>
    <row r="5">
      <c r="A5" s="134" t="s">
        <v>264</v>
      </c>
      <c r="B5" s="134" t="s">
        <v>265</v>
      </c>
      <c r="C5" s="135">
        <v>138124.8</v>
      </c>
      <c r="D5" s="136">
        <f t="shared" ref="D5:D7" si="1">C5*60</f>
        <v>8287488</v>
      </c>
      <c r="E5" s="136">
        <f t="shared" ref="E5:E7" si="2">C5*61.3</f>
        <v>8467050.24</v>
      </c>
      <c r="F5" s="137">
        <f t="shared" ref="F5:F7" si="3">E5-D5</f>
        <v>179562.24</v>
      </c>
    </row>
    <row r="6">
      <c r="A6" s="134" t="s">
        <v>266</v>
      </c>
      <c r="B6" s="134" t="s">
        <v>267</v>
      </c>
      <c r="C6" s="135">
        <v>55200.0</v>
      </c>
      <c r="D6" s="136">
        <f t="shared" si="1"/>
        <v>3312000</v>
      </c>
      <c r="E6" s="136">
        <f t="shared" si="2"/>
        <v>3383760</v>
      </c>
      <c r="F6" s="137">
        <f t="shared" si="3"/>
        <v>71760</v>
      </c>
    </row>
    <row r="7">
      <c r="A7" s="134" t="s">
        <v>268</v>
      </c>
      <c r="B7" s="134" t="s">
        <v>269</v>
      </c>
      <c r="C7" s="135">
        <v>11076.63</v>
      </c>
      <c r="D7" s="136">
        <f t="shared" si="1"/>
        <v>664597.8</v>
      </c>
      <c r="E7" s="136">
        <f t="shared" si="2"/>
        <v>678997.419</v>
      </c>
      <c r="F7" s="137">
        <f t="shared" si="3"/>
        <v>14399.619</v>
      </c>
    </row>
    <row r="8">
      <c r="A8" s="138"/>
      <c r="B8" s="139" t="s">
        <v>270</v>
      </c>
      <c r="C8" s="140">
        <f t="shared" ref="C8:F8" si="4">SUM(C5:C7)</f>
        <v>204401.43</v>
      </c>
      <c r="D8" s="141">
        <f t="shared" si="4"/>
        <v>12264085.8</v>
      </c>
      <c r="E8" s="141">
        <f t="shared" si="4"/>
        <v>12529807.66</v>
      </c>
      <c r="F8" s="141">
        <f t="shared" si="4"/>
        <v>265721.859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25.43"/>
    <col customWidth="1" min="2" max="2" width="26.29"/>
    <col customWidth="1" min="3" max="3" width="22.0"/>
    <col customWidth="1" min="4" max="5" width="12.0"/>
    <col customWidth="1" min="6" max="6" width="6.43"/>
    <col customWidth="1" min="7" max="7" width="9.0"/>
    <col customWidth="1" min="8" max="8" width="12.86"/>
    <col customWidth="1" min="9" max="9" width="15.0"/>
    <col customWidth="1" min="10" max="10" width="12.57"/>
    <col customWidth="1" min="11" max="11" width="17.14"/>
    <col customWidth="1" min="12" max="12" width="45.14"/>
    <col customWidth="1" min="13" max="26" width="8.71"/>
  </cols>
  <sheetData>
    <row r="1">
      <c r="A1" s="142" t="s">
        <v>271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3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272</v>
      </c>
      <c r="B4" s="4" t="s">
        <v>259</v>
      </c>
      <c r="C4" s="4" t="s">
        <v>273</v>
      </c>
      <c r="D4" s="4" t="s">
        <v>274</v>
      </c>
      <c r="E4" s="4" t="s">
        <v>275</v>
      </c>
      <c r="F4" s="4" t="s">
        <v>276</v>
      </c>
      <c r="G4" s="4" t="s">
        <v>277</v>
      </c>
      <c r="H4" s="4" t="s">
        <v>278</v>
      </c>
      <c r="I4" s="4" t="s">
        <v>279</v>
      </c>
      <c r="J4" s="4" t="s">
        <v>280</v>
      </c>
      <c r="K4" s="143" t="s">
        <v>281</v>
      </c>
      <c r="L4" s="4" t="s">
        <v>282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4" t="s">
        <v>283</v>
      </c>
      <c r="B5" s="144" t="s">
        <v>284</v>
      </c>
      <c r="C5" s="144" t="s">
        <v>285</v>
      </c>
      <c r="D5" s="145" t="s">
        <v>286</v>
      </c>
      <c r="E5" s="145" t="s">
        <v>287</v>
      </c>
      <c r="F5" s="145" t="s">
        <v>288</v>
      </c>
      <c r="G5" s="145" t="s">
        <v>289</v>
      </c>
      <c r="H5" s="146">
        <v>31167.0</v>
      </c>
      <c r="I5" s="147">
        <v>31167.0</v>
      </c>
      <c r="J5" s="146">
        <v>62334.0</v>
      </c>
      <c r="K5" s="148">
        <f>J5/3</f>
        <v>20778</v>
      </c>
      <c r="L5" s="144" t="s">
        <v>290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44" t="s">
        <v>283</v>
      </c>
      <c r="B6" s="144" t="s">
        <v>291</v>
      </c>
      <c r="C6" s="144" t="s">
        <v>292</v>
      </c>
      <c r="D6" s="145" t="s">
        <v>293</v>
      </c>
      <c r="E6" s="145" t="s">
        <v>287</v>
      </c>
      <c r="F6" s="145" t="s">
        <v>288</v>
      </c>
      <c r="G6" s="145" t="s">
        <v>289</v>
      </c>
      <c r="H6" s="146">
        <v>10389.0</v>
      </c>
      <c r="I6" s="147">
        <v>10389.0</v>
      </c>
      <c r="J6" s="146">
        <v>20778.0</v>
      </c>
      <c r="K6" s="148">
        <f>J6</f>
        <v>20778</v>
      </c>
      <c r="L6" s="144" t="s">
        <v>290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44" t="s">
        <v>283</v>
      </c>
      <c r="B7" s="144" t="s">
        <v>294</v>
      </c>
      <c r="C7" s="144" t="s">
        <v>295</v>
      </c>
      <c r="D7" s="145" t="s">
        <v>296</v>
      </c>
      <c r="E7" s="145" t="s">
        <v>287</v>
      </c>
      <c r="F7" s="145" t="s">
        <v>288</v>
      </c>
      <c r="G7" s="145" t="s">
        <v>289</v>
      </c>
      <c r="H7" s="146">
        <v>56334.0</v>
      </c>
      <c r="I7" s="147">
        <v>56334.0</v>
      </c>
      <c r="J7" s="146">
        <v>112668.0</v>
      </c>
      <c r="K7" s="148">
        <f>J7/6</f>
        <v>18778</v>
      </c>
      <c r="L7" s="144" t="s">
        <v>297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44" t="s">
        <v>283</v>
      </c>
      <c r="B8" s="144" t="s">
        <v>298</v>
      </c>
      <c r="C8" s="144" t="s">
        <v>299</v>
      </c>
      <c r="D8" s="145" t="s">
        <v>296</v>
      </c>
      <c r="E8" s="145" t="s">
        <v>287</v>
      </c>
      <c r="F8" s="145" t="s">
        <v>288</v>
      </c>
      <c r="G8" s="145" t="s">
        <v>289</v>
      </c>
      <c r="H8" s="146">
        <v>80917.0</v>
      </c>
      <c r="I8" s="147">
        <v>80917.0</v>
      </c>
      <c r="J8" s="146">
        <v>161834.0</v>
      </c>
      <c r="K8" s="148">
        <f>J8/4</f>
        <v>40458.5</v>
      </c>
      <c r="L8" s="144" t="s">
        <v>300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4" t="s">
        <v>301</v>
      </c>
      <c r="B9" s="144" t="s">
        <v>302</v>
      </c>
      <c r="C9" s="144" t="s">
        <v>303</v>
      </c>
      <c r="D9" s="145" t="s">
        <v>304</v>
      </c>
      <c r="E9" s="145"/>
      <c r="F9" s="145" t="s">
        <v>288</v>
      </c>
      <c r="G9" s="145" t="s">
        <v>305</v>
      </c>
      <c r="H9" s="146">
        <v>32949.0</v>
      </c>
      <c r="I9" s="146">
        <v>0.0</v>
      </c>
      <c r="J9" s="146">
        <v>32949.0</v>
      </c>
      <c r="K9" s="144"/>
      <c r="L9" s="144" t="s">
        <v>306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44" t="s">
        <v>307</v>
      </c>
      <c r="B10" s="144" t="s">
        <v>308</v>
      </c>
      <c r="C10" s="144" t="s">
        <v>309</v>
      </c>
      <c r="D10" s="145" t="s">
        <v>310</v>
      </c>
      <c r="E10" s="145"/>
      <c r="F10" s="145" t="s">
        <v>288</v>
      </c>
      <c r="G10" s="145" t="s">
        <v>311</v>
      </c>
      <c r="H10" s="146">
        <v>8287488.0</v>
      </c>
      <c r="I10" s="147">
        <v>1.9337472E7</v>
      </c>
      <c r="J10" s="146">
        <v>2.762496E7</v>
      </c>
      <c r="K10" s="144"/>
      <c r="L10" s="144" t="s">
        <v>312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44" t="s">
        <v>313</v>
      </c>
      <c r="B11" s="144" t="s">
        <v>314</v>
      </c>
      <c r="C11" s="144" t="s">
        <v>315</v>
      </c>
      <c r="D11" s="145" t="s">
        <v>310</v>
      </c>
      <c r="E11" s="145"/>
      <c r="F11" s="145" t="s">
        <v>288</v>
      </c>
      <c r="G11" s="145" t="s">
        <v>289</v>
      </c>
      <c r="H11" s="146">
        <v>3312000.0</v>
      </c>
      <c r="I11" s="147">
        <v>3312000.0</v>
      </c>
      <c r="J11" s="146">
        <v>6624000.0</v>
      </c>
      <c r="K11" s="144"/>
      <c r="L11" s="144" t="s">
        <v>316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44" t="s">
        <v>307</v>
      </c>
      <c r="B12" s="144" t="s">
        <v>317</v>
      </c>
      <c r="C12" s="144" t="s">
        <v>309</v>
      </c>
      <c r="D12" s="145" t="s">
        <v>318</v>
      </c>
      <c r="E12" s="145"/>
      <c r="F12" s="145" t="s">
        <v>288</v>
      </c>
      <c r="G12" s="145" t="s">
        <v>311</v>
      </c>
      <c r="H12" s="146">
        <v>664598.0</v>
      </c>
      <c r="I12" s="147">
        <v>1550729.0</v>
      </c>
      <c r="J12" s="146">
        <v>2215327.0</v>
      </c>
      <c r="K12" s="144"/>
      <c r="L12" s="144" t="s">
        <v>319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1"/>
      <c r="B13" s="42" t="s">
        <v>270</v>
      </c>
      <c r="C13" s="41"/>
      <c r="D13" s="41"/>
      <c r="E13" s="41"/>
      <c r="F13" s="41"/>
      <c r="G13" s="41"/>
      <c r="H13" s="43">
        <f t="shared" ref="H13:J13" si="1">SUM(H5:H12)</f>
        <v>12475842</v>
      </c>
      <c r="I13" s="149">
        <f t="shared" si="1"/>
        <v>24379008</v>
      </c>
      <c r="J13" s="43">
        <f t="shared" si="1"/>
        <v>36854850</v>
      </c>
      <c r="K13" s="41"/>
      <c r="L13" s="41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12.0"/>
    <col customWidth="1" min="3" max="3" width="12.29"/>
    <col customWidth="1" min="4" max="4" width="32.43"/>
    <col customWidth="1" min="5" max="5" width="27.29"/>
    <col customWidth="1" min="6" max="6" width="14.0"/>
    <col customWidth="1" min="7" max="7" width="44.71"/>
    <col customWidth="1" min="8" max="8" width="16.0"/>
    <col customWidth="1" min="9" max="9" width="26.0"/>
    <col customWidth="1" min="10" max="26" width="8.71"/>
  </cols>
  <sheetData>
    <row r="1">
      <c r="A1" s="150" t="s">
        <v>320</v>
      </c>
    </row>
    <row r="2">
      <c r="A2" s="151"/>
    </row>
    <row r="4">
      <c r="A4" s="133" t="s">
        <v>321</v>
      </c>
      <c r="B4" s="133" t="s">
        <v>322</v>
      </c>
      <c r="C4" s="133" t="s">
        <v>323</v>
      </c>
      <c r="D4" s="133" t="s">
        <v>272</v>
      </c>
      <c r="E4" s="133" t="s">
        <v>324</v>
      </c>
      <c r="F4" s="133" t="s">
        <v>325</v>
      </c>
      <c r="G4" s="133" t="s">
        <v>326</v>
      </c>
      <c r="H4" s="133" t="s">
        <v>276</v>
      </c>
      <c r="I4" s="133" t="s">
        <v>327</v>
      </c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</row>
    <row r="5">
      <c r="A5" s="153" t="s">
        <v>328</v>
      </c>
      <c r="B5" s="153" t="s">
        <v>329</v>
      </c>
      <c r="C5" s="153"/>
      <c r="D5" s="153" t="s">
        <v>330</v>
      </c>
      <c r="E5" s="153"/>
      <c r="F5" s="154">
        <v>61560.0</v>
      </c>
      <c r="G5" s="155" t="s">
        <v>331</v>
      </c>
      <c r="H5" s="153" t="s">
        <v>332</v>
      </c>
      <c r="I5" s="156" t="s">
        <v>333</v>
      </c>
    </row>
    <row r="6">
      <c r="A6" s="153" t="s">
        <v>334</v>
      </c>
      <c r="B6" s="153"/>
      <c r="C6" s="153" t="s">
        <v>83</v>
      </c>
      <c r="D6" s="153" t="s">
        <v>335</v>
      </c>
      <c r="E6" s="153"/>
      <c r="F6" s="154">
        <v>20778.0</v>
      </c>
      <c r="G6" s="155" t="s">
        <v>331</v>
      </c>
      <c r="H6" s="153" t="s">
        <v>332</v>
      </c>
      <c r="I6" s="156" t="s">
        <v>333</v>
      </c>
    </row>
    <row r="7">
      <c r="A7" s="153" t="s">
        <v>336</v>
      </c>
      <c r="B7" s="153"/>
      <c r="C7" s="153" t="s">
        <v>83</v>
      </c>
      <c r="D7" s="153" t="s">
        <v>337</v>
      </c>
      <c r="E7" s="153"/>
      <c r="F7" s="154">
        <v>42949.0</v>
      </c>
      <c r="G7" s="155" t="s">
        <v>338</v>
      </c>
      <c r="H7" s="153" t="s">
        <v>332</v>
      </c>
      <c r="I7" s="156" t="s">
        <v>333</v>
      </c>
    </row>
    <row r="8">
      <c r="A8" s="153" t="s">
        <v>339</v>
      </c>
      <c r="B8" s="153"/>
      <c r="C8" s="153" t="s">
        <v>83</v>
      </c>
      <c r="D8" s="153" t="s">
        <v>340</v>
      </c>
      <c r="E8" s="153" t="s">
        <v>341</v>
      </c>
      <c r="F8" s="154">
        <v>9000.0</v>
      </c>
      <c r="G8" s="155" t="s">
        <v>342</v>
      </c>
      <c r="H8" s="153" t="s">
        <v>332</v>
      </c>
      <c r="I8" s="156" t="s">
        <v>333</v>
      </c>
    </row>
    <row r="9">
      <c r="A9" s="153" t="s">
        <v>343</v>
      </c>
      <c r="B9" s="153"/>
      <c r="C9" s="153" t="s">
        <v>344</v>
      </c>
      <c r="D9" s="153" t="s">
        <v>345</v>
      </c>
      <c r="E9" s="153"/>
      <c r="F9" s="154">
        <v>4000.0</v>
      </c>
      <c r="G9" s="155" t="s">
        <v>346</v>
      </c>
      <c r="H9" s="153" t="s">
        <v>332</v>
      </c>
      <c r="I9" s="157" t="s">
        <v>347</v>
      </c>
    </row>
    <row r="10">
      <c r="A10" s="153" t="s">
        <v>348</v>
      </c>
      <c r="B10" s="153" t="s">
        <v>349</v>
      </c>
      <c r="C10" s="153" t="s">
        <v>344</v>
      </c>
      <c r="D10" s="153" t="s">
        <v>350</v>
      </c>
      <c r="E10" s="153"/>
      <c r="F10" s="154">
        <v>9550.0</v>
      </c>
      <c r="G10" s="155" t="s">
        <v>351</v>
      </c>
      <c r="H10" s="153" t="s">
        <v>332</v>
      </c>
      <c r="I10" s="157" t="s">
        <v>347</v>
      </c>
    </row>
    <row r="11">
      <c r="A11" s="153" t="s">
        <v>352</v>
      </c>
      <c r="B11" s="153" t="s">
        <v>353</v>
      </c>
      <c r="C11" s="153" t="s">
        <v>83</v>
      </c>
      <c r="D11" s="153" t="s">
        <v>354</v>
      </c>
      <c r="E11" s="153"/>
      <c r="F11" s="154">
        <v>46704.0</v>
      </c>
      <c r="G11" s="155" t="s">
        <v>355</v>
      </c>
      <c r="H11" s="153" t="s">
        <v>332</v>
      </c>
      <c r="I11" s="157" t="s">
        <v>347</v>
      </c>
    </row>
    <row r="12">
      <c r="A12" s="153" t="s">
        <v>356</v>
      </c>
      <c r="B12" s="153" t="s">
        <v>357</v>
      </c>
      <c r="C12" s="153" t="s">
        <v>344</v>
      </c>
      <c r="D12" s="153" t="s">
        <v>350</v>
      </c>
      <c r="E12" s="153"/>
      <c r="F12" s="154">
        <v>2000.0</v>
      </c>
      <c r="G12" s="155"/>
      <c r="H12" s="153" t="s">
        <v>332</v>
      </c>
      <c r="I12" s="157" t="s">
        <v>347</v>
      </c>
    </row>
    <row r="13">
      <c r="A13" s="153" t="s">
        <v>358</v>
      </c>
      <c r="B13" s="153" t="s">
        <v>359</v>
      </c>
      <c r="C13" s="153" t="s">
        <v>83</v>
      </c>
      <c r="D13" s="153" t="s">
        <v>360</v>
      </c>
      <c r="E13" s="153"/>
      <c r="F13" s="154">
        <v>20999.0</v>
      </c>
      <c r="G13" s="155" t="s">
        <v>361</v>
      </c>
      <c r="H13" s="153" t="s">
        <v>332</v>
      </c>
      <c r="I13" s="157" t="s">
        <v>347</v>
      </c>
    </row>
    <row r="14">
      <c r="A14" s="153" t="s">
        <v>362</v>
      </c>
      <c r="B14" s="153"/>
      <c r="C14" s="153" t="s">
        <v>363</v>
      </c>
      <c r="D14" s="153" t="s">
        <v>364</v>
      </c>
      <c r="E14" s="153"/>
      <c r="F14" s="154">
        <v>6524.0</v>
      </c>
      <c r="G14" s="155" t="s">
        <v>365</v>
      </c>
      <c r="H14" s="153" t="s">
        <v>332</v>
      </c>
      <c r="I14" s="157" t="s">
        <v>347</v>
      </c>
    </row>
    <row r="15">
      <c r="A15" s="153" t="s">
        <v>366</v>
      </c>
      <c r="B15" s="153"/>
      <c r="C15" s="153" t="s">
        <v>363</v>
      </c>
      <c r="D15" s="153" t="s">
        <v>367</v>
      </c>
      <c r="E15" s="153"/>
      <c r="F15" s="154">
        <v>297000.0</v>
      </c>
      <c r="G15" s="155" t="s">
        <v>368</v>
      </c>
      <c r="H15" s="153" t="s">
        <v>332</v>
      </c>
      <c r="I15" s="157" t="s">
        <v>347</v>
      </c>
    </row>
    <row r="16">
      <c r="A16" s="153" t="s">
        <v>369</v>
      </c>
      <c r="B16" s="153"/>
      <c r="C16" s="153" t="s">
        <v>363</v>
      </c>
      <c r="D16" s="153" t="s">
        <v>367</v>
      </c>
      <c r="E16" s="153"/>
      <c r="F16" s="154">
        <v>12900.0</v>
      </c>
      <c r="G16" s="155" t="s">
        <v>370</v>
      </c>
      <c r="H16" s="153" t="s">
        <v>332</v>
      </c>
      <c r="I16" s="157" t="s">
        <v>347</v>
      </c>
    </row>
    <row r="17">
      <c r="A17" s="153" t="s">
        <v>371</v>
      </c>
      <c r="B17" s="153"/>
      <c r="C17" s="153" t="s">
        <v>344</v>
      </c>
      <c r="D17" s="153" t="s">
        <v>350</v>
      </c>
      <c r="E17" s="153"/>
      <c r="F17" s="154">
        <v>3150.0</v>
      </c>
      <c r="G17" s="155" t="s">
        <v>372</v>
      </c>
      <c r="H17" s="153" t="s">
        <v>332</v>
      </c>
      <c r="I17" s="157" t="s">
        <v>347</v>
      </c>
    </row>
    <row r="18">
      <c r="A18" s="153" t="s">
        <v>373</v>
      </c>
      <c r="B18" s="153"/>
      <c r="C18" s="153" t="s">
        <v>344</v>
      </c>
      <c r="D18" s="153" t="s">
        <v>350</v>
      </c>
      <c r="E18" s="153"/>
      <c r="F18" s="154">
        <v>525.0</v>
      </c>
      <c r="G18" s="155" t="s">
        <v>374</v>
      </c>
      <c r="H18" s="153" t="s">
        <v>332</v>
      </c>
      <c r="I18" s="157" t="s">
        <v>347</v>
      </c>
    </row>
    <row r="19">
      <c r="A19" s="153" t="s">
        <v>375</v>
      </c>
      <c r="B19" s="153" t="s">
        <v>376</v>
      </c>
      <c r="C19" s="153" t="s">
        <v>377</v>
      </c>
      <c r="D19" s="153" t="s">
        <v>313</v>
      </c>
      <c r="E19" s="153" t="s">
        <v>378</v>
      </c>
      <c r="F19" s="154">
        <v>1656000.0</v>
      </c>
      <c r="G19" s="155" t="s">
        <v>379</v>
      </c>
      <c r="H19" s="153" t="s">
        <v>332</v>
      </c>
      <c r="I19" s="157" t="s">
        <v>347</v>
      </c>
    </row>
    <row r="20" ht="15.75" customHeight="1">
      <c r="A20" s="153" t="s">
        <v>380</v>
      </c>
      <c r="B20" s="153" t="s">
        <v>376</v>
      </c>
      <c r="C20" s="153" t="s">
        <v>377</v>
      </c>
      <c r="D20" s="153" t="s">
        <v>381</v>
      </c>
      <c r="E20" s="153" t="s">
        <v>382</v>
      </c>
      <c r="F20" s="154">
        <v>2012040.0</v>
      </c>
      <c r="G20" s="155" t="s">
        <v>383</v>
      </c>
      <c r="H20" s="153" t="s">
        <v>332</v>
      </c>
      <c r="I20" s="157" t="s">
        <v>347</v>
      </c>
    </row>
    <row r="21" ht="15.75" customHeight="1">
      <c r="A21" s="153" t="s">
        <v>384</v>
      </c>
      <c r="B21" s="153" t="s">
        <v>376</v>
      </c>
      <c r="C21" s="153" t="s">
        <v>377</v>
      </c>
      <c r="D21" s="153" t="s">
        <v>381</v>
      </c>
      <c r="E21" s="153" t="s">
        <v>385</v>
      </c>
      <c r="F21" s="154">
        <v>299964.0</v>
      </c>
      <c r="G21" s="155" t="s">
        <v>386</v>
      </c>
      <c r="H21" s="153" t="s">
        <v>332</v>
      </c>
      <c r="I21" s="157" t="s">
        <v>347</v>
      </c>
    </row>
    <row r="22" ht="15.75" customHeight="1">
      <c r="A22" s="153" t="s">
        <v>387</v>
      </c>
      <c r="B22" s="153"/>
      <c r="C22" s="153" t="s">
        <v>377</v>
      </c>
      <c r="D22" s="153" t="s">
        <v>313</v>
      </c>
      <c r="E22" s="153" t="s">
        <v>388</v>
      </c>
      <c r="F22" s="154">
        <v>3312000.0</v>
      </c>
      <c r="G22" s="155" t="s">
        <v>389</v>
      </c>
      <c r="H22" s="153" t="s">
        <v>332</v>
      </c>
      <c r="I22" s="157" t="s">
        <v>347</v>
      </c>
    </row>
    <row r="23" ht="15.75" customHeight="1">
      <c r="A23" s="153" t="s">
        <v>390</v>
      </c>
      <c r="B23" s="153"/>
      <c r="C23" s="153" t="s">
        <v>377</v>
      </c>
      <c r="D23" s="153" t="s">
        <v>381</v>
      </c>
      <c r="E23" s="153" t="s">
        <v>391</v>
      </c>
      <c r="F23" s="154">
        <v>8287488.0</v>
      </c>
      <c r="G23" s="155" t="s">
        <v>392</v>
      </c>
      <c r="H23" s="153" t="s">
        <v>332</v>
      </c>
      <c r="I23" s="157" t="s">
        <v>347</v>
      </c>
    </row>
    <row r="24" ht="15.75" customHeight="1">
      <c r="A24" s="153" t="s">
        <v>393</v>
      </c>
      <c r="B24" s="153"/>
      <c r="C24" s="153" t="s">
        <v>377</v>
      </c>
      <c r="D24" s="153" t="s">
        <v>381</v>
      </c>
      <c r="E24" s="153" t="s">
        <v>394</v>
      </c>
      <c r="F24" s="154">
        <v>664598.0</v>
      </c>
      <c r="G24" s="155" t="s">
        <v>395</v>
      </c>
      <c r="H24" s="153" t="s">
        <v>332</v>
      </c>
      <c r="I24" s="157" t="s">
        <v>347</v>
      </c>
    </row>
    <row r="25" ht="15.75" customHeight="1">
      <c r="A25" s="158"/>
      <c r="B25" s="158"/>
      <c r="C25" s="158"/>
      <c r="D25" s="158"/>
      <c r="E25" s="159" t="s">
        <v>396</v>
      </c>
      <c r="F25" s="160">
        <f>SUMIF(I5:I24,"NET*",F5:F24)</f>
        <v>134287</v>
      </c>
      <c r="G25" s="158"/>
      <c r="H25" s="158"/>
      <c r="I25" s="158"/>
    </row>
    <row r="26" ht="15.75" customHeight="1">
      <c r="A26" s="158"/>
      <c r="B26" s="158"/>
      <c r="C26" s="158"/>
      <c r="D26" s="158"/>
      <c r="E26" s="159" t="s">
        <v>397</v>
      </c>
      <c r="F26" s="161">
        <f>SUMIF(I5:I24,"Yes*",F5:F24)</f>
        <v>16635442</v>
      </c>
      <c r="G26" s="158"/>
      <c r="H26" s="158"/>
      <c r="I26" s="158"/>
    </row>
    <row r="27" ht="15.75" customHeight="1">
      <c r="A27" s="158"/>
      <c r="B27" s="158"/>
      <c r="C27" s="158"/>
      <c r="D27" s="158"/>
      <c r="E27" s="159" t="s">
        <v>398</v>
      </c>
      <c r="F27" s="162">
        <f>SUM(F5:F24)</f>
        <v>16769729</v>
      </c>
      <c r="G27" s="158"/>
      <c r="H27" s="158"/>
      <c r="I27" s="15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4:$I$24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43"/>
    <col customWidth="1" min="2" max="2" width="30.14"/>
    <col customWidth="1" min="3" max="5" width="17.29"/>
    <col customWidth="1" min="6" max="26" width="8.71"/>
  </cols>
  <sheetData>
    <row r="1">
      <c r="A1" s="163" t="s">
        <v>399</v>
      </c>
    </row>
    <row r="2">
      <c r="A2" s="164"/>
    </row>
    <row r="3">
      <c r="A3" s="165" t="s">
        <v>1</v>
      </c>
      <c r="B3" s="165" t="s">
        <v>2</v>
      </c>
      <c r="C3" s="166" t="s">
        <v>400</v>
      </c>
      <c r="D3" s="166" t="s">
        <v>401</v>
      </c>
      <c r="E3" s="166" t="s">
        <v>402</v>
      </c>
    </row>
    <row r="4">
      <c r="A4" s="78" t="s">
        <v>19</v>
      </c>
      <c r="B4" s="78" t="s">
        <v>35</v>
      </c>
      <c r="C4" s="167">
        <f>SUMIFS(ApprovedBudget!E19:E125,ApprovedBudget!$A$19:$A$125,"Sales and Marketing")</f>
        <v>315040</v>
      </c>
      <c r="D4" s="167">
        <f>IF($A4&lt;&gt;"", SUMIFS('Detailed Receipts'!$K:$K, 'Detailed Receipts'!$A:$A, $A4, 'Detailed Receipts'!$B:$B, $B4, 'Detailed Receipts'!$D:$D, "Jan", 'Detailed Receipts'!$L:$L, "OPEX"), SUMIFS('Detailed Receipts'!$K:$K, 'Detailed Receipts'!$A:$A, MID($B4, 12, 100), 'Detailed Receipts'!$D:$D, "Jan", 'Detailed Receipts'!$L:$L, "OPEX"))</f>
        <v>14534</v>
      </c>
      <c r="E4" s="167">
        <f t="shared" ref="E4:E34" si="1">C4-D4</f>
        <v>300506</v>
      </c>
    </row>
    <row r="5">
      <c r="A5" s="168"/>
      <c r="B5" s="169" t="s">
        <v>52</v>
      </c>
      <c r="C5" s="170">
        <f>SUM(C4)</f>
        <v>315040</v>
      </c>
      <c r="D5" s="170">
        <f>IF($A5&lt;&gt;"", SUMIFS('Detailed Receipts'!$K:$K, 'Detailed Receipts'!$A:$A, $A5, 'Detailed Receipts'!$B:$B, $B5, 'Detailed Receipts'!$D:$D, "Jan", 'Detailed Receipts'!$L:$L, "OPEX"), SUMIFS('Detailed Receipts'!$K:$K, 'Detailed Receipts'!$A:$A, MID($B5, 12, 100), 'Detailed Receipts'!$D:$D, "Jan", 'Detailed Receipts'!$L:$L, "OPEX"))</f>
        <v>14534</v>
      </c>
      <c r="E5" s="170">
        <f t="shared" si="1"/>
        <v>300506</v>
      </c>
    </row>
    <row r="6">
      <c r="A6" s="78" t="s">
        <v>22</v>
      </c>
      <c r="B6" s="78" t="s">
        <v>22</v>
      </c>
      <c r="C6" s="167">
        <f>SUMIFS(ApprovedBudget!E19:E125,ApprovedBudget!$A$19:$A$125,"Customer Success",ApprovedBudget!$B$19:$B$125,"Customer Success")</f>
        <v>67500</v>
      </c>
      <c r="D6" s="167">
        <f>IF($A6&lt;&gt;"", SUMIFS('Detailed Receipts'!$K:$K, 'Detailed Receipts'!$A:$A, $A6, 'Detailed Receipts'!$B:$B, $B6, 'Detailed Receipts'!$D:$D, "Jan", 'Detailed Receipts'!$L:$L, "OPEX"), SUMIFS('Detailed Receipts'!$K:$K, 'Detailed Receipts'!$A:$A, MID($B6, 12, 100), 'Detailed Receipts'!$D:$D, "Jan", 'Detailed Receipts'!$L:$L, "OPEX"))</f>
        <v>0</v>
      </c>
      <c r="E6" s="167">
        <f t="shared" si="1"/>
        <v>67500</v>
      </c>
    </row>
    <row r="7">
      <c r="A7" s="171"/>
      <c r="B7" s="169" t="s">
        <v>56</v>
      </c>
      <c r="C7" s="170">
        <f>SUM(C6)</f>
        <v>67500</v>
      </c>
      <c r="D7" s="170">
        <f>IF($A7&lt;&gt;"", SUMIFS('Detailed Receipts'!$K:$K, 'Detailed Receipts'!$A:$A, $A7, 'Detailed Receipts'!$B:$B, $B7, 'Detailed Receipts'!$D:$D, "Jan", 'Detailed Receipts'!$L:$L, "OPEX"), SUMIFS('Detailed Receipts'!$K:$K, 'Detailed Receipts'!$A:$A, MID($B7, 12, 100), 'Detailed Receipts'!$D:$D, "Jan", 'Detailed Receipts'!$L:$L, "OPEX"))</f>
        <v>0</v>
      </c>
      <c r="E7" s="170">
        <f t="shared" si="1"/>
        <v>67500</v>
      </c>
    </row>
    <row r="8">
      <c r="A8" s="78" t="s">
        <v>23</v>
      </c>
      <c r="B8" s="78" t="s">
        <v>66</v>
      </c>
      <c r="C8" s="167">
        <f>SUMIFS(ApprovedBudget!E19:E125,ApprovedBudget!$A$19:$A$125,"Supply Chain",ApprovedBudget!$B$19:$B$125,"Logistics")</f>
        <v>14418</v>
      </c>
      <c r="D8" s="167">
        <f>IF($A8&lt;&gt;"", SUMIFS('Detailed Receipts'!$K:$K, 'Detailed Receipts'!$A:$A, $A8, 'Detailed Receipts'!$B:$B, $B8, 'Detailed Receipts'!$D:$D, "Jan", 'Detailed Receipts'!$L:$L, "OPEX"), SUMIFS('Detailed Receipts'!$K:$K, 'Detailed Receipts'!$A:$A, MID($B8, 12, 100), 'Detailed Receipts'!$D:$D, "Jan", 'Detailed Receipts'!$L:$L, "OPEX"))</f>
        <v>0</v>
      </c>
      <c r="E8" s="167">
        <f t="shared" si="1"/>
        <v>14418</v>
      </c>
    </row>
    <row r="9">
      <c r="A9" s="78" t="s">
        <v>23</v>
      </c>
      <c r="B9" s="78" t="s">
        <v>57</v>
      </c>
      <c r="C9" s="167">
        <f>SUMIFS(ApprovedBudget!E19:E125,ApprovedBudget!$A$19:$A$125,"Supply Chain",ApprovedBudget!$B$19:$B$125,"Procurement")</f>
        <v>2579</v>
      </c>
      <c r="D9" s="167">
        <f>IF($A9&lt;&gt;"", SUMIFS('Detailed Receipts'!$K:$K, 'Detailed Receipts'!$A:$A, $A9, 'Detailed Receipts'!$B:$B, $B9, 'Detailed Receipts'!$D:$D, "Jan", 'Detailed Receipts'!$L:$L, "OPEX"), SUMIFS('Detailed Receipts'!$K:$K, 'Detailed Receipts'!$A:$A, MID($B9, 12, 100), 'Detailed Receipts'!$D:$D, "Jan", 'Detailed Receipts'!$L:$L, "OPEX"))</f>
        <v>13800</v>
      </c>
      <c r="E9" s="167">
        <f t="shared" si="1"/>
        <v>-11221</v>
      </c>
    </row>
    <row r="10">
      <c r="A10" s="78" t="s">
        <v>23</v>
      </c>
      <c r="B10" s="78" t="s">
        <v>64</v>
      </c>
      <c r="C10" s="167">
        <f>SUMIFS(ApprovedBudget!E19:E125,ApprovedBudget!$A$19:$A$125,"Supply Chain",ApprovedBudget!$B$19:$B$125,"Retail")</f>
        <v>125000</v>
      </c>
      <c r="D10" s="167">
        <f>IF($A10&lt;&gt;"", SUMIFS('Detailed Receipts'!$K:$K, 'Detailed Receipts'!$A:$A, $A10, 'Detailed Receipts'!$B:$B, $B10, 'Detailed Receipts'!$D:$D, "Jan", 'Detailed Receipts'!$L:$L, "OPEX"), SUMIFS('Detailed Receipts'!$K:$K, 'Detailed Receipts'!$A:$A, MID($B10, 12, 100), 'Detailed Receipts'!$D:$D, "Jan", 'Detailed Receipts'!$L:$L, "OPEX"))</f>
        <v>4275</v>
      </c>
      <c r="E10" s="167">
        <f t="shared" si="1"/>
        <v>120725</v>
      </c>
    </row>
    <row r="11">
      <c r="A11" s="78" t="s">
        <v>23</v>
      </c>
      <c r="B11" s="78" t="s">
        <v>24</v>
      </c>
      <c r="C11" s="167">
        <f>SUMIFS(ApprovedBudget!E19:E125,ApprovedBudget!$A$19:$A$125,"Supply Chain",ApprovedBudget!$B$19:$B$125,"Warehouse")</f>
        <v>459844</v>
      </c>
      <c r="D11" s="167">
        <f>IF($A11&lt;&gt;"", SUMIFS('Detailed Receipts'!$K:$K, 'Detailed Receipts'!$A:$A, $A11, 'Detailed Receipts'!$B:$B, $B11, 'Detailed Receipts'!$D:$D, "Jan", 'Detailed Receipts'!$L:$L, "OPEX"), SUMIFS('Detailed Receipts'!$K:$K, 'Detailed Receipts'!$A:$A, MID($B11, 12, 100), 'Detailed Receipts'!$D:$D, "Jan", 'Detailed Receipts'!$L:$L, "OPEX"))</f>
        <v>265942</v>
      </c>
      <c r="E11" s="167">
        <f t="shared" si="1"/>
        <v>193902</v>
      </c>
    </row>
    <row r="12">
      <c r="A12" s="168"/>
      <c r="B12" s="169" t="s">
        <v>68</v>
      </c>
      <c r="C12" s="170">
        <f>SUM(C8:C11)</f>
        <v>601841</v>
      </c>
      <c r="D12" s="170">
        <f>IF($A12&lt;&gt;"", SUMIFS('Detailed Receipts'!$K:$K, 'Detailed Receipts'!$A:$A, $A12, 'Detailed Receipts'!$B:$B, $B12, 'Detailed Receipts'!$D:$D, "Jan", 'Detailed Receipts'!$L:$L, "OPEX"), SUMIFS('Detailed Receipts'!$K:$K, 'Detailed Receipts'!$A:$A, MID($B12, 12, 100), 'Detailed Receipts'!$D:$D, "Jan", 'Detailed Receipts'!$L:$L, "OPEX"))</f>
        <v>284017</v>
      </c>
      <c r="E12" s="170">
        <f t="shared" si="1"/>
        <v>317824</v>
      </c>
    </row>
    <row r="13">
      <c r="A13" s="78" t="s">
        <v>25</v>
      </c>
      <c r="B13" s="78" t="s">
        <v>25</v>
      </c>
      <c r="C13" s="167">
        <f>SUMIFS(ApprovedBudget!E19:E125,ApprovedBudget!$A$19:$A$125,"Aftersales",ApprovedBudget!$B$19:$B$125,"Aftersales")</f>
        <v>28800</v>
      </c>
      <c r="D13" s="167">
        <f>IF($A13&lt;&gt;"", SUMIFS('Detailed Receipts'!$K:$K, 'Detailed Receipts'!$A:$A, $A13, 'Detailed Receipts'!$B:$B, $B13, 'Detailed Receipts'!$D:$D, "Jan", 'Detailed Receipts'!$L:$L, "OPEX"), SUMIFS('Detailed Receipts'!$K:$K, 'Detailed Receipts'!$A:$A, MID($B13, 12, 100), 'Detailed Receipts'!$D:$D, "Jan", 'Detailed Receipts'!$L:$L, "OPEX"))</f>
        <v>0</v>
      </c>
      <c r="E13" s="167">
        <f t="shared" si="1"/>
        <v>28800</v>
      </c>
    </row>
    <row r="14">
      <c r="A14" s="168"/>
      <c r="B14" s="169" t="s">
        <v>70</v>
      </c>
      <c r="C14" s="170">
        <f>SUM(C13)</f>
        <v>28800</v>
      </c>
      <c r="D14" s="170">
        <f>IF($A14&lt;&gt;"", SUMIFS('Detailed Receipts'!$K:$K, 'Detailed Receipts'!$A:$A, $A14, 'Detailed Receipts'!$B:$B, $B14, 'Detailed Receipts'!$D:$D, "Jan", 'Detailed Receipts'!$L:$L, "OPEX"), SUMIFS('Detailed Receipts'!$K:$K, 'Detailed Receipts'!$A:$A, MID($B14, 12, 100), 'Detailed Receipts'!$D:$D, "Jan", 'Detailed Receipts'!$L:$L, "OPEX"))</f>
        <v>0</v>
      </c>
      <c r="E14" s="170">
        <f t="shared" si="1"/>
        <v>28800</v>
      </c>
    </row>
    <row r="15">
      <c r="A15" s="78" t="s">
        <v>26</v>
      </c>
      <c r="B15" s="78" t="s">
        <v>403</v>
      </c>
      <c r="C15" s="167">
        <f>SUMIFS(ApprovedBudget!E19:E125,ApprovedBudget!$A$19:$A$125,"Product",ApprovedBudget!$B$19:$B$125,"Homologation &amp; Registration")</f>
        <v>0</v>
      </c>
      <c r="D15" s="167">
        <f>IF($A15&lt;&gt;"", SUMIFS('Detailed Receipts'!$K:$K, 'Detailed Receipts'!$A:$A, $A15, 'Detailed Receipts'!$B:$B, $B15, 'Detailed Receipts'!$D:$D, "Jan", 'Detailed Receipts'!$L:$L, "OPEX"), SUMIFS('Detailed Receipts'!$K:$K, 'Detailed Receipts'!$A:$A, MID($B15, 12, 100), 'Detailed Receipts'!$D:$D, "Jan", 'Detailed Receipts'!$L:$L, "OPEX"))</f>
        <v>250555</v>
      </c>
      <c r="E15" s="167">
        <f t="shared" si="1"/>
        <v>-250555</v>
      </c>
    </row>
    <row r="16">
      <c r="A16" s="78" t="s">
        <v>26</v>
      </c>
      <c r="B16" s="78" t="s">
        <v>71</v>
      </c>
      <c r="C16" s="167">
        <f>SUMIFS(ApprovedBudget!E19:E125,ApprovedBudget!$A$19:$A$125,"Product",ApprovedBudget!$B$19:$B$125,"R&amp;D")</f>
        <v>15000</v>
      </c>
      <c r="D16" s="167">
        <f>IF($A16&lt;&gt;"", SUMIFS('Detailed Receipts'!$K:$K, 'Detailed Receipts'!$A:$A, $A16, 'Detailed Receipts'!$B:$B, $B16, 'Detailed Receipts'!$D:$D, "Jan", 'Detailed Receipts'!$L:$L, "OPEX"), SUMIFS('Detailed Receipts'!$K:$K, 'Detailed Receipts'!$A:$A, MID($B16, 12, 100), 'Detailed Receipts'!$D:$D, "Jan", 'Detailed Receipts'!$L:$L, "OPEX"))</f>
        <v>0</v>
      </c>
      <c r="E16" s="167">
        <f t="shared" si="1"/>
        <v>15000</v>
      </c>
    </row>
    <row r="17">
      <c r="A17" s="168"/>
      <c r="B17" s="169" t="s">
        <v>74</v>
      </c>
      <c r="C17" s="170">
        <f>SUM(C15:C16)</f>
        <v>15000</v>
      </c>
      <c r="D17" s="170">
        <f>IF($A17&lt;&gt;"", SUMIFS('Detailed Receipts'!$K:$K, 'Detailed Receipts'!$A:$A, $A17, 'Detailed Receipts'!$B:$B, $B17, 'Detailed Receipts'!$D:$D, "Jan", 'Detailed Receipts'!$L:$L, "OPEX"), SUMIFS('Detailed Receipts'!$K:$K, 'Detailed Receipts'!$A:$A, MID($B17, 12, 100), 'Detailed Receipts'!$D:$D, "Jan", 'Detailed Receipts'!$L:$L, "OPEX"))</f>
        <v>250555</v>
      </c>
      <c r="E17" s="170">
        <f t="shared" si="1"/>
        <v>-235555</v>
      </c>
    </row>
    <row r="18">
      <c r="A18" s="78" t="s">
        <v>27</v>
      </c>
      <c r="B18" s="78" t="s">
        <v>214</v>
      </c>
      <c r="C18" s="167">
        <f>SUMIFS(ApprovedBudget!E19:E125,ApprovedBudget!$A$19:$A$125,"RideBox",ApprovedBudget!$B$19:$B$125,"RideBox")</f>
        <v>0</v>
      </c>
      <c r="D18" s="167">
        <f>IF($A18&lt;&gt;"", SUMIFS('Detailed Receipts'!$K:$K, 'Detailed Receipts'!$A:$A, $A18, 'Detailed Receipts'!$B:$B, $B18, 'Detailed Receipts'!$D:$D, "Jan", 'Detailed Receipts'!$L:$L, "OPEX"), SUMIFS('Detailed Receipts'!$K:$K, 'Detailed Receipts'!$A:$A, MID($B18, 12, 100), 'Detailed Receipts'!$D:$D, "Jan", 'Detailed Receipts'!$L:$L, "OPEX"))</f>
        <v>0</v>
      </c>
      <c r="E18" s="167">
        <f t="shared" si="1"/>
        <v>0</v>
      </c>
    </row>
    <row r="19">
      <c r="A19" s="78" t="s">
        <v>27</v>
      </c>
      <c r="B19" s="78" t="s">
        <v>75</v>
      </c>
      <c r="C19" s="167">
        <f>SUMIFS(ApprovedBudget!E19:E125,ApprovedBudget!$A$19:$A$125,"RideBox",ApprovedBudget!$B$19:$B$125,"Monitoring &amp; Field Ops")</f>
        <v>0</v>
      </c>
      <c r="D19" s="167">
        <f>IF($A19&lt;&gt;"", SUMIFS('Detailed Receipts'!$K:$K, 'Detailed Receipts'!$A:$A, $A19, 'Detailed Receipts'!$B:$B, $B19, 'Detailed Receipts'!$D:$D, "Jan", 'Detailed Receipts'!$L:$L, "OPEX"), SUMIFS('Detailed Receipts'!$K:$K, 'Detailed Receipts'!$A:$A, MID($B19, 12, 100), 'Detailed Receipts'!$D:$D, "Jan", 'Detailed Receipts'!$L:$L, "OPEX"))</f>
        <v>0</v>
      </c>
      <c r="E19" s="167">
        <f t="shared" si="1"/>
        <v>0</v>
      </c>
    </row>
    <row r="20">
      <c r="A20" s="78" t="s">
        <v>27</v>
      </c>
      <c r="B20" s="78" t="s">
        <v>77</v>
      </c>
      <c r="C20" s="167">
        <f>SUMIFS(ApprovedBudget!E19:E125,ApprovedBudget!$A$19:$A$125,"RideBox",ApprovedBudget!$B$19:$B$125,"Network Rollout")</f>
        <v>0</v>
      </c>
      <c r="D20" s="167">
        <f>IF($A20&lt;&gt;"", SUMIFS('Detailed Receipts'!$K:$K, 'Detailed Receipts'!$A:$A, $A20, 'Detailed Receipts'!$B:$B, $B20, 'Detailed Receipts'!$D:$D, "Jan", 'Detailed Receipts'!$L:$L, "OPEX"), SUMIFS('Detailed Receipts'!$K:$K, 'Detailed Receipts'!$A:$A, MID($B20, 12, 100), 'Detailed Receipts'!$D:$D, "Jan", 'Detailed Receipts'!$L:$L, "OPEX"))</f>
        <v>7922</v>
      </c>
      <c r="E20" s="167">
        <f t="shared" si="1"/>
        <v>-7922</v>
      </c>
    </row>
    <row r="21" ht="15.75" customHeight="1">
      <c r="A21" s="78" t="s">
        <v>27</v>
      </c>
      <c r="B21" s="78" t="s">
        <v>210</v>
      </c>
      <c r="C21" s="167">
        <f>SUMIFS(ApprovedBudget!E19:E125,ApprovedBudget!$A$19:$A$125,"RideBox",ApprovedBudget!$B$19:$B$125,"Service Center")</f>
        <v>0</v>
      </c>
      <c r="D21" s="167">
        <f>IF($A21&lt;&gt;"", SUMIFS('Detailed Receipts'!$K:$K, 'Detailed Receipts'!$A:$A, $A21, 'Detailed Receipts'!$B:$B, $B21, 'Detailed Receipts'!$D:$D, "Jan", 'Detailed Receipts'!$L:$L, "OPEX"), SUMIFS('Detailed Receipts'!$K:$K, 'Detailed Receipts'!$A:$A, MID($B21, 12, 100), 'Detailed Receipts'!$D:$D, "Jan", 'Detailed Receipts'!$L:$L, "OPEX"))</f>
        <v>8308</v>
      </c>
      <c r="E21" s="167">
        <f t="shared" si="1"/>
        <v>-8308</v>
      </c>
    </row>
    <row r="22" ht="15.75" customHeight="1">
      <c r="A22" s="168"/>
      <c r="B22" s="169" t="s">
        <v>82</v>
      </c>
      <c r="C22" s="170">
        <f>SUM(C18:C21)</f>
        <v>0</v>
      </c>
      <c r="D22" s="170">
        <f>IF($A22&lt;&gt;"", SUMIFS('Detailed Receipts'!$K:$K, 'Detailed Receipts'!$A:$A, $A22, 'Detailed Receipts'!$B:$B, $B22, 'Detailed Receipts'!$D:$D, "Jan", 'Detailed Receipts'!$L:$L, "OPEX"), SUMIFS('Detailed Receipts'!$K:$K, 'Detailed Receipts'!$A:$A, MID($B22, 12, 100), 'Detailed Receipts'!$D:$D, "Jan", 'Detailed Receipts'!$L:$L, "OPEX"))</f>
        <v>16230</v>
      </c>
      <c r="E22" s="170">
        <f t="shared" si="1"/>
        <v>-16230</v>
      </c>
    </row>
    <row r="23" ht="15.75" customHeight="1">
      <c r="A23" s="78" t="s">
        <v>28</v>
      </c>
      <c r="B23" s="78" t="s">
        <v>28</v>
      </c>
      <c r="C23" s="167">
        <f>SUMIFS(ApprovedBudget!E19:E125,ApprovedBudget!$A$19:$A$125,"Technology")</f>
        <v>0</v>
      </c>
      <c r="D23" s="167">
        <f>IF($A23&lt;&gt;"", SUMIFS('Detailed Receipts'!$K:$K, 'Detailed Receipts'!$A:$A, $A23, 'Detailed Receipts'!$B:$B, $B23, 'Detailed Receipts'!$D:$D, "Jan", 'Detailed Receipts'!$L:$L, "OPEX"), SUMIFS('Detailed Receipts'!$K:$K, 'Detailed Receipts'!$A:$A, MID($B23, 12, 100), 'Detailed Receipts'!$D:$D, "Jan", 'Detailed Receipts'!$L:$L, "OPEX"))</f>
        <v>215926</v>
      </c>
      <c r="E23" s="167">
        <f t="shared" si="1"/>
        <v>-215926</v>
      </c>
    </row>
    <row r="24" ht="15.75" customHeight="1">
      <c r="A24" s="168"/>
      <c r="B24" s="169" t="s">
        <v>184</v>
      </c>
      <c r="C24" s="170">
        <f>SUM(C23)</f>
        <v>0</v>
      </c>
      <c r="D24" s="170">
        <f>IF($A24&lt;&gt;"", SUMIFS('Detailed Receipts'!$K:$K, 'Detailed Receipts'!$A:$A, $A24, 'Detailed Receipts'!$B:$B, $B24, 'Detailed Receipts'!$D:$D, "Jan", 'Detailed Receipts'!$L:$L, "OPEX"), SUMIFS('Detailed Receipts'!$K:$K, 'Detailed Receipts'!$A:$A, MID($B24, 12, 100), 'Detailed Receipts'!$D:$D, "Jan", 'Detailed Receipts'!$L:$L, "OPEX"))</f>
        <v>215926</v>
      </c>
      <c r="E24" s="170">
        <f t="shared" si="1"/>
        <v>-215926</v>
      </c>
    </row>
    <row r="25" ht="15.75" customHeight="1">
      <c r="A25" s="78" t="s">
        <v>29</v>
      </c>
      <c r="B25" s="78" t="s">
        <v>29</v>
      </c>
      <c r="C25" s="167">
        <f>SUMIFS(ApprovedBudget!E19:E125,ApprovedBudget!$A$19:$A$125,"Finance and Accounting",ApprovedBudget!$B$19:$B$125,"Finance and Accounting")</f>
        <v>46472</v>
      </c>
      <c r="D25" s="167">
        <f>IF($A25&lt;&gt;"", SUMIFS('Detailed Receipts'!$K:$K, 'Detailed Receipts'!$A:$A, $A25, 'Detailed Receipts'!$B:$B, $B25, 'Detailed Receipts'!$D:$D, "Jan", 'Detailed Receipts'!$L:$L, "OPEX"), SUMIFS('Detailed Receipts'!$K:$K, 'Detailed Receipts'!$A:$A, MID($B25, 12, 100), 'Detailed Receipts'!$D:$D, "Jan", 'Detailed Receipts'!$L:$L, "OPEX"))</f>
        <v>367466</v>
      </c>
      <c r="E25" s="167">
        <f t="shared" si="1"/>
        <v>-320994</v>
      </c>
    </row>
    <row r="26" ht="15.75" customHeight="1">
      <c r="A26" s="168"/>
      <c r="B26" s="169" t="s">
        <v>123</v>
      </c>
      <c r="C26" s="170">
        <f>SUM(C25)</f>
        <v>46472</v>
      </c>
      <c r="D26" s="170">
        <f>IF($A26&lt;&gt;"", SUMIFS('Detailed Receipts'!$K:$K, 'Detailed Receipts'!$A:$A, $A26, 'Detailed Receipts'!$B:$B, $B26, 'Detailed Receipts'!$D:$D, "Jan", 'Detailed Receipts'!$L:$L, "OPEX"), SUMIFS('Detailed Receipts'!$K:$K, 'Detailed Receipts'!$A:$A, MID($B26, 12, 100), 'Detailed Receipts'!$D:$D, "Jan", 'Detailed Receipts'!$L:$L, "OPEX"))</f>
        <v>367466</v>
      </c>
      <c r="E26" s="170">
        <f t="shared" si="1"/>
        <v>-320994</v>
      </c>
    </row>
    <row r="27" ht="15.75" customHeight="1">
      <c r="A27" s="78" t="s">
        <v>30</v>
      </c>
      <c r="B27" s="78" t="s">
        <v>30</v>
      </c>
      <c r="C27" s="167">
        <f>SUMIFS(ApprovedBudget!E19:E125,ApprovedBudget!$A$19:$A$125,"Admin",ApprovedBudget!$B$19:$B$125,"Admin")</f>
        <v>580893</v>
      </c>
      <c r="D27" s="167">
        <f>IF($A27&lt;&gt;"", SUMIFS('Detailed Receipts'!$K:$K, 'Detailed Receipts'!$A:$A, $A27, 'Detailed Receipts'!$B:$B, $B27, 'Detailed Receipts'!$D:$D, "Jan", 'Detailed Receipts'!$L:$L, "OPEX"), SUMIFS('Detailed Receipts'!$K:$K, 'Detailed Receipts'!$A:$A, MID($B27, 12, 100), 'Detailed Receipts'!$D:$D, "Jan", 'Detailed Receipts'!$L:$L, "OPEX"))</f>
        <v>336277</v>
      </c>
      <c r="E27" s="167">
        <f t="shared" si="1"/>
        <v>244616</v>
      </c>
    </row>
    <row r="28" ht="15.75" customHeight="1">
      <c r="A28" s="168"/>
      <c r="B28" s="169" t="s">
        <v>130</v>
      </c>
      <c r="C28" s="170">
        <f>SUM(C27)</f>
        <v>580893</v>
      </c>
      <c r="D28" s="170">
        <f>IF($A28&lt;&gt;"", SUMIFS('Detailed Receipts'!$K:$K, 'Detailed Receipts'!$A:$A, $A28, 'Detailed Receipts'!$B:$B, $B28, 'Detailed Receipts'!$D:$D, "Jan", 'Detailed Receipts'!$L:$L, "OPEX"), SUMIFS('Detailed Receipts'!$K:$K, 'Detailed Receipts'!$A:$A, MID($B28, 12, 100), 'Detailed Receipts'!$D:$D, "Jan", 'Detailed Receipts'!$L:$L, "OPEX"))</f>
        <v>336277</v>
      </c>
      <c r="E28" s="170">
        <f t="shared" si="1"/>
        <v>244616</v>
      </c>
    </row>
    <row r="29" ht="15.75" customHeight="1">
      <c r="A29" s="78" t="s">
        <v>31</v>
      </c>
      <c r="B29" s="78" t="s">
        <v>31</v>
      </c>
      <c r="C29" s="167">
        <f>SUMIFS(ApprovedBudget!E19:E125,ApprovedBudget!$A$19:$A$125,"HR",ApprovedBudget!$B$19:$B$125,"HR")</f>
        <v>0</v>
      </c>
      <c r="D29" s="167">
        <f>IF($A29&lt;&gt;"", SUMIFS('Detailed Receipts'!$K:$K, 'Detailed Receipts'!$A:$A, $A29, 'Detailed Receipts'!$B:$B, $B29, 'Detailed Receipts'!$D:$D, "Jan", 'Detailed Receipts'!$L:$L, "OPEX"), SUMIFS('Detailed Receipts'!$K:$K, 'Detailed Receipts'!$A:$A, MID($B29, 12, 100), 'Detailed Receipts'!$D:$D, "Jan", 'Detailed Receipts'!$L:$L, "OPEX"))</f>
        <v>12065</v>
      </c>
      <c r="E29" s="167">
        <f t="shared" si="1"/>
        <v>-12065</v>
      </c>
    </row>
    <row r="30" ht="15.75" customHeight="1">
      <c r="A30" s="168"/>
      <c r="B30" s="169" t="s">
        <v>137</v>
      </c>
      <c r="C30" s="170">
        <f>SUM(C29)</f>
        <v>0</v>
      </c>
      <c r="D30" s="170">
        <f>IF($A30&lt;&gt;"", SUMIFS('Detailed Receipts'!$K:$K, 'Detailed Receipts'!$A:$A, $A30, 'Detailed Receipts'!$B:$B, $B30, 'Detailed Receipts'!$D:$D, "Jan", 'Detailed Receipts'!$L:$L, "OPEX"), SUMIFS('Detailed Receipts'!$K:$K, 'Detailed Receipts'!$A:$A, MID($B30, 12, 100), 'Detailed Receipts'!$D:$D, "Jan", 'Detailed Receipts'!$L:$L, "OPEX"))</f>
        <v>12065</v>
      </c>
      <c r="E30" s="170">
        <f t="shared" si="1"/>
        <v>-12065</v>
      </c>
    </row>
    <row r="31" ht="15.75" customHeight="1">
      <c r="A31" s="78" t="s">
        <v>32</v>
      </c>
      <c r="B31" s="78" t="s">
        <v>140</v>
      </c>
      <c r="C31" s="167">
        <f>SUMIFS(ApprovedBudget!E19:E125,ApprovedBudget!$A$19:$A$125,"Compliance and Risk",ApprovedBudget!$B$19:$B$125,"Legal &amp; notarial")</f>
        <v>60000</v>
      </c>
      <c r="D31" s="167">
        <f>IF($A31&lt;&gt;"", SUMIFS('Detailed Receipts'!$K:$K, 'Detailed Receipts'!$A:$A, $A31, 'Detailed Receipts'!$B:$B, $B31, 'Detailed Receipts'!$D:$D, "Jan", 'Detailed Receipts'!$L:$L, "OPEX"), SUMIFS('Detailed Receipts'!$K:$K, 'Detailed Receipts'!$A:$A, MID($B31, 12, 100), 'Detailed Receipts'!$D:$D, "Jan", 'Detailed Receipts'!$L:$L, "OPEX"))</f>
        <v>103338</v>
      </c>
      <c r="E31" s="167">
        <f t="shared" si="1"/>
        <v>-43338</v>
      </c>
    </row>
    <row r="32" ht="15.75" customHeight="1">
      <c r="A32" s="78" t="s">
        <v>32</v>
      </c>
      <c r="B32" s="78" t="s">
        <v>138</v>
      </c>
      <c r="C32" s="167">
        <f>SUMIFS(ApprovedBudget!E19:E125,ApprovedBudget!$A$19:$A$125,"Compliance and Risk",ApprovedBudget!$B$19:$B$125,"Permits &amp; registration")</f>
        <v>66800</v>
      </c>
      <c r="D32" s="167">
        <f>IF($A32&lt;&gt;"", SUMIFS('Detailed Receipts'!$K:$K, 'Detailed Receipts'!$A:$A, $A32, 'Detailed Receipts'!$B:$B, $B32, 'Detailed Receipts'!$D:$D, "Jan", 'Detailed Receipts'!$L:$L, "OPEX"), SUMIFS('Detailed Receipts'!$K:$K, 'Detailed Receipts'!$A:$A, MID($B32, 12, 100), 'Detailed Receipts'!$D:$D, "Jan", 'Detailed Receipts'!$L:$L, "OPEX"))</f>
        <v>289718</v>
      </c>
      <c r="E32" s="167">
        <f t="shared" si="1"/>
        <v>-222918</v>
      </c>
    </row>
    <row r="33" ht="15.75" customHeight="1">
      <c r="A33" s="168"/>
      <c r="B33" s="169" t="s">
        <v>146</v>
      </c>
      <c r="C33" s="170">
        <f>SUM(C31:C32)</f>
        <v>126800</v>
      </c>
      <c r="D33" s="170">
        <f>IF($A33&lt;&gt;"", SUMIFS('Detailed Receipts'!$K:$K, 'Detailed Receipts'!$A:$A, $A33, 'Detailed Receipts'!$B:$B, $B33, 'Detailed Receipts'!$D:$D, "Jan", 'Detailed Receipts'!$L:$L, "OPEX"), SUMIFS('Detailed Receipts'!$K:$K, 'Detailed Receipts'!$A:$A, MID($B33, 12, 100), 'Detailed Receipts'!$D:$D, "Jan", 'Detailed Receipts'!$L:$L, "OPEX"))</f>
        <v>393056</v>
      </c>
      <c r="E33" s="170">
        <f t="shared" si="1"/>
        <v>-266256</v>
      </c>
    </row>
    <row r="34" ht="15.75" customHeight="1">
      <c r="A34" s="172"/>
      <c r="B34" s="173" t="s">
        <v>404</v>
      </c>
      <c r="C34" s="174">
        <f t="shared" ref="C34:D34" si="2">SUMIF($B4:$B33,"Subtotal*",C4:C33)</f>
        <v>1782346</v>
      </c>
      <c r="D34" s="174">
        <f t="shared" si="2"/>
        <v>1890126</v>
      </c>
      <c r="E34" s="174">
        <f t="shared" si="1"/>
        <v>-107780</v>
      </c>
    </row>
    <row r="35" ht="15.75" customHeight="1">
      <c r="A35" s="175"/>
      <c r="B35" s="176"/>
      <c r="C35" s="167"/>
      <c r="D35" s="167"/>
      <c r="E35" s="167"/>
    </row>
    <row r="36" ht="15.75" customHeight="1">
      <c r="A36" s="176"/>
      <c r="B36" s="176"/>
      <c r="C36" s="167"/>
      <c r="D36" s="167"/>
      <c r="E36" s="167"/>
    </row>
    <row r="37" ht="15.75" customHeight="1">
      <c r="A37" s="176"/>
      <c r="B37" s="176"/>
      <c r="C37" s="167"/>
      <c r="D37" s="167"/>
      <c r="E37" s="167"/>
    </row>
    <row r="38" ht="15.75" customHeight="1">
      <c r="A38" s="175"/>
      <c r="B38" s="176"/>
      <c r="C38" s="167"/>
      <c r="D38" s="167"/>
      <c r="E38" s="167"/>
    </row>
    <row r="39" ht="15.75" customHeight="1">
      <c r="A39" s="176"/>
      <c r="B39" s="176"/>
      <c r="C39" s="167"/>
      <c r="D39" s="167"/>
      <c r="E39" s="167"/>
    </row>
    <row r="40" ht="15.75" customHeight="1">
      <c r="A40" s="176"/>
      <c r="B40" s="176"/>
      <c r="C40" s="167"/>
      <c r="D40" s="167"/>
      <c r="E40" s="167"/>
    </row>
    <row r="41" ht="15.75" customHeight="1">
      <c r="A41" s="175"/>
      <c r="B41" s="176"/>
      <c r="C41" s="167"/>
      <c r="D41" s="167"/>
      <c r="E41" s="167"/>
    </row>
    <row r="42" ht="15.75" customHeight="1">
      <c r="A42" s="176"/>
      <c r="B42" s="176"/>
      <c r="C42" s="167"/>
      <c r="D42" s="167"/>
      <c r="E42" s="167"/>
    </row>
    <row r="43" ht="15.75" customHeight="1">
      <c r="A43" s="176"/>
      <c r="B43" s="176"/>
      <c r="C43" s="167"/>
      <c r="D43" s="167"/>
      <c r="E43" s="167"/>
    </row>
    <row r="44" ht="15.75" customHeight="1">
      <c r="A44" s="176"/>
      <c r="B44" s="176"/>
      <c r="C44" s="167"/>
      <c r="D44" s="167"/>
      <c r="E44" s="167"/>
    </row>
    <row r="45" ht="15.75" customHeight="1">
      <c r="A45" s="175"/>
      <c r="B45" s="176"/>
      <c r="C45" s="167"/>
      <c r="D45" s="167"/>
      <c r="E45" s="167"/>
    </row>
    <row r="46" ht="15.75" customHeight="1">
      <c r="A46" s="175"/>
      <c r="B46" s="176"/>
      <c r="C46" s="167"/>
      <c r="D46" s="167"/>
      <c r="E46" s="167"/>
    </row>
    <row r="47" ht="15.75" customHeight="1">
      <c r="A47" s="175"/>
      <c r="B47" s="175"/>
      <c r="C47" s="167"/>
      <c r="D47" s="167"/>
      <c r="E47" s="167"/>
    </row>
    <row r="48" ht="15.75" customHeight="1">
      <c r="A48" s="176"/>
      <c r="B48" s="175"/>
      <c r="C48" s="167"/>
      <c r="D48" s="167"/>
      <c r="E48" s="167"/>
    </row>
    <row r="49" ht="15.75" customHeight="1">
      <c r="A49" s="176"/>
      <c r="B49" s="176"/>
      <c r="C49" s="167"/>
      <c r="D49" s="167"/>
      <c r="E49" s="167"/>
    </row>
    <row r="50" ht="15.75" customHeight="1">
      <c r="A50" s="176"/>
      <c r="B50" s="176"/>
      <c r="C50" s="167"/>
      <c r="D50" s="167"/>
      <c r="E50" s="167"/>
    </row>
    <row r="51" ht="15.75" customHeight="1">
      <c r="A51" s="176"/>
      <c r="B51" s="176"/>
      <c r="C51" s="167"/>
      <c r="D51" s="167"/>
      <c r="E51" s="167"/>
    </row>
    <row r="52" ht="15.75" customHeight="1">
      <c r="B52" s="176"/>
      <c r="C52" s="167"/>
      <c r="D52" s="167"/>
      <c r="E52" s="167"/>
    </row>
    <row r="53" ht="15.75" customHeight="1">
      <c r="A53" s="176"/>
      <c r="B53" s="176"/>
      <c r="C53" s="167"/>
      <c r="D53" s="167"/>
      <c r="E53" s="167"/>
    </row>
    <row r="54" ht="15.75" customHeight="1">
      <c r="A54" s="176"/>
      <c r="B54" s="176"/>
      <c r="C54" s="167"/>
      <c r="D54" s="167"/>
      <c r="E54" s="167"/>
    </row>
    <row r="55" ht="15.75" customHeight="1">
      <c r="B55" s="176"/>
      <c r="C55" s="167"/>
      <c r="D55" s="167"/>
      <c r="E55" s="167"/>
    </row>
    <row r="56" ht="15.75" customHeight="1">
      <c r="A56" s="176"/>
      <c r="B56" s="176"/>
      <c r="C56" s="167"/>
      <c r="D56" s="167"/>
      <c r="E56" s="167"/>
    </row>
    <row r="57" ht="15.75" customHeight="1">
      <c r="B57" s="176"/>
      <c r="C57" s="167"/>
      <c r="D57" s="167"/>
      <c r="E57" s="167"/>
    </row>
    <row r="58" ht="15.75" customHeight="1">
      <c r="A58" s="176"/>
      <c r="B58" s="176"/>
      <c r="C58" s="167"/>
      <c r="D58" s="167"/>
      <c r="E58" s="167"/>
    </row>
    <row r="59" ht="15.75" customHeight="1">
      <c r="B59" s="176"/>
      <c r="C59" s="167"/>
      <c r="D59" s="167"/>
      <c r="E59" s="167"/>
    </row>
    <row r="60" ht="15.75" customHeight="1">
      <c r="A60" s="176"/>
      <c r="B60" s="176"/>
      <c r="C60" s="167"/>
      <c r="D60" s="167"/>
      <c r="E60" s="167"/>
    </row>
    <row r="61" ht="15.75" customHeight="1">
      <c r="B61" s="176"/>
      <c r="C61" s="167"/>
      <c r="D61" s="167"/>
      <c r="E61" s="167"/>
    </row>
    <row r="62" ht="15.75" customHeight="1">
      <c r="A62" s="176"/>
      <c r="B62" s="176"/>
      <c r="C62" s="167"/>
      <c r="D62" s="167"/>
      <c r="E62" s="167"/>
    </row>
    <row r="63" ht="15.75" customHeight="1">
      <c r="B63" s="176"/>
      <c r="C63" s="167"/>
      <c r="D63" s="167"/>
      <c r="E63" s="167"/>
    </row>
    <row r="64" ht="15.75" customHeight="1">
      <c r="B64" s="176"/>
      <c r="C64" s="167"/>
      <c r="D64" s="167"/>
      <c r="E64" s="167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43"/>
    <col customWidth="1" min="2" max="2" width="30.14"/>
    <col customWidth="1" min="3" max="5" width="17.29"/>
    <col customWidth="1" min="6" max="26" width="8.71"/>
  </cols>
  <sheetData>
    <row r="1">
      <c r="A1" s="163" t="s">
        <v>405</v>
      </c>
    </row>
    <row r="2">
      <c r="A2" s="164"/>
    </row>
    <row r="3">
      <c r="A3" s="165" t="s">
        <v>1</v>
      </c>
      <c r="B3" s="165" t="s">
        <v>2</v>
      </c>
      <c r="C3" s="166" t="s">
        <v>400</v>
      </c>
      <c r="D3" s="166" t="s">
        <v>401</v>
      </c>
      <c r="E3" s="166" t="s">
        <v>402</v>
      </c>
    </row>
    <row r="4">
      <c r="A4" s="78" t="s">
        <v>19</v>
      </c>
      <c r="B4" s="78" t="s">
        <v>35</v>
      </c>
      <c r="C4" s="167">
        <f>SUMIFS(ApprovedBudget!F19:F125,ApprovedBudget!$A$19:$A$125,"Sales and Marketing")</f>
        <v>361840</v>
      </c>
      <c r="D4" s="167">
        <f>IF($A4&lt;&gt;"", SUMIFS('Detailed Receipts'!$K:$K, 'Detailed Receipts'!$A:$A, $A4, 'Detailed Receipts'!$B:$B, $B4, 'Detailed Receipts'!$D:$D, "Feb", 'Detailed Receipts'!$L:$L, "OPEX"), SUMIFS('Detailed Receipts'!$K:$K, 'Detailed Receipts'!$A:$A, MID($B4, 12, 100), 'Detailed Receipts'!$D:$D, "Feb", 'Detailed Receipts'!$L:$L, "OPEX"))</f>
        <v>11706</v>
      </c>
      <c r="E4" s="167">
        <f t="shared" ref="E4:E34" si="1">C4-D4</f>
        <v>350134</v>
      </c>
    </row>
    <row r="5">
      <c r="A5" s="168"/>
      <c r="B5" s="169" t="s">
        <v>52</v>
      </c>
      <c r="C5" s="170">
        <f>SUM(C4)</f>
        <v>361840</v>
      </c>
      <c r="D5" s="170">
        <f>IF($A5&lt;&gt;"", SUMIFS('Detailed Receipts'!$K:$K, 'Detailed Receipts'!$A:$A, $A5, 'Detailed Receipts'!$B:$B, $B5, 'Detailed Receipts'!$D:$D, "Feb", 'Detailed Receipts'!$L:$L, "OPEX"), SUMIFS('Detailed Receipts'!$K:$K, 'Detailed Receipts'!$A:$A, MID($B5, 12, 100), 'Detailed Receipts'!$D:$D, "Feb", 'Detailed Receipts'!$L:$L, "OPEX"))</f>
        <v>11706</v>
      </c>
      <c r="E5" s="170">
        <f t="shared" si="1"/>
        <v>350134</v>
      </c>
    </row>
    <row r="6">
      <c r="A6" s="78" t="s">
        <v>22</v>
      </c>
      <c r="B6" s="78" t="s">
        <v>22</v>
      </c>
      <c r="C6" s="167">
        <f>SUMIFS(ApprovedBudget!F19:F125,ApprovedBudget!$A$19:$A$125,"Customer Success",ApprovedBudget!$B$19:$B$125,"Customer Success")</f>
        <v>67500</v>
      </c>
      <c r="D6" s="167">
        <f>IF($A6&lt;&gt;"", SUMIFS('Detailed Receipts'!$K:$K, 'Detailed Receipts'!$A:$A, $A6, 'Detailed Receipts'!$B:$B, $B6, 'Detailed Receipts'!$D:$D, "Feb", 'Detailed Receipts'!$L:$L, "OPEX"), SUMIFS('Detailed Receipts'!$K:$K, 'Detailed Receipts'!$A:$A, MID($B6, 12, 100), 'Detailed Receipts'!$D:$D, "Feb", 'Detailed Receipts'!$L:$L, "OPEX"))</f>
        <v>0</v>
      </c>
      <c r="E6" s="167">
        <f t="shared" si="1"/>
        <v>67500</v>
      </c>
    </row>
    <row r="7">
      <c r="A7" s="171"/>
      <c r="B7" s="169" t="s">
        <v>56</v>
      </c>
      <c r="C7" s="170">
        <f>SUM(C6)</f>
        <v>67500</v>
      </c>
      <c r="D7" s="170">
        <f>IF($A7&lt;&gt;"", SUMIFS('Detailed Receipts'!$K:$K, 'Detailed Receipts'!$A:$A, $A7, 'Detailed Receipts'!$B:$B, $B7, 'Detailed Receipts'!$D:$D, "Feb", 'Detailed Receipts'!$L:$L, "OPEX"), SUMIFS('Detailed Receipts'!$K:$K, 'Detailed Receipts'!$A:$A, MID($B7, 12, 100), 'Detailed Receipts'!$D:$D, "Feb", 'Detailed Receipts'!$L:$L, "OPEX"))</f>
        <v>0</v>
      </c>
      <c r="E7" s="170">
        <f t="shared" si="1"/>
        <v>67500</v>
      </c>
    </row>
    <row r="8">
      <c r="A8" s="78" t="s">
        <v>23</v>
      </c>
      <c r="B8" s="78" t="s">
        <v>66</v>
      </c>
      <c r="C8" s="167">
        <f>SUMIFS(ApprovedBudget!F19:F125,ApprovedBudget!$A$19:$A$125,"Supply Chain",ApprovedBudget!$B$19:$B$125,"Logistics")</f>
        <v>13722</v>
      </c>
      <c r="D8" s="167">
        <f>IF($A8&lt;&gt;"", SUMIFS('Detailed Receipts'!$K:$K, 'Detailed Receipts'!$A:$A, $A8, 'Detailed Receipts'!$B:$B, $B8, 'Detailed Receipts'!$D:$D, "Feb", 'Detailed Receipts'!$L:$L, "OPEX"), SUMIFS('Detailed Receipts'!$K:$K, 'Detailed Receipts'!$A:$A, MID($B8, 12, 100), 'Detailed Receipts'!$D:$D, "Feb", 'Detailed Receipts'!$L:$L, "OPEX"))</f>
        <v>0</v>
      </c>
      <c r="E8" s="167">
        <f t="shared" si="1"/>
        <v>13722</v>
      </c>
    </row>
    <row r="9">
      <c r="A9" s="78" t="s">
        <v>23</v>
      </c>
      <c r="B9" s="78" t="s">
        <v>57</v>
      </c>
      <c r="C9" s="167">
        <f>SUMIFS(ApprovedBudget!F19:F125,ApprovedBudget!$A$19:$A$125,"Supply Chain",ApprovedBudget!$B$19:$B$125,"Procurement")</f>
        <v>3967</v>
      </c>
      <c r="D9" s="167">
        <f>IF($A9&lt;&gt;"", SUMIFS('Detailed Receipts'!$K:$K, 'Detailed Receipts'!$A:$A, $A9, 'Detailed Receipts'!$B:$B, $B9, 'Detailed Receipts'!$D:$D, "Feb", 'Detailed Receipts'!$L:$L, "OPEX"), SUMIFS('Detailed Receipts'!$K:$K, 'Detailed Receipts'!$A:$A, MID($B9, 12, 100), 'Detailed Receipts'!$D:$D, "Feb", 'Detailed Receipts'!$L:$L, "OPEX"))</f>
        <v>0</v>
      </c>
      <c r="E9" s="167">
        <f t="shared" si="1"/>
        <v>3967</v>
      </c>
    </row>
    <row r="10">
      <c r="A10" s="78" t="s">
        <v>23</v>
      </c>
      <c r="B10" s="78" t="s">
        <v>64</v>
      </c>
      <c r="C10" s="167">
        <f>SUMIFS(ApprovedBudget!F19:F125,ApprovedBudget!$A$19:$A$125,"Supply Chain",ApprovedBudget!$B$19:$B$125,"Retail")</f>
        <v>125000</v>
      </c>
      <c r="D10" s="167">
        <f>IF($A10&lt;&gt;"", SUMIFS('Detailed Receipts'!$K:$K, 'Detailed Receipts'!$A:$A, $A10, 'Detailed Receipts'!$B:$B, $B10, 'Detailed Receipts'!$D:$D, "Feb", 'Detailed Receipts'!$L:$L, "OPEX"), SUMIFS('Detailed Receipts'!$K:$K, 'Detailed Receipts'!$A:$A, MID($B10, 12, 100), 'Detailed Receipts'!$D:$D, "Feb", 'Detailed Receipts'!$L:$L, "OPEX"))</f>
        <v>6932</v>
      </c>
      <c r="E10" s="167">
        <f t="shared" si="1"/>
        <v>118068</v>
      </c>
    </row>
    <row r="11">
      <c r="A11" s="78" t="s">
        <v>23</v>
      </c>
      <c r="B11" s="78" t="s">
        <v>24</v>
      </c>
      <c r="C11" s="167">
        <f>SUMIFS(ApprovedBudget!F19:F125,ApprovedBudget!$A$19:$A$125,"Supply Chain",ApprovedBudget!$B$19:$B$125,"Warehouse")</f>
        <v>437629</v>
      </c>
      <c r="D11" s="167">
        <f>IF($A11&lt;&gt;"", SUMIFS('Detailed Receipts'!$K:$K, 'Detailed Receipts'!$A:$A, $A11, 'Detailed Receipts'!$B:$B, $B11, 'Detailed Receipts'!$D:$D, "Feb", 'Detailed Receipts'!$L:$L, "OPEX"), SUMIFS('Detailed Receipts'!$K:$K, 'Detailed Receipts'!$A:$A, MID($B11, 12, 100), 'Detailed Receipts'!$D:$D, "Feb", 'Detailed Receipts'!$L:$L, "OPEX"))</f>
        <v>665598</v>
      </c>
      <c r="E11" s="167">
        <f t="shared" si="1"/>
        <v>-227969</v>
      </c>
    </row>
    <row r="12">
      <c r="A12" s="168"/>
      <c r="B12" s="169" t="s">
        <v>68</v>
      </c>
      <c r="C12" s="170">
        <f>SUM(C8:C11)</f>
        <v>580318</v>
      </c>
      <c r="D12" s="170">
        <f>IF($A12&lt;&gt;"", SUMIFS('Detailed Receipts'!$K:$K, 'Detailed Receipts'!$A:$A, $A12, 'Detailed Receipts'!$B:$B, $B12, 'Detailed Receipts'!$D:$D, "Feb", 'Detailed Receipts'!$L:$L, "OPEX"), SUMIFS('Detailed Receipts'!$K:$K, 'Detailed Receipts'!$A:$A, MID($B12, 12, 100), 'Detailed Receipts'!$D:$D, "Feb", 'Detailed Receipts'!$L:$L, "OPEX"))</f>
        <v>672530</v>
      </c>
      <c r="E12" s="170">
        <f t="shared" si="1"/>
        <v>-92212</v>
      </c>
    </row>
    <row r="13">
      <c r="A13" s="78" t="s">
        <v>25</v>
      </c>
      <c r="B13" s="78" t="s">
        <v>25</v>
      </c>
      <c r="C13" s="167">
        <f>SUMIFS(ApprovedBudget!F19:F125,ApprovedBudget!$A$19:$A$125,"Aftersales",ApprovedBudget!$B$19:$B$125,"Aftersales")</f>
        <v>36000</v>
      </c>
      <c r="D13" s="167">
        <f>IF($A13&lt;&gt;"", SUMIFS('Detailed Receipts'!$K:$K, 'Detailed Receipts'!$A:$A, $A13, 'Detailed Receipts'!$B:$B, $B13, 'Detailed Receipts'!$D:$D, "Feb", 'Detailed Receipts'!$L:$L, "OPEX"), SUMIFS('Detailed Receipts'!$K:$K, 'Detailed Receipts'!$A:$A, MID($B13, 12, 100), 'Detailed Receipts'!$D:$D, "Feb", 'Detailed Receipts'!$L:$L, "OPEX"))</f>
        <v>1428</v>
      </c>
      <c r="E13" s="167">
        <f t="shared" si="1"/>
        <v>34572</v>
      </c>
    </row>
    <row r="14">
      <c r="A14" s="168"/>
      <c r="B14" s="169" t="s">
        <v>70</v>
      </c>
      <c r="C14" s="170">
        <f>SUM(C13)</f>
        <v>36000</v>
      </c>
      <c r="D14" s="170">
        <f>IF($A14&lt;&gt;"", SUMIFS('Detailed Receipts'!$K:$K, 'Detailed Receipts'!$A:$A, $A14, 'Detailed Receipts'!$B:$B, $B14, 'Detailed Receipts'!$D:$D, "Feb", 'Detailed Receipts'!$L:$L, "OPEX"), SUMIFS('Detailed Receipts'!$K:$K, 'Detailed Receipts'!$A:$A, MID($B14, 12, 100), 'Detailed Receipts'!$D:$D, "Feb", 'Detailed Receipts'!$L:$L, "OPEX"))</f>
        <v>1428</v>
      </c>
      <c r="E14" s="170">
        <f t="shared" si="1"/>
        <v>34572</v>
      </c>
    </row>
    <row r="15">
      <c r="A15" s="78" t="s">
        <v>26</v>
      </c>
      <c r="B15" s="78" t="s">
        <v>403</v>
      </c>
      <c r="C15" s="167">
        <f>SUMIFS(ApprovedBudget!F19:F125,ApprovedBudget!$A$19:$A$125,"Product",ApprovedBudget!$B$19:$B$125,"Homologation &amp; Registration")</f>
        <v>0</v>
      </c>
      <c r="D15" s="167">
        <f>IF($A15&lt;&gt;"", SUMIFS('Detailed Receipts'!$K:$K, 'Detailed Receipts'!$A:$A, $A15, 'Detailed Receipts'!$B:$B, $B15, 'Detailed Receipts'!$D:$D, "Feb", 'Detailed Receipts'!$L:$L, "OPEX"), SUMIFS('Detailed Receipts'!$K:$K, 'Detailed Receipts'!$A:$A, MID($B15, 12, 100), 'Detailed Receipts'!$D:$D, "Feb", 'Detailed Receipts'!$L:$L, "OPEX"))</f>
        <v>160346</v>
      </c>
      <c r="E15" s="167">
        <f t="shared" si="1"/>
        <v>-160346</v>
      </c>
    </row>
    <row r="16">
      <c r="A16" s="78" t="s">
        <v>26</v>
      </c>
      <c r="B16" s="78" t="s">
        <v>71</v>
      </c>
      <c r="C16" s="167">
        <f>SUMIFS(ApprovedBudget!F19:F125,ApprovedBudget!$A$19:$A$125,"Product",ApprovedBudget!$B$19:$B$125,"R&amp;D")</f>
        <v>15000</v>
      </c>
      <c r="D16" s="167">
        <f>IF($A16&lt;&gt;"", SUMIFS('Detailed Receipts'!$K:$K, 'Detailed Receipts'!$A:$A, $A16, 'Detailed Receipts'!$B:$B, $B16, 'Detailed Receipts'!$D:$D, "Feb", 'Detailed Receipts'!$L:$L, "OPEX"), SUMIFS('Detailed Receipts'!$K:$K, 'Detailed Receipts'!$A:$A, MID($B16, 12, 100), 'Detailed Receipts'!$D:$D, "Feb", 'Detailed Receipts'!$L:$L, "OPEX"))</f>
        <v>0</v>
      </c>
      <c r="E16" s="167">
        <f t="shared" si="1"/>
        <v>15000</v>
      </c>
    </row>
    <row r="17">
      <c r="A17" s="168"/>
      <c r="B17" s="169" t="s">
        <v>74</v>
      </c>
      <c r="C17" s="170">
        <f>SUM(C15:C16)</f>
        <v>15000</v>
      </c>
      <c r="D17" s="170">
        <f>IF($A17&lt;&gt;"", SUMIFS('Detailed Receipts'!$K:$K, 'Detailed Receipts'!$A:$A, $A17, 'Detailed Receipts'!$B:$B, $B17, 'Detailed Receipts'!$D:$D, "Feb", 'Detailed Receipts'!$L:$L, "OPEX"), SUMIFS('Detailed Receipts'!$K:$K, 'Detailed Receipts'!$A:$A, MID($B17, 12, 100), 'Detailed Receipts'!$D:$D, "Feb", 'Detailed Receipts'!$L:$L, "OPEX"))</f>
        <v>160346</v>
      </c>
      <c r="E17" s="170">
        <f t="shared" si="1"/>
        <v>-145346</v>
      </c>
    </row>
    <row r="18">
      <c r="A18" s="78" t="s">
        <v>27</v>
      </c>
      <c r="B18" s="78" t="s">
        <v>214</v>
      </c>
      <c r="C18" s="167">
        <f>SUMIFS(ApprovedBudget!F19:F125,ApprovedBudget!$A$19:$A$125,"RideBox",ApprovedBudget!$B$19:$B$125,"RideBox")</f>
        <v>0</v>
      </c>
      <c r="D18" s="167">
        <f>IF($A18&lt;&gt;"", SUMIFS('Detailed Receipts'!$K:$K, 'Detailed Receipts'!$A:$A, $A18, 'Detailed Receipts'!$B:$B, $B18, 'Detailed Receipts'!$D:$D, "Feb", 'Detailed Receipts'!$L:$L, "OPEX"), SUMIFS('Detailed Receipts'!$K:$K, 'Detailed Receipts'!$A:$A, MID($B18, 12, 100), 'Detailed Receipts'!$D:$D, "Feb", 'Detailed Receipts'!$L:$L, "OPEX"))</f>
        <v>0</v>
      </c>
      <c r="E18" s="167">
        <f t="shared" si="1"/>
        <v>0</v>
      </c>
    </row>
    <row r="19">
      <c r="A19" s="78" t="s">
        <v>27</v>
      </c>
      <c r="B19" s="78" t="s">
        <v>75</v>
      </c>
      <c r="C19" s="167">
        <f>SUMIFS(ApprovedBudget!F19:F125,ApprovedBudget!$A$19:$A$125,"RideBox",ApprovedBudget!$B$19:$B$125,"Monitoring &amp; Field Ops")</f>
        <v>0</v>
      </c>
      <c r="D19" s="167">
        <f>IF($A19&lt;&gt;"", SUMIFS('Detailed Receipts'!$K:$K, 'Detailed Receipts'!$A:$A, $A19, 'Detailed Receipts'!$B:$B, $B19, 'Detailed Receipts'!$D:$D, "Feb", 'Detailed Receipts'!$L:$L, "OPEX"), SUMIFS('Detailed Receipts'!$K:$K, 'Detailed Receipts'!$A:$A, MID($B19, 12, 100), 'Detailed Receipts'!$D:$D, "Feb", 'Detailed Receipts'!$L:$L, "OPEX"))</f>
        <v>626590</v>
      </c>
      <c r="E19" s="167">
        <f t="shared" si="1"/>
        <v>-626590</v>
      </c>
    </row>
    <row r="20">
      <c r="A20" s="78" t="s">
        <v>27</v>
      </c>
      <c r="B20" s="78" t="s">
        <v>77</v>
      </c>
      <c r="C20" s="167">
        <f>SUMIFS(ApprovedBudget!F19:F125,ApprovedBudget!$A$19:$A$125,"RideBox",ApprovedBudget!$B$19:$B$125,"Network Rollout")</f>
        <v>0</v>
      </c>
      <c r="D20" s="167">
        <f>IF($A20&lt;&gt;"", SUMIFS('Detailed Receipts'!$K:$K, 'Detailed Receipts'!$A:$A, $A20, 'Detailed Receipts'!$B:$B, $B20, 'Detailed Receipts'!$D:$D, "Feb", 'Detailed Receipts'!$L:$L, "OPEX"), SUMIFS('Detailed Receipts'!$K:$K, 'Detailed Receipts'!$A:$A, MID($B20, 12, 100), 'Detailed Receipts'!$D:$D, "Feb", 'Detailed Receipts'!$L:$L, "OPEX"))</f>
        <v>9075</v>
      </c>
      <c r="E20" s="167">
        <f t="shared" si="1"/>
        <v>-9075</v>
      </c>
    </row>
    <row r="21" ht="15.75" customHeight="1">
      <c r="A21" s="78" t="s">
        <v>27</v>
      </c>
      <c r="B21" s="78" t="s">
        <v>210</v>
      </c>
      <c r="C21" s="167">
        <f>SUMIFS(ApprovedBudget!F19:F125,ApprovedBudget!$A$19:$A$125,"RideBox",ApprovedBudget!$B$19:$B$125,"Service Center")</f>
        <v>0</v>
      </c>
      <c r="D21" s="167">
        <f>IF($A21&lt;&gt;"", SUMIFS('Detailed Receipts'!$K:$K, 'Detailed Receipts'!$A:$A, $A21, 'Detailed Receipts'!$B:$B, $B21, 'Detailed Receipts'!$D:$D, "Feb", 'Detailed Receipts'!$L:$L, "OPEX"), SUMIFS('Detailed Receipts'!$K:$K, 'Detailed Receipts'!$A:$A, MID($B21, 12, 100), 'Detailed Receipts'!$D:$D, "Feb", 'Detailed Receipts'!$L:$L, "OPEX"))</f>
        <v>7172</v>
      </c>
      <c r="E21" s="167">
        <f t="shared" si="1"/>
        <v>-7172</v>
      </c>
    </row>
    <row r="22" ht="15.75" customHeight="1">
      <c r="A22" s="168"/>
      <c r="B22" s="169" t="s">
        <v>82</v>
      </c>
      <c r="C22" s="170">
        <f>SUM(C18:C21)</f>
        <v>0</v>
      </c>
      <c r="D22" s="170">
        <f>IF($A22&lt;&gt;"", SUMIFS('Detailed Receipts'!$K:$K, 'Detailed Receipts'!$A:$A, $A22, 'Detailed Receipts'!$B:$B, $B22, 'Detailed Receipts'!$D:$D, "Feb", 'Detailed Receipts'!$L:$L, "OPEX"), SUMIFS('Detailed Receipts'!$K:$K, 'Detailed Receipts'!$A:$A, MID($B22, 12, 100), 'Detailed Receipts'!$D:$D, "Feb", 'Detailed Receipts'!$L:$L, "OPEX"))</f>
        <v>642837</v>
      </c>
      <c r="E22" s="170">
        <f t="shared" si="1"/>
        <v>-642837</v>
      </c>
    </row>
    <row r="23" ht="15.75" customHeight="1">
      <c r="A23" s="78" t="s">
        <v>28</v>
      </c>
      <c r="B23" s="78" t="s">
        <v>28</v>
      </c>
      <c r="C23" s="167">
        <f>SUMIFS(ApprovedBudget!F19:F125,ApprovedBudget!$A$19:$A$125,"Technology")</f>
        <v>0</v>
      </c>
      <c r="D23" s="167">
        <f>IF($A23&lt;&gt;"", SUMIFS('Detailed Receipts'!$K:$K, 'Detailed Receipts'!$A:$A, $A23, 'Detailed Receipts'!$B:$B, $B23, 'Detailed Receipts'!$D:$D, "Feb", 'Detailed Receipts'!$L:$L, "OPEX"), SUMIFS('Detailed Receipts'!$K:$K, 'Detailed Receipts'!$A:$A, MID($B23, 12, 100), 'Detailed Receipts'!$D:$D, "Feb", 'Detailed Receipts'!$L:$L, "OPEX"))</f>
        <v>14314</v>
      </c>
      <c r="E23" s="167">
        <f t="shared" si="1"/>
        <v>-14314</v>
      </c>
    </row>
    <row r="24" ht="15.75" customHeight="1">
      <c r="A24" s="168"/>
      <c r="B24" s="169" t="s">
        <v>184</v>
      </c>
      <c r="C24" s="170">
        <f>SUM(C23)</f>
        <v>0</v>
      </c>
      <c r="D24" s="170">
        <f>IF($A24&lt;&gt;"", SUMIFS('Detailed Receipts'!$K:$K, 'Detailed Receipts'!$A:$A, $A24, 'Detailed Receipts'!$B:$B, $B24, 'Detailed Receipts'!$D:$D, "Feb", 'Detailed Receipts'!$L:$L, "OPEX"), SUMIFS('Detailed Receipts'!$K:$K, 'Detailed Receipts'!$A:$A, MID($B24, 12, 100), 'Detailed Receipts'!$D:$D, "Feb", 'Detailed Receipts'!$L:$L, "OPEX"))</f>
        <v>14314</v>
      </c>
      <c r="E24" s="170">
        <f t="shared" si="1"/>
        <v>-14314</v>
      </c>
    </row>
    <row r="25" ht="15.75" customHeight="1">
      <c r="A25" s="78" t="s">
        <v>29</v>
      </c>
      <c r="B25" s="78" t="s">
        <v>29</v>
      </c>
      <c r="C25" s="167">
        <f>SUMIFS(ApprovedBudget!F19:F125,ApprovedBudget!$A$19:$A$125,"Finance and Accounting",ApprovedBudget!$B$19:$B$125,"Finance and Accounting")</f>
        <v>46472</v>
      </c>
      <c r="D25" s="167">
        <f>IF($A25&lt;&gt;"", SUMIFS('Detailed Receipts'!$K:$K, 'Detailed Receipts'!$A:$A, $A25, 'Detailed Receipts'!$B:$B, $B25, 'Detailed Receipts'!$D:$D, "Feb", 'Detailed Receipts'!$L:$L, "OPEX"), SUMIFS('Detailed Receipts'!$K:$K, 'Detailed Receipts'!$A:$A, MID($B25, 12, 100), 'Detailed Receipts'!$D:$D, "Feb", 'Detailed Receipts'!$L:$L, "OPEX"))</f>
        <v>33199</v>
      </c>
      <c r="E25" s="167">
        <f t="shared" si="1"/>
        <v>13273</v>
      </c>
    </row>
    <row r="26" ht="15.75" customHeight="1">
      <c r="A26" s="168"/>
      <c r="B26" s="169" t="s">
        <v>123</v>
      </c>
      <c r="C26" s="170">
        <f>SUM(C25)</f>
        <v>46472</v>
      </c>
      <c r="D26" s="170">
        <f>IF($A26&lt;&gt;"", SUMIFS('Detailed Receipts'!$K:$K, 'Detailed Receipts'!$A:$A, $A26, 'Detailed Receipts'!$B:$B, $B26, 'Detailed Receipts'!$D:$D, "Feb", 'Detailed Receipts'!$L:$L, "OPEX"), SUMIFS('Detailed Receipts'!$K:$K, 'Detailed Receipts'!$A:$A, MID($B26, 12, 100), 'Detailed Receipts'!$D:$D, "Feb", 'Detailed Receipts'!$L:$L, "OPEX"))</f>
        <v>33199</v>
      </c>
      <c r="E26" s="170">
        <f t="shared" si="1"/>
        <v>13273</v>
      </c>
    </row>
    <row r="27" ht="15.75" customHeight="1">
      <c r="A27" s="78" t="s">
        <v>30</v>
      </c>
      <c r="B27" s="78" t="s">
        <v>30</v>
      </c>
      <c r="C27" s="167">
        <f>SUMIFS(ApprovedBudget!F19:F125,ApprovedBudget!$A$19:$A$125,"Admin",ApprovedBudget!$B$19:$B$125,"Admin")</f>
        <v>580893</v>
      </c>
      <c r="D27" s="167">
        <f>IF($A27&lt;&gt;"", SUMIFS('Detailed Receipts'!$K:$K, 'Detailed Receipts'!$A:$A, $A27, 'Detailed Receipts'!$B:$B, $B27, 'Detailed Receipts'!$D:$D, "Feb", 'Detailed Receipts'!$L:$L, "OPEX"), SUMIFS('Detailed Receipts'!$K:$K, 'Detailed Receipts'!$A:$A, MID($B27, 12, 100), 'Detailed Receipts'!$D:$D, "Feb", 'Detailed Receipts'!$L:$L, "OPEX"))</f>
        <v>224889</v>
      </c>
      <c r="E27" s="167">
        <f t="shared" si="1"/>
        <v>356004</v>
      </c>
    </row>
    <row r="28" ht="15.75" customHeight="1">
      <c r="A28" s="168"/>
      <c r="B28" s="169" t="s">
        <v>130</v>
      </c>
      <c r="C28" s="170">
        <f>SUM(C27)</f>
        <v>580893</v>
      </c>
      <c r="D28" s="170">
        <f>IF($A28&lt;&gt;"", SUMIFS('Detailed Receipts'!$K:$K, 'Detailed Receipts'!$A:$A, $A28, 'Detailed Receipts'!$B:$B, $B28, 'Detailed Receipts'!$D:$D, "Feb", 'Detailed Receipts'!$L:$L, "OPEX"), SUMIFS('Detailed Receipts'!$K:$K, 'Detailed Receipts'!$A:$A, MID($B28, 12, 100), 'Detailed Receipts'!$D:$D, "Feb", 'Detailed Receipts'!$L:$L, "OPEX"))</f>
        <v>224889</v>
      </c>
      <c r="E28" s="170">
        <f t="shared" si="1"/>
        <v>356004</v>
      </c>
    </row>
    <row r="29" ht="15.75" customHeight="1">
      <c r="A29" s="78" t="s">
        <v>31</v>
      </c>
      <c r="B29" s="78" t="s">
        <v>31</v>
      </c>
      <c r="C29" s="167">
        <f>SUMIFS(ApprovedBudget!F19:F125,ApprovedBudget!$A$19:$A$125,"HR",ApprovedBudget!$B$19:$B$125,"HR")</f>
        <v>0</v>
      </c>
      <c r="D29" s="167">
        <f>IF($A29&lt;&gt;"", SUMIFS('Detailed Receipts'!$K:$K, 'Detailed Receipts'!$A:$A, $A29, 'Detailed Receipts'!$B:$B, $B29, 'Detailed Receipts'!$D:$D, "Feb", 'Detailed Receipts'!$L:$L, "OPEX"), SUMIFS('Detailed Receipts'!$K:$K, 'Detailed Receipts'!$A:$A, MID($B29, 12, 100), 'Detailed Receipts'!$D:$D, "Feb", 'Detailed Receipts'!$L:$L, "OPEX"))</f>
        <v>72107</v>
      </c>
      <c r="E29" s="167">
        <f t="shared" si="1"/>
        <v>-72107</v>
      </c>
    </row>
    <row r="30" ht="15.75" customHeight="1">
      <c r="A30" s="168"/>
      <c r="B30" s="169" t="s">
        <v>137</v>
      </c>
      <c r="C30" s="170">
        <f>SUM(C29)</f>
        <v>0</v>
      </c>
      <c r="D30" s="170">
        <f>IF($A30&lt;&gt;"", SUMIFS('Detailed Receipts'!$K:$K, 'Detailed Receipts'!$A:$A, $A30, 'Detailed Receipts'!$B:$B, $B30, 'Detailed Receipts'!$D:$D, "Feb", 'Detailed Receipts'!$L:$L, "OPEX"), SUMIFS('Detailed Receipts'!$K:$K, 'Detailed Receipts'!$A:$A, MID($B30, 12, 100), 'Detailed Receipts'!$D:$D, "Feb", 'Detailed Receipts'!$L:$L, "OPEX"))</f>
        <v>72107</v>
      </c>
      <c r="E30" s="170">
        <f t="shared" si="1"/>
        <v>-72107</v>
      </c>
    </row>
    <row r="31" ht="15.75" customHeight="1">
      <c r="A31" s="78" t="s">
        <v>32</v>
      </c>
      <c r="B31" s="78" t="s">
        <v>140</v>
      </c>
      <c r="C31" s="167">
        <f>SUMIFS(ApprovedBudget!F19:F125,ApprovedBudget!$A$19:$A$125,"Compliance and Risk",ApprovedBudget!$B$19:$B$125,"Legal &amp; notarial")</f>
        <v>60000</v>
      </c>
      <c r="D31" s="167">
        <f>IF($A31&lt;&gt;"", SUMIFS('Detailed Receipts'!$K:$K, 'Detailed Receipts'!$A:$A, $A31, 'Detailed Receipts'!$B:$B, $B31, 'Detailed Receipts'!$D:$D, "Feb", 'Detailed Receipts'!$L:$L, "OPEX"), SUMIFS('Detailed Receipts'!$K:$K, 'Detailed Receipts'!$A:$A, MID($B31, 12, 100), 'Detailed Receipts'!$D:$D, "Feb", 'Detailed Receipts'!$L:$L, "OPEX"))</f>
        <v>136027</v>
      </c>
      <c r="E31" s="167">
        <f t="shared" si="1"/>
        <v>-76027</v>
      </c>
    </row>
    <row r="32" ht="15.75" customHeight="1">
      <c r="A32" s="78" t="s">
        <v>32</v>
      </c>
      <c r="B32" s="78" t="s">
        <v>138</v>
      </c>
      <c r="C32" s="167">
        <f>SUMIFS(ApprovedBudget!F19:F125,ApprovedBudget!$A$19:$A$125,"Compliance and Risk",ApprovedBudget!$B$19:$B$125,"Permits &amp; registration")</f>
        <v>66800</v>
      </c>
      <c r="D32" s="167">
        <f>IF($A32&lt;&gt;"", SUMIFS('Detailed Receipts'!$K:$K, 'Detailed Receipts'!$A:$A, $A32, 'Detailed Receipts'!$B:$B, $B32, 'Detailed Receipts'!$D:$D, "Feb", 'Detailed Receipts'!$L:$L, "OPEX"), SUMIFS('Detailed Receipts'!$K:$K, 'Detailed Receipts'!$A:$A, MID($B32, 12, 100), 'Detailed Receipts'!$D:$D, "Feb", 'Detailed Receipts'!$L:$L, "OPEX"))</f>
        <v>164030</v>
      </c>
      <c r="E32" s="167">
        <f t="shared" si="1"/>
        <v>-97230</v>
      </c>
    </row>
    <row r="33" ht="15.75" customHeight="1">
      <c r="A33" s="168"/>
      <c r="B33" s="169" t="s">
        <v>146</v>
      </c>
      <c r="C33" s="170">
        <f>SUM(C31:C32)</f>
        <v>126800</v>
      </c>
      <c r="D33" s="170">
        <f>IF($A33&lt;&gt;"", SUMIFS('Detailed Receipts'!$K:$K, 'Detailed Receipts'!$A:$A, $A33, 'Detailed Receipts'!$B:$B, $B33, 'Detailed Receipts'!$D:$D, "Feb", 'Detailed Receipts'!$L:$L, "OPEX"), SUMIFS('Detailed Receipts'!$K:$K, 'Detailed Receipts'!$A:$A, MID($B33, 12, 100), 'Detailed Receipts'!$D:$D, "Feb", 'Detailed Receipts'!$L:$L, "OPEX"))</f>
        <v>300057</v>
      </c>
      <c r="E33" s="170">
        <f t="shared" si="1"/>
        <v>-173257</v>
      </c>
    </row>
    <row r="34" ht="15.75" customHeight="1">
      <c r="A34" s="172"/>
      <c r="B34" s="173" t="s">
        <v>404</v>
      </c>
      <c r="C34" s="174">
        <f t="shared" ref="C34:D34" si="2">SUMIF($B4:$B33,"Subtotal*",C4:C33)</f>
        <v>1814823</v>
      </c>
      <c r="D34" s="174">
        <f t="shared" si="2"/>
        <v>2133413</v>
      </c>
      <c r="E34" s="174">
        <f t="shared" si="1"/>
        <v>-318590</v>
      </c>
    </row>
    <row r="35" ht="15.75" customHeight="1">
      <c r="A35" s="175"/>
      <c r="B35" s="176"/>
      <c r="C35" s="167"/>
      <c r="D35" s="167"/>
      <c r="E35" s="167"/>
    </row>
    <row r="36" ht="15.75" customHeight="1">
      <c r="A36" s="176"/>
      <c r="B36" s="176"/>
      <c r="C36" s="167"/>
      <c r="D36" s="167"/>
      <c r="E36" s="167"/>
    </row>
    <row r="37" ht="15.75" customHeight="1">
      <c r="A37" s="176"/>
      <c r="B37" s="176"/>
      <c r="C37" s="167"/>
      <c r="D37" s="167"/>
      <c r="E37" s="167"/>
    </row>
    <row r="38" ht="15.75" customHeight="1">
      <c r="A38" s="175"/>
      <c r="B38" s="176"/>
      <c r="C38" s="167"/>
      <c r="D38" s="167"/>
      <c r="E38" s="167"/>
    </row>
    <row r="39" ht="15.75" customHeight="1">
      <c r="A39" s="176"/>
      <c r="B39" s="176"/>
      <c r="C39" s="167"/>
      <c r="D39" s="167"/>
      <c r="E39" s="167"/>
    </row>
    <row r="40" ht="15.75" customHeight="1">
      <c r="A40" s="176"/>
      <c r="B40" s="176"/>
      <c r="C40" s="167"/>
      <c r="D40" s="167"/>
      <c r="E40" s="167"/>
    </row>
    <row r="41" ht="15.75" customHeight="1">
      <c r="A41" s="175"/>
      <c r="B41" s="176"/>
      <c r="C41" s="167"/>
      <c r="D41" s="167"/>
      <c r="E41" s="167"/>
    </row>
    <row r="42" ht="15.75" customHeight="1">
      <c r="A42" s="176"/>
      <c r="B42" s="176"/>
      <c r="C42" s="167"/>
      <c r="D42" s="167"/>
      <c r="E42" s="167"/>
    </row>
    <row r="43" ht="15.75" customHeight="1">
      <c r="A43" s="176"/>
      <c r="B43" s="176"/>
      <c r="C43" s="167"/>
      <c r="D43" s="167"/>
      <c r="E43" s="167"/>
    </row>
    <row r="44" ht="15.75" customHeight="1">
      <c r="A44" s="176"/>
      <c r="B44" s="176"/>
      <c r="C44" s="167"/>
      <c r="D44" s="167"/>
      <c r="E44" s="167"/>
    </row>
    <row r="45" ht="15.75" customHeight="1">
      <c r="A45" s="175"/>
      <c r="B45" s="176"/>
      <c r="C45" s="167"/>
      <c r="D45" s="167"/>
      <c r="E45" s="167"/>
    </row>
    <row r="46" ht="15.75" customHeight="1">
      <c r="A46" s="175"/>
      <c r="B46" s="176"/>
      <c r="C46" s="167"/>
      <c r="D46" s="167"/>
      <c r="E46" s="167"/>
    </row>
    <row r="47" ht="15.75" customHeight="1">
      <c r="A47" s="175"/>
      <c r="B47" s="175"/>
      <c r="C47" s="167"/>
      <c r="D47" s="167"/>
      <c r="E47" s="167"/>
    </row>
    <row r="48" ht="15.75" customHeight="1">
      <c r="A48" s="176"/>
      <c r="B48" s="175"/>
      <c r="C48" s="167"/>
      <c r="D48" s="167"/>
      <c r="E48" s="167"/>
    </row>
    <row r="49" ht="15.75" customHeight="1">
      <c r="A49" s="176"/>
      <c r="B49" s="176"/>
      <c r="C49" s="167"/>
      <c r="D49" s="167"/>
      <c r="E49" s="167"/>
    </row>
    <row r="50" ht="15.75" customHeight="1">
      <c r="A50" s="176"/>
      <c r="B50" s="176"/>
      <c r="C50" s="167"/>
      <c r="D50" s="167"/>
      <c r="E50" s="167"/>
    </row>
    <row r="51" ht="15.75" customHeight="1">
      <c r="A51" s="176"/>
      <c r="B51" s="176"/>
      <c r="C51" s="167"/>
      <c r="D51" s="167"/>
      <c r="E51" s="167"/>
    </row>
    <row r="52" ht="15.75" customHeight="1">
      <c r="A52" s="175"/>
      <c r="B52" s="176"/>
      <c r="C52" s="167"/>
      <c r="D52" s="167"/>
      <c r="E52" s="167"/>
    </row>
    <row r="53" ht="15.75" customHeight="1">
      <c r="A53" s="176"/>
      <c r="B53" s="176"/>
      <c r="C53" s="167"/>
      <c r="D53" s="167"/>
      <c r="E53" s="167"/>
    </row>
    <row r="54" ht="15.75" customHeight="1">
      <c r="A54" s="176"/>
      <c r="B54" s="176"/>
      <c r="C54" s="167"/>
      <c r="D54" s="167"/>
      <c r="E54" s="167"/>
    </row>
    <row r="55" ht="15.75" customHeight="1">
      <c r="B55" s="176"/>
      <c r="C55" s="167"/>
      <c r="D55" s="167"/>
      <c r="E55" s="167"/>
    </row>
    <row r="56" ht="15.75" customHeight="1">
      <c r="A56" s="176"/>
      <c r="B56" s="176"/>
      <c r="C56" s="167"/>
      <c r="D56" s="167"/>
      <c r="E56" s="167"/>
    </row>
    <row r="57" ht="15.75" customHeight="1">
      <c r="B57" s="176"/>
      <c r="C57" s="167"/>
      <c r="D57" s="167"/>
      <c r="E57" s="167"/>
    </row>
    <row r="58" ht="15.75" customHeight="1">
      <c r="A58" s="176"/>
      <c r="B58" s="176"/>
      <c r="C58" s="167"/>
      <c r="D58" s="167"/>
      <c r="E58" s="167"/>
    </row>
    <row r="59" ht="15.75" customHeight="1">
      <c r="B59" s="176"/>
      <c r="C59" s="167"/>
      <c r="D59" s="167"/>
      <c r="E59" s="167"/>
    </row>
    <row r="60" ht="15.75" customHeight="1">
      <c r="A60" s="176"/>
      <c r="B60" s="176"/>
      <c r="C60" s="167"/>
      <c r="D60" s="167"/>
      <c r="E60" s="167"/>
    </row>
    <row r="61" ht="15.75" customHeight="1">
      <c r="B61" s="176"/>
      <c r="C61" s="167"/>
      <c r="D61" s="167"/>
      <c r="E61" s="167"/>
    </row>
    <row r="62" ht="15.75" customHeight="1">
      <c r="A62" s="176"/>
      <c r="B62" s="176"/>
      <c r="C62" s="167"/>
      <c r="D62" s="167"/>
      <c r="E62" s="167"/>
    </row>
    <row r="63" ht="15.75" customHeight="1">
      <c r="B63" s="176"/>
      <c r="C63" s="167"/>
      <c r="D63" s="167"/>
      <c r="E63" s="167"/>
    </row>
    <row r="64" ht="15.75" customHeight="1">
      <c r="B64" s="176"/>
      <c r="C64" s="167"/>
      <c r="D64" s="167"/>
      <c r="E64" s="167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43"/>
    <col customWidth="1" min="2" max="2" width="30.14"/>
    <col customWidth="1" min="3" max="5" width="17.29"/>
    <col customWidth="1" min="6" max="26" width="8.71"/>
  </cols>
  <sheetData>
    <row r="1">
      <c r="A1" s="163" t="s">
        <v>406</v>
      </c>
    </row>
    <row r="2">
      <c r="A2" s="164"/>
    </row>
    <row r="3">
      <c r="A3" s="165" t="s">
        <v>1</v>
      </c>
      <c r="B3" s="165" t="s">
        <v>2</v>
      </c>
      <c r="C3" s="166" t="s">
        <v>400</v>
      </c>
      <c r="D3" s="166" t="s">
        <v>401</v>
      </c>
      <c r="E3" s="166" t="s">
        <v>402</v>
      </c>
    </row>
    <row r="4">
      <c r="A4" s="78" t="s">
        <v>19</v>
      </c>
      <c r="B4" s="78" t="s">
        <v>35</v>
      </c>
      <c r="C4" s="167">
        <f>SUMIFS(ApprovedBudget!G19:G125,ApprovedBudget!$A$19:$A$125,"Sales and Marketing")</f>
        <v>439840</v>
      </c>
      <c r="D4" s="167">
        <f>IF($A4&lt;&gt;"", SUMIFS('Detailed Receipts'!$K:$K, 'Detailed Receipts'!$A:$A, $A4, 'Detailed Receipts'!$B:$B, $B4, 'Detailed Receipts'!$D:$D, "Mar", 'Detailed Receipts'!$L:$L, "OPEX"), SUMIFS('Detailed Receipts'!$K:$K, 'Detailed Receipts'!$A:$A, MID($B4, 12, 100), 'Detailed Receipts'!$D:$D, "Mar", 'Detailed Receipts'!$L:$L, "OPEX"))</f>
        <v>10121</v>
      </c>
      <c r="E4" s="167">
        <f t="shared" ref="E4:E34" si="1">C4-D4</f>
        <v>429719</v>
      </c>
    </row>
    <row r="5">
      <c r="A5" s="168"/>
      <c r="B5" s="169" t="s">
        <v>52</v>
      </c>
      <c r="C5" s="170">
        <f>SUM(C4)</f>
        <v>439840</v>
      </c>
      <c r="D5" s="170">
        <f>IF($A5&lt;&gt;"", SUMIFS('Detailed Receipts'!$K:$K, 'Detailed Receipts'!$A:$A, $A5, 'Detailed Receipts'!$B:$B, $B5, 'Detailed Receipts'!$D:$D, "Mar", 'Detailed Receipts'!$L:$L, "OPEX"), SUMIFS('Detailed Receipts'!$K:$K, 'Detailed Receipts'!$A:$A, MID($B5, 12, 100), 'Detailed Receipts'!$D:$D, "Mar", 'Detailed Receipts'!$L:$L, "OPEX"))</f>
        <v>10121</v>
      </c>
      <c r="E5" s="170">
        <f t="shared" si="1"/>
        <v>429719</v>
      </c>
    </row>
    <row r="6">
      <c r="A6" s="78" t="s">
        <v>22</v>
      </c>
      <c r="B6" s="78" t="s">
        <v>22</v>
      </c>
      <c r="C6" s="167">
        <f>SUMIFS(ApprovedBudget!G19:G125,ApprovedBudget!$A$19:$A$125,"Customer Success",ApprovedBudget!$B$19:$B$125,"Customer Success")</f>
        <v>67500</v>
      </c>
      <c r="D6" s="167">
        <f>IF($A6&lt;&gt;"", SUMIFS('Detailed Receipts'!$K:$K, 'Detailed Receipts'!$A:$A, $A6, 'Detailed Receipts'!$B:$B, $B6, 'Detailed Receipts'!$D:$D, "Mar", 'Detailed Receipts'!$L:$L, "OPEX"), SUMIFS('Detailed Receipts'!$K:$K, 'Detailed Receipts'!$A:$A, MID($B6, 12, 100), 'Detailed Receipts'!$D:$D, "Mar", 'Detailed Receipts'!$L:$L, "OPEX"))</f>
        <v>0</v>
      </c>
      <c r="E6" s="167">
        <f t="shared" si="1"/>
        <v>67500</v>
      </c>
    </row>
    <row r="7">
      <c r="A7" s="171"/>
      <c r="B7" s="169" t="s">
        <v>56</v>
      </c>
      <c r="C7" s="170">
        <f>SUM(C6)</f>
        <v>67500</v>
      </c>
      <c r="D7" s="170">
        <f>IF($A7&lt;&gt;"", SUMIFS('Detailed Receipts'!$K:$K, 'Detailed Receipts'!$A:$A, $A7, 'Detailed Receipts'!$B:$B, $B7, 'Detailed Receipts'!$D:$D, "Mar", 'Detailed Receipts'!$L:$L, "OPEX"), SUMIFS('Detailed Receipts'!$K:$K, 'Detailed Receipts'!$A:$A, MID($B7, 12, 100), 'Detailed Receipts'!$D:$D, "Mar", 'Detailed Receipts'!$L:$L, "OPEX"))</f>
        <v>0</v>
      </c>
      <c r="E7" s="170">
        <f t="shared" si="1"/>
        <v>67500</v>
      </c>
    </row>
    <row r="8">
      <c r="A8" s="78" t="s">
        <v>23</v>
      </c>
      <c r="B8" s="78" t="s">
        <v>66</v>
      </c>
      <c r="C8" s="167">
        <f>SUMIFS(ApprovedBudget!G19:G125,ApprovedBudget!$A$19:$A$125,"Supply Chain",ApprovedBudget!$B$19:$B$125,"Logistics")</f>
        <v>13722</v>
      </c>
      <c r="D8" s="167">
        <f>IF($A8&lt;&gt;"", SUMIFS('Detailed Receipts'!$K:$K, 'Detailed Receipts'!$A:$A, $A8, 'Detailed Receipts'!$B:$B, $B8, 'Detailed Receipts'!$D:$D, "Mar", 'Detailed Receipts'!$L:$L, "OPEX"), SUMIFS('Detailed Receipts'!$K:$K, 'Detailed Receipts'!$A:$A, MID($B8, 12, 100), 'Detailed Receipts'!$D:$D, "Mar", 'Detailed Receipts'!$L:$L, "OPEX"))</f>
        <v>0</v>
      </c>
      <c r="E8" s="167">
        <f t="shared" si="1"/>
        <v>13722</v>
      </c>
    </row>
    <row r="9">
      <c r="A9" s="78" t="s">
        <v>23</v>
      </c>
      <c r="B9" s="78" t="s">
        <v>57</v>
      </c>
      <c r="C9" s="167">
        <f>SUMIFS(ApprovedBudget!G19:G125,ApprovedBudget!$A$19:$A$125,"Supply Chain",ApprovedBudget!$B$19:$B$125,"Procurement")</f>
        <v>7340</v>
      </c>
      <c r="D9" s="167">
        <f>IF($A9&lt;&gt;"", SUMIFS('Detailed Receipts'!$K:$K, 'Detailed Receipts'!$A:$A, $A9, 'Detailed Receipts'!$B:$B, $B9, 'Detailed Receipts'!$D:$D, "Mar", 'Detailed Receipts'!$L:$L, "OPEX"), SUMIFS('Detailed Receipts'!$K:$K, 'Detailed Receipts'!$A:$A, MID($B9, 12, 100), 'Detailed Receipts'!$D:$D, "Mar", 'Detailed Receipts'!$L:$L, "OPEX"))</f>
        <v>0</v>
      </c>
      <c r="E9" s="167">
        <f t="shared" si="1"/>
        <v>7340</v>
      </c>
    </row>
    <row r="10">
      <c r="A10" s="78" t="s">
        <v>23</v>
      </c>
      <c r="B10" s="78" t="s">
        <v>64</v>
      </c>
      <c r="C10" s="167">
        <f>SUMIFS(ApprovedBudget!G19:G125,ApprovedBudget!$A$19:$A$125,"Supply Chain",ApprovedBudget!$B$19:$B$125,"Retail")</f>
        <v>125000</v>
      </c>
      <c r="D10" s="167">
        <f>IF($A10&lt;&gt;"", SUMIFS('Detailed Receipts'!$K:$K, 'Detailed Receipts'!$A:$A, $A10, 'Detailed Receipts'!$B:$B, $B10, 'Detailed Receipts'!$D:$D, "Mar", 'Detailed Receipts'!$L:$L, "OPEX"), SUMIFS('Detailed Receipts'!$K:$K, 'Detailed Receipts'!$A:$A, MID($B10, 12, 100), 'Detailed Receipts'!$D:$D, "Mar", 'Detailed Receipts'!$L:$L, "OPEX"))</f>
        <v>23074</v>
      </c>
      <c r="E10" s="167">
        <f t="shared" si="1"/>
        <v>101926</v>
      </c>
    </row>
    <row r="11">
      <c r="A11" s="78" t="s">
        <v>23</v>
      </c>
      <c r="B11" s="78" t="s">
        <v>24</v>
      </c>
      <c r="C11" s="167">
        <f>SUMIFS(ApprovedBudget!G19:G125,ApprovedBudget!$A$19:$A$125,"Supply Chain",ApprovedBudget!$B$19:$B$125,"Warehouse")</f>
        <v>437629</v>
      </c>
      <c r="D11" s="167">
        <f>IF($A11&lt;&gt;"", SUMIFS('Detailed Receipts'!$K:$K, 'Detailed Receipts'!$A:$A, $A11, 'Detailed Receipts'!$B:$B, $B11, 'Detailed Receipts'!$D:$D, "Mar", 'Detailed Receipts'!$L:$L, "OPEX"), SUMIFS('Detailed Receipts'!$K:$K, 'Detailed Receipts'!$A:$A, MID($B11, 12, 100), 'Detailed Receipts'!$D:$D, "Mar", 'Detailed Receipts'!$L:$L, "OPEX"))</f>
        <v>389654</v>
      </c>
      <c r="E11" s="167">
        <f t="shared" si="1"/>
        <v>47975</v>
      </c>
    </row>
    <row r="12">
      <c r="A12" s="168"/>
      <c r="B12" s="169" t="s">
        <v>68</v>
      </c>
      <c r="C12" s="170">
        <f>SUM(C8:C11)</f>
        <v>583691</v>
      </c>
      <c r="D12" s="170">
        <f>IF($A12&lt;&gt;"", SUMIFS('Detailed Receipts'!$K:$K, 'Detailed Receipts'!$A:$A, $A12, 'Detailed Receipts'!$B:$B, $B12, 'Detailed Receipts'!$D:$D, "Mar", 'Detailed Receipts'!$L:$L, "OPEX"), SUMIFS('Detailed Receipts'!$K:$K, 'Detailed Receipts'!$A:$A, MID($B12, 12, 100), 'Detailed Receipts'!$D:$D, "Mar", 'Detailed Receipts'!$L:$L, "OPEX"))</f>
        <v>412728</v>
      </c>
      <c r="E12" s="170">
        <f t="shared" si="1"/>
        <v>170963</v>
      </c>
    </row>
    <row r="13">
      <c r="A13" s="78" t="s">
        <v>25</v>
      </c>
      <c r="B13" s="78" t="s">
        <v>25</v>
      </c>
      <c r="C13" s="167">
        <f>SUMIFS(ApprovedBudget!G19:G125,ApprovedBudget!$A$19:$A$125,"Aftersales",ApprovedBudget!$B$19:$B$125,"Aftersales")</f>
        <v>48000</v>
      </c>
      <c r="D13" s="167">
        <f>IF($A13&lt;&gt;"", SUMIFS('Detailed Receipts'!$K:$K, 'Detailed Receipts'!$A:$A, $A13, 'Detailed Receipts'!$B:$B, $B13, 'Detailed Receipts'!$D:$D, "Mar", 'Detailed Receipts'!$L:$L, "OPEX"), SUMIFS('Detailed Receipts'!$K:$K, 'Detailed Receipts'!$A:$A, MID($B13, 12, 100), 'Detailed Receipts'!$D:$D, "Mar", 'Detailed Receipts'!$L:$L, "OPEX"))</f>
        <v>0</v>
      </c>
      <c r="E13" s="167">
        <f t="shared" si="1"/>
        <v>48000</v>
      </c>
    </row>
    <row r="14">
      <c r="A14" s="168"/>
      <c r="B14" s="169" t="s">
        <v>70</v>
      </c>
      <c r="C14" s="170">
        <f>SUM(C13)</f>
        <v>48000</v>
      </c>
      <c r="D14" s="170">
        <f>IF($A14&lt;&gt;"", SUMIFS('Detailed Receipts'!$K:$K, 'Detailed Receipts'!$A:$A, $A14, 'Detailed Receipts'!$B:$B, $B14, 'Detailed Receipts'!$D:$D, "Mar", 'Detailed Receipts'!$L:$L, "OPEX"), SUMIFS('Detailed Receipts'!$K:$K, 'Detailed Receipts'!$A:$A, MID($B14, 12, 100), 'Detailed Receipts'!$D:$D, "Mar", 'Detailed Receipts'!$L:$L, "OPEX"))</f>
        <v>0</v>
      </c>
      <c r="E14" s="170">
        <f t="shared" si="1"/>
        <v>48000</v>
      </c>
    </row>
    <row r="15">
      <c r="A15" s="78" t="s">
        <v>26</v>
      </c>
      <c r="B15" s="78" t="s">
        <v>403</v>
      </c>
      <c r="C15" s="167">
        <f>SUMIFS(ApprovedBudget!G19:G125,ApprovedBudget!$A$19:$A$125,"Product",ApprovedBudget!$B$19:$B$125,"Homologation &amp; Registration")</f>
        <v>0</v>
      </c>
      <c r="D15" s="167">
        <f>IF($A15&lt;&gt;"", SUMIFS('Detailed Receipts'!$K:$K, 'Detailed Receipts'!$A:$A, $A15, 'Detailed Receipts'!$B:$B, $B15, 'Detailed Receipts'!$D:$D, "Mar", 'Detailed Receipts'!$L:$L, "OPEX"), SUMIFS('Detailed Receipts'!$K:$K, 'Detailed Receipts'!$A:$A, MID($B15, 12, 100), 'Detailed Receipts'!$D:$D, "Mar", 'Detailed Receipts'!$L:$L, "OPEX"))</f>
        <v>45474</v>
      </c>
      <c r="E15" s="167">
        <f t="shared" si="1"/>
        <v>-45474</v>
      </c>
    </row>
    <row r="16">
      <c r="A16" s="78" t="s">
        <v>26</v>
      </c>
      <c r="B16" s="78" t="s">
        <v>71</v>
      </c>
      <c r="C16" s="167">
        <f>SUMIFS(ApprovedBudget!G19:G125,ApprovedBudget!$A$19:$A$125,"Product",ApprovedBudget!$B$19:$B$125,"R&amp;D")</f>
        <v>115000</v>
      </c>
      <c r="D16" s="167">
        <f>IF($A16&lt;&gt;"", SUMIFS('Detailed Receipts'!$K:$K, 'Detailed Receipts'!$A:$A, $A16, 'Detailed Receipts'!$B:$B, $B16, 'Detailed Receipts'!$D:$D, "Mar", 'Detailed Receipts'!$L:$L, "OPEX"), SUMIFS('Detailed Receipts'!$K:$K, 'Detailed Receipts'!$A:$A, MID($B16, 12, 100), 'Detailed Receipts'!$D:$D, "Mar", 'Detailed Receipts'!$L:$L, "OPEX"))</f>
        <v>0</v>
      </c>
      <c r="E16" s="167">
        <f t="shared" si="1"/>
        <v>115000</v>
      </c>
    </row>
    <row r="17">
      <c r="A17" s="168"/>
      <c r="B17" s="169" t="s">
        <v>74</v>
      </c>
      <c r="C17" s="170">
        <f>SUM(C15:C16)</f>
        <v>115000</v>
      </c>
      <c r="D17" s="170">
        <f>IF($A17&lt;&gt;"", SUMIFS('Detailed Receipts'!$K:$K, 'Detailed Receipts'!$A:$A, $A17, 'Detailed Receipts'!$B:$B, $B17, 'Detailed Receipts'!$D:$D, "Mar", 'Detailed Receipts'!$L:$L, "OPEX"), SUMIFS('Detailed Receipts'!$K:$K, 'Detailed Receipts'!$A:$A, MID($B17, 12, 100), 'Detailed Receipts'!$D:$D, "Mar", 'Detailed Receipts'!$L:$L, "OPEX"))</f>
        <v>45474</v>
      </c>
      <c r="E17" s="170">
        <f t="shared" si="1"/>
        <v>69526</v>
      </c>
    </row>
    <row r="18">
      <c r="A18" s="78" t="s">
        <v>27</v>
      </c>
      <c r="B18" s="78" t="s">
        <v>214</v>
      </c>
      <c r="C18" s="167">
        <f>SUMIFS(ApprovedBudget!G19:G125,ApprovedBudget!$A$19:$A$125,"RideBox",ApprovedBudget!$B$19:$B$125,"RideBox")</f>
        <v>0</v>
      </c>
      <c r="D18" s="167">
        <f>IF($A18&lt;&gt;"", SUMIFS('Detailed Receipts'!$K:$K, 'Detailed Receipts'!$A:$A, $A18, 'Detailed Receipts'!$B:$B, $B18, 'Detailed Receipts'!$D:$D, "Mar", 'Detailed Receipts'!$L:$L, "OPEX"), SUMIFS('Detailed Receipts'!$K:$K, 'Detailed Receipts'!$A:$A, MID($B18, 12, 100), 'Detailed Receipts'!$D:$D, "Mar", 'Detailed Receipts'!$L:$L, "OPEX"))</f>
        <v>0</v>
      </c>
      <c r="E18" s="167">
        <f t="shared" si="1"/>
        <v>0</v>
      </c>
    </row>
    <row r="19">
      <c r="A19" s="78" t="s">
        <v>27</v>
      </c>
      <c r="B19" s="78" t="s">
        <v>75</v>
      </c>
      <c r="C19" s="167">
        <f>SUMIFS(ApprovedBudget!G19:G125,ApprovedBudget!$A$19:$A$125,"RideBox",ApprovedBudget!$B$19:$B$125,"Monitoring &amp; Field Ops")</f>
        <v>0</v>
      </c>
      <c r="D19" s="167">
        <f>IF($A19&lt;&gt;"", SUMIFS('Detailed Receipts'!$K:$K, 'Detailed Receipts'!$A:$A, $A19, 'Detailed Receipts'!$B:$B, $B19, 'Detailed Receipts'!$D:$D, "Mar", 'Detailed Receipts'!$L:$L, "OPEX"), SUMIFS('Detailed Receipts'!$K:$K, 'Detailed Receipts'!$A:$A, MID($B19, 12, 100), 'Detailed Receipts'!$D:$D, "Mar", 'Detailed Receipts'!$L:$L, "OPEX"))</f>
        <v>0</v>
      </c>
      <c r="E19" s="167">
        <f t="shared" si="1"/>
        <v>0</v>
      </c>
    </row>
    <row r="20">
      <c r="A20" s="78" t="s">
        <v>27</v>
      </c>
      <c r="B20" s="78" t="s">
        <v>77</v>
      </c>
      <c r="C20" s="167">
        <f>SUMIFS(ApprovedBudget!G19:G125,ApprovedBudget!$A$19:$A$125,"RideBox",ApprovedBudget!$B$19:$B$125,"Network Rollout")</f>
        <v>0</v>
      </c>
      <c r="D20" s="167">
        <f>IF($A20&lt;&gt;"", SUMIFS('Detailed Receipts'!$K:$K, 'Detailed Receipts'!$A:$A, $A20, 'Detailed Receipts'!$B:$B, $B20, 'Detailed Receipts'!$D:$D, "Mar", 'Detailed Receipts'!$L:$L, "OPEX"), SUMIFS('Detailed Receipts'!$K:$K, 'Detailed Receipts'!$A:$A, MID($B20, 12, 100), 'Detailed Receipts'!$D:$D, "Mar", 'Detailed Receipts'!$L:$L, "OPEX"))</f>
        <v>428</v>
      </c>
      <c r="E20" s="167">
        <f t="shared" si="1"/>
        <v>-428</v>
      </c>
    </row>
    <row r="21" ht="15.75" customHeight="1">
      <c r="A21" s="78" t="s">
        <v>27</v>
      </c>
      <c r="B21" s="78" t="s">
        <v>210</v>
      </c>
      <c r="C21" s="167">
        <f>SUMIFS(ApprovedBudget!G19:G125,ApprovedBudget!$A$19:$A$125,"RideBox",ApprovedBudget!$B$19:$B$125,"Service Center")</f>
        <v>0</v>
      </c>
      <c r="D21" s="167">
        <f>IF($A21&lt;&gt;"", SUMIFS('Detailed Receipts'!$K:$K, 'Detailed Receipts'!$A:$A, $A21, 'Detailed Receipts'!$B:$B, $B21, 'Detailed Receipts'!$D:$D, "Mar", 'Detailed Receipts'!$L:$L, "OPEX"), SUMIFS('Detailed Receipts'!$K:$K, 'Detailed Receipts'!$A:$A, MID($B21, 12, 100), 'Detailed Receipts'!$D:$D, "Mar", 'Detailed Receipts'!$L:$L, "OPEX"))</f>
        <v>0</v>
      </c>
      <c r="E21" s="167">
        <f t="shared" si="1"/>
        <v>0</v>
      </c>
    </row>
    <row r="22" ht="15.75" customHeight="1">
      <c r="A22" s="168"/>
      <c r="B22" s="169" t="s">
        <v>82</v>
      </c>
      <c r="C22" s="170">
        <f>SUM(C18:C21)</f>
        <v>0</v>
      </c>
      <c r="D22" s="170">
        <f>IF($A22&lt;&gt;"", SUMIFS('Detailed Receipts'!$K:$K, 'Detailed Receipts'!$A:$A, $A22, 'Detailed Receipts'!$B:$B, $B22, 'Detailed Receipts'!$D:$D, "Mar", 'Detailed Receipts'!$L:$L, "OPEX"), SUMIFS('Detailed Receipts'!$K:$K, 'Detailed Receipts'!$A:$A, MID($B22, 12, 100), 'Detailed Receipts'!$D:$D, "Mar", 'Detailed Receipts'!$L:$L, "OPEX"))</f>
        <v>428</v>
      </c>
      <c r="E22" s="170">
        <f t="shared" si="1"/>
        <v>-428</v>
      </c>
    </row>
    <row r="23" ht="15.75" customHeight="1">
      <c r="A23" s="78" t="s">
        <v>28</v>
      </c>
      <c r="B23" s="78" t="s">
        <v>28</v>
      </c>
      <c r="C23" s="167">
        <f>SUMIFS(ApprovedBudget!G19:G125,ApprovedBudget!$A$19:$A$125,"Technology")</f>
        <v>0</v>
      </c>
      <c r="D23" s="167">
        <f>IF($A23&lt;&gt;"", SUMIFS('Detailed Receipts'!$K:$K, 'Detailed Receipts'!$A:$A, $A23, 'Detailed Receipts'!$B:$B, $B23, 'Detailed Receipts'!$D:$D, "Mar", 'Detailed Receipts'!$L:$L, "OPEX"), SUMIFS('Detailed Receipts'!$K:$K, 'Detailed Receipts'!$A:$A, MID($B23, 12, 100), 'Detailed Receipts'!$D:$D, "Mar", 'Detailed Receipts'!$L:$L, "OPEX"))</f>
        <v>306279</v>
      </c>
      <c r="E23" s="167">
        <f t="shared" si="1"/>
        <v>-306279</v>
      </c>
    </row>
    <row r="24" ht="15.75" customHeight="1">
      <c r="A24" s="168"/>
      <c r="B24" s="169" t="s">
        <v>184</v>
      </c>
      <c r="C24" s="170">
        <f>SUM(C23)</f>
        <v>0</v>
      </c>
      <c r="D24" s="170">
        <f>IF($A24&lt;&gt;"", SUMIFS('Detailed Receipts'!$K:$K, 'Detailed Receipts'!$A:$A, $A24, 'Detailed Receipts'!$B:$B, $B24, 'Detailed Receipts'!$D:$D, "Mar", 'Detailed Receipts'!$L:$L, "OPEX"), SUMIFS('Detailed Receipts'!$K:$K, 'Detailed Receipts'!$A:$A, MID($B24, 12, 100), 'Detailed Receipts'!$D:$D, "Mar", 'Detailed Receipts'!$L:$L, "OPEX"))</f>
        <v>306279</v>
      </c>
      <c r="E24" s="170">
        <f t="shared" si="1"/>
        <v>-306279</v>
      </c>
    </row>
    <row r="25" ht="15.75" customHeight="1">
      <c r="A25" s="78" t="s">
        <v>29</v>
      </c>
      <c r="B25" s="78" t="s">
        <v>29</v>
      </c>
      <c r="C25" s="167">
        <f>SUMIFS(ApprovedBudget!G19:G125,ApprovedBudget!$A$19:$A$125,"Finance and Accounting",ApprovedBudget!$B$19:$B$125,"Finance and Accounting")</f>
        <v>46472</v>
      </c>
      <c r="D25" s="167">
        <f>IF($A25&lt;&gt;"", SUMIFS('Detailed Receipts'!$K:$K, 'Detailed Receipts'!$A:$A, $A25, 'Detailed Receipts'!$B:$B, $B25, 'Detailed Receipts'!$D:$D, "Mar", 'Detailed Receipts'!$L:$L, "OPEX"), SUMIFS('Detailed Receipts'!$K:$K, 'Detailed Receipts'!$A:$A, MID($B25, 12, 100), 'Detailed Receipts'!$D:$D, "Mar", 'Detailed Receipts'!$L:$L, "OPEX"))</f>
        <v>208789</v>
      </c>
      <c r="E25" s="167">
        <f t="shared" si="1"/>
        <v>-162317</v>
      </c>
    </row>
    <row r="26" ht="15.75" customHeight="1">
      <c r="A26" s="168"/>
      <c r="B26" s="169" t="s">
        <v>123</v>
      </c>
      <c r="C26" s="170">
        <f>SUM(C25)</f>
        <v>46472</v>
      </c>
      <c r="D26" s="170">
        <f>IF($A26&lt;&gt;"", SUMIFS('Detailed Receipts'!$K:$K, 'Detailed Receipts'!$A:$A, $A26, 'Detailed Receipts'!$B:$B, $B26, 'Detailed Receipts'!$D:$D, "Mar", 'Detailed Receipts'!$L:$L, "OPEX"), SUMIFS('Detailed Receipts'!$K:$K, 'Detailed Receipts'!$A:$A, MID($B26, 12, 100), 'Detailed Receipts'!$D:$D, "Mar", 'Detailed Receipts'!$L:$L, "OPEX"))</f>
        <v>208789</v>
      </c>
      <c r="E26" s="170">
        <f t="shared" si="1"/>
        <v>-162317</v>
      </c>
    </row>
    <row r="27" ht="15.75" customHeight="1">
      <c r="A27" s="78" t="s">
        <v>30</v>
      </c>
      <c r="B27" s="78" t="s">
        <v>30</v>
      </c>
      <c r="C27" s="167">
        <f>SUMIFS(ApprovedBudget!G19:G125,ApprovedBudget!$A$19:$A$125,"Admin",ApprovedBudget!$B$19:$B$125,"Admin")</f>
        <v>580893</v>
      </c>
      <c r="D27" s="167">
        <f>IF($A27&lt;&gt;"", SUMIFS('Detailed Receipts'!$K:$K, 'Detailed Receipts'!$A:$A, $A27, 'Detailed Receipts'!$B:$B, $B27, 'Detailed Receipts'!$D:$D, "Mar", 'Detailed Receipts'!$L:$L, "OPEX"), SUMIFS('Detailed Receipts'!$K:$K, 'Detailed Receipts'!$A:$A, MID($B27, 12, 100), 'Detailed Receipts'!$D:$D, "Mar", 'Detailed Receipts'!$L:$L, "OPEX"))</f>
        <v>308755</v>
      </c>
      <c r="E27" s="167">
        <f t="shared" si="1"/>
        <v>272138</v>
      </c>
    </row>
    <row r="28" ht="15.75" customHeight="1">
      <c r="A28" s="168"/>
      <c r="B28" s="169" t="s">
        <v>130</v>
      </c>
      <c r="C28" s="170">
        <f>SUM(C27)</f>
        <v>580893</v>
      </c>
      <c r="D28" s="170">
        <f>IF($A28&lt;&gt;"", SUMIFS('Detailed Receipts'!$K:$K, 'Detailed Receipts'!$A:$A, $A28, 'Detailed Receipts'!$B:$B, $B28, 'Detailed Receipts'!$D:$D, "Mar", 'Detailed Receipts'!$L:$L, "OPEX"), SUMIFS('Detailed Receipts'!$K:$K, 'Detailed Receipts'!$A:$A, MID($B28, 12, 100), 'Detailed Receipts'!$D:$D, "Mar", 'Detailed Receipts'!$L:$L, "OPEX"))</f>
        <v>308755</v>
      </c>
      <c r="E28" s="170">
        <f t="shared" si="1"/>
        <v>272138</v>
      </c>
    </row>
    <row r="29" ht="15.75" customHeight="1">
      <c r="A29" s="78" t="s">
        <v>31</v>
      </c>
      <c r="B29" s="78" t="s">
        <v>31</v>
      </c>
      <c r="C29" s="167">
        <f>SUMIFS(ApprovedBudget!G19:G125,ApprovedBudget!$A$19:$A$125,"HR",ApprovedBudget!$B$19:$B$125,"HR")</f>
        <v>0</v>
      </c>
      <c r="D29" s="167">
        <f>IF($A29&lt;&gt;"", SUMIFS('Detailed Receipts'!$K:$K, 'Detailed Receipts'!$A:$A, $A29, 'Detailed Receipts'!$B:$B, $B29, 'Detailed Receipts'!$D:$D, "Mar", 'Detailed Receipts'!$L:$L, "OPEX"), SUMIFS('Detailed Receipts'!$K:$K, 'Detailed Receipts'!$A:$A, MID($B29, 12, 100), 'Detailed Receipts'!$D:$D, "Mar", 'Detailed Receipts'!$L:$L, "OPEX"))</f>
        <v>166185</v>
      </c>
      <c r="E29" s="167">
        <f t="shared" si="1"/>
        <v>-166185</v>
      </c>
    </row>
    <row r="30" ht="15.75" customHeight="1">
      <c r="A30" s="168"/>
      <c r="B30" s="169" t="s">
        <v>137</v>
      </c>
      <c r="C30" s="170">
        <f>SUM(C29)</f>
        <v>0</v>
      </c>
      <c r="D30" s="170">
        <f>IF($A30&lt;&gt;"", SUMIFS('Detailed Receipts'!$K:$K, 'Detailed Receipts'!$A:$A, $A30, 'Detailed Receipts'!$B:$B, $B30, 'Detailed Receipts'!$D:$D, "Mar", 'Detailed Receipts'!$L:$L, "OPEX"), SUMIFS('Detailed Receipts'!$K:$K, 'Detailed Receipts'!$A:$A, MID($B30, 12, 100), 'Detailed Receipts'!$D:$D, "Mar", 'Detailed Receipts'!$L:$L, "OPEX"))</f>
        <v>166185</v>
      </c>
      <c r="E30" s="170">
        <f t="shared" si="1"/>
        <v>-166185</v>
      </c>
    </row>
    <row r="31" ht="15.75" customHeight="1">
      <c r="A31" s="78" t="s">
        <v>32</v>
      </c>
      <c r="B31" s="78" t="s">
        <v>140</v>
      </c>
      <c r="C31" s="167">
        <f>SUMIFS(ApprovedBudget!G19:G125,ApprovedBudget!$A$19:$A$125,"Compliance and Risk",ApprovedBudget!$B$19:$B$125,"Legal &amp; notarial")</f>
        <v>60000</v>
      </c>
      <c r="D31" s="167">
        <f>IF($A31&lt;&gt;"", SUMIFS('Detailed Receipts'!$K:$K, 'Detailed Receipts'!$A:$A, $A31, 'Detailed Receipts'!$B:$B, $B31, 'Detailed Receipts'!$D:$D, "Mar", 'Detailed Receipts'!$L:$L, "OPEX"), SUMIFS('Detailed Receipts'!$K:$K, 'Detailed Receipts'!$A:$A, MID($B31, 12, 100), 'Detailed Receipts'!$D:$D, "Mar", 'Detailed Receipts'!$L:$L, "OPEX"))</f>
        <v>0</v>
      </c>
      <c r="E31" s="167">
        <f t="shared" si="1"/>
        <v>60000</v>
      </c>
    </row>
    <row r="32" ht="15.75" customHeight="1">
      <c r="A32" s="78" t="s">
        <v>32</v>
      </c>
      <c r="B32" s="78" t="s">
        <v>138</v>
      </c>
      <c r="C32" s="167">
        <f>SUMIFS(ApprovedBudget!G19:G125,ApprovedBudget!$A$19:$A$125,"Compliance and Risk",ApprovedBudget!$B$19:$B$125,"Permits &amp; registration")</f>
        <v>66800</v>
      </c>
      <c r="D32" s="167">
        <f>IF($A32&lt;&gt;"", SUMIFS('Detailed Receipts'!$K:$K, 'Detailed Receipts'!$A:$A, $A32, 'Detailed Receipts'!$B:$B, $B32, 'Detailed Receipts'!$D:$D, "Mar", 'Detailed Receipts'!$L:$L, "OPEX"), SUMIFS('Detailed Receipts'!$K:$K, 'Detailed Receipts'!$A:$A, MID($B32, 12, 100), 'Detailed Receipts'!$D:$D, "Mar", 'Detailed Receipts'!$L:$L, "OPEX"))</f>
        <v>0</v>
      </c>
      <c r="E32" s="167">
        <f t="shared" si="1"/>
        <v>66800</v>
      </c>
    </row>
    <row r="33" ht="15.75" customHeight="1">
      <c r="A33" s="168"/>
      <c r="B33" s="169" t="s">
        <v>146</v>
      </c>
      <c r="C33" s="170">
        <f>SUM(C31:C32)</f>
        <v>126800</v>
      </c>
      <c r="D33" s="170">
        <f>IF($A33&lt;&gt;"", SUMIFS('Detailed Receipts'!$K:$K, 'Detailed Receipts'!$A:$A, $A33, 'Detailed Receipts'!$B:$B, $B33, 'Detailed Receipts'!$D:$D, "Mar", 'Detailed Receipts'!$L:$L, "OPEX"), SUMIFS('Detailed Receipts'!$K:$K, 'Detailed Receipts'!$A:$A, MID($B33, 12, 100), 'Detailed Receipts'!$D:$D, "Mar", 'Detailed Receipts'!$L:$L, "OPEX"))</f>
        <v>0</v>
      </c>
      <c r="E33" s="170">
        <f t="shared" si="1"/>
        <v>126800</v>
      </c>
    </row>
    <row r="34" ht="15.75" customHeight="1">
      <c r="A34" s="172"/>
      <c r="B34" s="173" t="s">
        <v>404</v>
      </c>
      <c r="C34" s="174">
        <f t="shared" ref="C34:D34" si="2">SUMIF($B4:$B33,"Subtotal*",C4:C33)</f>
        <v>2008196</v>
      </c>
      <c r="D34" s="174">
        <f t="shared" si="2"/>
        <v>1458759</v>
      </c>
      <c r="E34" s="174">
        <f t="shared" si="1"/>
        <v>549437</v>
      </c>
    </row>
    <row r="35" ht="15.75" customHeight="1">
      <c r="A35" s="175"/>
      <c r="B35" s="176"/>
      <c r="C35" s="167"/>
      <c r="D35" s="167"/>
      <c r="E35" s="167"/>
    </row>
    <row r="36" ht="15.75" customHeight="1">
      <c r="A36" s="176"/>
      <c r="B36" s="176"/>
      <c r="C36" s="167"/>
      <c r="D36" s="167"/>
      <c r="E36" s="167"/>
    </row>
    <row r="37" ht="15.75" customHeight="1">
      <c r="A37" s="176"/>
      <c r="B37" s="176"/>
      <c r="C37" s="167"/>
      <c r="D37" s="167"/>
      <c r="E37" s="167"/>
    </row>
    <row r="38" ht="15.75" customHeight="1">
      <c r="A38" s="175"/>
      <c r="B38" s="176"/>
      <c r="C38" s="167"/>
      <c r="D38" s="167"/>
      <c r="E38" s="167"/>
    </row>
    <row r="39" ht="15.75" customHeight="1">
      <c r="A39" s="176"/>
      <c r="B39" s="176"/>
      <c r="C39" s="167"/>
      <c r="D39" s="167"/>
      <c r="E39" s="167"/>
    </row>
    <row r="40" ht="15.75" customHeight="1">
      <c r="A40" s="176"/>
      <c r="B40" s="176"/>
      <c r="C40" s="167"/>
      <c r="D40" s="167"/>
      <c r="E40" s="167"/>
    </row>
    <row r="41" ht="15.75" customHeight="1">
      <c r="A41" s="175"/>
      <c r="B41" s="176"/>
      <c r="C41" s="167"/>
      <c r="D41" s="167"/>
      <c r="E41" s="167"/>
    </row>
    <row r="42" ht="15.75" customHeight="1">
      <c r="A42" s="176"/>
      <c r="B42" s="176"/>
      <c r="C42" s="167"/>
      <c r="D42" s="167"/>
      <c r="E42" s="167"/>
    </row>
    <row r="43" ht="15.75" customHeight="1">
      <c r="A43" s="176"/>
      <c r="B43" s="176"/>
      <c r="C43" s="167"/>
      <c r="D43" s="167"/>
      <c r="E43" s="167"/>
    </row>
    <row r="44" ht="15.75" customHeight="1">
      <c r="A44" s="176"/>
      <c r="B44" s="176"/>
      <c r="C44" s="167"/>
      <c r="D44" s="167"/>
      <c r="E44" s="167"/>
    </row>
    <row r="45" ht="15.75" customHeight="1">
      <c r="A45" s="175"/>
      <c r="B45" s="176"/>
      <c r="C45" s="167"/>
      <c r="D45" s="167"/>
      <c r="E45" s="167"/>
    </row>
    <row r="46" ht="15.75" customHeight="1">
      <c r="A46" s="175"/>
      <c r="B46" s="176"/>
      <c r="C46" s="167"/>
      <c r="D46" s="167"/>
      <c r="E46" s="167"/>
    </row>
    <row r="47" ht="15.75" customHeight="1">
      <c r="A47" s="175"/>
      <c r="B47" s="175"/>
      <c r="C47" s="167"/>
      <c r="D47" s="167"/>
      <c r="E47" s="167"/>
    </row>
    <row r="48" ht="15.75" customHeight="1">
      <c r="A48" s="176"/>
      <c r="B48" s="175"/>
      <c r="C48" s="167"/>
      <c r="D48" s="167"/>
      <c r="E48" s="167"/>
    </row>
    <row r="49" ht="15.75" customHeight="1">
      <c r="A49" s="176"/>
      <c r="B49" s="176"/>
      <c r="C49" s="167"/>
      <c r="D49" s="167"/>
      <c r="E49" s="167"/>
    </row>
    <row r="50" ht="15.75" customHeight="1">
      <c r="A50" s="176"/>
      <c r="B50" s="176"/>
      <c r="C50" s="167"/>
      <c r="D50" s="167"/>
      <c r="E50" s="167"/>
    </row>
    <row r="51" ht="15.75" customHeight="1">
      <c r="A51" s="176"/>
      <c r="B51" s="176"/>
      <c r="C51" s="167"/>
      <c r="D51" s="167"/>
      <c r="E51" s="167"/>
    </row>
    <row r="52" ht="15.75" customHeight="1">
      <c r="A52" s="175"/>
      <c r="B52" s="176"/>
      <c r="C52" s="167"/>
      <c r="D52" s="167"/>
      <c r="E52" s="167"/>
    </row>
    <row r="53" ht="15.75" customHeight="1">
      <c r="A53" s="176"/>
      <c r="B53" s="176"/>
      <c r="C53" s="167"/>
      <c r="D53" s="167"/>
      <c r="E53" s="167"/>
    </row>
    <row r="54" ht="15.75" customHeight="1">
      <c r="A54" s="176"/>
      <c r="B54" s="176"/>
      <c r="C54" s="167"/>
      <c r="D54" s="167"/>
      <c r="E54" s="167"/>
    </row>
    <row r="55" ht="15.75" customHeight="1">
      <c r="B55" s="176"/>
      <c r="C55" s="167"/>
      <c r="D55" s="167"/>
      <c r="E55" s="167"/>
    </row>
    <row r="56" ht="15.75" customHeight="1">
      <c r="A56" s="176"/>
      <c r="B56" s="176"/>
      <c r="C56" s="167"/>
      <c r="D56" s="167"/>
      <c r="E56" s="167"/>
    </row>
    <row r="57" ht="15.75" customHeight="1">
      <c r="B57" s="176"/>
      <c r="C57" s="167"/>
      <c r="D57" s="167"/>
      <c r="E57" s="167"/>
    </row>
    <row r="58" ht="15.75" customHeight="1">
      <c r="A58" s="176"/>
      <c r="B58" s="176"/>
      <c r="C58" s="167"/>
      <c r="D58" s="167"/>
      <c r="E58" s="167"/>
    </row>
    <row r="59" ht="15.75" customHeight="1">
      <c r="B59" s="176"/>
      <c r="C59" s="167"/>
      <c r="D59" s="167"/>
      <c r="E59" s="167"/>
    </row>
    <row r="60" ht="15.75" customHeight="1">
      <c r="A60" s="176"/>
      <c r="B60" s="176"/>
      <c r="C60" s="167"/>
      <c r="D60" s="167"/>
      <c r="E60" s="167"/>
    </row>
    <row r="61" ht="15.75" customHeight="1">
      <c r="B61" s="176"/>
      <c r="C61" s="167"/>
      <c r="D61" s="167"/>
      <c r="E61" s="167"/>
    </row>
    <row r="62" ht="15.75" customHeight="1">
      <c r="A62" s="176"/>
      <c r="B62" s="176"/>
      <c r="C62" s="167"/>
      <c r="D62" s="167"/>
      <c r="E62" s="167"/>
    </row>
    <row r="63" ht="15.75" customHeight="1">
      <c r="B63" s="176"/>
      <c r="C63" s="167"/>
      <c r="D63" s="167"/>
      <c r="E63" s="167"/>
    </row>
    <row r="64" ht="15.75" customHeight="1">
      <c r="B64" s="176"/>
      <c r="C64" s="167"/>
      <c r="D64" s="167"/>
      <c r="E64" s="167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43"/>
    <col customWidth="1" min="2" max="2" width="30.14"/>
    <col customWidth="1" min="3" max="5" width="17.29"/>
    <col customWidth="1" min="6" max="26" width="8.71"/>
  </cols>
  <sheetData>
    <row r="1">
      <c r="A1" s="163" t="s">
        <v>407</v>
      </c>
    </row>
    <row r="2">
      <c r="A2" s="164"/>
    </row>
    <row r="3">
      <c r="A3" s="165" t="s">
        <v>1</v>
      </c>
      <c r="B3" s="165" t="s">
        <v>2</v>
      </c>
      <c r="C3" s="166" t="s">
        <v>400</v>
      </c>
      <c r="D3" s="166" t="s">
        <v>401</v>
      </c>
      <c r="E3" s="166" t="s">
        <v>402</v>
      </c>
    </row>
    <row r="4">
      <c r="A4" s="78" t="s">
        <v>19</v>
      </c>
      <c r="B4" s="78" t="s">
        <v>35</v>
      </c>
      <c r="C4" s="167">
        <f>SUMIFS(ApprovedBudget!H19:H125,ApprovedBudget!$A$19:$A$125,"Sales and Marketing")</f>
        <v>517840</v>
      </c>
      <c r="D4" s="167">
        <f>IF($A4&lt;&gt;"", SUMIFS('Detailed Receipts'!$K:$K, 'Detailed Receipts'!$A:$A, $A4, 'Detailed Receipts'!$B:$B, $B4, 'Detailed Receipts'!$D:$D, "Apr", 'Detailed Receipts'!$L:$L, "OPEX"), SUMIFS('Detailed Receipts'!$K:$K, 'Detailed Receipts'!$A:$A, MID($B4, 12, 100), 'Detailed Receipts'!$D:$D, "Apr", 'Detailed Receipts'!$L:$L, "OPEX"))</f>
        <v>6332</v>
      </c>
      <c r="E4" s="167">
        <f t="shared" ref="E4:E34" si="1">C4-D4</f>
        <v>511508</v>
      </c>
    </row>
    <row r="5">
      <c r="A5" s="168"/>
      <c r="B5" s="169" t="s">
        <v>52</v>
      </c>
      <c r="C5" s="170">
        <f>SUM(C4)</f>
        <v>517840</v>
      </c>
      <c r="D5" s="170">
        <f>IF($A5&lt;&gt;"", SUMIFS('Detailed Receipts'!$K:$K, 'Detailed Receipts'!$A:$A, $A5, 'Detailed Receipts'!$B:$B, $B5, 'Detailed Receipts'!$D:$D, "Apr", 'Detailed Receipts'!$L:$L, "OPEX"), SUMIFS('Detailed Receipts'!$K:$K, 'Detailed Receipts'!$A:$A, MID($B5, 12, 100), 'Detailed Receipts'!$D:$D, "Apr", 'Detailed Receipts'!$L:$L, "OPEX"))</f>
        <v>6332</v>
      </c>
      <c r="E5" s="170">
        <f t="shared" si="1"/>
        <v>511508</v>
      </c>
    </row>
    <row r="6">
      <c r="A6" s="78" t="s">
        <v>22</v>
      </c>
      <c r="B6" s="78" t="s">
        <v>22</v>
      </c>
      <c r="C6" s="167">
        <f>SUMIFS(ApprovedBudget!H19:H125,ApprovedBudget!$A$19:$A$125,"Customer Success",ApprovedBudget!$B$19:$B$125,"Customer Success")</f>
        <v>67500</v>
      </c>
      <c r="D6" s="167">
        <f>IF($A6&lt;&gt;"", SUMIFS('Detailed Receipts'!$K:$K, 'Detailed Receipts'!$A:$A, $A6, 'Detailed Receipts'!$B:$B, $B6, 'Detailed Receipts'!$D:$D, "Apr", 'Detailed Receipts'!$L:$L, "OPEX"), SUMIFS('Detailed Receipts'!$K:$K, 'Detailed Receipts'!$A:$A, MID($B6, 12, 100), 'Detailed Receipts'!$D:$D, "Apr", 'Detailed Receipts'!$L:$L, "OPEX"))</f>
        <v>0</v>
      </c>
      <c r="E6" s="167">
        <f t="shared" si="1"/>
        <v>67500</v>
      </c>
    </row>
    <row r="7">
      <c r="A7" s="171"/>
      <c r="B7" s="169" t="s">
        <v>56</v>
      </c>
      <c r="C7" s="170">
        <f>SUM(C6)</f>
        <v>67500</v>
      </c>
      <c r="D7" s="170">
        <f>IF($A7&lt;&gt;"", SUMIFS('Detailed Receipts'!$K:$K, 'Detailed Receipts'!$A:$A, $A7, 'Detailed Receipts'!$B:$B, $B7, 'Detailed Receipts'!$D:$D, "Apr", 'Detailed Receipts'!$L:$L, "OPEX"), SUMIFS('Detailed Receipts'!$K:$K, 'Detailed Receipts'!$A:$A, MID($B7, 12, 100), 'Detailed Receipts'!$D:$D, "Apr", 'Detailed Receipts'!$L:$L, "OPEX"))</f>
        <v>0</v>
      </c>
      <c r="E7" s="170">
        <f t="shared" si="1"/>
        <v>67500</v>
      </c>
    </row>
    <row r="8">
      <c r="A8" s="78" t="s">
        <v>23</v>
      </c>
      <c r="B8" s="78" t="s">
        <v>66</v>
      </c>
      <c r="C8" s="167">
        <f>SUMIFS(ApprovedBudget!H19:H125,ApprovedBudget!$A$19:$A$125,"Supply Chain",ApprovedBudget!$B$19:$B$125,"Logistics")</f>
        <v>13722</v>
      </c>
      <c r="D8" s="167">
        <f>IF($A8&lt;&gt;"", SUMIFS('Detailed Receipts'!$K:$K, 'Detailed Receipts'!$A:$A, $A8, 'Detailed Receipts'!$B:$B, $B8, 'Detailed Receipts'!$D:$D, "Apr", 'Detailed Receipts'!$L:$L, "OPEX"), SUMIFS('Detailed Receipts'!$K:$K, 'Detailed Receipts'!$A:$A, MID($B8, 12, 100), 'Detailed Receipts'!$D:$D, "Apr", 'Detailed Receipts'!$L:$L, "OPEX"))</f>
        <v>52998</v>
      </c>
      <c r="E8" s="167">
        <f t="shared" si="1"/>
        <v>-39276</v>
      </c>
    </row>
    <row r="9">
      <c r="A9" s="78" t="s">
        <v>23</v>
      </c>
      <c r="B9" s="78" t="s">
        <v>57</v>
      </c>
      <c r="C9" s="167">
        <f>SUMIFS(ApprovedBudget!H19:H125,ApprovedBudget!$A$19:$A$125,"Supply Chain",ApprovedBudget!$B$19:$B$125,"Procurement")</f>
        <v>7411</v>
      </c>
      <c r="D9" s="167">
        <f>IF($A9&lt;&gt;"", SUMIFS('Detailed Receipts'!$K:$K, 'Detailed Receipts'!$A:$A, $A9, 'Detailed Receipts'!$B:$B, $B9, 'Detailed Receipts'!$D:$D, "Apr", 'Detailed Receipts'!$L:$L, "OPEX"), SUMIFS('Detailed Receipts'!$K:$K, 'Detailed Receipts'!$A:$A, MID($B9, 12, 100), 'Detailed Receipts'!$D:$D, "Apr", 'Detailed Receipts'!$L:$L, "OPEX"))</f>
        <v>1000</v>
      </c>
      <c r="E9" s="167">
        <f t="shared" si="1"/>
        <v>6411</v>
      </c>
    </row>
    <row r="10">
      <c r="A10" s="78" t="s">
        <v>23</v>
      </c>
      <c r="B10" s="78" t="s">
        <v>64</v>
      </c>
      <c r="C10" s="167">
        <f>SUMIFS(ApprovedBudget!H19:H125,ApprovedBudget!$A$19:$A$125,"Supply Chain",ApprovedBudget!$B$19:$B$125,"Retail")</f>
        <v>125000</v>
      </c>
      <c r="D10" s="167">
        <f>IF($A10&lt;&gt;"", SUMIFS('Detailed Receipts'!$K:$K, 'Detailed Receipts'!$A:$A, $A10, 'Detailed Receipts'!$B:$B, $B10, 'Detailed Receipts'!$D:$D, "Apr", 'Detailed Receipts'!$L:$L, "OPEX"), SUMIFS('Detailed Receipts'!$K:$K, 'Detailed Receipts'!$A:$A, MID($B10, 12, 100), 'Detailed Receipts'!$D:$D, "Apr", 'Detailed Receipts'!$L:$L, "OPEX"))</f>
        <v>1050</v>
      </c>
      <c r="E10" s="167">
        <f t="shared" si="1"/>
        <v>123950</v>
      </c>
    </row>
    <row r="11">
      <c r="A11" s="78" t="s">
        <v>23</v>
      </c>
      <c r="B11" s="78" t="s">
        <v>24</v>
      </c>
      <c r="C11" s="167">
        <f>SUMIFS(ApprovedBudget!H19:H125,ApprovedBudget!$A$19:$A$125,"Supply Chain",ApprovedBudget!$B$19:$B$125,"Warehouse")</f>
        <v>437629</v>
      </c>
      <c r="D11" s="167">
        <f>IF($A11&lt;&gt;"", SUMIFS('Detailed Receipts'!$K:$K, 'Detailed Receipts'!$A:$A, $A11, 'Detailed Receipts'!$B:$B, $B11, 'Detailed Receipts'!$D:$D, "Apr", 'Detailed Receipts'!$L:$L, "OPEX"), SUMIFS('Detailed Receipts'!$K:$K, 'Detailed Receipts'!$A:$A, MID($B11, 12, 100), 'Detailed Receipts'!$D:$D, "Apr", 'Detailed Receipts'!$L:$L, "OPEX"))</f>
        <v>290878</v>
      </c>
      <c r="E11" s="167">
        <f t="shared" si="1"/>
        <v>146751</v>
      </c>
    </row>
    <row r="12">
      <c r="A12" s="168"/>
      <c r="B12" s="169" t="s">
        <v>68</v>
      </c>
      <c r="C12" s="170">
        <f>SUM(C8:C11)</f>
        <v>583762</v>
      </c>
      <c r="D12" s="170">
        <f>IF($A12&lt;&gt;"", SUMIFS('Detailed Receipts'!$K:$K, 'Detailed Receipts'!$A:$A, $A12, 'Detailed Receipts'!$B:$B, $B12, 'Detailed Receipts'!$D:$D, "Apr", 'Detailed Receipts'!$L:$L, "OPEX"), SUMIFS('Detailed Receipts'!$K:$K, 'Detailed Receipts'!$A:$A, MID($B12, 12, 100), 'Detailed Receipts'!$D:$D, "Apr", 'Detailed Receipts'!$L:$L, "OPEX"))</f>
        <v>345926</v>
      </c>
      <c r="E12" s="170">
        <f t="shared" si="1"/>
        <v>237836</v>
      </c>
    </row>
    <row r="13">
      <c r="A13" s="78" t="s">
        <v>25</v>
      </c>
      <c r="B13" s="78" t="s">
        <v>25</v>
      </c>
      <c r="C13" s="167">
        <f>SUMIFS(ApprovedBudget!H19:H125,ApprovedBudget!$A$19:$A$125,"Aftersales",ApprovedBudget!$B$19:$B$125,"Aftersales")</f>
        <v>60000</v>
      </c>
      <c r="D13" s="167">
        <f>IF($A13&lt;&gt;"", SUMIFS('Detailed Receipts'!$K:$K, 'Detailed Receipts'!$A:$A, $A13, 'Detailed Receipts'!$B:$B, $B13, 'Detailed Receipts'!$D:$D, "Apr", 'Detailed Receipts'!$L:$L, "OPEX"), SUMIFS('Detailed Receipts'!$K:$K, 'Detailed Receipts'!$A:$A, MID($B13, 12, 100), 'Detailed Receipts'!$D:$D, "Apr", 'Detailed Receipts'!$L:$L, "OPEX"))</f>
        <v>0</v>
      </c>
      <c r="E13" s="167">
        <f t="shared" si="1"/>
        <v>60000</v>
      </c>
    </row>
    <row r="14">
      <c r="A14" s="168"/>
      <c r="B14" s="169" t="s">
        <v>70</v>
      </c>
      <c r="C14" s="170">
        <f>SUM(C13)</f>
        <v>60000</v>
      </c>
      <c r="D14" s="170">
        <f>IF($A14&lt;&gt;"", SUMIFS('Detailed Receipts'!$K:$K, 'Detailed Receipts'!$A:$A, $A14, 'Detailed Receipts'!$B:$B, $B14, 'Detailed Receipts'!$D:$D, "Apr", 'Detailed Receipts'!$L:$L, "OPEX"), SUMIFS('Detailed Receipts'!$K:$K, 'Detailed Receipts'!$A:$A, MID($B14, 12, 100), 'Detailed Receipts'!$D:$D, "Apr", 'Detailed Receipts'!$L:$L, "OPEX"))</f>
        <v>0</v>
      </c>
      <c r="E14" s="170">
        <f t="shared" si="1"/>
        <v>60000</v>
      </c>
    </row>
    <row r="15">
      <c r="A15" s="78" t="s">
        <v>26</v>
      </c>
      <c r="B15" s="78" t="s">
        <v>403</v>
      </c>
      <c r="C15" s="167">
        <f>SUMIFS(ApprovedBudget!H19:H125,ApprovedBudget!$A$19:$A$125,"Product",ApprovedBudget!$B$19:$B$125,"Homologation &amp; Registration")</f>
        <v>0</v>
      </c>
      <c r="D15" s="167">
        <f>IF($A15&lt;&gt;"", SUMIFS('Detailed Receipts'!$K:$K, 'Detailed Receipts'!$A:$A, $A15, 'Detailed Receipts'!$B:$B, $B15, 'Detailed Receipts'!$D:$D, "Apr", 'Detailed Receipts'!$L:$L, "OPEX"), SUMIFS('Detailed Receipts'!$K:$K, 'Detailed Receipts'!$A:$A, MID($B15, 12, 100), 'Detailed Receipts'!$D:$D, "Apr", 'Detailed Receipts'!$L:$L, "OPEX"))</f>
        <v>0</v>
      </c>
      <c r="E15" s="167">
        <f t="shared" si="1"/>
        <v>0</v>
      </c>
    </row>
    <row r="16">
      <c r="A16" s="78" t="s">
        <v>26</v>
      </c>
      <c r="B16" s="78" t="s">
        <v>71</v>
      </c>
      <c r="C16" s="167">
        <f>SUMIFS(ApprovedBudget!H19:H125,ApprovedBudget!$A$19:$A$125,"Product",ApprovedBudget!$B$19:$B$125,"R&amp;D")</f>
        <v>15000</v>
      </c>
      <c r="D16" s="167">
        <f>IF($A16&lt;&gt;"", SUMIFS('Detailed Receipts'!$K:$K, 'Detailed Receipts'!$A:$A, $A16, 'Detailed Receipts'!$B:$B, $B16, 'Detailed Receipts'!$D:$D, "Apr", 'Detailed Receipts'!$L:$L, "OPEX"), SUMIFS('Detailed Receipts'!$K:$K, 'Detailed Receipts'!$A:$A, MID($B16, 12, 100), 'Detailed Receipts'!$D:$D, "Apr", 'Detailed Receipts'!$L:$L, "OPEX"))</f>
        <v>0</v>
      </c>
      <c r="E16" s="167">
        <f t="shared" si="1"/>
        <v>15000</v>
      </c>
    </row>
    <row r="17">
      <c r="A17" s="168"/>
      <c r="B17" s="169" t="s">
        <v>74</v>
      </c>
      <c r="C17" s="170">
        <f>SUM(C15:C16)</f>
        <v>15000</v>
      </c>
      <c r="D17" s="170">
        <f>IF($A17&lt;&gt;"", SUMIFS('Detailed Receipts'!$K:$K, 'Detailed Receipts'!$A:$A, $A17, 'Detailed Receipts'!$B:$B, $B17, 'Detailed Receipts'!$D:$D, "Apr", 'Detailed Receipts'!$L:$L, "OPEX"), SUMIFS('Detailed Receipts'!$K:$K, 'Detailed Receipts'!$A:$A, MID($B17, 12, 100), 'Detailed Receipts'!$D:$D, "Apr", 'Detailed Receipts'!$L:$L, "OPEX"))</f>
        <v>0</v>
      </c>
      <c r="E17" s="170">
        <f t="shared" si="1"/>
        <v>15000</v>
      </c>
    </row>
    <row r="18">
      <c r="A18" s="78" t="s">
        <v>27</v>
      </c>
      <c r="B18" s="78" t="s">
        <v>214</v>
      </c>
      <c r="C18" s="167">
        <f>SUMIFS(ApprovedBudget!H19:H125,ApprovedBudget!$A$19:$A$125,"RideBox",ApprovedBudget!$B$19:$B$125,"RideBox")</f>
        <v>2300</v>
      </c>
      <c r="D18" s="167">
        <f>IF($A18&lt;&gt;"", SUMIFS('Detailed Receipts'!$K:$K, 'Detailed Receipts'!$A:$A, $A18, 'Detailed Receipts'!$B:$B, $B18, 'Detailed Receipts'!$D:$D, "Apr", 'Detailed Receipts'!$L:$L, "OPEX"), SUMIFS('Detailed Receipts'!$K:$K, 'Detailed Receipts'!$A:$A, MID($B18, 12, 100), 'Detailed Receipts'!$D:$D, "Apr", 'Detailed Receipts'!$L:$L, "OPEX"))</f>
        <v>0</v>
      </c>
      <c r="E18" s="167">
        <f t="shared" si="1"/>
        <v>2300</v>
      </c>
    </row>
    <row r="19">
      <c r="A19" s="78" t="s">
        <v>27</v>
      </c>
      <c r="B19" s="78" t="s">
        <v>75</v>
      </c>
      <c r="C19" s="167">
        <f>SUMIFS(ApprovedBudget!H19:H125,ApprovedBudget!$A$19:$A$125,"RideBox",ApprovedBudget!$B$19:$B$125,"Monitoring &amp; Field Ops")</f>
        <v>37000</v>
      </c>
      <c r="D19" s="167">
        <f>IF($A19&lt;&gt;"", SUMIFS('Detailed Receipts'!$K:$K, 'Detailed Receipts'!$A:$A, $A19, 'Detailed Receipts'!$B:$B, $B19, 'Detailed Receipts'!$D:$D, "Apr", 'Detailed Receipts'!$L:$L, "OPEX"), SUMIFS('Detailed Receipts'!$K:$K, 'Detailed Receipts'!$A:$A, MID($B19, 12, 100), 'Detailed Receipts'!$D:$D, "Apr", 'Detailed Receipts'!$L:$L, "OPEX"))</f>
        <v>0</v>
      </c>
      <c r="E19" s="167">
        <f t="shared" si="1"/>
        <v>37000</v>
      </c>
    </row>
    <row r="20">
      <c r="A20" s="78" t="s">
        <v>27</v>
      </c>
      <c r="B20" s="78" t="s">
        <v>77</v>
      </c>
      <c r="C20" s="167">
        <f>SUMIFS(ApprovedBudget!H19:H125,ApprovedBudget!$A$19:$A$125,"RideBox",ApprovedBudget!$B$19:$B$125,"Network Rollout")</f>
        <v>185000</v>
      </c>
      <c r="D20" s="167">
        <f>IF($A20&lt;&gt;"", SUMIFS('Detailed Receipts'!$K:$K, 'Detailed Receipts'!$A:$A, $A20, 'Detailed Receipts'!$B:$B, $B20, 'Detailed Receipts'!$D:$D, "Apr", 'Detailed Receipts'!$L:$L, "OPEX"), SUMIFS('Detailed Receipts'!$K:$K, 'Detailed Receipts'!$A:$A, MID($B20, 12, 100), 'Detailed Receipts'!$D:$D, "Apr", 'Detailed Receipts'!$L:$L, "OPEX"))</f>
        <v>148367</v>
      </c>
      <c r="E20" s="167">
        <f t="shared" si="1"/>
        <v>36633</v>
      </c>
    </row>
    <row r="21" ht="15.75" customHeight="1">
      <c r="A21" s="78" t="s">
        <v>27</v>
      </c>
      <c r="B21" s="78" t="s">
        <v>210</v>
      </c>
      <c r="C21" s="167">
        <f>SUMIFS(ApprovedBudget!H19:H125,ApprovedBudget!$A$19:$A$125,"RideBox",ApprovedBudget!$B$19:$B$125,"Service Center")</f>
        <v>0</v>
      </c>
      <c r="D21" s="167">
        <f>IF($A21&lt;&gt;"", SUMIFS('Detailed Receipts'!$K:$K, 'Detailed Receipts'!$A:$A, $A21, 'Detailed Receipts'!$B:$B, $B21, 'Detailed Receipts'!$D:$D, "Apr", 'Detailed Receipts'!$L:$L, "OPEX"), SUMIFS('Detailed Receipts'!$K:$K, 'Detailed Receipts'!$A:$A, MID($B21, 12, 100), 'Detailed Receipts'!$D:$D, "Apr", 'Detailed Receipts'!$L:$L, "OPEX"))</f>
        <v>0</v>
      </c>
      <c r="E21" s="167">
        <f t="shared" si="1"/>
        <v>0</v>
      </c>
    </row>
    <row r="22" ht="15.75" customHeight="1">
      <c r="A22" s="168"/>
      <c r="B22" s="169" t="s">
        <v>82</v>
      </c>
      <c r="C22" s="170">
        <f>SUM(C18:C21)</f>
        <v>224300</v>
      </c>
      <c r="D22" s="170">
        <f>IF($A22&lt;&gt;"", SUMIFS('Detailed Receipts'!$K:$K, 'Detailed Receipts'!$A:$A, $A22, 'Detailed Receipts'!$B:$B, $B22, 'Detailed Receipts'!$D:$D, "Apr", 'Detailed Receipts'!$L:$L, "OPEX"), SUMIFS('Detailed Receipts'!$K:$K, 'Detailed Receipts'!$A:$A, MID($B22, 12, 100), 'Detailed Receipts'!$D:$D, "Apr", 'Detailed Receipts'!$L:$L, "OPEX"))</f>
        <v>148367</v>
      </c>
      <c r="E22" s="170">
        <f t="shared" si="1"/>
        <v>75933</v>
      </c>
    </row>
    <row r="23" ht="15.75" customHeight="1">
      <c r="A23" s="78" t="s">
        <v>28</v>
      </c>
      <c r="B23" s="78" t="s">
        <v>28</v>
      </c>
      <c r="C23" s="167">
        <f>SUMIFS(ApprovedBudget!H19:H125,ApprovedBudget!$A$19:$A$125,"Technology")</f>
        <v>251864</v>
      </c>
      <c r="D23" s="167">
        <f>IF($A23&lt;&gt;"", SUMIFS('Detailed Receipts'!$K:$K, 'Detailed Receipts'!$A:$A, $A23, 'Detailed Receipts'!$B:$B, $B23, 'Detailed Receipts'!$D:$D, "Apr", 'Detailed Receipts'!$L:$L, "OPEX"), SUMIFS('Detailed Receipts'!$K:$K, 'Detailed Receipts'!$A:$A, MID($B23, 12, 100), 'Detailed Receipts'!$D:$D, "Apr", 'Detailed Receipts'!$L:$L, "OPEX"))</f>
        <v>3542</v>
      </c>
      <c r="E23" s="167">
        <f t="shared" si="1"/>
        <v>248322</v>
      </c>
    </row>
    <row r="24" ht="15.75" customHeight="1">
      <c r="A24" s="168"/>
      <c r="B24" s="169" t="s">
        <v>184</v>
      </c>
      <c r="C24" s="170">
        <f>SUM(C23)</f>
        <v>251864</v>
      </c>
      <c r="D24" s="170">
        <f>IF($A24&lt;&gt;"", SUMIFS('Detailed Receipts'!$K:$K, 'Detailed Receipts'!$A:$A, $A24, 'Detailed Receipts'!$B:$B, $B24, 'Detailed Receipts'!$D:$D, "Apr", 'Detailed Receipts'!$L:$L, "OPEX"), SUMIFS('Detailed Receipts'!$K:$K, 'Detailed Receipts'!$A:$A, MID($B24, 12, 100), 'Detailed Receipts'!$D:$D, "Apr", 'Detailed Receipts'!$L:$L, "OPEX"))</f>
        <v>3542</v>
      </c>
      <c r="E24" s="170">
        <f t="shared" si="1"/>
        <v>248322</v>
      </c>
    </row>
    <row r="25" ht="15.75" customHeight="1">
      <c r="A25" s="78" t="s">
        <v>29</v>
      </c>
      <c r="B25" s="78" t="s">
        <v>29</v>
      </c>
      <c r="C25" s="167">
        <f>SUMIFS(ApprovedBudget!H19:H125,ApprovedBudget!$A$19:$A$125,"Finance and Accounting",ApprovedBudget!$B$19:$B$125,"Finance and Accounting")</f>
        <v>42526</v>
      </c>
      <c r="D25" s="167">
        <f>IF($A25&lt;&gt;"", SUMIFS('Detailed Receipts'!$K:$K, 'Detailed Receipts'!$A:$A, $A25, 'Detailed Receipts'!$B:$B, $B25, 'Detailed Receipts'!$D:$D, "Apr", 'Detailed Receipts'!$L:$L, "OPEX"), SUMIFS('Detailed Receipts'!$K:$K, 'Detailed Receipts'!$A:$A, MID($B25, 12, 100), 'Detailed Receipts'!$D:$D, "Apr", 'Detailed Receipts'!$L:$L, "OPEX"))</f>
        <v>57419</v>
      </c>
      <c r="E25" s="167">
        <f t="shared" si="1"/>
        <v>-14893</v>
      </c>
    </row>
    <row r="26" ht="15.75" customHeight="1">
      <c r="A26" s="168"/>
      <c r="B26" s="169" t="s">
        <v>123</v>
      </c>
      <c r="C26" s="170">
        <f>SUM(C25)</f>
        <v>42526</v>
      </c>
      <c r="D26" s="170">
        <f>IF($A26&lt;&gt;"", SUMIFS('Detailed Receipts'!$K:$K, 'Detailed Receipts'!$A:$A, $A26, 'Detailed Receipts'!$B:$B, $B26, 'Detailed Receipts'!$D:$D, "Apr", 'Detailed Receipts'!$L:$L, "OPEX"), SUMIFS('Detailed Receipts'!$K:$K, 'Detailed Receipts'!$A:$A, MID($B26, 12, 100), 'Detailed Receipts'!$D:$D, "Apr", 'Detailed Receipts'!$L:$L, "OPEX"))</f>
        <v>57419</v>
      </c>
      <c r="E26" s="170">
        <f t="shared" si="1"/>
        <v>-14893</v>
      </c>
    </row>
    <row r="27" ht="15.75" customHeight="1">
      <c r="A27" s="78" t="s">
        <v>30</v>
      </c>
      <c r="B27" s="78" t="s">
        <v>30</v>
      </c>
      <c r="C27" s="167">
        <f>SUMIFS(ApprovedBudget!H19:H125,ApprovedBudget!$A$19:$A$125,"Admin",ApprovedBudget!$B$19:$B$125,"Admin")</f>
        <v>580893</v>
      </c>
      <c r="D27" s="167">
        <f>IF($A27&lt;&gt;"", SUMIFS('Detailed Receipts'!$K:$K, 'Detailed Receipts'!$A:$A, $A27, 'Detailed Receipts'!$B:$B, $B27, 'Detailed Receipts'!$D:$D, "Apr", 'Detailed Receipts'!$L:$L, "OPEX"), SUMIFS('Detailed Receipts'!$K:$K, 'Detailed Receipts'!$A:$A, MID($B27, 12, 100), 'Detailed Receipts'!$D:$D, "Apr", 'Detailed Receipts'!$L:$L, "OPEX"))</f>
        <v>682822</v>
      </c>
      <c r="E27" s="167">
        <f t="shared" si="1"/>
        <v>-101929</v>
      </c>
    </row>
    <row r="28" ht="15.75" customHeight="1">
      <c r="A28" s="168"/>
      <c r="B28" s="169" t="s">
        <v>130</v>
      </c>
      <c r="C28" s="170">
        <f>SUM(C27)</f>
        <v>580893</v>
      </c>
      <c r="D28" s="170">
        <f>IF($A28&lt;&gt;"", SUMIFS('Detailed Receipts'!$K:$K, 'Detailed Receipts'!$A:$A, $A28, 'Detailed Receipts'!$B:$B, $B28, 'Detailed Receipts'!$D:$D, "Apr", 'Detailed Receipts'!$L:$L, "OPEX"), SUMIFS('Detailed Receipts'!$K:$K, 'Detailed Receipts'!$A:$A, MID($B28, 12, 100), 'Detailed Receipts'!$D:$D, "Apr", 'Detailed Receipts'!$L:$L, "OPEX"))</f>
        <v>682822</v>
      </c>
      <c r="E28" s="170">
        <f t="shared" si="1"/>
        <v>-101929</v>
      </c>
    </row>
    <row r="29" ht="15.75" customHeight="1">
      <c r="A29" s="78" t="s">
        <v>31</v>
      </c>
      <c r="B29" s="78" t="s">
        <v>31</v>
      </c>
      <c r="C29" s="167">
        <f>SUMIFS(ApprovedBudget!H19:H125,ApprovedBudget!$A$19:$A$125,"HR",ApprovedBudget!$B$19:$B$125,"HR")</f>
        <v>215000</v>
      </c>
      <c r="D29" s="167">
        <f>IF($A29&lt;&gt;"", SUMIFS('Detailed Receipts'!$K:$K, 'Detailed Receipts'!$A:$A, $A29, 'Detailed Receipts'!$B:$B, $B29, 'Detailed Receipts'!$D:$D, "Apr", 'Detailed Receipts'!$L:$L, "OPEX"), SUMIFS('Detailed Receipts'!$K:$K, 'Detailed Receipts'!$A:$A, MID($B29, 12, 100), 'Detailed Receipts'!$D:$D, "Apr", 'Detailed Receipts'!$L:$L, "OPEX"))</f>
        <v>164621</v>
      </c>
      <c r="E29" s="167">
        <f t="shared" si="1"/>
        <v>50379</v>
      </c>
    </row>
    <row r="30" ht="15.75" customHeight="1">
      <c r="A30" s="168"/>
      <c r="B30" s="169" t="s">
        <v>137</v>
      </c>
      <c r="C30" s="170">
        <f>SUM(C29)</f>
        <v>215000</v>
      </c>
      <c r="D30" s="170">
        <f>IF($A30&lt;&gt;"", SUMIFS('Detailed Receipts'!$K:$K, 'Detailed Receipts'!$A:$A, $A30, 'Detailed Receipts'!$B:$B, $B30, 'Detailed Receipts'!$D:$D, "Apr", 'Detailed Receipts'!$L:$L, "OPEX"), SUMIFS('Detailed Receipts'!$K:$K, 'Detailed Receipts'!$A:$A, MID($B30, 12, 100), 'Detailed Receipts'!$D:$D, "Apr", 'Detailed Receipts'!$L:$L, "OPEX"))</f>
        <v>164621</v>
      </c>
      <c r="E30" s="170">
        <f t="shared" si="1"/>
        <v>50379</v>
      </c>
    </row>
    <row r="31" ht="15.75" customHeight="1">
      <c r="A31" s="78" t="s">
        <v>32</v>
      </c>
      <c r="B31" s="78" t="s">
        <v>140</v>
      </c>
      <c r="C31" s="167">
        <f>SUMIFS(ApprovedBudget!H19:H125,ApprovedBudget!$A$19:$A$125,"Compliance and Risk",ApprovedBudget!$B$19:$B$125,"Legal &amp; notarial")</f>
        <v>60000</v>
      </c>
      <c r="D31" s="167">
        <f>IF($A31&lt;&gt;"", SUMIFS('Detailed Receipts'!$K:$K, 'Detailed Receipts'!$A:$A, $A31, 'Detailed Receipts'!$B:$B, $B31, 'Detailed Receipts'!$D:$D, "Apr", 'Detailed Receipts'!$L:$L, "OPEX"), SUMIFS('Detailed Receipts'!$K:$K, 'Detailed Receipts'!$A:$A, MID($B31, 12, 100), 'Detailed Receipts'!$D:$D, "Apr", 'Detailed Receipts'!$L:$L, "OPEX"))</f>
        <v>47012</v>
      </c>
      <c r="E31" s="167">
        <f t="shared" si="1"/>
        <v>12988</v>
      </c>
    </row>
    <row r="32" ht="15.75" customHeight="1">
      <c r="A32" s="78" t="s">
        <v>32</v>
      </c>
      <c r="B32" s="78" t="s">
        <v>138</v>
      </c>
      <c r="C32" s="167">
        <f>SUMIFS(ApprovedBudget!H19:H125,ApprovedBudget!$A$19:$A$125,"Compliance and Risk",ApprovedBudget!$B$19:$B$125,"Permits &amp; registration")</f>
        <v>86800</v>
      </c>
      <c r="D32" s="167">
        <f>IF($A32&lt;&gt;"", SUMIFS('Detailed Receipts'!$K:$K, 'Detailed Receipts'!$A:$A, $A32, 'Detailed Receipts'!$B:$B, $B32, 'Detailed Receipts'!$D:$D, "Apr", 'Detailed Receipts'!$L:$L, "OPEX"), SUMIFS('Detailed Receipts'!$K:$K, 'Detailed Receipts'!$A:$A, MID($B32, 12, 100), 'Detailed Receipts'!$D:$D, "Apr", 'Detailed Receipts'!$L:$L, "OPEX"))</f>
        <v>597</v>
      </c>
      <c r="E32" s="167">
        <f t="shared" si="1"/>
        <v>86203</v>
      </c>
    </row>
    <row r="33" ht="15.75" customHeight="1">
      <c r="A33" s="168"/>
      <c r="B33" s="169" t="s">
        <v>146</v>
      </c>
      <c r="C33" s="170">
        <f>SUM(C31:C32)</f>
        <v>146800</v>
      </c>
      <c r="D33" s="170">
        <f>IF($A33&lt;&gt;"", SUMIFS('Detailed Receipts'!$K:$K, 'Detailed Receipts'!$A:$A, $A33, 'Detailed Receipts'!$B:$B, $B33, 'Detailed Receipts'!$D:$D, "Apr", 'Detailed Receipts'!$L:$L, "OPEX"), SUMIFS('Detailed Receipts'!$K:$K, 'Detailed Receipts'!$A:$A, MID($B33, 12, 100), 'Detailed Receipts'!$D:$D, "Apr", 'Detailed Receipts'!$L:$L, "OPEX"))</f>
        <v>47609</v>
      </c>
      <c r="E33" s="170">
        <f t="shared" si="1"/>
        <v>99191</v>
      </c>
    </row>
    <row r="34" ht="15.75" customHeight="1">
      <c r="A34" s="172"/>
      <c r="B34" s="173" t="s">
        <v>404</v>
      </c>
      <c r="C34" s="174">
        <f t="shared" ref="C34:D34" si="2">SUMIF($B4:$B33,"Subtotal*",C4:C33)</f>
        <v>2705485</v>
      </c>
      <c r="D34" s="174">
        <f t="shared" si="2"/>
        <v>1456638</v>
      </c>
      <c r="E34" s="174">
        <f t="shared" si="1"/>
        <v>1248847</v>
      </c>
    </row>
    <row r="35" ht="15.75" customHeight="1">
      <c r="A35" s="175"/>
      <c r="B35" s="176"/>
      <c r="C35" s="167"/>
      <c r="D35" s="167"/>
      <c r="E35" s="167"/>
    </row>
    <row r="36" ht="15.75" customHeight="1">
      <c r="A36" s="176"/>
      <c r="B36" s="176"/>
      <c r="C36" s="167"/>
      <c r="D36" s="167"/>
      <c r="E36" s="167"/>
    </row>
    <row r="37" ht="15.75" customHeight="1">
      <c r="A37" s="176"/>
      <c r="B37" s="176"/>
      <c r="C37" s="167"/>
      <c r="D37" s="167"/>
      <c r="E37" s="167"/>
    </row>
    <row r="38" ht="15.75" customHeight="1">
      <c r="A38" s="175"/>
      <c r="B38" s="176"/>
      <c r="C38" s="167"/>
      <c r="D38" s="167"/>
      <c r="E38" s="167"/>
    </row>
    <row r="39" ht="15.75" customHeight="1">
      <c r="A39" s="176"/>
      <c r="B39" s="176"/>
      <c r="C39" s="167"/>
      <c r="D39" s="167"/>
      <c r="E39" s="167"/>
    </row>
    <row r="40" ht="15.75" customHeight="1">
      <c r="A40" s="176"/>
      <c r="B40" s="176"/>
      <c r="C40" s="167"/>
      <c r="D40" s="167"/>
      <c r="E40" s="167"/>
    </row>
    <row r="41" ht="15.75" customHeight="1">
      <c r="A41" s="175"/>
      <c r="B41" s="176"/>
      <c r="C41" s="167"/>
      <c r="D41" s="167"/>
      <c r="E41" s="167"/>
    </row>
    <row r="42" ht="15.75" customHeight="1">
      <c r="A42" s="176"/>
      <c r="B42" s="176"/>
      <c r="C42" s="167"/>
      <c r="D42" s="167"/>
      <c r="E42" s="167"/>
    </row>
    <row r="43" ht="15.75" customHeight="1">
      <c r="A43" s="176"/>
      <c r="B43" s="176"/>
      <c r="C43" s="167"/>
      <c r="D43" s="167"/>
      <c r="E43" s="167"/>
    </row>
    <row r="44" ht="15.75" customHeight="1">
      <c r="A44" s="176"/>
      <c r="B44" s="176"/>
      <c r="C44" s="167"/>
      <c r="D44" s="167"/>
      <c r="E44" s="167"/>
    </row>
    <row r="45" ht="15.75" customHeight="1">
      <c r="A45" s="175"/>
      <c r="B45" s="176"/>
      <c r="C45" s="167"/>
      <c r="D45" s="167"/>
      <c r="E45" s="167"/>
    </row>
    <row r="46" ht="15.75" customHeight="1">
      <c r="A46" s="175"/>
      <c r="B46" s="176"/>
      <c r="C46" s="167"/>
      <c r="D46" s="167"/>
      <c r="E46" s="167"/>
    </row>
    <row r="47" ht="15.75" customHeight="1">
      <c r="A47" s="175"/>
      <c r="B47" s="175"/>
      <c r="C47" s="167"/>
      <c r="D47" s="167"/>
      <c r="E47" s="167"/>
    </row>
    <row r="48" ht="15.75" customHeight="1">
      <c r="A48" s="176"/>
      <c r="B48" s="175"/>
      <c r="C48" s="167"/>
      <c r="D48" s="167"/>
      <c r="E48" s="167"/>
    </row>
    <row r="49" ht="15.75" customHeight="1">
      <c r="A49" s="176"/>
      <c r="B49" s="176"/>
      <c r="C49" s="167"/>
      <c r="D49" s="167"/>
      <c r="E49" s="167"/>
    </row>
    <row r="50" ht="15.75" customHeight="1">
      <c r="A50" s="176"/>
      <c r="B50" s="176"/>
      <c r="C50" s="167"/>
      <c r="D50" s="167"/>
      <c r="E50" s="167"/>
    </row>
    <row r="51" ht="15.75" customHeight="1">
      <c r="A51" s="176"/>
      <c r="B51" s="176"/>
      <c r="C51" s="167"/>
      <c r="D51" s="167"/>
      <c r="E51" s="167"/>
    </row>
    <row r="52" ht="15.75" customHeight="1">
      <c r="B52" s="176"/>
      <c r="C52" s="167"/>
      <c r="D52" s="167"/>
      <c r="E52" s="167"/>
    </row>
    <row r="53" ht="15.75" customHeight="1">
      <c r="A53" s="176"/>
      <c r="B53" s="176"/>
      <c r="C53" s="167"/>
      <c r="D53" s="167"/>
      <c r="E53" s="167"/>
    </row>
    <row r="54" ht="15.75" customHeight="1">
      <c r="A54" s="176"/>
      <c r="B54" s="176"/>
      <c r="C54" s="167"/>
      <c r="D54" s="167"/>
      <c r="E54" s="167"/>
    </row>
    <row r="55" ht="15.75" customHeight="1">
      <c r="B55" s="176"/>
      <c r="C55" s="167"/>
      <c r="D55" s="167"/>
      <c r="E55" s="167"/>
    </row>
    <row r="56" ht="15.75" customHeight="1">
      <c r="A56" s="176"/>
      <c r="B56" s="176"/>
      <c r="C56" s="167"/>
      <c r="D56" s="167"/>
      <c r="E56" s="167"/>
    </row>
    <row r="57" ht="15.75" customHeight="1">
      <c r="B57" s="176"/>
      <c r="C57" s="167"/>
      <c r="D57" s="167"/>
      <c r="E57" s="167"/>
    </row>
    <row r="58" ht="15.75" customHeight="1">
      <c r="A58" s="176"/>
      <c r="B58" s="176"/>
      <c r="C58" s="167"/>
      <c r="D58" s="167"/>
      <c r="E58" s="167"/>
    </row>
    <row r="59" ht="15.75" customHeight="1">
      <c r="B59" s="176"/>
      <c r="C59" s="167"/>
      <c r="D59" s="167"/>
      <c r="E59" s="167"/>
    </row>
    <row r="60" ht="15.75" customHeight="1">
      <c r="A60" s="176"/>
      <c r="B60" s="176"/>
      <c r="C60" s="167"/>
      <c r="D60" s="167"/>
      <c r="E60" s="167"/>
    </row>
    <row r="61" ht="15.75" customHeight="1">
      <c r="B61" s="176"/>
      <c r="C61" s="167"/>
      <c r="D61" s="167"/>
      <c r="E61" s="167"/>
    </row>
    <row r="62" ht="15.75" customHeight="1">
      <c r="A62" s="176"/>
      <c r="B62" s="176"/>
      <c r="C62" s="167"/>
      <c r="D62" s="167"/>
      <c r="E62" s="167"/>
    </row>
    <row r="63" ht="15.75" customHeight="1">
      <c r="B63" s="176"/>
      <c r="C63" s="167"/>
      <c r="D63" s="167"/>
      <c r="E63" s="167"/>
    </row>
    <row r="64" ht="15.75" customHeight="1">
      <c r="B64" s="176"/>
      <c r="C64" s="167"/>
      <c r="D64" s="167"/>
      <c r="E64" s="167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43"/>
    <col customWidth="1" min="2" max="2" width="30.14"/>
    <col customWidth="1" min="3" max="5" width="17.29"/>
    <col customWidth="1" min="6" max="26" width="8.71"/>
  </cols>
  <sheetData>
    <row r="1">
      <c r="A1" s="163" t="s">
        <v>408</v>
      </c>
    </row>
    <row r="2">
      <c r="A2" s="164"/>
    </row>
    <row r="3">
      <c r="A3" s="165" t="s">
        <v>1</v>
      </c>
      <c r="B3" s="165" t="s">
        <v>2</v>
      </c>
      <c r="C3" s="166" t="s">
        <v>400</v>
      </c>
      <c r="D3" s="166" t="s">
        <v>401</v>
      </c>
      <c r="E3" s="166" t="s">
        <v>402</v>
      </c>
    </row>
    <row r="4">
      <c r="A4" s="78" t="s">
        <v>19</v>
      </c>
      <c r="B4" s="78" t="s">
        <v>35</v>
      </c>
      <c r="C4" s="167">
        <f>SUMIFS(ApprovedBudget!I19:I125,ApprovedBudget!$A$19:$A$125,"Sales and Marketing")</f>
        <v>774340</v>
      </c>
      <c r="D4" s="167">
        <f>IF($A4&lt;&gt;"", SUMIFS('Detailed Receipts'!$K:$K, 'Detailed Receipts'!$A:$A, $A4, 'Detailed Receipts'!$B:$B, $B4, 'Detailed Receipts'!$D:$D, "May", 'Detailed Receipts'!$L:$L, "OPEX"), SUMIFS('Detailed Receipts'!$K:$K, 'Detailed Receipts'!$A:$A, MID($B4, 12, 100), 'Detailed Receipts'!$D:$D, "May", 'Detailed Receipts'!$L:$L, "OPEX"))</f>
        <v>7845</v>
      </c>
      <c r="E4" s="167">
        <f t="shared" ref="E4:E34" si="1">C4-D4</f>
        <v>766495</v>
      </c>
    </row>
    <row r="5">
      <c r="A5" s="168"/>
      <c r="B5" s="169" t="s">
        <v>52</v>
      </c>
      <c r="C5" s="170">
        <f>SUM(C4)</f>
        <v>774340</v>
      </c>
      <c r="D5" s="170">
        <f>IF($A5&lt;&gt;"", SUMIFS('Detailed Receipts'!$K:$K, 'Detailed Receipts'!$A:$A, $A5, 'Detailed Receipts'!$B:$B, $B5, 'Detailed Receipts'!$D:$D, "May", 'Detailed Receipts'!$L:$L, "OPEX"), SUMIFS('Detailed Receipts'!$K:$K, 'Detailed Receipts'!$A:$A, MID($B5, 12, 100), 'Detailed Receipts'!$D:$D, "May", 'Detailed Receipts'!$L:$L, "OPEX"))</f>
        <v>7845</v>
      </c>
      <c r="E5" s="170">
        <f t="shared" si="1"/>
        <v>766495</v>
      </c>
    </row>
    <row r="6">
      <c r="A6" s="78" t="s">
        <v>22</v>
      </c>
      <c r="B6" s="78" t="s">
        <v>22</v>
      </c>
      <c r="C6" s="167">
        <f>SUMIFS(ApprovedBudget!I19:I125,ApprovedBudget!$A$19:$A$125,"Customer Success",ApprovedBudget!$B$19:$B$125,"Customer Success")</f>
        <v>67500</v>
      </c>
      <c r="D6" s="167">
        <f>IF($A6&lt;&gt;"", SUMIFS('Detailed Receipts'!$K:$K, 'Detailed Receipts'!$A:$A, $A6, 'Detailed Receipts'!$B:$B, $B6, 'Detailed Receipts'!$D:$D, "May", 'Detailed Receipts'!$L:$L, "OPEX"), SUMIFS('Detailed Receipts'!$K:$K, 'Detailed Receipts'!$A:$A, MID($B6, 12, 100), 'Detailed Receipts'!$D:$D, "May", 'Detailed Receipts'!$L:$L, "OPEX"))</f>
        <v>0</v>
      </c>
      <c r="E6" s="167">
        <f t="shared" si="1"/>
        <v>67500</v>
      </c>
    </row>
    <row r="7">
      <c r="A7" s="171"/>
      <c r="B7" s="169" t="s">
        <v>56</v>
      </c>
      <c r="C7" s="170">
        <f>SUM(C6)</f>
        <v>67500</v>
      </c>
      <c r="D7" s="170">
        <f>IF($A7&lt;&gt;"", SUMIFS('Detailed Receipts'!$K:$K, 'Detailed Receipts'!$A:$A, $A7, 'Detailed Receipts'!$B:$B, $B7, 'Detailed Receipts'!$D:$D, "May", 'Detailed Receipts'!$L:$L, "OPEX"), SUMIFS('Detailed Receipts'!$K:$K, 'Detailed Receipts'!$A:$A, MID($B7, 12, 100), 'Detailed Receipts'!$D:$D, "May", 'Detailed Receipts'!$L:$L, "OPEX"))</f>
        <v>0</v>
      </c>
      <c r="E7" s="170">
        <f t="shared" si="1"/>
        <v>67500</v>
      </c>
    </row>
    <row r="8">
      <c r="A8" s="78" t="s">
        <v>23</v>
      </c>
      <c r="B8" s="78" t="s">
        <v>66</v>
      </c>
      <c r="C8" s="167">
        <f>SUMIFS(ApprovedBudget!I19:I125,ApprovedBudget!$A$19:$A$125,"Supply Chain",ApprovedBudget!$B$19:$B$125,"Logistics")</f>
        <v>41166</v>
      </c>
      <c r="D8" s="167">
        <f>IF($A8&lt;&gt;"", SUMIFS('Detailed Receipts'!$K:$K, 'Detailed Receipts'!$A:$A, $A8, 'Detailed Receipts'!$B:$B, $B8, 'Detailed Receipts'!$D:$D, "May", 'Detailed Receipts'!$L:$L, "OPEX"), SUMIFS('Detailed Receipts'!$K:$K, 'Detailed Receipts'!$A:$A, MID($B8, 12, 100), 'Detailed Receipts'!$D:$D, "May", 'Detailed Receipts'!$L:$L, "OPEX"))</f>
        <v>48244</v>
      </c>
      <c r="E8" s="167">
        <f t="shared" si="1"/>
        <v>-7078</v>
      </c>
    </row>
    <row r="9">
      <c r="A9" s="78" t="s">
        <v>23</v>
      </c>
      <c r="B9" s="78" t="s">
        <v>57</v>
      </c>
      <c r="C9" s="167">
        <f>SUMIFS(ApprovedBudget!I19:I125,ApprovedBudget!$A$19:$A$125,"Supply Chain",ApprovedBudget!$B$19:$B$125,"Procurement")</f>
        <v>7855</v>
      </c>
      <c r="D9" s="167">
        <f>IF($A9&lt;&gt;"", SUMIFS('Detailed Receipts'!$K:$K, 'Detailed Receipts'!$A:$A, $A9, 'Detailed Receipts'!$B:$B, $B9, 'Detailed Receipts'!$D:$D, "May", 'Detailed Receipts'!$L:$L, "OPEX"), SUMIFS('Detailed Receipts'!$K:$K, 'Detailed Receipts'!$A:$A, MID($B9, 12, 100), 'Detailed Receipts'!$D:$D, "May", 'Detailed Receipts'!$L:$L, "OPEX"))</f>
        <v>0</v>
      </c>
      <c r="E9" s="167">
        <f t="shared" si="1"/>
        <v>7855</v>
      </c>
    </row>
    <row r="10">
      <c r="A10" s="78" t="s">
        <v>23</v>
      </c>
      <c r="B10" s="78" t="s">
        <v>64</v>
      </c>
      <c r="C10" s="167">
        <f>SUMIFS(ApprovedBudget!I19:I125,ApprovedBudget!$A$19:$A$125,"Supply Chain",ApprovedBudget!$B$19:$B$125,"Retail")</f>
        <v>125000</v>
      </c>
      <c r="D10" s="167">
        <f>IF($A10&lt;&gt;"", SUMIFS('Detailed Receipts'!$K:$K, 'Detailed Receipts'!$A:$A, $A10, 'Detailed Receipts'!$B:$B, $B10, 'Detailed Receipts'!$D:$D, "May", 'Detailed Receipts'!$L:$L, "OPEX"), SUMIFS('Detailed Receipts'!$K:$K, 'Detailed Receipts'!$A:$A, MID($B10, 12, 100), 'Detailed Receipts'!$D:$D, "May", 'Detailed Receipts'!$L:$L, "OPEX"))</f>
        <v>0</v>
      </c>
      <c r="E10" s="167">
        <f t="shared" si="1"/>
        <v>125000</v>
      </c>
    </row>
    <row r="11">
      <c r="A11" s="78" t="s">
        <v>23</v>
      </c>
      <c r="B11" s="78" t="s">
        <v>24</v>
      </c>
      <c r="C11" s="167">
        <f>SUMIFS(ApprovedBudget!I19:I125,ApprovedBudget!$A$19:$A$125,"Supply Chain",ApprovedBudget!$B$19:$B$125,"Warehouse")</f>
        <v>1312896</v>
      </c>
      <c r="D11" s="167">
        <f>IF($A11&lt;&gt;"", SUMIFS('Detailed Receipts'!$K:$K, 'Detailed Receipts'!$A:$A, $A11, 'Detailed Receipts'!$B:$B, $B11, 'Detailed Receipts'!$D:$D, "May", 'Detailed Receipts'!$L:$L, "OPEX"), SUMIFS('Detailed Receipts'!$K:$K, 'Detailed Receipts'!$A:$A, MID($B11, 12, 100), 'Detailed Receipts'!$D:$D, "May", 'Detailed Receipts'!$L:$L, "OPEX"))</f>
        <v>22586</v>
      </c>
      <c r="E11" s="167">
        <f t="shared" si="1"/>
        <v>1290310</v>
      </c>
    </row>
    <row r="12">
      <c r="A12" s="168"/>
      <c r="B12" s="169" t="s">
        <v>68</v>
      </c>
      <c r="C12" s="170">
        <f>SUM(C8:C11)</f>
        <v>1486917</v>
      </c>
      <c r="D12" s="170">
        <f>IF($A12&lt;&gt;"", SUMIFS('Detailed Receipts'!$K:$K, 'Detailed Receipts'!$A:$A, $A12, 'Detailed Receipts'!$B:$B, $B12, 'Detailed Receipts'!$D:$D, "May", 'Detailed Receipts'!$L:$L, "OPEX"), SUMIFS('Detailed Receipts'!$K:$K, 'Detailed Receipts'!$A:$A, MID($B12, 12, 100), 'Detailed Receipts'!$D:$D, "May", 'Detailed Receipts'!$L:$L, "OPEX"))</f>
        <v>70830</v>
      </c>
      <c r="E12" s="170">
        <f t="shared" si="1"/>
        <v>1416087</v>
      </c>
    </row>
    <row r="13">
      <c r="A13" s="78" t="s">
        <v>25</v>
      </c>
      <c r="B13" s="78" t="s">
        <v>25</v>
      </c>
      <c r="C13" s="167">
        <f>SUMIFS(ApprovedBudget!I19:I125,ApprovedBudget!$A$19:$A$125,"Aftersales",ApprovedBudget!$B$19:$B$125,"Aftersales")</f>
        <v>81000</v>
      </c>
      <c r="D13" s="167">
        <f>IF($A13&lt;&gt;"", SUMIFS('Detailed Receipts'!$K:$K, 'Detailed Receipts'!$A:$A, $A13, 'Detailed Receipts'!$B:$B, $B13, 'Detailed Receipts'!$D:$D, "May", 'Detailed Receipts'!$L:$L, "OPEX"), SUMIFS('Detailed Receipts'!$K:$K, 'Detailed Receipts'!$A:$A, MID($B13, 12, 100), 'Detailed Receipts'!$D:$D, "May", 'Detailed Receipts'!$L:$L, "OPEX"))</f>
        <v>0</v>
      </c>
      <c r="E13" s="167">
        <f t="shared" si="1"/>
        <v>81000</v>
      </c>
    </row>
    <row r="14">
      <c r="A14" s="168"/>
      <c r="B14" s="169" t="s">
        <v>70</v>
      </c>
      <c r="C14" s="170">
        <f>SUM(C13)</f>
        <v>81000</v>
      </c>
      <c r="D14" s="170">
        <f>IF($A14&lt;&gt;"", SUMIFS('Detailed Receipts'!$K:$K, 'Detailed Receipts'!$A:$A, $A14, 'Detailed Receipts'!$B:$B, $B14, 'Detailed Receipts'!$D:$D, "May", 'Detailed Receipts'!$L:$L, "OPEX"), SUMIFS('Detailed Receipts'!$K:$K, 'Detailed Receipts'!$A:$A, MID($B14, 12, 100), 'Detailed Receipts'!$D:$D, "May", 'Detailed Receipts'!$L:$L, "OPEX"))</f>
        <v>0</v>
      </c>
      <c r="E14" s="170">
        <f t="shared" si="1"/>
        <v>81000</v>
      </c>
    </row>
    <row r="15">
      <c r="A15" s="78" t="s">
        <v>26</v>
      </c>
      <c r="B15" s="78" t="s">
        <v>403</v>
      </c>
      <c r="C15" s="167">
        <f>SUMIFS(ApprovedBudget!I19:I125,ApprovedBudget!$A$19:$A$125,"Product",ApprovedBudget!$B$19:$B$125,"Homologation &amp; Registration")</f>
        <v>0</v>
      </c>
      <c r="D15" s="167">
        <f>IF($A15&lt;&gt;"", SUMIFS('Detailed Receipts'!$K:$K, 'Detailed Receipts'!$A:$A, $A15, 'Detailed Receipts'!$B:$B, $B15, 'Detailed Receipts'!$D:$D, "May", 'Detailed Receipts'!$L:$L, "OPEX"), SUMIFS('Detailed Receipts'!$K:$K, 'Detailed Receipts'!$A:$A, MID($B15, 12, 100), 'Detailed Receipts'!$D:$D, "May", 'Detailed Receipts'!$L:$L, "OPEX"))</f>
        <v>108959</v>
      </c>
      <c r="E15" s="167">
        <f t="shared" si="1"/>
        <v>-108959</v>
      </c>
    </row>
    <row r="16">
      <c r="A16" s="78" t="s">
        <v>26</v>
      </c>
      <c r="B16" s="78" t="s">
        <v>71</v>
      </c>
      <c r="C16" s="167">
        <f>SUMIFS(ApprovedBudget!I19:I125,ApprovedBudget!$A$19:$A$125,"Product",ApprovedBudget!$B$19:$B$125,"R&amp;D")</f>
        <v>15000</v>
      </c>
      <c r="D16" s="167">
        <f>IF($A16&lt;&gt;"", SUMIFS('Detailed Receipts'!$K:$K, 'Detailed Receipts'!$A:$A, $A16, 'Detailed Receipts'!$B:$B, $B16, 'Detailed Receipts'!$D:$D, "May", 'Detailed Receipts'!$L:$L, "OPEX"), SUMIFS('Detailed Receipts'!$K:$K, 'Detailed Receipts'!$A:$A, MID($B16, 12, 100), 'Detailed Receipts'!$D:$D, "May", 'Detailed Receipts'!$L:$L, "OPEX"))</f>
        <v>0</v>
      </c>
      <c r="E16" s="167">
        <f t="shared" si="1"/>
        <v>15000</v>
      </c>
    </row>
    <row r="17">
      <c r="A17" s="168"/>
      <c r="B17" s="169" t="s">
        <v>74</v>
      </c>
      <c r="C17" s="170">
        <f>SUM(C15:C16)</f>
        <v>15000</v>
      </c>
      <c r="D17" s="170">
        <f>IF($A17&lt;&gt;"", SUMIFS('Detailed Receipts'!$K:$K, 'Detailed Receipts'!$A:$A, $A17, 'Detailed Receipts'!$B:$B, $B17, 'Detailed Receipts'!$D:$D, "May", 'Detailed Receipts'!$L:$L, "OPEX"), SUMIFS('Detailed Receipts'!$K:$K, 'Detailed Receipts'!$A:$A, MID($B17, 12, 100), 'Detailed Receipts'!$D:$D, "May", 'Detailed Receipts'!$L:$L, "OPEX"))</f>
        <v>108959</v>
      </c>
      <c r="E17" s="170">
        <f t="shared" si="1"/>
        <v>-93959</v>
      </c>
    </row>
    <row r="18">
      <c r="A18" s="78" t="s">
        <v>27</v>
      </c>
      <c r="B18" s="78" t="s">
        <v>214</v>
      </c>
      <c r="C18" s="167">
        <f>SUMIFS(ApprovedBudget!I19:I125,ApprovedBudget!$A$19:$A$125,"RideBox",ApprovedBudget!$B$19:$B$125,"RideBox")</f>
        <v>16560</v>
      </c>
      <c r="D18" s="167">
        <f>IF($A18&lt;&gt;"", SUMIFS('Detailed Receipts'!$K:$K, 'Detailed Receipts'!$A:$A, $A18, 'Detailed Receipts'!$B:$B, $B18, 'Detailed Receipts'!$D:$D, "May", 'Detailed Receipts'!$L:$L, "OPEX"), SUMIFS('Detailed Receipts'!$K:$K, 'Detailed Receipts'!$A:$A, MID($B18, 12, 100), 'Detailed Receipts'!$D:$D, "May", 'Detailed Receipts'!$L:$L, "OPEX"))</f>
        <v>0</v>
      </c>
      <c r="E18" s="167">
        <f t="shared" si="1"/>
        <v>16560</v>
      </c>
    </row>
    <row r="19">
      <c r="A19" s="78" t="s">
        <v>27</v>
      </c>
      <c r="B19" s="78" t="s">
        <v>75</v>
      </c>
      <c r="C19" s="167">
        <f>SUMIFS(ApprovedBudget!I19:I125,ApprovedBudget!$A$19:$A$125,"RideBox",ApprovedBudget!$B$19:$B$125,"Monitoring &amp; Field Ops")</f>
        <v>68000</v>
      </c>
      <c r="D19" s="167">
        <f>IF($A19&lt;&gt;"", SUMIFS('Detailed Receipts'!$K:$K, 'Detailed Receipts'!$A:$A, $A19, 'Detailed Receipts'!$B:$B, $B19, 'Detailed Receipts'!$D:$D, "May", 'Detailed Receipts'!$L:$L, "OPEX"), SUMIFS('Detailed Receipts'!$K:$K, 'Detailed Receipts'!$A:$A, MID($B19, 12, 100), 'Detailed Receipts'!$D:$D, "May", 'Detailed Receipts'!$L:$L, "OPEX"))</f>
        <v>120527</v>
      </c>
      <c r="E19" s="167">
        <f t="shared" si="1"/>
        <v>-52527</v>
      </c>
    </row>
    <row r="20">
      <c r="A20" s="78" t="s">
        <v>27</v>
      </c>
      <c r="B20" s="78" t="s">
        <v>77</v>
      </c>
      <c r="C20" s="167">
        <f>SUMIFS(ApprovedBudget!I19:I125,ApprovedBudget!$A$19:$A$125,"RideBox",ApprovedBudget!$B$19:$B$125,"Network Rollout")</f>
        <v>340000</v>
      </c>
      <c r="D20" s="167">
        <f>IF($A20&lt;&gt;"", SUMIFS('Detailed Receipts'!$K:$K, 'Detailed Receipts'!$A:$A, $A20, 'Detailed Receipts'!$B:$B, $B20, 'Detailed Receipts'!$D:$D, "May", 'Detailed Receipts'!$L:$L, "OPEX"), SUMIFS('Detailed Receipts'!$K:$K, 'Detailed Receipts'!$A:$A, MID($B20, 12, 100), 'Detailed Receipts'!$D:$D, "May", 'Detailed Receipts'!$L:$L, "OPEX"))</f>
        <v>25157</v>
      </c>
      <c r="E20" s="167">
        <f t="shared" si="1"/>
        <v>314843</v>
      </c>
    </row>
    <row r="21" ht="15.75" customHeight="1">
      <c r="A21" s="78" t="s">
        <v>27</v>
      </c>
      <c r="B21" s="78" t="s">
        <v>210</v>
      </c>
      <c r="C21" s="167">
        <f>SUMIFS(ApprovedBudget!I19:I125,ApprovedBudget!$A$19:$A$125,"RideBox",ApprovedBudget!$B$19:$B$125,"Service Center")</f>
        <v>0</v>
      </c>
      <c r="D21" s="167">
        <f>IF($A21&lt;&gt;"", SUMIFS('Detailed Receipts'!$K:$K, 'Detailed Receipts'!$A:$A, $A21, 'Detailed Receipts'!$B:$B, $B21, 'Detailed Receipts'!$D:$D, "May", 'Detailed Receipts'!$L:$L, "OPEX"), SUMIFS('Detailed Receipts'!$K:$K, 'Detailed Receipts'!$A:$A, MID($B21, 12, 100), 'Detailed Receipts'!$D:$D, "May", 'Detailed Receipts'!$L:$L, "OPEX"))</f>
        <v>12964</v>
      </c>
      <c r="E21" s="167">
        <f t="shared" si="1"/>
        <v>-12964</v>
      </c>
    </row>
    <row r="22" ht="15.75" customHeight="1">
      <c r="A22" s="168"/>
      <c r="B22" s="169" t="s">
        <v>82</v>
      </c>
      <c r="C22" s="170">
        <f>SUM(C18:C21)</f>
        <v>424560</v>
      </c>
      <c r="D22" s="170">
        <f>IF($A22&lt;&gt;"", SUMIFS('Detailed Receipts'!$K:$K, 'Detailed Receipts'!$A:$A, $A22, 'Detailed Receipts'!$B:$B, $B22, 'Detailed Receipts'!$D:$D, "May", 'Detailed Receipts'!$L:$L, "OPEX"), SUMIFS('Detailed Receipts'!$K:$K, 'Detailed Receipts'!$A:$A, MID($B22, 12, 100), 'Detailed Receipts'!$D:$D, "May", 'Detailed Receipts'!$L:$L, "OPEX"))</f>
        <v>158648</v>
      </c>
      <c r="E22" s="170">
        <f t="shared" si="1"/>
        <v>265912</v>
      </c>
    </row>
    <row r="23" ht="15.75" customHeight="1">
      <c r="A23" s="78" t="s">
        <v>28</v>
      </c>
      <c r="B23" s="78" t="s">
        <v>28</v>
      </c>
      <c r="C23" s="167">
        <f>SUMIFS(ApprovedBudget!I19:I125,ApprovedBudget!$A$19:$A$125,"Technology")</f>
        <v>251864</v>
      </c>
      <c r="D23" s="167">
        <f>IF($A23&lt;&gt;"", SUMIFS('Detailed Receipts'!$K:$K, 'Detailed Receipts'!$A:$A, $A23, 'Detailed Receipts'!$B:$B, $B23, 'Detailed Receipts'!$D:$D, "May", 'Detailed Receipts'!$L:$L, "OPEX"), SUMIFS('Detailed Receipts'!$K:$K, 'Detailed Receipts'!$A:$A, MID($B23, 12, 100), 'Detailed Receipts'!$D:$D, "May", 'Detailed Receipts'!$L:$L, "OPEX"))</f>
        <v>63674</v>
      </c>
      <c r="E23" s="167">
        <f t="shared" si="1"/>
        <v>188190</v>
      </c>
    </row>
    <row r="24" ht="15.75" customHeight="1">
      <c r="A24" s="168"/>
      <c r="B24" s="169" t="s">
        <v>184</v>
      </c>
      <c r="C24" s="170">
        <f>SUM(C23)</f>
        <v>251864</v>
      </c>
      <c r="D24" s="170">
        <f>IF($A24&lt;&gt;"", SUMIFS('Detailed Receipts'!$K:$K, 'Detailed Receipts'!$A:$A, $A24, 'Detailed Receipts'!$B:$B, $B24, 'Detailed Receipts'!$D:$D, "May", 'Detailed Receipts'!$L:$L, "OPEX"), SUMIFS('Detailed Receipts'!$K:$K, 'Detailed Receipts'!$A:$A, MID($B24, 12, 100), 'Detailed Receipts'!$D:$D, "May", 'Detailed Receipts'!$L:$L, "OPEX"))</f>
        <v>63674</v>
      </c>
      <c r="E24" s="170">
        <f t="shared" si="1"/>
        <v>188190</v>
      </c>
    </row>
    <row r="25" ht="15.75" customHeight="1">
      <c r="A25" s="78" t="s">
        <v>29</v>
      </c>
      <c r="B25" s="78" t="s">
        <v>29</v>
      </c>
      <c r="C25" s="167">
        <f>SUMIFS(ApprovedBudget!I19:I125,ApprovedBudget!$A$19:$A$125,"Finance and Accounting",ApprovedBudget!$B$19:$B$125,"Finance and Accounting")</f>
        <v>92526</v>
      </c>
      <c r="D25" s="167">
        <f>IF($A25&lt;&gt;"", SUMIFS('Detailed Receipts'!$K:$K, 'Detailed Receipts'!$A:$A, $A25, 'Detailed Receipts'!$B:$B, $B25, 'Detailed Receipts'!$D:$D, "May", 'Detailed Receipts'!$L:$L, "OPEX"), SUMIFS('Detailed Receipts'!$K:$K, 'Detailed Receipts'!$A:$A, MID($B25, 12, 100), 'Detailed Receipts'!$D:$D, "May", 'Detailed Receipts'!$L:$L, "OPEX"))</f>
        <v>0</v>
      </c>
      <c r="E25" s="167">
        <f t="shared" si="1"/>
        <v>92526</v>
      </c>
    </row>
    <row r="26" ht="15.75" customHeight="1">
      <c r="A26" s="168"/>
      <c r="B26" s="169" t="s">
        <v>123</v>
      </c>
      <c r="C26" s="170">
        <f>SUM(C25)</f>
        <v>92526</v>
      </c>
      <c r="D26" s="170">
        <f>IF($A26&lt;&gt;"", SUMIFS('Detailed Receipts'!$K:$K, 'Detailed Receipts'!$A:$A, $A26, 'Detailed Receipts'!$B:$B, $B26, 'Detailed Receipts'!$D:$D, "May", 'Detailed Receipts'!$L:$L, "OPEX"), SUMIFS('Detailed Receipts'!$K:$K, 'Detailed Receipts'!$A:$A, MID($B26, 12, 100), 'Detailed Receipts'!$D:$D, "May", 'Detailed Receipts'!$L:$L, "OPEX"))</f>
        <v>0</v>
      </c>
      <c r="E26" s="170">
        <f t="shared" si="1"/>
        <v>92526</v>
      </c>
    </row>
    <row r="27" ht="15.75" customHeight="1">
      <c r="A27" s="78" t="s">
        <v>30</v>
      </c>
      <c r="B27" s="78" t="s">
        <v>30</v>
      </c>
      <c r="C27" s="167">
        <f>SUMIFS(ApprovedBudget!I19:I125,ApprovedBudget!$A$19:$A$125,"Admin",ApprovedBudget!$B$19:$B$125,"Admin")</f>
        <v>588771</v>
      </c>
      <c r="D27" s="167">
        <f>IF($A27&lt;&gt;"", SUMIFS('Detailed Receipts'!$K:$K, 'Detailed Receipts'!$A:$A, $A27, 'Detailed Receipts'!$B:$B, $B27, 'Detailed Receipts'!$D:$D, "May", 'Detailed Receipts'!$L:$L, "OPEX"), SUMIFS('Detailed Receipts'!$K:$K, 'Detailed Receipts'!$A:$A, MID($B27, 12, 100), 'Detailed Receipts'!$D:$D, "May", 'Detailed Receipts'!$L:$L, "OPEX"))</f>
        <v>48040</v>
      </c>
      <c r="E27" s="167">
        <f t="shared" si="1"/>
        <v>540731</v>
      </c>
    </row>
    <row r="28" ht="15.75" customHeight="1">
      <c r="A28" s="168"/>
      <c r="B28" s="169" t="s">
        <v>130</v>
      </c>
      <c r="C28" s="170">
        <f>SUM(C27)</f>
        <v>588771</v>
      </c>
      <c r="D28" s="170">
        <f>IF($A28&lt;&gt;"", SUMIFS('Detailed Receipts'!$K:$K, 'Detailed Receipts'!$A:$A, $A28, 'Detailed Receipts'!$B:$B, $B28, 'Detailed Receipts'!$D:$D, "May", 'Detailed Receipts'!$L:$L, "OPEX"), SUMIFS('Detailed Receipts'!$K:$K, 'Detailed Receipts'!$A:$A, MID($B28, 12, 100), 'Detailed Receipts'!$D:$D, "May", 'Detailed Receipts'!$L:$L, "OPEX"))</f>
        <v>48040</v>
      </c>
      <c r="E28" s="170">
        <f t="shared" si="1"/>
        <v>540731</v>
      </c>
    </row>
    <row r="29" ht="15.75" customHeight="1">
      <c r="A29" s="78" t="s">
        <v>31</v>
      </c>
      <c r="B29" s="78" t="s">
        <v>31</v>
      </c>
      <c r="C29" s="167">
        <f>SUMIFS(ApprovedBudget!I19:I125,ApprovedBudget!$A$19:$A$125,"HR",ApprovedBudget!$B$19:$B$125,"HR")</f>
        <v>235000</v>
      </c>
      <c r="D29" s="167">
        <f>IF($A29&lt;&gt;"", SUMIFS('Detailed Receipts'!$K:$K, 'Detailed Receipts'!$A:$A, $A29, 'Detailed Receipts'!$B:$B, $B29, 'Detailed Receipts'!$D:$D, "May", 'Detailed Receipts'!$L:$L, "OPEX"), SUMIFS('Detailed Receipts'!$K:$K, 'Detailed Receipts'!$A:$A, MID($B29, 12, 100), 'Detailed Receipts'!$D:$D, "May", 'Detailed Receipts'!$L:$L, "OPEX"))</f>
        <v>233388</v>
      </c>
      <c r="E29" s="167">
        <f t="shared" si="1"/>
        <v>1612</v>
      </c>
    </row>
    <row r="30" ht="15.75" customHeight="1">
      <c r="A30" s="168"/>
      <c r="B30" s="169" t="s">
        <v>137</v>
      </c>
      <c r="C30" s="170">
        <f>SUM(C29)</f>
        <v>235000</v>
      </c>
      <c r="D30" s="170">
        <f>IF($A30&lt;&gt;"", SUMIFS('Detailed Receipts'!$K:$K, 'Detailed Receipts'!$A:$A, $A30, 'Detailed Receipts'!$B:$B, $B30, 'Detailed Receipts'!$D:$D, "May", 'Detailed Receipts'!$L:$L, "OPEX"), SUMIFS('Detailed Receipts'!$K:$K, 'Detailed Receipts'!$A:$A, MID($B30, 12, 100), 'Detailed Receipts'!$D:$D, "May", 'Detailed Receipts'!$L:$L, "OPEX"))</f>
        <v>233388</v>
      </c>
      <c r="E30" s="170">
        <f t="shared" si="1"/>
        <v>1612</v>
      </c>
    </row>
    <row r="31" ht="15.75" customHeight="1">
      <c r="A31" s="78" t="s">
        <v>32</v>
      </c>
      <c r="B31" s="78" t="s">
        <v>140</v>
      </c>
      <c r="C31" s="167">
        <f>SUMIFS(ApprovedBudget!I19:I125,ApprovedBudget!$A$19:$A$125,"Compliance and Risk",ApprovedBudget!$B$19:$B$125,"Legal &amp; notarial")</f>
        <v>560000</v>
      </c>
      <c r="D31" s="167">
        <f>IF($A31&lt;&gt;"", SUMIFS('Detailed Receipts'!$K:$K, 'Detailed Receipts'!$A:$A, $A31, 'Detailed Receipts'!$B:$B, $B31, 'Detailed Receipts'!$D:$D, "May", 'Detailed Receipts'!$L:$L, "OPEX"), SUMIFS('Detailed Receipts'!$K:$K, 'Detailed Receipts'!$A:$A, MID($B31, 12, 100), 'Detailed Receipts'!$D:$D, "May", 'Detailed Receipts'!$L:$L, "OPEX"))</f>
        <v>134395</v>
      </c>
      <c r="E31" s="167">
        <f t="shared" si="1"/>
        <v>425605</v>
      </c>
    </row>
    <row r="32" ht="15.75" customHeight="1">
      <c r="A32" s="78" t="s">
        <v>32</v>
      </c>
      <c r="B32" s="78" t="s">
        <v>138</v>
      </c>
      <c r="C32" s="167">
        <f>SUMIFS(ApprovedBudget!I19:I125,ApprovedBudget!$A$19:$A$125,"Compliance and Risk",ApprovedBudget!$B$19:$B$125,"Permits &amp; registration")</f>
        <v>86800</v>
      </c>
      <c r="D32" s="167">
        <f>IF($A32&lt;&gt;"", SUMIFS('Detailed Receipts'!$K:$K, 'Detailed Receipts'!$A:$A, $A32, 'Detailed Receipts'!$B:$B, $B32, 'Detailed Receipts'!$D:$D, "May", 'Detailed Receipts'!$L:$L, "OPEX"), SUMIFS('Detailed Receipts'!$K:$K, 'Detailed Receipts'!$A:$A, MID($B32, 12, 100), 'Detailed Receipts'!$D:$D, "May", 'Detailed Receipts'!$L:$L, "OPEX"))</f>
        <v>107881</v>
      </c>
      <c r="E32" s="167">
        <f t="shared" si="1"/>
        <v>-21081</v>
      </c>
    </row>
    <row r="33" ht="15.75" customHeight="1">
      <c r="A33" s="168"/>
      <c r="B33" s="169" t="s">
        <v>146</v>
      </c>
      <c r="C33" s="170">
        <f>SUM(C31:C32)</f>
        <v>646800</v>
      </c>
      <c r="D33" s="170">
        <f>IF($A33&lt;&gt;"", SUMIFS('Detailed Receipts'!$K:$K, 'Detailed Receipts'!$A:$A, $A33, 'Detailed Receipts'!$B:$B, $B33, 'Detailed Receipts'!$D:$D, "May", 'Detailed Receipts'!$L:$L, "OPEX"), SUMIFS('Detailed Receipts'!$K:$K, 'Detailed Receipts'!$A:$A, MID($B33, 12, 100), 'Detailed Receipts'!$D:$D, "May", 'Detailed Receipts'!$L:$L, "OPEX"))</f>
        <v>242276</v>
      </c>
      <c r="E33" s="170">
        <f t="shared" si="1"/>
        <v>404524</v>
      </c>
    </row>
    <row r="34" ht="15.75" customHeight="1">
      <c r="A34" s="172"/>
      <c r="B34" s="173" t="s">
        <v>404</v>
      </c>
      <c r="C34" s="174">
        <f t="shared" ref="C34:D34" si="2">SUMIF($B4:$B33,"Subtotal*",C4:C33)</f>
        <v>4664278</v>
      </c>
      <c r="D34" s="174">
        <f t="shared" si="2"/>
        <v>933660</v>
      </c>
      <c r="E34" s="174">
        <f t="shared" si="1"/>
        <v>3730618</v>
      </c>
    </row>
    <row r="35" ht="15.75" customHeight="1">
      <c r="A35" s="175"/>
      <c r="B35" s="176"/>
      <c r="C35" s="167"/>
      <c r="D35" s="167"/>
      <c r="E35" s="167"/>
    </row>
    <row r="36" ht="15.75" customHeight="1">
      <c r="A36" s="176"/>
      <c r="B36" s="176"/>
      <c r="C36" s="167"/>
      <c r="D36" s="167"/>
      <c r="E36" s="167"/>
    </row>
    <row r="37" ht="15.75" customHeight="1">
      <c r="A37" s="176"/>
      <c r="B37" s="176"/>
      <c r="C37" s="167"/>
      <c r="D37" s="167"/>
      <c r="E37" s="167"/>
    </row>
    <row r="38" ht="15.75" customHeight="1">
      <c r="A38" s="175"/>
      <c r="B38" s="176"/>
      <c r="C38" s="167"/>
      <c r="D38" s="167"/>
      <c r="E38" s="167"/>
    </row>
    <row r="39" ht="15.75" customHeight="1">
      <c r="A39" s="176"/>
      <c r="B39" s="176"/>
      <c r="C39" s="167"/>
      <c r="D39" s="167"/>
      <c r="E39" s="167"/>
    </row>
    <row r="40" ht="15.75" customHeight="1">
      <c r="A40" s="176"/>
      <c r="B40" s="176"/>
      <c r="C40" s="167"/>
      <c r="D40" s="167"/>
      <c r="E40" s="167"/>
    </row>
    <row r="41" ht="15.75" customHeight="1">
      <c r="A41" s="175"/>
      <c r="B41" s="176"/>
      <c r="C41" s="167"/>
      <c r="D41" s="167"/>
      <c r="E41" s="167"/>
    </row>
    <row r="42" ht="15.75" customHeight="1">
      <c r="A42" s="176"/>
      <c r="B42" s="176"/>
      <c r="C42" s="167"/>
      <c r="D42" s="167"/>
      <c r="E42" s="167"/>
    </row>
    <row r="43" ht="15.75" customHeight="1">
      <c r="A43" s="176"/>
      <c r="B43" s="176"/>
      <c r="C43" s="167"/>
      <c r="D43" s="167"/>
      <c r="E43" s="167"/>
    </row>
    <row r="44" ht="15.75" customHeight="1">
      <c r="A44" s="176"/>
      <c r="B44" s="176"/>
      <c r="C44" s="167"/>
      <c r="D44" s="167"/>
      <c r="E44" s="167"/>
    </row>
    <row r="45" ht="15.75" customHeight="1">
      <c r="A45" s="175"/>
      <c r="B45" s="176"/>
      <c r="C45" s="167"/>
      <c r="D45" s="167"/>
      <c r="E45" s="167"/>
    </row>
    <row r="46" ht="15.75" customHeight="1">
      <c r="A46" s="175"/>
      <c r="B46" s="176"/>
      <c r="C46" s="167"/>
      <c r="D46" s="167"/>
      <c r="E46" s="167"/>
    </row>
    <row r="47" ht="15.75" customHeight="1">
      <c r="A47" s="175"/>
      <c r="B47" s="175"/>
      <c r="C47" s="167"/>
      <c r="D47" s="167"/>
      <c r="E47" s="167"/>
    </row>
    <row r="48" ht="15.75" customHeight="1">
      <c r="A48" s="176"/>
      <c r="B48" s="175"/>
      <c r="C48" s="167"/>
      <c r="D48" s="167"/>
      <c r="E48" s="167"/>
    </row>
    <row r="49" ht="15.75" customHeight="1">
      <c r="A49" s="176"/>
      <c r="B49" s="176"/>
      <c r="C49" s="167"/>
      <c r="D49" s="167"/>
      <c r="E49" s="167"/>
    </row>
    <row r="50" ht="15.75" customHeight="1">
      <c r="A50" s="176"/>
      <c r="B50" s="176"/>
      <c r="C50" s="167"/>
      <c r="D50" s="167"/>
      <c r="E50" s="167"/>
    </row>
    <row r="51" ht="15.75" customHeight="1">
      <c r="A51" s="176"/>
      <c r="B51" s="176"/>
      <c r="C51" s="167"/>
      <c r="D51" s="167"/>
      <c r="E51" s="167"/>
    </row>
    <row r="52" ht="15.75" customHeight="1">
      <c r="A52" s="175"/>
      <c r="B52" s="176"/>
      <c r="C52" s="167"/>
      <c r="D52" s="167"/>
      <c r="E52" s="167"/>
    </row>
    <row r="53" ht="15.75" customHeight="1">
      <c r="A53" s="176"/>
      <c r="B53" s="176"/>
      <c r="C53" s="167"/>
      <c r="D53" s="167"/>
      <c r="E53" s="167"/>
    </row>
    <row r="54" ht="15.75" customHeight="1">
      <c r="A54" s="176"/>
      <c r="B54" s="176"/>
      <c r="C54" s="167"/>
      <c r="D54" s="167"/>
      <c r="E54" s="167"/>
    </row>
    <row r="55" ht="15.75" customHeight="1">
      <c r="B55" s="176"/>
      <c r="C55" s="167"/>
      <c r="D55" s="167"/>
      <c r="E55" s="167"/>
    </row>
    <row r="56" ht="15.75" customHeight="1">
      <c r="A56" s="176"/>
      <c r="B56" s="176"/>
      <c r="C56" s="167"/>
      <c r="D56" s="167"/>
      <c r="E56" s="167"/>
    </row>
    <row r="57" ht="15.75" customHeight="1">
      <c r="B57" s="176"/>
      <c r="C57" s="167"/>
      <c r="D57" s="167"/>
      <c r="E57" s="167"/>
    </row>
    <row r="58" ht="15.75" customHeight="1">
      <c r="A58" s="176"/>
      <c r="B58" s="176"/>
      <c r="C58" s="167"/>
      <c r="D58" s="167"/>
      <c r="E58" s="167"/>
    </row>
    <row r="59" ht="15.75" customHeight="1">
      <c r="B59" s="176"/>
      <c r="C59" s="167"/>
      <c r="D59" s="167"/>
      <c r="E59" s="167"/>
    </row>
    <row r="60" ht="15.75" customHeight="1">
      <c r="A60" s="176"/>
      <c r="B60" s="176"/>
      <c r="C60" s="167"/>
      <c r="D60" s="167"/>
      <c r="E60" s="167"/>
    </row>
    <row r="61" ht="15.75" customHeight="1">
      <c r="B61" s="176"/>
      <c r="C61" s="167"/>
      <c r="D61" s="167"/>
      <c r="E61" s="167"/>
    </row>
    <row r="62" ht="15.75" customHeight="1">
      <c r="A62" s="176"/>
      <c r="B62" s="176"/>
      <c r="C62" s="167"/>
      <c r="D62" s="167"/>
      <c r="E62" s="167"/>
    </row>
    <row r="63" ht="15.75" customHeight="1">
      <c r="B63" s="176"/>
      <c r="C63" s="167"/>
      <c r="D63" s="167"/>
      <c r="E63" s="167"/>
    </row>
    <row r="64" ht="15.75" customHeight="1">
      <c r="B64" s="176"/>
      <c r="C64" s="167"/>
      <c r="D64" s="167"/>
      <c r="E64" s="167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43"/>
    <col customWidth="1" min="2" max="2" width="30.14"/>
    <col customWidth="1" min="3" max="5" width="17.29"/>
    <col customWidth="1" min="6" max="26" width="8.71"/>
  </cols>
  <sheetData>
    <row r="1">
      <c r="A1" s="163" t="s">
        <v>409</v>
      </c>
    </row>
    <row r="2">
      <c r="A2" s="164"/>
    </row>
    <row r="3">
      <c r="A3" s="165" t="s">
        <v>1</v>
      </c>
      <c r="B3" s="165" t="s">
        <v>2</v>
      </c>
      <c r="C3" s="166" t="s">
        <v>400</v>
      </c>
      <c r="D3" s="166" t="s">
        <v>401</v>
      </c>
      <c r="E3" s="166" t="s">
        <v>402</v>
      </c>
    </row>
    <row r="4">
      <c r="A4" s="78" t="s">
        <v>19</v>
      </c>
      <c r="B4" s="78" t="s">
        <v>35</v>
      </c>
      <c r="C4" s="167">
        <f>SUMIFS(ApprovedBudget!J19:J125,ApprovedBudget!$A$19:$A$125,"Sales and Marketing")</f>
        <v>732340</v>
      </c>
      <c r="D4" s="167">
        <f>IF($A4&lt;&gt;"", SUMIFS('Detailed Receipts'!$K:$K, 'Detailed Receipts'!$A:$A, $A4, 'Detailed Receipts'!$B:$B, $B4, 'Detailed Receipts'!$D:$D, "Jun", 'Detailed Receipts'!$L:$L, "OPEX"), SUMIFS('Detailed Receipts'!$K:$K, 'Detailed Receipts'!$A:$A, MID($B4, 12, 100), 'Detailed Receipts'!$D:$D, "Jun", 'Detailed Receipts'!$L:$L, "OPEX"))</f>
        <v>0</v>
      </c>
      <c r="E4" s="167">
        <f t="shared" ref="E4:E34" si="1">C4-D4</f>
        <v>732340</v>
      </c>
    </row>
    <row r="5">
      <c r="A5" s="168"/>
      <c r="B5" s="169" t="s">
        <v>52</v>
      </c>
      <c r="C5" s="170">
        <f>SUM(C4)</f>
        <v>732340</v>
      </c>
      <c r="D5" s="170">
        <f>IF($A5&lt;&gt;"", SUMIFS('Detailed Receipts'!$K:$K, 'Detailed Receipts'!$A:$A, $A5, 'Detailed Receipts'!$B:$B, $B5, 'Detailed Receipts'!$D:$D, "Jun", 'Detailed Receipts'!$L:$L, "OPEX"), SUMIFS('Detailed Receipts'!$K:$K, 'Detailed Receipts'!$A:$A, MID($B5, 12, 100), 'Detailed Receipts'!$D:$D, "Jun", 'Detailed Receipts'!$L:$L, "OPEX"))</f>
        <v>0</v>
      </c>
      <c r="E5" s="170">
        <f t="shared" si="1"/>
        <v>732340</v>
      </c>
    </row>
    <row r="6">
      <c r="A6" s="78" t="s">
        <v>22</v>
      </c>
      <c r="B6" s="78" t="s">
        <v>22</v>
      </c>
      <c r="C6" s="167">
        <f>SUMIFS(ApprovedBudget!J19:J125,ApprovedBudget!$A$19:$A$125,"Customer Success",ApprovedBudget!$B$19:$B$125,"Customer Success")</f>
        <v>67500</v>
      </c>
      <c r="D6" s="167">
        <f>IF($A6&lt;&gt;"", SUMIFS('Detailed Receipts'!$K:$K, 'Detailed Receipts'!$A:$A, $A6, 'Detailed Receipts'!$B:$B, $B6, 'Detailed Receipts'!$D:$D, "Jun", 'Detailed Receipts'!$L:$L, "OPEX"), SUMIFS('Detailed Receipts'!$K:$K, 'Detailed Receipts'!$A:$A, MID($B6, 12, 100), 'Detailed Receipts'!$D:$D, "Jun", 'Detailed Receipts'!$L:$L, "OPEX"))</f>
        <v>0</v>
      </c>
      <c r="E6" s="167">
        <f t="shared" si="1"/>
        <v>67500</v>
      </c>
    </row>
    <row r="7">
      <c r="A7" s="171"/>
      <c r="B7" s="169" t="s">
        <v>56</v>
      </c>
      <c r="C7" s="170">
        <f>SUM(C6)</f>
        <v>67500</v>
      </c>
      <c r="D7" s="170">
        <f>IF($A7&lt;&gt;"", SUMIFS('Detailed Receipts'!$K:$K, 'Detailed Receipts'!$A:$A, $A7, 'Detailed Receipts'!$B:$B, $B7, 'Detailed Receipts'!$D:$D, "Jun", 'Detailed Receipts'!$L:$L, "OPEX"), SUMIFS('Detailed Receipts'!$K:$K, 'Detailed Receipts'!$A:$A, MID($B7, 12, 100), 'Detailed Receipts'!$D:$D, "Jun", 'Detailed Receipts'!$L:$L, "OPEX"))</f>
        <v>0</v>
      </c>
      <c r="E7" s="170">
        <f t="shared" si="1"/>
        <v>67500</v>
      </c>
    </row>
    <row r="8">
      <c r="A8" s="78" t="s">
        <v>23</v>
      </c>
      <c r="B8" s="78" t="s">
        <v>66</v>
      </c>
      <c r="C8" s="167">
        <f>SUMIFS(ApprovedBudget!J19:J125,ApprovedBudget!$A$19:$A$125,"Supply Chain",ApprovedBudget!$B$19:$B$125,"Logistics")</f>
        <v>41166</v>
      </c>
      <c r="D8" s="167">
        <f>IF($A8&lt;&gt;"", SUMIFS('Detailed Receipts'!$K:$K, 'Detailed Receipts'!$A:$A, $A8, 'Detailed Receipts'!$B:$B, $B8, 'Detailed Receipts'!$D:$D, "Jun", 'Detailed Receipts'!$L:$L, "OPEX"), SUMIFS('Detailed Receipts'!$K:$K, 'Detailed Receipts'!$A:$A, MID($B8, 12, 100), 'Detailed Receipts'!$D:$D, "Jun", 'Detailed Receipts'!$L:$L, "OPEX"))</f>
        <v>0</v>
      </c>
      <c r="E8" s="167">
        <f t="shared" si="1"/>
        <v>41166</v>
      </c>
    </row>
    <row r="9">
      <c r="A9" s="78" t="s">
        <v>23</v>
      </c>
      <c r="B9" s="78" t="s">
        <v>57</v>
      </c>
      <c r="C9" s="167">
        <f>SUMIFS(ApprovedBudget!J19:J125,ApprovedBudget!$A$19:$A$125,"Supply Chain",ApprovedBudget!$B$19:$B$125,"Procurement")</f>
        <v>7983</v>
      </c>
      <c r="D9" s="167">
        <f>IF($A9&lt;&gt;"", SUMIFS('Detailed Receipts'!$K:$K, 'Detailed Receipts'!$A:$A, $A9, 'Detailed Receipts'!$B:$B, $B9, 'Detailed Receipts'!$D:$D, "Jun", 'Detailed Receipts'!$L:$L, "OPEX"), SUMIFS('Detailed Receipts'!$K:$K, 'Detailed Receipts'!$A:$A, MID($B9, 12, 100), 'Detailed Receipts'!$D:$D, "Jun", 'Detailed Receipts'!$L:$L, "OPEX"))</f>
        <v>0</v>
      </c>
      <c r="E9" s="167">
        <f t="shared" si="1"/>
        <v>7983</v>
      </c>
    </row>
    <row r="10">
      <c r="A10" s="78" t="s">
        <v>23</v>
      </c>
      <c r="B10" s="78" t="s">
        <v>64</v>
      </c>
      <c r="C10" s="167">
        <f>SUMIFS(ApprovedBudget!J19:J125,ApprovedBudget!$A$19:$A$125,"Supply Chain",ApprovedBudget!$B$19:$B$125,"Retail")</f>
        <v>125000</v>
      </c>
      <c r="D10" s="167">
        <f>IF($A10&lt;&gt;"", SUMIFS('Detailed Receipts'!$K:$K, 'Detailed Receipts'!$A:$A, $A10, 'Detailed Receipts'!$B:$B, $B10, 'Detailed Receipts'!$D:$D, "Jun", 'Detailed Receipts'!$L:$L, "OPEX"), SUMIFS('Detailed Receipts'!$K:$K, 'Detailed Receipts'!$A:$A, MID($B10, 12, 100), 'Detailed Receipts'!$D:$D, "Jun", 'Detailed Receipts'!$L:$L, "OPEX"))</f>
        <v>0</v>
      </c>
      <c r="E10" s="167">
        <f t="shared" si="1"/>
        <v>125000</v>
      </c>
    </row>
    <row r="11">
      <c r="A11" s="78" t="s">
        <v>23</v>
      </c>
      <c r="B11" s="78" t="s">
        <v>24</v>
      </c>
      <c r="C11" s="167">
        <f>SUMIFS(ApprovedBudget!J19:J125,ApprovedBudget!$A$19:$A$125,"Supply Chain",ApprovedBudget!$B$19:$B$125,"Warehouse")</f>
        <v>1312886</v>
      </c>
      <c r="D11" s="167">
        <f>IF($A11&lt;&gt;"", SUMIFS('Detailed Receipts'!$K:$K, 'Detailed Receipts'!$A:$A, $A11, 'Detailed Receipts'!$B:$B, $B11, 'Detailed Receipts'!$D:$D, "Jun", 'Detailed Receipts'!$L:$L, "OPEX"), SUMIFS('Detailed Receipts'!$K:$K, 'Detailed Receipts'!$A:$A, MID($B11, 12, 100), 'Detailed Receipts'!$D:$D, "Jun", 'Detailed Receipts'!$L:$L, "OPEX"))</f>
        <v>0</v>
      </c>
      <c r="E11" s="167">
        <f t="shared" si="1"/>
        <v>1312886</v>
      </c>
    </row>
    <row r="12">
      <c r="A12" s="168"/>
      <c r="B12" s="169" t="s">
        <v>68</v>
      </c>
      <c r="C12" s="170">
        <f>SUM(C8:C11)</f>
        <v>1487035</v>
      </c>
      <c r="D12" s="170">
        <f>IF($A12&lt;&gt;"", SUMIFS('Detailed Receipts'!$K:$K, 'Detailed Receipts'!$A:$A, $A12, 'Detailed Receipts'!$B:$B, $B12, 'Detailed Receipts'!$D:$D, "Jun", 'Detailed Receipts'!$L:$L, "OPEX"), SUMIFS('Detailed Receipts'!$K:$K, 'Detailed Receipts'!$A:$A, MID($B12, 12, 100), 'Detailed Receipts'!$D:$D, "Jun", 'Detailed Receipts'!$L:$L, "OPEX"))</f>
        <v>0</v>
      </c>
      <c r="E12" s="170">
        <f t="shared" si="1"/>
        <v>1487035</v>
      </c>
    </row>
    <row r="13">
      <c r="A13" s="78" t="s">
        <v>25</v>
      </c>
      <c r="B13" s="78" t="s">
        <v>25</v>
      </c>
      <c r="C13" s="167">
        <f>SUMIFS(ApprovedBudget!J19:J125,ApprovedBudget!$A$19:$A$125,"Aftersales",ApprovedBudget!$B$19:$B$125,"Aftersales")</f>
        <v>93000</v>
      </c>
      <c r="D13" s="167">
        <f>IF($A13&lt;&gt;"", SUMIFS('Detailed Receipts'!$K:$K, 'Detailed Receipts'!$A:$A, $A13, 'Detailed Receipts'!$B:$B, $B13, 'Detailed Receipts'!$D:$D, "Jun", 'Detailed Receipts'!$L:$L, "OPEX"), SUMIFS('Detailed Receipts'!$K:$K, 'Detailed Receipts'!$A:$A, MID($B13, 12, 100), 'Detailed Receipts'!$D:$D, "Jun", 'Detailed Receipts'!$L:$L, "OPEX"))</f>
        <v>0</v>
      </c>
      <c r="E13" s="167">
        <f t="shared" si="1"/>
        <v>93000</v>
      </c>
    </row>
    <row r="14">
      <c r="A14" s="168"/>
      <c r="B14" s="169" t="s">
        <v>70</v>
      </c>
      <c r="C14" s="170">
        <f>SUM(C13)</f>
        <v>93000</v>
      </c>
      <c r="D14" s="170">
        <f>IF($A14&lt;&gt;"", SUMIFS('Detailed Receipts'!$K:$K, 'Detailed Receipts'!$A:$A, $A14, 'Detailed Receipts'!$B:$B, $B14, 'Detailed Receipts'!$D:$D, "Jun", 'Detailed Receipts'!$L:$L, "OPEX"), SUMIFS('Detailed Receipts'!$K:$K, 'Detailed Receipts'!$A:$A, MID($B14, 12, 100), 'Detailed Receipts'!$D:$D, "Jun", 'Detailed Receipts'!$L:$L, "OPEX"))</f>
        <v>0</v>
      </c>
      <c r="E14" s="170">
        <f t="shared" si="1"/>
        <v>93000</v>
      </c>
    </row>
    <row r="15">
      <c r="A15" s="78" t="s">
        <v>26</v>
      </c>
      <c r="B15" s="78" t="s">
        <v>403</v>
      </c>
      <c r="C15" s="167">
        <f>SUMIFS(ApprovedBudget!J19:J125,ApprovedBudget!$A$19:$A$125,"Product",ApprovedBudget!$B$19:$B$125,"Homologation &amp; Registration")</f>
        <v>0</v>
      </c>
      <c r="D15" s="167">
        <f>IF($A15&lt;&gt;"", SUMIFS('Detailed Receipts'!$K:$K, 'Detailed Receipts'!$A:$A, $A15, 'Detailed Receipts'!$B:$B, $B15, 'Detailed Receipts'!$D:$D, "Jun", 'Detailed Receipts'!$L:$L, "OPEX"), SUMIFS('Detailed Receipts'!$K:$K, 'Detailed Receipts'!$A:$A, MID($B15, 12, 100), 'Detailed Receipts'!$D:$D, "Jun", 'Detailed Receipts'!$L:$L, "OPEX"))</f>
        <v>0</v>
      </c>
      <c r="E15" s="167">
        <f t="shared" si="1"/>
        <v>0</v>
      </c>
    </row>
    <row r="16">
      <c r="A16" s="78" t="s">
        <v>26</v>
      </c>
      <c r="B16" s="78" t="s">
        <v>71</v>
      </c>
      <c r="C16" s="167">
        <f>SUMIFS(ApprovedBudget!J19:J125,ApprovedBudget!$A$19:$A$125,"Product",ApprovedBudget!$B$19:$B$125,"R&amp;D")</f>
        <v>115000</v>
      </c>
      <c r="D16" s="167">
        <f>IF($A16&lt;&gt;"", SUMIFS('Detailed Receipts'!$K:$K, 'Detailed Receipts'!$A:$A, $A16, 'Detailed Receipts'!$B:$B, $B16, 'Detailed Receipts'!$D:$D, "Jun", 'Detailed Receipts'!$L:$L, "OPEX"), SUMIFS('Detailed Receipts'!$K:$K, 'Detailed Receipts'!$A:$A, MID($B16, 12, 100), 'Detailed Receipts'!$D:$D, "Jun", 'Detailed Receipts'!$L:$L, "OPEX"))</f>
        <v>0</v>
      </c>
      <c r="E16" s="167">
        <f t="shared" si="1"/>
        <v>115000</v>
      </c>
    </row>
    <row r="17">
      <c r="A17" s="168"/>
      <c r="B17" s="169" t="s">
        <v>74</v>
      </c>
      <c r="C17" s="170">
        <f>SUM(C15:C16)</f>
        <v>115000</v>
      </c>
      <c r="D17" s="170">
        <f>IF($A17&lt;&gt;"", SUMIFS('Detailed Receipts'!$K:$K, 'Detailed Receipts'!$A:$A, $A17, 'Detailed Receipts'!$B:$B, $B17, 'Detailed Receipts'!$D:$D, "Jun", 'Detailed Receipts'!$L:$L, "OPEX"), SUMIFS('Detailed Receipts'!$K:$K, 'Detailed Receipts'!$A:$A, MID($B17, 12, 100), 'Detailed Receipts'!$D:$D, "Jun", 'Detailed Receipts'!$L:$L, "OPEX"))</f>
        <v>0</v>
      </c>
      <c r="E17" s="170">
        <f t="shared" si="1"/>
        <v>115000</v>
      </c>
    </row>
    <row r="18">
      <c r="A18" s="78" t="s">
        <v>27</v>
      </c>
      <c r="B18" s="78" t="s">
        <v>214</v>
      </c>
      <c r="C18" s="167">
        <f>SUMIFS(ApprovedBudget!J19:J125,ApprovedBudget!$A$19:$A$125,"RideBox",ApprovedBudget!$B$19:$B$125,"RideBox")</f>
        <v>20700</v>
      </c>
      <c r="D18" s="167">
        <f>IF($A18&lt;&gt;"", SUMIFS('Detailed Receipts'!$K:$K, 'Detailed Receipts'!$A:$A, $A18, 'Detailed Receipts'!$B:$B, $B18, 'Detailed Receipts'!$D:$D, "Jun", 'Detailed Receipts'!$L:$L, "OPEX"), SUMIFS('Detailed Receipts'!$K:$K, 'Detailed Receipts'!$A:$A, MID($B18, 12, 100), 'Detailed Receipts'!$D:$D, "Jun", 'Detailed Receipts'!$L:$L, "OPEX"))</f>
        <v>0</v>
      </c>
      <c r="E18" s="167">
        <f t="shared" si="1"/>
        <v>20700</v>
      </c>
    </row>
    <row r="19">
      <c r="A19" s="78" t="s">
        <v>27</v>
      </c>
      <c r="B19" s="78" t="s">
        <v>75</v>
      </c>
      <c r="C19" s="167">
        <f>SUMIFS(ApprovedBudget!J19:J125,ApprovedBudget!$A$19:$A$125,"RideBox",ApprovedBudget!$B$19:$B$125,"Monitoring &amp; Field Ops")</f>
        <v>85000</v>
      </c>
      <c r="D19" s="167">
        <f>IF($A19&lt;&gt;"", SUMIFS('Detailed Receipts'!$K:$K, 'Detailed Receipts'!$A:$A, $A19, 'Detailed Receipts'!$B:$B, $B19, 'Detailed Receipts'!$D:$D, "Jun", 'Detailed Receipts'!$L:$L, "OPEX"), SUMIFS('Detailed Receipts'!$K:$K, 'Detailed Receipts'!$A:$A, MID($B19, 12, 100), 'Detailed Receipts'!$D:$D, "Jun", 'Detailed Receipts'!$L:$L, "OPEX"))</f>
        <v>0</v>
      </c>
      <c r="E19" s="167">
        <f t="shared" si="1"/>
        <v>85000</v>
      </c>
    </row>
    <row r="20">
      <c r="A20" s="78" t="s">
        <v>27</v>
      </c>
      <c r="B20" s="78" t="s">
        <v>77</v>
      </c>
      <c r="C20" s="167">
        <f>SUMIFS(ApprovedBudget!J19:J125,ApprovedBudget!$A$19:$A$125,"RideBox",ApprovedBudget!$B$19:$B$125,"Network Rollout")</f>
        <v>425000</v>
      </c>
      <c r="D20" s="167">
        <f>IF($A20&lt;&gt;"", SUMIFS('Detailed Receipts'!$K:$K, 'Detailed Receipts'!$A:$A, $A20, 'Detailed Receipts'!$B:$B, $B20, 'Detailed Receipts'!$D:$D, "Jun", 'Detailed Receipts'!$L:$L, "OPEX"), SUMIFS('Detailed Receipts'!$K:$K, 'Detailed Receipts'!$A:$A, MID($B20, 12, 100), 'Detailed Receipts'!$D:$D, "Jun", 'Detailed Receipts'!$L:$L, "OPEX"))</f>
        <v>0</v>
      </c>
      <c r="E20" s="167">
        <f t="shared" si="1"/>
        <v>425000</v>
      </c>
    </row>
    <row r="21" ht="15.75" customHeight="1">
      <c r="A21" s="78" t="s">
        <v>27</v>
      </c>
      <c r="B21" s="78" t="s">
        <v>210</v>
      </c>
      <c r="C21" s="167">
        <f>SUMIFS(ApprovedBudget!J19:J125,ApprovedBudget!$A$19:$A$125,"RideBox",ApprovedBudget!$B$19:$B$125,"Service Center")</f>
        <v>0</v>
      </c>
      <c r="D21" s="167">
        <f>IF($A21&lt;&gt;"", SUMIFS('Detailed Receipts'!$K:$K, 'Detailed Receipts'!$A:$A, $A21, 'Detailed Receipts'!$B:$B, $B21, 'Detailed Receipts'!$D:$D, "Jun", 'Detailed Receipts'!$L:$L, "OPEX"), SUMIFS('Detailed Receipts'!$K:$K, 'Detailed Receipts'!$A:$A, MID($B21, 12, 100), 'Detailed Receipts'!$D:$D, "Jun", 'Detailed Receipts'!$L:$L, "OPEX"))</f>
        <v>0</v>
      </c>
      <c r="E21" s="167">
        <f t="shared" si="1"/>
        <v>0</v>
      </c>
    </row>
    <row r="22" ht="15.75" customHeight="1">
      <c r="A22" s="168"/>
      <c r="B22" s="169" t="s">
        <v>82</v>
      </c>
      <c r="C22" s="170">
        <f>SUM(C18:C21)</f>
        <v>530700</v>
      </c>
      <c r="D22" s="170">
        <f>IF($A22&lt;&gt;"", SUMIFS('Detailed Receipts'!$K:$K, 'Detailed Receipts'!$A:$A, $A22, 'Detailed Receipts'!$B:$B, $B22, 'Detailed Receipts'!$D:$D, "Jun", 'Detailed Receipts'!$L:$L, "OPEX"), SUMIFS('Detailed Receipts'!$K:$K, 'Detailed Receipts'!$A:$A, MID($B22, 12, 100), 'Detailed Receipts'!$D:$D, "Jun", 'Detailed Receipts'!$L:$L, "OPEX"))</f>
        <v>0</v>
      </c>
      <c r="E22" s="170">
        <f t="shared" si="1"/>
        <v>530700</v>
      </c>
    </row>
    <row r="23" ht="15.75" customHeight="1">
      <c r="A23" s="78" t="s">
        <v>28</v>
      </c>
      <c r="B23" s="78" t="s">
        <v>28</v>
      </c>
      <c r="C23" s="167">
        <f>SUMIFS(ApprovedBudget!J19:J125,ApprovedBudget!$A$19:$A$125,"Technology")</f>
        <v>645974</v>
      </c>
      <c r="D23" s="167">
        <f>IF($A23&lt;&gt;"", SUMIFS('Detailed Receipts'!$K:$K, 'Detailed Receipts'!$A:$A, $A23, 'Detailed Receipts'!$B:$B, $B23, 'Detailed Receipts'!$D:$D, "Jun", 'Detailed Receipts'!$L:$L, "OPEX"), SUMIFS('Detailed Receipts'!$K:$K, 'Detailed Receipts'!$A:$A, MID($B23, 12, 100), 'Detailed Receipts'!$D:$D, "Jun", 'Detailed Receipts'!$L:$L, "OPEX"))</f>
        <v>251493</v>
      </c>
      <c r="E23" s="167">
        <f t="shared" si="1"/>
        <v>394481</v>
      </c>
    </row>
    <row r="24" ht="15.75" customHeight="1">
      <c r="A24" s="168"/>
      <c r="B24" s="169" t="s">
        <v>184</v>
      </c>
      <c r="C24" s="170">
        <f>SUM(C23)</f>
        <v>645974</v>
      </c>
      <c r="D24" s="170">
        <f>IF($A24&lt;&gt;"", SUMIFS('Detailed Receipts'!$K:$K, 'Detailed Receipts'!$A:$A, $A24, 'Detailed Receipts'!$B:$B, $B24, 'Detailed Receipts'!$D:$D, "Jun", 'Detailed Receipts'!$L:$L, "OPEX"), SUMIFS('Detailed Receipts'!$K:$K, 'Detailed Receipts'!$A:$A, MID($B24, 12, 100), 'Detailed Receipts'!$D:$D, "Jun", 'Detailed Receipts'!$L:$L, "OPEX"))</f>
        <v>251493</v>
      </c>
      <c r="E24" s="170">
        <f t="shared" si="1"/>
        <v>394481</v>
      </c>
    </row>
    <row r="25" ht="15.75" customHeight="1">
      <c r="A25" s="78" t="s">
        <v>29</v>
      </c>
      <c r="B25" s="78" t="s">
        <v>29</v>
      </c>
      <c r="C25" s="167">
        <f>SUMIFS(ApprovedBudget!J19:J125,ApprovedBudget!$A$19:$A$125,"Finance and Accounting",ApprovedBudget!$B$19:$B$125,"Finance and Accounting")</f>
        <v>92526</v>
      </c>
      <c r="D25" s="167">
        <f>IF($A25&lt;&gt;"", SUMIFS('Detailed Receipts'!$K:$K, 'Detailed Receipts'!$A:$A, $A25, 'Detailed Receipts'!$B:$B, $B25, 'Detailed Receipts'!$D:$D, "Jun", 'Detailed Receipts'!$L:$L, "OPEX"), SUMIFS('Detailed Receipts'!$K:$K, 'Detailed Receipts'!$A:$A, MID($B25, 12, 100), 'Detailed Receipts'!$D:$D, "Jun", 'Detailed Receipts'!$L:$L, "OPEX"))</f>
        <v>0</v>
      </c>
      <c r="E25" s="167">
        <f t="shared" si="1"/>
        <v>92526</v>
      </c>
    </row>
    <row r="26" ht="15.75" customHeight="1">
      <c r="A26" s="168"/>
      <c r="B26" s="169" t="s">
        <v>123</v>
      </c>
      <c r="C26" s="170">
        <f>SUM(C25)</f>
        <v>92526</v>
      </c>
      <c r="D26" s="170">
        <f>IF($A26&lt;&gt;"", SUMIFS('Detailed Receipts'!$K:$K, 'Detailed Receipts'!$A:$A, $A26, 'Detailed Receipts'!$B:$B, $B26, 'Detailed Receipts'!$D:$D, "Jun", 'Detailed Receipts'!$L:$L, "OPEX"), SUMIFS('Detailed Receipts'!$K:$K, 'Detailed Receipts'!$A:$A, MID($B26, 12, 100), 'Detailed Receipts'!$D:$D, "Jun", 'Detailed Receipts'!$L:$L, "OPEX"))</f>
        <v>0</v>
      </c>
      <c r="E26" s="170">
        <f t="shared" si="1"/>
        <v>92526</v>
      </c>
    </row>
    <row r="27" ht="15.75" customHeight="1">
      <c r="A27" s="78" t="s">
        <v>30</v>
      </c>
      <c r="B27" s="78" t="s">
        <v>30</v>
      </c>
      <c r="C27" s="167">
        <f>SUMIFS(ApprovedBudget!J19:J125,ApprovedBudget!$A$19:$A$125,"Admin",ApprovedBudget!$B$19:$B$125,"Admin")</f>
        <v>633282</v>
      </c>
      <c r="D27" s="167">
        <f>IF($A27&lt;&gt;"", SUMIFS('Detailed Receipts'!$K:$K, 'Detailed Receipts'!$A:$A, $A27, 'Detailed Receipts'!$B:$B, $B27, 'Detailed Receipts'!$D:$D, "Jun", 'Detailed Receipts'!$L:$L, "OPEX"), SUMIFS('Detailed Receipts'!$K:$K, 'Detailed Receipts'!$A:$A, MID($B27, 12, 100), 'Detailed Receipts'!$D:$D, "Jun", 'Detailed Receipts'!$L:$L, "OPEX"))</f>
        <v>799</v>
      </c>
      <c r="E27" s="167">
        <f t="shared" si="1"/>
        <v>632483</v>
      </c>
    </row>
    <row r="28" ht="15.75" customHeight="1">
      <c r="A28" s="168"/>
      <c r="B28" s="169" t="s">
        <v>130</v>
      </c>
      <c r="C28" s="170">
        <f>SUM(C27)</f>
        <v>633282</v>
      </c>
      <c r="D28" s="170">
        <f>IF($A28&lt;&gt;"", SUMIFS('Detailed Receipts'!$K:$K, 'Detailed Receipts'!$A:$A, $A28, 'Detailed Receipts'!$B:$B, $B28, 'Detailed Receipts'!$D:$D, "Jun", 'Detailed Receipts'!$L:$L, "OPEX"), SUMIFS('Detailed Receipts'!$K:$K, 'Detailed Receipts'!$A:$A, MID($B28, 12, 100), 'Detailed Receipts'!$D:$D, "Jun", 'Detailed Receipts'!$L:$L, "OPEX"))</f>
        <v>799</v>
      </c>
      <c r="E28" s="170">
        <f t="shared" si="1"/>
        <v>632483</v>
      </c>
    </row>
    <row r="29" ht="15.75" customHeight="1">
      <c r="A29" s="78" t="s">
        <v>31</v>
      </c>
      <c r="B29" s="78" t="s">
        <v>31</v>
      </c>
      <c r="C29" s="167">
        <f>SUMIFS(ApprovedBudget!J19:J125,ApprovedBudget!$A$19:$A$125,"HR",ApprovedBudget!$B$19:$B$125,"HR")</f>
        <v>233000</v>
      </c>
      <c r="D29" s="167">
        <f>IF($A29&lt;&gt;"", SUMIFS('Detailed Receipts'!$K:$K, 'Detailed Receipts'!$A:$A, $A29, 'Detailed Receipts'!$B:$B, $B29, 'Detailed Receipts'!$D:$D, "Jun", 'Detailed Receipts'!$L:$L, "OPEX"), SUMIFS('Detailed Receipts'!$K:$K, 'Detailed Receipts'!$A:$A, MID($B29, 12, 100), 'Detailed Receipts'!$D:$D, "Jun", 'Detailed Receipts'!$L:$L, "OPEX"))</f>
        <v>17283</v>
      </c>
      <c r="E29" s="167">
        <f t="shared" si="1"/>
        <v>215717</v>
      </c>
    </row>
    <row r="30" ht="15.75" customHeight="1">
      <c r="A30" s="168"/>
      <c r="B30" s="169" t="s">
        <v>137</v>
      </c>
      <c r="C30" s="170">
        <f>SUM(C29)</f>
        <v>233000</v>
      </c>
      <c r="D30" s="170">
        <f>IF($A30&lt;&gt;"", SUMIFS('Detailed Receipts'!$K:$K, 'Detailed Receipts'!$A:$A, $A30, 'Detailed Receipts'!$B:$B, $B30, 'Detailed Receipts'!$D:$D, "Jun", 'Detailed Receipts'!$L:$L, "OPEX"), SUMIFS('Detailed Receipts'!$K:$K, 'Detailed Receipts'!$A:$A, MID($B30, 12, 100), 'Detailed Receipts'!$D:$D, "Jun", 'Detailed Receipts'!$L:$L, "OPEX"))</f>
        <v>17283</v>
      </c>
      <c r="E30" s="170">
        <f t="shared" si="1"/>
        <v>215717</v>
      </c>
    </row>
    <row r="31" ht="15.75" customHeight="1">
      <c r="A31" s="78" t="s">
        <v>32</v>
      </c>
      <c r="B31" s="78" t="s">
        <v>140</v>
      </c>
      <c r="C31" s="167">
        <f>SUMIFS(ApprovedBudget!J19:J125,ApprovedBudget!$A$19:$A$125,"Compliance and Risk",ApprovedBudget!$B$19:$B$125,"Legal &amp; notarial")</f>
        <v>60000</v>
      </c>
      <c r="D31" s="167">
        <f>IF($A31&lt;&gt;"", SUMIFS('Detailed Receipts'!$K:$K, 'Detailed Receipts'!$A:$A, $A31, 'Detailed Receipts'!$B:$B, $B31, 'Detailed Receipts'!$D:$D, "Jun", 'Detailed Receipts'!$L:$L, "OPEX"), SUMIFS('Detailed Receipts'!$K:$K, 'Detailed Receipts'!$A:$A, MID($B31, 12, 100), 'Detailed Receipts'!$D:$D, "Jun", 'Detailed Receipts'!$L:$L, "OPEX"))</f>
        <v>26548</v>
      </c>
      <c r="E31" s="167">
        <f t="shared" si="1"/>
        <v>33452</v>
      </c>
    </row>
    <row r="32" ht="15.75" customHeight="1">
      <c r="A32" s="78" t="s">
        <v>32</v>
      </c>
      <c r="B32" s="78" t="s">
        <v>138</v>
      </c>
      <c r="C32" s="167">
        <f>SUMIFS(ApprovedBudget!J19:J125,ApprovedBudget!$A$19:$A$125,"Compliance and Risk",ApprovedBudget!$B$19:$B$125,"Permits &amp; registration")</f>
        <v>86800</v>
      </c>
      <c r="D32" s="167">
        <f>IF($A32&lt;&gt;"", SUMIFS('Detailed Receipts'!$K:$K, 'Detailed Receipts'!$A:$A, $A32, 'Detailed Receipts'!$B:$B, $B32, 'Detailed Receipts'!$D:$D, "Jun", 'Detailed Receipts'!$L:$L, "OPEX"), SUMIFS('Detailed Receipts'!$K:$K, 'Detailed Receipts'!$A:$A, MID($B32, 12, 100), 'Detailed Receipts'!$D:$D, "Jun", 'Detailed Receipts'!$L:$L, "OPEX"))</f>
        <v>0</v>
      </c>
      <c r="E32" s="167">
        <f t="shared" si="1"/>
        <v>86800</v>
      </c>
    </row>
    <row r="33" ht="15.75" customHeight="1">
      <c r="A33" s="168"/>
      <c r="B33" s="169" t="s">
        <v>146</v>
      </c>
      <c r="C33" s="170">
        <f>SUM(C31:C32)</f>
        <v>146800</v>
      </c>
      <c r="D33" s="170">
        <f>IF($A33&lt;&gt;"", SUMIFS('Detailed Receipts'!$K:$K, 'Detailed Receipts'!$A:$A, $A33, 'Detailed Receipts'!$B:$B, $B33, 'Detailed Receipts'!$D:$D, "Jun", 'Detailed Receipts'!$L:$L, "OPEX"), SUMIFS('Detailed Receipts'!$K:$K, 'Detailed Receipts'!$A:$A, MID($B33, 12, 100), 'Detailed Receipts'!$D:$D, "Jun", 'Detailed Receipts'!$L:$L, "OPEX"))</f>
        <v>26548</v>
      </c>
      <c r="E33" s="170">
        <f t="shared" si="1"/>
        <v>120252</v>
      </c>
    </row>
    <row r="34" ht="15.75" customHeight="1">
      <c r="A34" s="172"/>
      <c r="B34" s="173" t="s">
        <v>404</v>
      </c>
      <c r="C34" s="174">
        <f t="shared" ref="C34:D34" si="2">SUMIF($B4:$B33,"Subtotal*",C4:C33)</f>
        <v>4777157</v>
      </c>
      <c r="D34" s="174">
        <f t="shared" si="2"/>
        <v>296123</v>
      </c>
      <c r="E34" s="174">
        <f t="shared" si="1"/>
        <v>4481034</v>
      </c>
    </row>
    <row r="35" ht="15.75" customHeight="1">
      <c r="B35" s="176"/>
      <c r="C35" s="167"/>
      <c r="D35" s="167"/>
      <c r="E35" s="167"/>
    </row>
    <row r="36" ht="15.75" customHeight="1">
      <c r="A36" s="176"/>
      <c r="B36" s="176"/>
      <c r="C36" s="167"/>
      <c r="D36" s="167"/>
      <c r="E36" s="167"/>
    </row>
    <row r="37" ht="15.75" customHeight="1">
      <c r="A37" s="176"/>
      <c r="B37" s="176"/>
      <c r="C37" s="167"/>
      <c r="D37" s="167"/>
      <c r="E37" s="167"/>
    </row>
    <row r="38" ht="15.75" customHeight="1">
      <c r="A38" s="175"/>
      <c r="B38" s="176"/>
      <c r="C38" s="167"/>
      <c r="D38" s="167"/>
      <c r="E38" s="167"/>
    </row>
    <row r="39" ht="15.75" customHeight="1">
      <c r="A39" s="176"/>
      <c r="B39" s="176"/>
      <c r="C39" s="167"/>
      <c r="D39" s="167"/>
      <c r="E39" s="167"/>
    </row>
    <row r="40" ht="15.75" customHeight="1">
      <c r="A40" s="176"/>
      <c r="B40" s="176"/>
      <c r="C40" s="167"/>
      <c r="D40" s="167"/>
      <c r="E40" s="167"/>
    </row>
    <row r="41" ht="15.75" customHeight="1">
      <c r="A41" s="175"/>
      <c r="B41" s="176"/>
      <c r="C41" s="167"/>
      <c r="D41" s="167"/>
      <c r="E41" s="167"/>
    </row>
    <row r="42" ht="15.75" customHeight="1">
      <c r="A42" s="176"/>
      <c r="B42" s="176"/>
      <c r="C42" s="167"/>
      <c r="D42" s="167"/>
      <c r="E42" s="167"/>
    </row>
    <row r="43" ht="15.75" customHeight="1">
      <c r="A43" s="176"/>
      <c r="B43" s="176"/>
      <c r="C43" s="167"/>
      <c r="D43" s="167"/>
      <c r="E43" s="167"/>
    </row>
    <row r="44" ht="15.75" customHeight="1">
      <c r="A44" s="176"/>
      <c r="B44" s="176"/>
      <c r="C44" s="167"/>
      <c r="D44" s="167"/>
      <c r="E44" s="167"/>
    </row>
    <row r="45" ht="15.75" customHeight="1">
      <c r="A45" s="175"/>
      <c r="B45" s="176"/>
      <c r="C45" s="167"/>
      <c r="D45" s="167"/>
      <c r="E45" s="167"/>
    </row>
    <row r="46" ht="15.75" customHeight="1">
      <c r="A46" s="175"/>
      <c r="B46" s="176"/>
      <c r="C46" s="167"/>
      <c r="D46" s="167"/>
      <c r="E46" s="167"/>
    </row>
    <row r="47" ht="15.75" customHeight="1">
      <c r="A47" s="175"/>
      <c r="B47" s="175"/>
      <c r="C47" s="167"/>
      <c r="D47" s="167"/>
      <c r="E47" s="167"/>
    </row>
    <row r="48" ht="15.75" customHeight="1">
      <c r="A48" s="176"/>
      <c r="B48" s="175"/>
      <c r="C48" s="167"/>
      <c r="D48" s="167"/>
      <c r="E48" s="167"/>
    </row>
    <row r="49" ht="15.75" customHeight="1">
      <c r="A49" s="176"/>
      <c r="B49" s="176"/>
      <c r="C49" s="167"/>
      <c r="D49" s="167"/>
      <c r="E49" s="167"/>
    </row>
    <row r="50" ht="15.75" customHeight="1">
      <c r="A50" s="176"/>
      <c r="B50" s="176"/>
      <c r="C50" s="167"/>
      <c r="D50" s="167"/>
      <c r="E50" s="167"/>
    </row>
    <row r="51" ht="15.75" customHeight="1">
      <c r="A51" s="176"/>
      <c r="B51" s="176"/>
      <c r="C51" s="167"/>
      <c r="D51" s="167"/>
      <c r="E51" s="167"/>
    </row>
    <row r="52" ht="15.75" customHeight="1">
      <c r="B52" s="176"/>
      <c r="C52" s="167"/>
      <c r="D52" s="167"/>
      <c r="E52" s="167"/>
    </row>
    <row r="53" ht="15.75" customHeight="1">
      <c r="A53" s="176"/>
      <c r="B53" s="176"/>
      <c r="C53" s="167"/>
      <c r="D53" s="167"/>
      <c r="E53" s="167"/>
    </row>
    <row r="54" ht="15.75" customHeight="1">
      <c r="A54" s="176"/>
      <c r="B54" s="176"/>
      <c r="C54" s="167"/>
      <c r="D54" s="167"/>
      <c r="E54" s="167"/>
    </row>
    <row r="55" ht="15.75" customHeight="1">
      <c r="B55" s="176"/>
      <c r="C55" s="167"/>
      <c r="D55" s="167"/>
      <c r="E55" s="167"/>
    </row>
    <row r="56" ht="15.75" customHeight="1">
      <c r="A56" s="176"/>
      <c r="B56" s="176"/>
      <c r="C56" s="167"/>
      <c r="D56" s="167"/>
      <c r="E56" s="167"/>
    </row>
    <row r="57" ht="15.75" customHeight="1">
      <c r="B57" s="176"/>
      <c r="C57" s="167"/>
      <c r="D57" s="167"/>
      <c r="E57" s="167"/>
    </row>
    <row r="58" ht="15.75" customHeight="1">
      <c r="A58" s="176"/>
      <c r="B58" s="176"/>
      <c r="C58" s="167"/>
      <c r="D58" s="167"/>
      <c r="E58" s="167"/>
    </row>
    <row r="59" ht="15.75" customHeight="1">
      <c r="B59" s="176"/>
      <c r="C59" s="167"/>
      <c r="D59" s="167"/>
      <c r="E59" s="167"/>
    </row>
    <row r="60" ht="15.75" customHeight="1">
      <c r="A60" s="176"/>
      <c r="B60" s="176"/>
      <c r="C60" s="167"/>
      <c r="D60" s="167"/>
      <c r="E60" s="167"/>
    </row>
    <row r="61" ht="15.75" customHeight="1">
      <c r="B61" s="176"/>
      <c r="C61" s="167"/>
      <c r="D61" s="167"/>
      <c r="E61" s="167"/>
    </row>
    <row r="62" ht="15.75" customHeight="1">
      <c r="A62" s="176"/>
      <c r="B62" s="176"/>
      <c r="C62" s="167"/>
      <c r="D62" s="167"/>
      <c r="E62" s="167"/>
    </row>
    <row r="63" ht="15.75" customHeight="1">
      <c r="B63" s="176"/>
      <c r="C63" s="167"/>
      <c r="D63" s="167"/>
      <c r="E63" s="167"/>
    </row>
    <row r="64" ht="15.75" customHeight="1">
      <c r="B64" s="176"/>
      <c r="C64" s="167"/>
      <c r="D64" s="167"/>
      <c r="E64" s="167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43"/>
    <col customWidth="1" min="2" max="2" width="30.14"/>
    <col customWidth="1" min="3" max="5" width="17.29"/>
  </cols>
  <sheetData>
    <row r="1">
      <c r="A1" s="163" t="s">
        <v>410</v>
      </c>
    </row>
    <row r="2">
      <c r="A2" s="164"/>
    </row>
    <row r="3">
      <c r="A3" s="165" t="s">
        <v>1</v>
      </c>
      <c r="B3" s="165" t="s">
        <v>2</v>
      </c>
      <c r="C3" s="166" t="s">
        <v>400</v>
      </c>
      <c r="D3" s="166" t="s">
        <v>401</v>
      </c>
      <c r="E3" s="166" t="s">
        <v>402</v>
      </c>
    </row>
    <row r="4">
      <c r="A4" s="78" t="s">
        <v>19</v>
      </c>
      <c r="B4" s="78" t="s">
        <v>35</v>
      </c>
      <c r="C4" s="167">
        <f>SUMIFS(ApprovedBudget!K19:K125,ApprovedBudget!$A$19:$A$125,"Sales and Marketing")</f>
        <v>771340</v>
      </c>
      <c r="D4" s="167">
        <f>IF($A4&lt;&gt;"", SUMIFS('Detailed Receipts'!$K:$K, 'Detailed Receipts'!$A:$A, $A4, 'Detailed Receipts'!$B:$B, $B4, 'Detailed Receipts'!$D:$D, "Jul", 'Detailed Receipts'!$L:$L, "OPEX"), SUMIFS('Detailed Receipts'!$K:$K, 'Detailed Receipts'!$A:$A, MID($B4, 12, 100), 'Detailed Receipts'!$D:$D, "Jul", 'Detailed Receipts'!$L:$L, "OPEX"))</f>
        <v>1500</v>
      </c>
      <c r="E4" s="167">
        <f t="shared" ref="E4:E34" si="1">C4-D4</f>
        <v>769840</v>
      </c>
    </row>
    <row r="5">
      <c r="A5" s="168"/>
      <c r="B5" s="169" t="s">
        <v>52</v>
      </c>
      <c r="C5" s="170">
        <f>SUM(C4)</f>
        <v>771340</v>
      </c>
      <c r="D5" s="170">
        <f>IF($A5&lt;&gt;"", SUMIFS('Detailed Receipts'!$K:$K, 'Detailed Receipts'!$A:$A, $A5, 'Detailed Receipts'!$B:$B, $B5, 'Detailed Receipts'!$D:$D, "Jul", 'Detailed Receipts'!$L:$L, "OPEX"), SUMIFS('Detailed Receipts'!$K:$K, 'Detailed Receipts'!$A:$A, MID($B5, 12, 100), 'Detailed Receipts'!$D:$D, "Jul", 'Detailed Receipts'!$L:$L, "OPEX"))</f>
        <v>1500</v>
      </c>
      <c r="E5" s="170">
        <f t="shared" si="1"/>
        <v>769840</v>
      </c>
    </row>
    <row r="6">
      <c r="A6" s="78" t="s">
        <v>22</v>
      </c>
      <c r="B6" s="78" t="s">
        <v>22</v>
      </c>
      <c r="C6" s="167">
        <f>SUMIFS(ApprovedBudget!K19:K125,ApprovedBudget!$A$19:$A$125,"Customer Success",ApprovedBudget!$B$19:$B$125,"Customer Success")</f>
        <v>67500</v>
      </c>
      <c r="D6" s="167">
        <f>IF($A6&lt;&gt;"", SUMIFS('Detailed Receipts'!$K:$K, 'Detailed Receipts'!$A:$A, $A6, 'Detailed Receipts'!$B:$B, $B6, 'Detailed Receipts'!$D:$D, "Jul", 'Detailed Receipts'!$L:$L, "OPEX"), SUMIFS('Detailed Receipts'!$K:$K, 'Detailed Receipts'!$A:$A, MID($B6, 12, 100), 'Detailed Receipts'!$D:$D, "Jul", 'Detailed Receipts'!$L:$L, "OPEX"))</f>
        <v>0</v>
      </c>
      <c r="E6" s="167">
        <f t="shared" si="1"/>
        <v>67500</v>
      </c>
    </row>
    <row r="7">
      <c r="A7" s="177"/>
      <c r="B7" s="169" t="s">
        <v>56</v>
      </c>
      <c r="C7" s="170">
        <f>SUM(C6)</f>
        <v>67500</v>
      </c>
      <c r="D7" s="170">
        <f>IF($A7&lt;&gt;"", SUMIFS('Detailed Receipts'!$K:$K, 'Detailed Receipts'!$A:$A, $A7, 'Detailed Receipts'!$B:$B, $B7, 'Detailed Receipts'!$D:$D, "Jul", 'Detailed Receipts'!$L:$L, "OPEX"), SUMIFS('Detailed Receipts'!$K:$K, 'Detailed Receipts'!$A:$A, MID($B7, 12, 100), 'Detailed Receipts'!$D:$D, "Jul", 'Detailed Receipts'!$L:$L, "OPEX"))</f>
        <v>0</v>
      </c>
      <c r="E7" s="170">
        <f t="shared" si="1"/>
        <v>67500</v>
      </c>
    </row>
    <row r="8">
      <c r="A8" s="78" t="s">
        <v>23</v>
      </c>
      <c r="B8" s="78" t="s">
        <v>66</v>
      </c>
      <c r="C8" s="167">
        <f>SUMIFS(ApprovedBudget!K19:K125,ApprovedBudget!$A$19:$A$125,"Supply Chain",ApprovedBudget!$B$19:$B$125,"Logistics")</f>
        <v>41166</v>
      </c>
      <c r="D8" s="167">
        <f>IF($A8&lt;&gt;"", SUMIFS('Detailed Receipts'!$K:$K, 'Detailed Receipts'!$A:$A, $A8, 'Detailed Receipts'!$B:$B, $B8, 'Detailed Receipts'!$D:$D, "Jul", 'Detailed Receipts'!$L:$L, "OPEX"), SUMIFS('Detailed Receipts'!$K:$K, 'Detailed Receipts'!$A:$A, MID($B8, 12, 100), 'Detailed Receipts'!$D:$D, "Jul", 'Detailed Receipts'!$L:$L, "OPEX"))</f>
        <v>0</v>
      </c>
      <c r="E8" s="167">
        <f t="shared" si="1"/>
        <v>41166</v>
      </c>
    </row>
    <row r="9">
      <c r="A9" s="78" t="s">
        <v>23</v>
      </c>
      <c r="B9" s="78" t="s">
        <v>57</v>
      </c>
      <c r="C9" s="167">
        <f>SUMIFS(ApprovedBudget!K19:K125,ApprovedBudget!$A$19:$A$125,"Supply Chain",ApprovedBudget!$B$19:$B$125,"Procurement")</f>
        <v>8238</v>
      </c>
      <c r="D9" s="167">
        <f>IF($A9&lt;&gt;"", SUMIFS('Detailed Receipts'!$K:$K, 'Detailed Receipts'!$A:$A, $A9, 'Detailed Receipts'!$B:$B, $B9, 'Detailed Receipts'!$D:$D, "Jul", 'Detailed Receipts'!$L:$L, "OPEX"), SUMIFS('Detailed Receipts'!$K:$K, 'Detailed Receipts'!$A:$A, MID($B9, 12, 100), 'Detailed Receipts'!$D:$D, "Jul", 'Detailed Receipts'!$L:$L, "OPEX"))</f>
        <v>0</v>
      </c>
      <c r="E9" s="167">
        <f t="shared" si="1"/>
        <v>8238</v>
      </c>
    </row>
    <row r="10">
      <c r="A10" s="78" t="s">
        <v>23</v>
      </c>
      <c r="B10" s="78" t="s">
        <v>64</v>
      </c>
      <c r="C10" s="167">
        <f>SUMIFS(ApprovedBudget!K19:K125,ApprovedBudget!$A$19:$A$125,"Supply Chain",ApprovedBudget!$B$19:$B$125,"Retail")</f>
        <v>125000</v>
      </c>
      <c r="D10" s="167">
        <f>IF($A10&lt;&gt;"", SUMIFS('Detailed Receipts'!$K:$K, 'Detailed Receipts'!$A:$A, $A10, 'Detailed Receipts'!$B:$B, $B10, 'Detailed Receipts'!$D:$D, "Jul", 'Detailed Receipts'!$L:$L, "OPEX"), SUMIFS('Detailed Receipts'!$K:$K, 'Detailed Receipts'!$A:$A, MID($B10, 12, 100), 'Detailed Receipts'!$D:$D, "Jul", 'Detailed Receipts'!$L:$L, "OPEX"))</f>
        <v>0</v>
      </c>
      <c r="E10" s="167">
        <f t="shared" si="1"/>
        <v>125000</v>
      </c>
    </row>
    <row r="11">
      <c r="A11" s="78" t="s">
        <v>23</v>
      </c>
      <c r="B11" s="78" t="s">
        <v>24</v>
      </c>
      <c r="C11" s="167">
        <f>SUMIFS(ApprovedBudget!K19:K125,ApprovedBudget!$A$19:$A$125,"Supply Chain",ApprovedBudget!$B$19:$B$125,"Warehouse")</f>
        <v>1312886</v>
      </c>
      <c r="D11" s="167">
        <f>IF($A11&lt;&gt;"", SUMIFS('Detailed Receipts'!$K:$K, 'Detailed Receipts'!$A:$A, $A11, 'Detailed Receipts'!$B:$B, $B11, 'Detailed Receipts'!$D:$D, "Jul", 'Detailed Receipts'!$L:$L, "OPEX"), SUMIFS('Detailed Receipts'!$K:$K, 'Detailed Receipts'!$A:$A, MID($B11, 12, 100), 'Detailed Receipts'!$D:$D, "Jul", 'Detailed Receipts'!$L:$L, "OPEX"))</f>
        <v>0</v>
      </c>
      <c r="E11" s="167">
        <f t="shared" si="1"/>
        <v>1312886</v>
      </c>
    </row>
    <row r="12">
      <c r="A12" s="168"/>
      <c r="B12" s="169" t="s">
        <v>68</v>
      </c>
      <c r="C12" s="170">
        <f>SUM(C8:C11)</f>
        <v>1487290</v>
      </c>
      <c r="D12" s="170">
        <f>IF($A12&lt;&gt;"", SUMIFS('Detailed Receipts'!$K:$K, 'Detailed Receipts'!$A:$A, $A12, 'Detailed Receipts'!$B:$B, $B12, 'Detailed Receipts'!$D:$D, "Jul", 'Detailed Receipts'!$L:$L, "OPEX"), SUMIFS('Detailed Receipts'!$K:$K, 'Detailed Receipts'!$A:$A, MID($B12, 12, 100), 'Detailed Receipts'!$D:$D, "Jul", 'Detailed Receipts'!$L:$L, "OPEX"))</f>
        <v>0</v>
      </c>
      <c r="E12" s="170">
        <f t="shared" si="1"/>
        <v>1487290</v>
      </c>
    </row>
    <row r="13">
      <c r="A13" s="78" t="s">
        <v>25</v>
      </c>
      <c r="B13" s="78" t="s">
        <v>25</v>
      </c>
      <c r="C13" s="167">
        <f>SUMIFS(ApprovedBudget!K19:K125,ApprovedBudget!$A$19:$A$125,"Aftersales",ApprovedBudget!$B$19:$B$125,"Aftersales")</f>
        <v>99000</v>
      </c>
      <c r="D13" s="167">
        <f>IF($A13&lt;&gt;"", SUMIFS('Detailed Receipts'!$K:$K, 'Detailed Receipts'!$A:$A, $A13, 'Detailed Receipts'!$B:$B, $B13, 'Detailed Receipts'!$D:$D, "Jul", 'Detailed Receipts'!$L:$L, "OPEX"), SUMIFS('Detailed Receipts'!$K:$K, 'Detailed Receipts'!$A:$A, MID($B13, 12, 100), 'Detailed Receipts'!$D:$D, "Jul", 'Detailed Receipts'!$L:$L, "OPEX"))</f>
        <v>0</v>
      </c>
      <c r="E13" s="167">
        <f t="shared" si="1"/>
        <v>99000</v>
      </c>
    </row>
    <row r="14">
      <c r="A14" s="168"/>
      <c r="B14" s="169" t="s">
        <v>70</v>
      </c>
      <c r="C14" s="170">
        <f>SUM(C13)</f>
        <v>99000</v>
      </c>
      <c r="D14" s="170">
        <f>IF($A14&lt;&gt;"", SUMIFS('Detailed Receipts'!$K:$K, 'Detailed Receipts'!$A:$A, $A14, 'Detailed Receipts'!$B:$B, $B14, 'Detailed Receipts'!$D:$D, "Jul", 'Detailed Receipts'!$L:$L, "OPEX"), SUMIFS('Detailed Receipts'!$K:$K, 'Detailed Receipts'!$A:$A, MID($B14, 12, 100), 'Detailed Receipts'!$D:$D, "Jul", 'Detailed Receipts'!$L:$L, "OPEX"))</f>
        <v>0</v>
      </c>
      <c r="E14" s="170">
        <f t="shared" si="1"/>
        <v>99000</v>
      </c>
    </row>
    <row r="15">
      <c r="A15" s="78" t="s">
        <v>26</v>
      </c>
      <c r="B15" s="78" t="s">
        <v>403</v>
      </c>
      <c r="C15" s="167">
        <f>SUMIFS(ApprovedBudget!K19:K125,ApprovedBudget!$A$19:$A$125,"Product",ApprovedBudget!$B$19:$B$125,"Homologation &amp; Registration")</f>
        <v>0</v>
      </c>
      <c r="D15" s="167">
        <f>IF($A15&lt;&gt;"", SUMIFS('Detailed Receipts'!$K:$K, 'Detailed Receipts'!$A:$A, $A15, 'Detailed Receipts'!$B:$B, $B15, 'Detailed Receipts'!$D:$D, "Jul", 'Detailed Receipts'!$L:$L, "OPEX"), SUMIFS('Detailed Receipts'!$K:$K, 'Detailed Receipts'!$A:$A, MID($B15, 12, 100), 'Detailed Receipts'!$D:$D, "Jul", 'Detailed Receipts'!$L:$L, "OPEX"))</f>
        <v>0</v>
      </c>
      <c r="E15" s="167">
        <f t="shared" si="1"/>
        <v>0</v>
      </c>
    </row>
    <row r="16">
      <c r="A16" s="78" t="s">
        <v>26</v>
      </c>
      <c r="B16" s="78" t="s">
        <v>71</v>
      </c>
      <c r="C16" s="167">
        <f>SUMIFS(ApprovedBudget!K19:K125,ApprovedBudget!$A$19:$A$125,"Product",ApprovedBudget!$B$19:$B$125,"R&amp;D")</f>
        <v>515000</v>
      </c>
      <c r="D16" s="167">
        <f>IF($A16&lt;&gt;"", SUMIFS('Detailed Receipts'!$K:$K, 'Detailed Receipts'!$A:$A, $A16, 'Detailed Receipts'!$B:$B, $B16, 'Detailed Receipts'!$D:$D, "Jul", 'Detailed Receipts'!$L:$L, "OPEX"), SUMIFS('Detailed Receipts'!$K:$K, 'Detailed Receipts'!$A:$A, MID($B16, 12, 100), 'Detailed Receipts'!$D:$D, "Jul", 'Detailed Receipts'!$L:$L, "OPEX"))</f>
        <v>0</v>
      </c>
      <c r="E16" s="167">
        <f t="shared" si="1"/>
        <v>515000</v>
      </c>
    </row>
    <row r="17">
      <c r="A17" s="168"/>
      <c r="B17" s="169" t="s">
        <v>74</v>
      </c>
      <c r="C17" s="170">
        <f>SUM(C15:C16)</f>
        <v>515000</v>
      </c>
      <c r="D17" s="170">
        <f>IF($A17&lt;&gt;"", SUMIFS('Detailed Receipts'!$K:$K, 'Detailed Receipts'!$A:$A, $A17, 'Detailed Receipts'!$B:$B, $B17, 'Detailed Receipts'!$D:$D, "Jul", 'Detailed Receipts'!$L:$L, "OPEX"), SUMIFS('Detailed Receipts'!$K:$K, 'Detailed Receipts'!$A:$A, MID($B17, 12, 100), 'Detailed Receipts'!$D:$D, "Jul", 'Detailed Receipts'!$L:$L, "OPEX"))</f>
        <v>0</v>
      </c>
      <c r="E17" s="170">
        <f t="shared" si="1"/>
        <v>515000</v>
      </c>
    </row>
    <row r="18">
      <c r="A18" s="78" t="s">
        <v>27</v>
      </c>
      <c r="B18" s="78" t="s">
        <v>214</v>
      </c>
      <c r="C18" s="167">
        <f>SUMIFS(ApprovedBudget!K19:K125,ApprovedBudget!$A$19:$A$125,"RideBox",ApprovedBudget!$B$19:$B$125,"RideBox")</f>
        <v>28877</v>
      </c>
      <c r="D18" s="167">
        <f>IF($A18&lt;&gt;"", SUMIFS('Detailed Receipts'!$K:$K, 'Detailed Receipts'!$A:$A, $A18, 'Detailed Receipts'!$B:$B, $B18, 'Detailed Receipts'!$D:$D, "Jul", 'Detailed Receipts'!$L:$L, "OPEX"), SUMIFS('Detailed Receipts'!$K:$K, 'Detailed Receipts'!$A:$A, MID($B18, 12, 100), 'Detailed Receipts'!$D:$D, "Jul", 'Detailed Receipts'!$L:$L, "OPEX"))</f>
        <v>0</v>
      </c>
      <c r="E18" s="167">
        <f t="shared" si="1"/>
        <v>28877</v>
      </c>
    </row>
    <row r="19">
      <c r="A19" s="78" t="s">
        <v>27</v>
      </c>
      <c r="B19" s="78" t="s">
        <v>75</v>
      </c>
      <c r="C19" s="167">
        <f>SUMIFS(ApprovedBudget!K19:K125,ApprovedBudget!$A$19:$A$125,"RideBox",ApprovedBudget!$B$19:$B$125,"Monitoring &amp; Field Ops")</f>
        <v>138510</v>
      </c>
      <c r="D19" s="167">
        <f>IF($A19&lt;&gt;"", SUMIFS('Detailed Receipts'!$K:$K, 'Detailed Receipts'!$A:$A, $A19, 'Detailed Receipts'!$B:$B, $B19, 'Detailed Receipts'!$D:$D, "Jul", 'Detailed Receipts'!$L:$L, "OPEX"), SUMIFS('Detailed Receipts'!$K:$K, 'Detailed Receipts'!$A:$A, MID($B19, 12, 100), 'Detailed Receipts'!$D:$D, "Jul", 'Detailed Receipts'!$L:$L, "OPEX"))</f>
        <v>1050</v>
      </c>
      <c r="E19" s="167">
        <f t="shared" si="1"/>
        <v>137460</v>
      </c>
    </row>
    <row r="20">
      <c r="A20" s="78" t="s">
        <v>27</v>
      </c>
      <c r="B20" s="78" t="s">
        <v>77</v>
      </c>
      <c r="C20" s="167">
        <f>SUMIFS(ApprovedBudget!K19:K125,ApprovedBudget!$A$19:$A$125,"RideBox",ApprovedBudget!$B$19:$B$125,"Network Rollout")</f>
        <v>692550</v>
      </c>
      <c r="D20" s="167">
        <f>IF($A20&lt;&gt;"", SUMIFS('Detailed Receipts'!$K:$K, 'Detailed Receipts'!$A:$A, $A20, 'Detailed Receipts'!$B:$B, $B20, 'Detailed Receipts'!$D:$D, "Jul", 'Detailed Receipts'!$L:$L, "OPEX"), SUMIFS('Detailed Receipts'!$K:$K, 'Detailed Receipts'!$A:$A, MID($B20, 12, 100), 'Detailed Receipts'!$D:$D, "Jul", 'Detailed Receipts'!$L:$L, "OPEX"))</f>
        <v>0</v>
      </c>
      <c r="E20" s="167">
        <f t="shared" si="1"/>
        <v>692550</v>
      </c>
    </row>
    <row r="21">
      <c r="A21" s="78" t="s">
        <v>27</v>
      </c>
      <c r="B21" s="78" t="s">
        <v>210</v>
      </c>
      <c r="C21" s="167">
        <f>SUMIFS(ApprovedBudget!K19:K125,ApprovedBudget!$A$19:$A$125,"RideBox",ApprovedBudget!$B$19:$B$125,"Service Center")</f>
        <v>0</v>
      </c>
      <c r="D21" s="167">
        <f>IF($A21&lt;&gt;"", SUMIFS('Detailed Receipts'!$K:$K, 'Detailed Receipts'!$A:$A, $A21, 'Detailed Receipts'!$B:$B, $B21, 'Detailed Receipts'!$D:$D, "Jul", 'Detailed Receipts'!$L:$L, "OPEX"), SUMIFS('Detailed Receipts'!$K:$K, 'Detailed Receipts'!$A:$A, MID($B21, 12, 100), 'Detailed Receipts'!$D:$D, "Jul", 'Detailed Receipts'!$L:$L, "OPEX"))</f>
        <v>0</v>
      </c>
      <c r="E21" s="167">
        <f t="shared" si="1"/>
        <v>0</v>
      </c>
    </row>
    <row r="22">
      <c r="A22" s="168"/>
      <c r="B22" s="169" t="s">
        <v>82</v>
      </c>
      <c r="C22" s="170">
        <f>SUM(C18:C21)</f>
        <v>859937</v>
      </c>
      <c r="D22" s="170">
        <f>IF($A22&lt;&gt;"", SUMIFS('Detailed Receipts'!$K:$K, 'Detailed Receipts'!$A:$A, $A22, 'Detailed Receipts'!$B:$B, $B22, 'Detailed Receipts'!$D:$D, "Jul", 'Detailed Receipts'!$L:$L, "OPEX"), SUMIFS('Detailed Receipts'!$K:$K, 'Detailed Receipts'!$A:$A, MID($B22, 12, 100), 'Detailed Receipts'!$D:$D, "Jul", 'Detailed Receipts'!$L:$L, "OPEX"))</f>
        <v>1050</v>
      </c>
      <c r="E22" s="170">
        <f t="shared" si="1"/>
        <v>858887</v>
      </c>
    </row>
    <row r="23">
      <c r="A23" s="78" t="s">
        <v>28</v>
      </c>
      <c r="B23" s="78" t="s">
        <v>28</v>
      </c>
      <c r="C23" s="167">
        <f>SUMIFS(ApprovedBudget!K19:K125,ApprovedBudget!$A$19:$A$125,"Technology")</f>
        <v>645974</v>
      </c>
      <c r="D23" s="167">
        <f>IF($A23&lt;&gt;"", SUMIFS('Detailed Receipts'!$K:$K, 'Detailed Receipts'!$A:$A, $A23, 'Detailed Receipts'!$B:$B, $B23, 'Detailed Receipts'!$D:$D, "Jul", 'Detailed Receipts'!$L:$L, "OPEX"), SUMIFS('Detailed Receipts'!$K:$K, 'Detailed Receipts'!$A:$A, MID($B23, 12, 100), 'Detailed Receipts'!$D:$D, "Jul", 'Detailed Receipts'!$L:$L, "OPEX"))</f>
        <v>0</v>
      </c>
      <c r="E23" s="167">
        <f t="shared" si="1"/>
        <v>645974</v>
      </c>
    </row>
    <row r="24">
      <c r="A24" s="168"/>
      <c r="B24" s="169" t="s">
        <v>184</v>
      </c>
      <c r="C24" s="170">
        <f>SUM(C23)</f>
        <v>645974</v>
      </c>
      <c r="D24" s="170">
        <f>IF($A24&lt;&gt;"", SUMIFS('Detailed Receipts'!$K:$K, 'Detailed Receipts'!$A:$A, $A24, 'Detailed Receipts'!$B:$B, $B24, 'Detailed Receipts'!$D:$D, "Jul", 'Detailed Receipts'!$L:$L, "OPEX"), SUMIFS('Detailed Receipts'!$K:$K, 'Detailed Receipts'!$A:$A, MID($B24, 12, 100), 'Detailed Receipts'!$D:$D, "Jul", 'Detailed Receipts'!$L:$L, "OPEX"))</f>
        <v>0</v>
      </c>
      <c r="E24" s="170">
        <f t="shared" si="1"/>
        <v>645974</v>
      </c>
    </row>
    <row r="25">
      <c r="A25" s="78" t="s">
        <v>29</v>
      </c>
      <c r="B25" s="78" t="s">
        <v>29</v>
      </c>
      <c r="C25" s="167">
        <f>SUMIFS(ApprovedBudget!K19:K125,ApprovedBudget!$A$19:$A$125,"Finance and Accounting",ApprovedBudget!$B$19:$B$125,"Finance and Accounting")</f>
        <v>92526</v>
      </c>
      <c r="D25" s="167">
        <f>IF($A25&lt;&gt;"", SUMIFS('Detailed Receipts'!$K:$K, 'Detailed Receipts'!$A:$A, $A25, 'Detailed Receipts'!$B:$B, $B25, 'Detailed Receipts'!$D:$D, "Jul", 'Detailed Receipts'!$L:$L, "OPEX"), SUMIFS('Detailed Receipts'!$K:$K, 'Detailed Receipts'!$A:$A, MID($B25, 12, 100), 'Detailed Receipts'!$D:$D, "Jul", 'Detailed Receipts'!$L:$L, "OPEX"))</f>
        <v>0</v>
      </c>
      <c r="E25" s="167">
        <f t="shared" si="1"/>
        <v>92526</v>
      </c>
    </row>
    <row r="26">
      <c r="A26" s="168"/>
      <c r="B26" s="169" t="s">
        <v>123</v>
      </c>
      <c r="C26" s="170">
        <f>SUM(C25)</f>
        <v>92526</v>
      </c>
      <c r="D26" s="170">
        <f>IF($A26&lt;&gt;"", SUMIFS('Detailed Receipts'!$K:$K, 'Detailed Receipts'!$A:$A, $A26, 'Detailed Receipts'!$B:$B, $B26, 'Detailed Receipts'!$D:$D, "Jul", 'Detailed Receipts'!$L:$L, "OPEX"), SUMIFS('Detailed Receipts'!$K:$K, 'Detailed Receipts'!$A:$A, MID($B26, 12, 100), 'Detailed Receipts'!$D:$D, "Jul", 'Detailed Receipts'!$L:$L, "OPEX"))</f>
        <v>0</v>
      </c>
      <c r="E26" s="170">
        <f t="shared" si="1"/>
        <v>92526</v>
      </c>
    </row>
    <row r="27">
      <c r="A27" s="78" t="s">
        <v>30</v>
      </c>
      <c r="B27" s="78" t="s">
        <v>30</v>
      </c>
      <c r="C27" s="167">
        <f>SUMIFS(ApprovedBudget!K19:K125,ApprovedBudget!$A$19:$A$125,"Admin",ApprovedBudget!$B$19:$B$125,"Admin")</f>
        <v>623434</v>
      </c>
      <c r="D27" s="167">
        <f>IF($A27&lt;&gt;"", SUMIFS('Detailed Receipts'!$K:$K, 'Detailed Receipts'!$A:$A, $A27, 'Detailed Receipts'!$B:$B, $B27, 'Detailed Receipts'!$D:$D, "Jul", 'Detailed Receipts'!$L:$L, "OPEX"), SUMIFS('Detailed Receipts'!$K:$K, 'Detailed Receipts'!$A:$A, MID($B27, 12, 100), 'Detailed Receipts'!$D:$D, "Jul", 'Detailed Receipts'!$L:$L, "OPEX"))</f>
        <v>0</v>
      </c>
      <c r="E27" s="167">
        <f t="shared" si="1"/>
        <v>623434</v>
      </c>
    </row>
    <row r="28">
      <c r="A28" s="168"/>
      <c r="B28" s="169" t="s">
        <v>130</v>
      </c>
      <c r="C28" s="170">
        <f>SUM(C27)</f>
        <v>623434</v>
      </c>
      <c r="D28" s="170">
        <f>IF($A28&lt;&gt;"", SUMIFS('Detailed Receipts'!$K:$K, 'Detailed Receipts'!$A:$A, $A28, 'Detailed Receipts'!$B:$B, $B28, 'Detailed Receipts'!$D:$D, "Jul", 'Detailed Receipts'!$L:$L, "OPEX"), SUMIFS('Detailed Receipts'!$K:$K, 'Detailed Receipts'!$A:$A, MID($B28, 12, 100), 'Detailed Receipts'!$D:$D, "Jul", 'Detailed Receipts'!$L:$L, "OPEX"))</f>
        <v>0</v>
      </c>
      <c r="E28" s="170">
        <f t="shared" si="1"/>
        <v>623434</v>
      </c>
    </row>
    <row r="29">
      <c r="A29" s="78" t="s">
        <v>31</v>
      </c>
      <c r="B29" s="78" t="s">
        <v>31</v>
      </c>
      <c r="C29" s="167">
        <f>SUMIFS(ApprovedBudget!K19:K125,ApprovedBudget!$A$19:$A$125,"HR",ApprovedBudget!$B$19:$B$125,"HR")</f>
        <v>145000</v>
      </c>
      <c r="D29" s="167">
        <f>IF($A29&lt;&gt;"", SUMIFS('Detailed Receipts'!$K:$K, 'Detailed Receipts'!$A:$A, $A29, 'Detailed Receipts'!$B:$B, $B29, 'Detailed Receipts'!$D:$D, "Jul", 'Detailed Receipts'!$L:$L, "OPEX"), SUMIFS('Detailed Receipts'!$K:$K, 'Detailed Receipts'!$A:$A, MID($B29, 12, 100), 'Detailed Receipts'!$D:$D, "Jul", 'Detailed Receipts'!$L:$L, "OPEX"))</f>
        <v>0</v>
      </c>
      <c r="E29" s="167">
        <f t="shared" si="1"/>
        <v>145000</v>
      </c>
    </row>
    <row r="30">
      <c r="A30" s="168"/>
      <c r="B30" s="169" t="s">
        <v>137</v>
      </c>
      <c r="C30" s="170">
        <f>SUM(C29)</f>
        <v>145000</v>
      </c>
      <c r="D30" s="170">
        <f>IF($A30&lt;&gt;"", SUMIFS('Detailed Receipts'!$K:$K, 'Detailed Receipts'!$A:$A, $A30, 'Detailed Receipts'!$B:$B, $B30, 'Detailed Receipts'!$D:$D, "Jul", 'Detailed Receipts'!$L:$L, "OPEX"), SUMIFS('Detailed Receipts'!$K:$K, 'Detailed Receipts'!$A:$A, MID($B30, 12, 100), 'Detailed Receipts'!$D:$D, "Jul", 'Detailed Receipts'!$L:$L, "OPEX"))</f>
        <v>0</v>
      </c>
      <c r="E30" s="170">
        <f t="shared" si="1"/>
        <v>145000</v>
      </c>
    </row>
    <row r="31">
      <c r="A31" s="78" t="s">
        <v>32</v>
      </c>
      <c r="B31" s="78" t="s">
        <v>140</v>
      </c>
      <c r="C31" s="167">
        <f>SUMIFS(ApprovedBudget!K19:K125,ApprovedBudget!$A$19:$A$125,"Compliance and Risk",ApprovedBudget!$B$19:$B$125,"Legal &amp; notarial")</f>
        <v>310000</v>
      </c>
      <c r="D31" s="167">
        <f>IF($A31&lt;&gt;"", SUMIFS('Detailed Receipts'!$K:$K, 'Detailed Receipts'!$A:$A, $A31, 'Detailed Receipts'!$B:$B, $B31, 'Detailed Receipts'!$D:$D, "Jul", 'Detailed Receipts'!$L:$L, "OPEX"), SUMIFS('Detailed Receipts'!$K:$K, 'Detailed Receipts'!$A:$A, MID($B31, 12, 100), 'Detailed Receipts'!$D:$D, "Jul", 'Detailed Receipts'!$L:$L, "OPEX"))</f>
        <v>0</v>
      </c>
      <c r="E31" s="167">
        <f t="shared" si="1"/>
        <v>310000</v>
      </c>
    </row>
    <row r="32">
      <c r="A32" s="78" t="s">
        <v>32</v>
      </c>
      <c r="B32" s="78" t="s">
        <v>138</v>
      </c>
      <c r="C32" s="167">
        <f>SUMIFS(ApprovedBudget!K19:K125,ApprovedBudget!$A$19:$A$125,"Compliance and Risk",ApprovedBudget!$B$19:$B$125,"Permits &amp; registration")</f>
        <v>86800</v>
      </c>
      <c r="D32" s="167">
        <f>IF($A32&lt;&gt;"", SUMIFS('Detailed Receipts'!$K:$K, 'Detailed Receipts'!$A:$A, $A32, 'Detailed Receipts'!$B:$B, $B32, 'Detailed Receipts'!$D:$D, "Jul", 'Detailed Receipts'!$L:$L, "OPEX"), SUMIFS('Detailed Receipts'!$K:$K, 'Detailed Receipts'!$A:$A, MID($B32, 12, 100), 'Detailed Receipts'!$D:$D, "Jul", 'Detailed Receipts'!$L:$L, "OPEX"))</f>
        <v>0</v>
      </c>
      <c r="E32" s="167">
        <f t="shared" si="1"/>
        <v>86800</v>
      </c>
    </row>
    <row r="33">
      <c r="A33" s="168"/>
      <c r="B33" s="169" t="s">
        <v>146</v>
      </c>
      <c r="C33" s="170">
        <f>SUM(C31:C32)</f>
        <v>396800</v>
      </c>
      <c r="D33" s="170">
        <f>IF($A33&lt;&gt;"", SUMIFS('Detailed Receipts'!$K:$K, 'Detailed Receipts'!$A:$A, $A33, 'Detailed Receipts'!$B:$B, $B33, 'Detailed Receipts'!$D:$D, "Jul", 'Detailed Receipts'!$L:$L, "OPEX"), SUMIFS('Detailed Receipts'!$K:$K, 'Detailed Receipts'!$A:$A, MID($B33, 12, 100), 'Detailed Receipts'!$D:$D, "Jul", 'Detailed Receipts'!$L:$L, "OPEX"))</f>
        <v>0</v>
      </c>
      <c r="E33" s="170">
        <f t="shared" si="1"/>
        <v>396800</v>
      </c>
    </row>
    <row r="34">
      <c r="A34" s="172"/>
      <c r="B34" s="173" t="s">
        <v>404</v>
      </c>
      <c r="C34" s="174">
        <f t="shared" ref="C34:D34" si="2">SUMIF($B4:$B33,"Subtotal*",C4:C33)</f>
        <v>5703801</v>
      </c>
      <c r="D34" s="174">
        <f t="shared" si="2"/>
        <v>2550</v>
      </c>
      <c r="E34" s="174">
        <f t="shared" si="1"/>
        <v>5701251</v>
      </c>
    </row>
    <row r="35">
      <c r="B35" s="176"/>
      <c r="C35" s="167"/>
      <c r="D35" s="167"/>
      <c r="E35" s="167"/>
    </row>
    <row r="36">
      <c r="A36" s="176"/>
      <c r="B36" s="176"/>
      <c r="C36" s="167"/>
      <c r="D36" s="167"/>
      <c r="E36" s="167"/>
    </row>
    <row r="37">
      <c r="A37" s="176"/>
      <c r="B37" s="176"/>
      <c r="C37" s="167"/>
      <c r="D37" s="167"/>
      <c r="E37" s="167"/>
    </row>
    <row r="38">
      <c r="B38" s="176"/>
      <c r="C38" s="167"/>
      <c r="D38" s="167"/>
      <c r="E38" s="167"/>
    </row>
    <row r="39">
      <c r="A39" s="176"/>
      <c r="B39" s="176"/>
      <c r="C39" s="167"/>
      <c r="D39" s="167"/>
      <c r="E39" s="167"/>
    </row>
    <row r="40">
      <c r="A40" s="176"/>
      <c r="B40" s="176"/>
      <c r="C40" s="167"/>
      <c r="D40" s="167"/>
      <c r="E40" s="167"/>
    </row>
    <row r="41">
      <c r="B41" s="176"/>
      <c r="C41" s="167"/>
      <c r="D41" s="167"/>
      <c r="E41" s="167"/>
    </row>
    <row r="42">
      <c r="A42" s="176"/>
      <c r="B42" s="176"/>
      <c r="C42" s="167"/>
      <c r="D42" s="167"/>
      <c r="E42" s="167"/>
    </row>
    <row r="43">
      <c r="A43" s="176"/>
      <c r="B43" s="176"/>
      <c r="C43" s="167"/>
      <c r="D43" s="167"/>
      <c r="E43" s="167"/>
    </row>
    <row r="44">
      <c r="A44" s="176"/>
      <c r="B44" s="176"/>
      <c r="C44" s="167"/>
      <c r="D44" s="167"/>
      <c r="E44" s="167"/>
    </row>
    <row r="45">
      <c r="B45" s="176"/>
      <c r="C45" s="167"/>
      <c r="D45" s="167"/>
      <c r="E45" s="167"/>
    </row>
    <row r="46">
      <c r="B46" s="176"/>
      <c r="C46" s="167"/>
      <c r="D46" s="167"/>
      <c r="E46" s="167"/>
    </row>
    <row r="47">
      <c r="C47" s="167"/>
      <c r="D47" s="167"/>
      <c r="E47" s="167"/>
    </row>
    <row r="48">
      <c r="A48" s="176"/>
      <c r="C48" s="167"/>
      <c r="D48" s="167"/>
      <c r="E48" s="167"/>
    </row>
    <row r="49">
      <c r="A49" s="176"/>
      <c r="B49" s="176"/>
      <c r="C49" s="167"/>
      <c r="D49" s="167"/>
      <c r="E49" s="167"/>
    </row>
    <row r="50">
      <c r="A50" s="176"/>
      <c r="B50" s="176"/>
      <c r="C50" s="167"/>
      <c r="D50" s="167"/>
      <c r="E50" s="167"/>
    </row>
    <row r="51">
      <c r="A51" s="176"/>
      <c r="B51" s="176"/>
      <c r="C51" s="167"/>
      <c r="D51" s="167"/>
      <c r="E51" s="167"/>
    </row>
    <row r="52">
      <c r="B52" s="176"/>
      <c r="C52" s="167"/>
      <c r="D52" s="167"/>
      <c r="E52" s="167"/>
    </row>
    <row r="53">
      <c r="A53" s="176"/>
      <c r="B53" s="176"/>
      <c r="C53" s="167"/>
      <c r="D53" s="167"/>
      <c r="E53" s="167"/>
    </row>
    <row r="54">
      <c r="A54" s="176"/>
      <c r="B54" s="176"/>
      <c r="C54" s="167"/>
      <c r="D54" s="167"/>
      <c r="E54" s="167"/>
    </row>
    <row r="55">
      <c r="B55" s="176"/>
      <c r="C55" s="167"/>
      <c r="D55" s="167"/>
      <c r="E55" s="167"/>
    </row>
    <row r="56">
      <c r="A56" s="176"/>
      <c r="B56" s="176"/>
      <c r="C56" s="167"/>
      <c r="D56" s="167"/>
      <c r="E56" s="167"/>
    </row>
    <row r="57">
      <c r="B57" s="176"/>
      <c r="C57" s="167"/>
      <c r="D57" s="167"/>
      <c r="E57" s="167"/>
    </row>
    <row r="58">
      <c r="A58" s="176"/>
      <c r="B58" s="176"/>
      <c r="C58" s="167"/>
      <c r="D58" s="167"/>
      <c r="E58" s="167"/>
    </row>
    <row r="59">
      <c r="B59" s="176"/>
      <c r="C59" s="167"/>
      <c r="D59" s="167"/>
      <c r="E59" s="167"/>
    </row>
    <row r="60">
      <c r="A60" s="176"/>
      <c r="B60" s="176"/>
      <c r="C60" s="167"/>
      <c r="D60" s="167"/>
      <c r="E60" s="167"/>
    </row>
    <row r="61">
      <c r="B61" s="176"/>
      <c r="C61" s="167"/>
      <c r="D61" s="167"/>
      <c r="E61" s="167"/>
    </row>
    <row r="62">
      <c r="A62" s="176"/>
      <c r="B62" s="176"/>
      <c r="C62" s="167"/>
      <c r="D62" s="167"/>
      <c r="E62" s="167"/>
    </row>
    <row r="63">
      <c r="B63" s="176"/>
      <c r="C63" s="167"/>
      <c r="D63" s="167"/>
      <c r="E63" s="167"/>
    </row>
    <row r="64">
      <c r="B64" s="176"/>
      <c r="C64" s="167"/>
      <c r="D64" s="167"/>
      <c r="E64" s="167"/>
    </row>
  </sheetData>
  <mergeCells count="2">
    <mergeCell ref="A1:E1"/>
    <mergeCell ref="A2:E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8" width="13.0"/>
  </cols>
  <sheetData>
    <row r="1">
      <c r="A1" s="178" t="s">
        <v>411</v>
      </c>
    </row>
    <row r="2">
      <c r="B2" s="167"/>
      <c r="C2" s="167"/>
      <c r="D2" s="167"/>
      <c r="E2" s="167"/>
      <c r="F2" s="167"/>
      <c r="G2" s="167"/>
      <c r="H2" s="167"/>
    </row>
    <row r="3">
      <c r="A3" s="165" t="s">
        <v>412</v>
      </c>
      <c r="B3" s="179"/>
      <c r="C3" s="179"/>
      <c r="D3" s="179"/>
      <c r="E3" s="179"/>
      <c r="F3" s="179"/>
      <c r="G3" s="179"/>
      <c r="H3" s="179"/>
    </row>
    <row r="4">
      <c r="A4" s="78" t="s">
        <v>1</v>
      </c>
      <c r="B4" s="180" t="s">
        <v>5</v>
      </c>
      <c r="C4" s="180" t="s">
        <v>6</v>
      </c>
      <c r="D4" s="180" t="s">
        <v>7</v>
      </c>
      <c r="E4" s="180" t="s">
        <v>8</v>
      </c>
      <c r="F4" s="180" t="s">
        <v>9</v>
      </c>
      <c r="G4" s="180" t="s">
        <v>413</v>
      </c>
      <c r="H4" s="180" t="s">
        <v>414</v>
      </c>
    </row>
    <row r="5">
      <c r="A5" s="78" t="s">
        <v>19</v>
      </c>
      <c r="B5" s="167">
        <f>SUMIFS(ApprovedBudget!E5:E15,ApprovedBudget!$A$5:$A$15,"Sales and Marketing")</f>
        <v>880387.755</v>
      </c>
      <c r="C5" s="167">
        <f>SUMIFS(ApprovedBudget!F5:F15,ApprovedBudget!$A$5:$A$15,"Sales and Marketing")</f>
        <v>880387.755</v>
      </c>
      <c r="D5" s="167">
        <f>SUMIFS(ApprovedBudget!G5:G15,ApprovedBudget!$A$5:$A$15,"Sales and Marketing")</f>
        <v>880387.755</v>
      </c>
      <c r="E5" s="167">
        <f>SUMIFS(ApprovedBudget!H5:H15,ApprovedBudget!$A$5:$A$15,"Sales and Marketing")</f>
        <v>880387.755</v>
      </c>
      <c r="F5" s="167">
        <f>SUMIFS(ApprovedBudget!I5:I15,ApprovedBudget!$A$5:$A$15,"Sales and Marketing")</f>
        <v>880387.755</v>
      </c>
      <c r="G5" s="167">
        <f>SUMIFS(ApprovedBudget!J5:J15,ApprovedBudget!$A$5:$A$15,"Sales and Marketing")</f>
        <v>880387.755</v>
      </c>
      <c r="H5" s="167">
        <f>SUMIFS(ApprovedBudget!K5:K15,ApprovedBudget!$A$5:$A$15,"Sales and Marketing")</f>
        <v>880387.755</v>
      </c>
    </row>
    <row r="6">
      <c r="A6" s="78" t="s">
        <v>22</v>
      </c>
      <c r="B6" s="167">
        <f>SUMIFS(ApprovedBudget!E5:E15,ApprovedBudget!$A$5:$A$15,"Customer Success")</f>
        <v>125860</v>
      </c>
      <c r="C6" s="167">
        <f>SUMIFS(ApprovedBudget!F5:F15,ApprovedBudget!$A$5:$A$15,"Customer Success")</f>
        <v>125860</v>
      </c>
      <c r="D6" s="167">
        <f>SUMIFS(ApprovedBudget!G5:G15,ApprovedBudget!$A$5:$A$15,"Customer Success")</f>
        <v>125860</v>
      </c>
      <c r="E6" s="167">
        <f>SUMIFS(ApprovedBudget!H5:H15,ApprovedBudget!$A$5:$A$15,"Customer Success")</f>
        <v>125860</v>
      </c>
      <c r="F6" s="167">
        <f>SUMIFS(ApprovedBudget!I5:I15,ApprovedBudget!$A$5:$A$15,"Customer Success")</f>
        <v>151032</v>
      </c>
      <c r="G6" s="167">
        <f>SUMIFS(ApprovedBudget!J5:J15,ApprovedBudget!$A$5:$A$15,"Customer Success")</f>
        <v>151032</v>
      </c>
      <c r="H6" s="167">
        <f>SUMIFS(ApprovedBudget!K5:K15,ApprovedBudget!$A$5:$A$15,"Customer Success")</f>
        <v>151032</v>
      </c>
    </row>
    <row r="7">
      <c r="A7" s="78" t="s">
        <v>23</v>
      </c>
      <c r="B7" s="167">
        <f>SUMIFS(ApprovedBudget!E5:E15,ApprovedBudget!$A$5:$A$15,"Supply Chain")</f>
        <v>250020</v>
      </c>
      <c r="C7" s="167">
        <f>SUMIFS(ApprovedBudget!F5:F15,ApprovedBudget!$A$5:$A$15,"Supply Chain")</f>
        <v>250020</v>
      </c>
      <c r="D7" s="167">
        <f>SUMIFS(ApprovedBudget!G5:G15,ApprovedBudget!$A$5:$A$15,"Supply Chain")</f>
        <v>250020</v>
      </c>
      <c r="E7" s="167">
        <f>SUMIFS(ApprovedBudget!H5:H15,ApprovedBudget!$A$5:$A$15,"Supply Chain")</f>
        <v>250020</v>
      </c>
      <c r="F7" s="167">
        <f>SUMIFS(ApprovedBudget!I5:I15,ApprovedBudget!$A$5:$A$15,"Supply Chain")</f>
        <v>250020</v>
      </c>
      <c r="G7" s="167">
        <f>SUMIFS(ApprovedBudget!J5:J15,ApprovedBudget!$A$5:$A$15,"Supply Chain")</f>
        <v>250020</v>
      </c>
      <c r="H7" s="167">
        <f>SUMIFS(ApprovedBudget!K5:K15,ApprovedBudget!$A$5:$A$15,"Supply Chain")</f>
        <v>250020</v>
      </c>
    </row>
    <row r="8">
      <c r="A8" s="78" t="s">
        <v>25</v>
      </c>
      <c r="B8" s="167">
        <f>SUMIFS(ApprovedBudget!E5:E15,ApprovedBudget!$A$5:$A$15,"Aftersales")</f>
        <v>40117.875</v>
      </c>
      <c r="C8" s="167">
        <f>SUMIFS(ApprovedBudget!F5:F15,ApprovedBudget!$A$5:$A$15,"Aftersales")</f>
        <v>40117.875</v>
      </c>
      <c r="D8" s="167">
        <f>SUMIFS(ApprovedBudget!G5:G15,ApprovedBudget!$A$5:$A$15,"Aftersales")</f>
        <v>40117.875</v>
      </c>
      <c r="E8" s="167">
        <f>SUMIFS(ApprovedBudget!H5:H15,ApprovedBudget!$A$5:$A$15,"Aftersales")</f>
        <v>40117.875</v>
      </c>
      <c r="F8" s="167">
        <f>SUMIFS(ApprovedBudget!I5:I15,ApprovedBudget!$A$5:$A$15,"Aftersales")</f>
        <v>40117.875</v>
      </c>
      <c r="G8" s="167">
        <f>SUMIFS(ApprovedBudget!J5:J15,ApprovedBudget!$A$5:$A$15,"Aftersales")</f>
        <v>40117.875</v>
      </c>
      <c r="H8" s="167">
        <f>SUMIFS(ApprovedBudget!K5:K15,ApprovedBudget!$A$5:$A$15,"Aftersales")</f>
        <v>40117.875</v>
      </c>
    </row>
    <row r="9">
      <c r="A9" s="78" t="s">
        <v>26</v>
      </c>
      <c r="B9" s="167">
        <f>SUMIFS(ApprovedBudget!E5:E15,ApprovedBudget!$A$5:$A$15,"Product")</f>
        <v>40117.875</v>
      </c>
      <c r="C9" s="167">
        <f>SUMIFS(ApprovedBudget!F5:F15,ApprovedBudget!$A$5:$A$15,"Product")</f>
        <v>40117.875</v>
      </c>
      <c r="D9" s="167">
        <f>SUMIFS(ApprovedBudget!G5:G15,ApprovedBudget!$A$5:$A$15,"Product")</f>
        <v>40117.875</v>
      </c>
      <c r="E9" s="167">
        <f>SUMIFS(ApprovedBudget!H5:H15,ApprovedBudget!$A$5:$A$15,"Product")</f>
        <v>40117.875</v>
      </c>
      <c r="F9" s="167">
        <f>SUMIFS(ApprovedBudget!I5:I15,ApprovedBudget!$A$5:$A$15,"Product")</f>
        <v>40117.875</v>
      </c>
      <c r="G9" s="167">
        <f>SUMIFS(ApprovedBudget!J5:J15,ApprovedBudget!$A$5:$A$15,"Product")</f>
        <v>40117.875</v>
      </c>
      <c r="H9" s="167">
        <f>SUMIFS(ApprovedBudget!K5:K15,ApprovedBudget!$A$5:$A$15,"Product")</f>
        <v>40117.875</v>
      </c>
    </row>
    <row r="10">
      <c r="A10" s="78" t="s">
        <v>27</v>
      </c>
      <c r="B10" s="167">
        <f>SUMIFS(ApprovedBudget!E5:E15,ApprovedBudget!$A$5:$A$15,"RideBox")</f>
        <v>0</v>
      </c>
      <c r="C10" s="167">
        <f>SUMIFS(ApprovedBudget!F5:F15,ApprovedBudget!$A$5:$A$15,"RideBox")</f>
        <v>0</v>
      </c>
      <c r="D10" s="167">
        <f>SUMIFS(ApprovedBudget!G5:G15,ApprovedBudget!$A$5:$A$15,"RideBox")</f>
        <v>0</v>
      </c>
      <c r="E10" s="167">
        <f>SUMIFS(ApprovedBudget!H5:H15,ApprovedBudget!$A$5:$A$15,"RideBox")</f>
        <v>0</v>
      </c>
      <c r="F10" s="167">
        <f>SUMIFS(ApprovedBudget!I5:I15,ApprovedBudget!$A$5:$A$15,"RideBox")</f>
        <v>125860</v>
      </c>
      <c r="G10" s="167">
        <f>SUMIFS(ApprovedBudget!J5:J15,ApprovedBudget!$A$5:$A$15,"RideBox")</f>
        <v>226548</v>
      </c>
      <c r="H10" s="167">
        <f>SUMIFS(ApprovedBudget!K5:K15,ApprovedBudget!$A$5:$A$15,"RideBox")</f>
        <v>276892</v>
      </c>
    </row>
    <row r="11">
      <c r="A11" s="78" t="s">
        <v>28</v>
      </c>
      <c r="B11" s="167">
        <f>SUMIFS(ApprovedBudget!E5:E15,ApprovedBudget!$A$5:$A$15,"Technology")</f>
        <v>631987.4525</v>
      </c>
      <c r="C11" s="167">
        <f>SUMIFS(ApprovedBudget!F5:F15,ApprovedBudget!$A$5:$A$15,"Technology")</f>
        <v>631987.4525</v>
      </c>
      <c r="D11" s="167">
        <f>SUMIFS(ApprovedBudget!G5:G15,ApprovedBudget!$A$5:$A$15,"Technology")</f>
        <v>631987.4525</v>
      </c>
      <c r="E11" s="167">
        <f>SUMIFS(ApprovedBudget!H5:H15,ApprovedBudget!$A$5:$A$15,"Technology")</f>
        <v>696587.4525</v>
      </c>
      <c r="F11" s="167">
        <f>SUMIFS(ApprovedBudget!I5:I15,ApprovedBudget!$A$5:$A$15,"Technology")</f>
        <v>890387.4525</v>
      </c>
      <c r="G11" s="167">
        <f>SUMIFS(ApprovedBudget!J5:J15,ApprovedBudget!$A$5:$A$15,"Technology")</f>
        <v>1277987.453</v>
      </c>
      <c r="H11" s="167">
        <f>SUMIFS(ApprovedBudget!K5:K15,ApprovedBudget!$A$5:$A$15,"Technology")</f>
        <v>1536387.453</v>
      </c>
    </row>
    <row r="12">
      <c r="A12" s="78" t="s">
        <v>29</v>
      </c>
      <c r="B12" s="167">
        <f>SUMIFS(ApprovedBudget!E5:E15,ApprovedBudget!$A$5:$A$15,"Finance and Accounting")</f>
        <v>633750</v>
      </c>
      <c r="C12" s="167">
        <f>SUMIFS(ApprovedBudget!F5:F15,ApprovedBudget!$A$5:$A$15,"Finance and Accounting")</f>
        <v>633750</v>
      </c>
      <c r="D12" s="167">
        <f>SUMIFS(ApprovedBudget!G5:G15,ApprovedBudget!$A$5:$A$15,"Finance and Accounting")</f>
        <v>974464.2857</v>
      </c>
      <c r="E12" s="167">
        <f>SUMIFS(ApprovedBudget!H5:H15,ApprovedBudget!$A$5:$A$15,"Finance and Accounting")</f>
        <v>340714.2857</v>
      </c>
      <c r="F12" s="167">
        <f>SUMIFS(ApprovedBudget!I5:I15,ApprovedBudget!$A$5:$A$15,"Finance and Accounting")</f>
        <v>390964.2857</v>
      </c>
      <c r="G12" s="167">
        <f>SUMIFS(ApprovedBudget!J5:J15,ApprovedBudget!$A$5:$A$15,"Finance and Accounting")</f>
        <v>390964.2857</v>
      </c>
      <c r="H12" s="167">
        <f>SUMIFS(ApprovedBudget!K5:K15,ApprovedBudget!$A$5:$A$15,"Finance and Accounting")</f>
        <v>390964.2857</v>
      </c>
    </row>
    <row r="13">
      <c r="A13" s="78" t="s">
        <v>30</v>
      </c>
      <c r="B13" s="167">
        <f>SUMIFS(ApprovedBudget!E5:E15,ApprovedBudget!$A$5:$A$15,"Admin")</f>
        <v>57000</v>
      </c>
      <c r="C13" s="167">
        <f>SUMIFS(ApprovedBudget!F5:F15,ApprovedBudget!$A$5:$A$15,"Admin")</f>
        <v>57000</v>
      </c>
      <c r="D13" s="167">
        <f>SUMIFS(ApprovedBudget!G5:G15,ApprovedBudget!$A$5:$A$15,"Admin")</f>
        <v>57000</v>
      </c>
      <c r="E13" s="167">
        <f>SUMIFS(ApprovedBudget!H5:H15,ApprovedBudget!$A$5:$A$15,"Admin")</f>
        <v>57000</v>
      </c>
      <c r="F13" s="167">
        <f>SUMIFS(ApprovedBudget!I5:I15,ApprovedBudget!$A$5:$A$15,"Admin")</f>
        <v>61750</v>
      </c>
      <c r="G13" s="167">
        <f>SUMIFS(ApprovedBudget!J5:J15,ApprovedBudget!$A$5:$A$15,"Admin")</f>
        <v>61750</v>
      </c>
      <c r="H13" s="167">
        <f>SUMIFS(ApprovedBudget!K5:K15,ApprovedBudget!$A$5:$A$15,"Admin")</f>
        <v>61750</v>
      </c>
    </row>
    <row r="14">
      <c r="A14" s="78" t="s">
        <v>31</v>
      </c>
      <c r="B14" s="167">
        <f>SUMIFS(ApprovedBudget!E5:E15,ApprovedBudget!$A$5:$A$15,"HR")</f>
        <v>154375</v>
      </c>
      <c r="C14" s="167">
        <f>SUMIFS(ApprovedBudget!F5:F15,ApprovedBudget!$A$5:$A$15,"HR")</f>
        <v>154375</v>
      </c>
      <c r="D14" s="167">
        <f>SUMIFS(ApprovedBudget!G5:G15,ApprovedBudget!$A$5:$A$15,"HR")</f>
        <v>154375</v>
      </c>
      <c r="E14" s="167">
        <f>SUMIFS(ApprovedBudget!H5:H15,ApprovedBudget!$A$5:$A$15,"HR")</f>
        <v>154375</v>
      </c>
      <c r="F14" s="167">
        <f>SUMIFS(ApprovedBudget!I5:I15,ApprovedBudget!$A$5:$A$15,"HR")</f>
        <v>154375</v>
      </c>
      <c r="G14" s="167">
        <f>SUMIFS(ApprovedBudget!J5:J15,ApprovedBudget!$A$5:$A$15,"HR")</f>
        <v>154375</v>
      </c>
      <c r="H14" s="167">
        <f>SUMIFS(ApprovedBudget!K5:K15,ApprovedBudget!$A$5:$A$15,"HR")</f>
        <v>154375</v>
      </c>
    </row>
    <row r="15">
      <c r="A15" s="78" t="s">
        <v>32</v>
      </c>
      <c r="B15" s="167">
        <f>SUMIFS(ApprovedBudget!E5:E15,ApprovedBudget!$A$5:$A$15,"Compliance and Risk")</f>
        <v>109326.4</v>
      </c>
      <c r="C15" s="167">
        <f>SUMIFS(ApprovedBudget!F5:F15,ApprovedBudget!$A$5:$A$15,"Compliance and Risk")</f>
        <v>109326.4</v>
      </c>
      <c r="D15" s="167">
        <f>SUMIFS(ApprovedBudget!G5:G15,ApprovedBudget!$A$5:$A$15,"Compliance and Risk")</f>
        <v>109326.4</v>
      </c>
      <c r="E15" s="167">
        <f>SUMIFS(ApprovedBudget!H5:H15,ApprovedBudget!$A$5:$A$15,"Compliance and Risk")</f>
        <v>109326.4</v>
      </c>
      <c r="F15" s="167">
        <f>SUMIFS(ApprovedBudget!I5:I15,ApprovedBudget!$A$5:$A$15,"Compliance and Risk")</f>
        <v>153993.0667</v>
      </c>
      <c r="G15" s="167">
        <f>SUMIFS(ApprovedBudget!J5:J15,ApprovedBudget!$A$5:$A$15,"Compliance and Risk")</f>
        <v>214659.7333</v>
      </c>
      <c r="H15" s="167">
        <f>SUMIFS(ApprovedBudget!K5:K15,ApprovedBudget!$A$5:$A$15,"Compliance and Risk")</f>
        <v>214659.7333</v>
      </c>
    </row>
    <row r="16">
      <c r="A16" s="173" t="s">
        <v>270</v>
      </c>
      <c r="B16" s="174">
        <f t="shared" ref="B16:H16" si="1">SUM(B5:B15)</f>
        <v>2922942.358</v>
      </c>
      <c r="C16" s="174">
        <f t="shared" si="1"/>
        <v>2922942.358</v>
      </c>
      <c r="D16" s="174">
        <f t="shared" si="1"/>
        <v>3263656.643</v>
      </c>
      <c r="E16" s="174">
        <f t="shared" si="1"/>
        <v>2694506.643</v>
      </c>
      <c r="F16" s="174">
        <f t="shared" si="1"/>
        <v>3139005.31</v>
      </c>
      <c r="G16" s="174">
        <f t="shared" si="1"/>
        <v>3687959.977</v>
      </c>
      <c r="H16" s="174">
        <f t="shared" si="1"/>
        <v>3996703.977</v>
      </c>
    </row>
    <row r="17">
      <c r="B17" s="167"/>
      <c r="C17" s="167"/>
      <c r="D17" s="167"/>
      <c r="E17" s="167"/>
      <c r="F17" s="167"/>
      <c r="G17" s="167"/>
      <c r="H17" s="167"/>
    </row>
    <row r="18">
      <c r="A18" s="165" t="s">
        <v>415</v>
      </c>
      <c r="B18" s="179"/>
      <c r="C18" s="179"/>
      <c r="D18" s="179"/>
      <c r="E18" s="179"/>
      <c r="F18" s="179"/>
      <c r="G18" s="179"/>
      <c r="H18" s="179"/>
    </row>
    <row r="19">
      <c r="A19" s="78" t="s">
        <v>1</v>
      </c>
      <c r="B19" s="180" t="s">
        <v>5</v>
      </c>
      <c r="C19" s="180" t="s">
        <v>6</v>
      </c>
      <c r="D19" s="180" t="s">
        <v>7</v>
      </c>
      <c r="E19" s="180" t="s">
        <v>8</v>
      </c>
      <c r="F19" s="180" t="s">
        <v>9</v>
      </c>
      <c r="G19" s="180" t="s">
        <v>413</v>
      </c>
      <c r="H19" s="180" t="s">
        <v>414</v>
      </c>
    </row>
    <row r="20">
      <c r="A20" s="78" t="s">
        <v>19</v>
      </c>
      <c r="B20" s="167"/>
      <c r="C20" s="167"/>
      <c r="D20" s="167"/>
      <c r="E20" s="167"/>
      <c r="F20" s="167"/>
      <c r="G20" s="167"/>
      <c r="H20" s="167"/>
    </row>
    <row r="21">
      <c r="A21" s="78" t="s">
        <v>22</v>
      </c>
      <c r="B21" s="167"/>
      <c r="C21" s="167"/>
      <c r="D21" s="167"/>
      <c r="E21" s="167"/>
      <c r="F21" s="167"/>
      <c r="G21" s="167"/>
      <c r="H21" s="167"/>
    </row>
    <row r="22">
      <c r="A22" s="78" t="s">
        <v>23</v>
      </c>
      <c r="B22" s="167"/>
      <c r="C22" s="167"/>
      <c r="D22" s="167"/>
      <c r="E22" s="167"/>
      <c r="F22" s="167"/>
      <c r="G22" s="167"/>
      <c r="H22" s="167"/>
    </row>
    <row r="23">
      <c r="A23" s="78" t="s">
        <v>25</v>
      </c>
      <c r="B23" s="167"/>
      <c r="C23" s="167"/>
      <c r="D23" s="167"/>
      <c r="E23" s="167"/>
      <c r="F23" s="167"/>
      <c r="G23" s="167"/>
      <c r="H23" s="167"/>
    </row>
    <row r="24">
      <c r="A24" s="78" t="s">
        <v>26</v>
      </c>
      <c r="B24" s="167"/>
      <c r="C24" s="167"/>
      <c r="D24" s="167"/>
      <c r="E24" s="167"/>
      <c r="F24" s="167"/>
      <c r="G24" s="167"/>
      <c r="H24" s="167"/>
    </row>
    <row r="25">
      <c r="A25" s="78" t="s">
        <v>27</v>
      </c>
      <c r="B25" s="167"/>
      <c r="C25" s="167"/>
      <c r="D25" s="167"/>
      <c r="E25" s="167"/>
      <c r="F25" s="167"/>
      <c r="G25" s="167"/>
      <c r="H25" s="167"/>
    </row>
    <row r="26">
      <c r="A26" s="78" t="s">
        <v>28</v>
      </c>
      <c r="B26" s="167"/>
      <c r="C26" s="167"/>
      <c r="D26" s="167"/>
      <c r="E26" s="167"/>
      <c r="F26" s="167"/>
      <c r="G26" s="167"/>
      <c r="H26" s="167"/>
    </row>
    <row r="27">
      <c r="A27" s="78" t="s">
        <v>29</v>
      </c>
      <c r="B27" s="167"/>
      <c r="C27" s="167"/>
      <c r="D27" s="167"/>
      <c r="E27" s="167"/>
      <c r="F27" s="167"/>
      <c r="G27" s="167"/>
      <c r="H27" s="167"/>
    </row>
    <row r="28">
      <c r="A28" s="78" t="s">
        <v>30</v>
      </c>
      <c r="B28" s="167"/>
      <c r="C28" s="167"/>
      <c r="D28" s="167"/>
      <c r="E28" s="167"/>
      <c r="F28" s="167"/>
      <c r="G28" s="167"/>
      <c r="H28" s="167"/>
    </row>
    <row r="29">
      <c r="A29" s="78" t="s">
        <v>31</v>
      </c>
      <c r="B29" s="167"/>
      <c r="C29" s="167"/>
      <c r="D29" s="167"/>
      <c r="E29" s="167"/>
      <c r="F29" s="167"/>
      <c r="G29" s="167"/>
      <c r="H29" s="167"/>
    </row>
    <row r="30">
      <c r="A30" s="78" t="s">
        <v>32</v>
      </c>
      <c r="B30" s="167"/>
      <c r="C30" s="167"/>
      <c r="D30" s="167"/>
      <c r="E30" s="167"/>
      <c r="F30" s="167"/>
      <c r="G30" s="167"/>
      <c r="H30" s="167"/>
    </row>
    <row r="31">
      <c r="A31" s="173" t="s">
        <v>270</v>
      </c>
      <c r="B31" s="174">
        <f t="shared" ref="B31:H31" si="2">SUM(B20:B30)</f>
        <v>0</v>
      </c>
      <c r="C31" s="174">
        <f t="shared" si="2"/>
        <v>0</v>
      </c>
      <c r="D31" s="174">
        <f t="shared" si="2"/>
        <v>0</v>
      </c>
      <c r="E31" s="174">
        <f t="shared" si="2"/>
        <v>0</v>
      </c>
      <c r="F31" s="174">
        <f t="shared" si="2"/>
        <v>0</v>
      </c>
      <c r="G31" s="174">
        <f t="shared" si="2"/>
        <v>0</v>
      </c>
      <c r="H31" s="174">
        <f t="shared" si="2"/>
        <v>0</v>
      </c>
    </row>
  </sheetData>
  <mergeCells count="1">
    <mergeCell ref="A1:H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30.14"/>
    <col customWidth="1" min="3" max="9" width="13.0"/>
  </cols>
  <sheetData>
    <row r="1">
      <c r="A1" s="178" t="s">
        <v>416</v>
      </c>
    </row>
    <row r="2">
      <c r="C2" s="167"/>
      <c r="D2" s="167"/>
      <c r="E2" s="167"/>
      <c r="F2" s="167"/>
      <c r="G2" s="167"/>
      <c r="H2" s="167"/>
      <c r="I2" s="167"/>
    </row>
    <row r="3">
      <c r="A3" s="165" t="s">
        <v>412</v>
      </c>
      <c r="B3" s="181"/>
      <c r="C3" s="179"/>
      <c r="D3" s="179"/>
      <c r="E3" s="179"/>
      <c r="F3" s="179"/>
      <c r="G3" s="179"/>
      <c r="H3" s="179"/>
      <c r="I3" s="179"/>
    </row>
    <row r="4">
      <c r="A4" s="78" t="s">
        <v>1</v>
      </c>
      <c r="B4" s="78" t="s">
        <v>2</v>
      </c>
      <c r="C4" s="180" t="s">
        <v>5</v>
      </c>
      <c r="D4" s="180" t="s">
        <v>6</v>
      </c>
      <c r="E4" s="180" t="s">
        <v>7</v>
      </c>
      <c r="F4" s="180" t="s">
        <v>8</v>
      </c>
      <c r="G4" s="180" t="s">
        <v>9</v>
      </c>
      <c r="H4" s="180" t="s">
        <v>413</v>
      </c>
      <c r="I4" s="180" t="s">
        <v>414</v>
      </c>
    </row>
    <row r="5">
      <c r="A5" s="78" t="s">
        <v>23</v>
      </c>
      <c r="B5" s="78" t="s">
        <v>57</v>
      </c>
      <c r="C5" s="167">
        <f>SUMIFS(ApprovedBudget!E130:E166,ApprovedBudget!$A$130:$A$166,"Supply Chain",ApprovedBudget!$B$130:$B$166,"Procurement")</f>
        <v>6128626.417</v>
      </c>
      <c r="D5" s="167">
        <f>SUMIFS(ApprovedBudget!F130:F166,ApprovedBudget!$A$130:$A$166,"Supply Chain",ApprovedBudget!$B$130:$B$166,"Procurement")</f>
        <v>9151827.883</v>
      </c>
      <c r="E5" s="167">
        <f>SUMIFS(ApprovedBudget!G130:G166,ApprovedBudget!$A$130:$A$166,"Supply Chain",ApprovedBudget!$B$130:$B$166,"Procurement")</f>
        <v>14164546.36</v>
      </c>
      <c r="F5" s="167">
        <f>SUMIFS(ApprovedBudget!H130:H166,ApprovedBudget!$A$130:$A$166,"Supply Chain",ApprovedBudget!$B$130:$B$166,"Procurement")</f>
        <v>19279746.64</v>
      </c>
      <c r="G5" s="167">
        <f>SUMIFS(ApprovedBudget!I130:I166,ApprovedBudget!$A$130:$A$166,"Supply Chain",ApprovedBudget!$B$130:$B$166,"Procurement")</f>
        <v>30619820.68</v>
      </c>
      <c r="H5" s="167">
        <f>SUMIFS(ApprovedBudget!J130:J166,ApprovedBudget!$A$130:$A$166,"Supply Chain",ApprovedBudget!$B$130:$B$166,"Procurement")</f>
        <v>33328596.15</v>
      </c>
      <c r="I5" s="167">
        <f>SUMIFS(ApprovedBudget!K130:K166,ApprovedBudget!$A$130:$A$166,"Supply Chain",ApprovedBudget!$B$130:$B$166,"Procurement")</f>
        <v>35935907.77</v>
      </c>
    </row>
    <row r="6">
      <c r="A6" s="78" t="s">
        <v>23</v>
      </c>
      <c r="B6" s="78" t="s">
        <v>24</v>
      </c>
      <c r="C6" s="167">
        <f>SUMIFS(ApprovedBudget!E130:E166,ApprovedBudget!$A$130:$A$166,"Supply Chain",ApprovedBudget!$B$130:$B$166,"Warehouse")</f>
        <v>0</v>
      </c>
      <c r="D6" s="167">
        <f>SUMIFS(ApprovedBudget!F130:F166,ApprovedBudget!$A$130:$A$166,"Supply Chain",ApprovedBudget!$B$130:$B$166,"Warehouse")</f>
        <v>0</v>
      </c>
      <c r="E6" s="167">
        <f>SUMIFS(ApprovedBudget!G130:G166,ApprovedBudget!$A$130:$A$166,"Supply Chain",ApprovedBudget!$B$130:$B$166,"Warehouse")</f>
        <v>0</v>
      </c>
      <c r="F6" s="167">
        <f>SUMIFS(ApprovedBudget!H130:H166,ApprovedBudget!$A$130:$A$166,"Supply Chain",ApprovedBudget!$B$130:$B$166,"Warehouse")</f>
        <v>0</v>
      </c>
      <c r="G6" s="167">
        <f>SUMIFS(ApprovedBudget!I130:I166,ApprovedBudget!$A$130:$A$166,"Supply Chain",ApprovedBudget!$B$130:$B$166,"Warehouse")</f>
        <v>0</v>
      </c>
      <c r="H6" s="167">
        <f>SUMIFS(ApprovedBudget!J130:J166,ApprovedBudget!$A$130:$A$166,"Supply Chain",ApprovedBudget!$B$130:$B$166,"Warehouse")</f>
        <v>0</v>
      </c>
      <c r="I6" s="167">
        <f>SUMIFS(ApprovedBudget!K130:K166,ApprovedBudget!$A$130:$A$166,"Supply Chain",ApprovedBudget!$B$130:$B$166,"Warehouse")</f>
        <v>5132129.428</v>
      </c>
    </row>
    <row r="7">
      <c r="A7" s="78" t="s">
        <v>23</v>
      </c>
      <c r="B7" s="78" t="s">
        <v>66</v>
      </c>
      <c r="C7" s="167">
        <f>SUMIFS(ApprovedBudget!E130:E166,ApprovedBudget!$A$130:$A$166,"Supply Chain",ApprovedBudget!$B$130:$B$166,"Logistics")</f>
        <v>286803</v>
      </c>
      <c r="D7" s="167">
        <f>SUMIFS(ApprovedBudget!F130:F166,ApprovedBudget!$A$130:$A$166,"Supply Chain",ApprovedBudget!$B$130:$B$166,"Logistics")</f>
        <v>413358</v>
      </c>
      <c r="E7" s="167">
        <f>SUMIFS(ApprovedBudget!G130:G166,ApprovedBudget!$A$130:$A$166,"Supply Chain",ApprovedBudget!$B$130:$B$166,"Logistics")</f>
        <v>639475</v>
      </c>
      <c r="F7" s="167">
        <f>SUMIFS(ApprovedBudget!H130:H166,ApprovedBudget!$A$130:$A$166,"Supply Chain",ApprovedBudget!$B$130:$B$166,"Logistics")</f>
        <v>865591</v>
      </c>
      <c r="G7" s="167">
        <f>SUMIFS(ApprovedBudget!I130:I166,ApprovedBudget!$A$130:$A$166,"Supply Chain",ApprovedBudget!$B$130:$B$166,"Logistics")</f>
        <v>1261296</v>
      </c>
      <c r="H7" s="167">
        <f>SUMIFS(ApprovedBudget!J130:J166,ApprovedBudget!$A$130:$A$166,"Supply Chain",ApprovedBudget!$B$130:$B$166,"Logistics")</f>
        <v>1487413</v>
      </c>
      <c r="I7" s="167">
        <f>SUMIFS(ApprovedBudget!K130:K166,ApprovedBudget!$A$130:$A$166,"Supply Chain",ApprovedBudget!$B$130:$B$166,"Logistics")</f>
        <v>1600472</v>
      </c>
    </row>
    <row r="8">
      <c r="A8" s="78" t="s">
        <v>26</v>
      </c>
      <c r="B8" s="78" t="s">
        <v>403</v>
      </c>
      <c r="C8" s="167">
        <f>SUMIFS(ApprovedBudget!E130:E166,ApprovedBudget!$A$130:$A$166,"Product",ApprovedBudget!$B$130:$B$166,"Homologation &amp; Registration")</f>
        <v>0</v>
      </c>
      <c r="D8" s="167">
        <f>SUMIFS(ApprovedBudget!F130:F166,ApprovedBudget!$A$130:$A$166,"Product",ApprovedBudget!$B$130:$B$166,"Homologation &amp; Registration")</f>
        <v>0</v>
      </c>
      <c r="E8" s="167">
        <f>SUMIFS(ApprovedBudget!G130:G166,ApprovedBudget!$A$130:$A$166,"Product",ApprovedBudget!$B$130:$B$166,"Homologation &amp; Registration")</f>
        <v>0</v>
      </c>
      <c r="F8" s="167">
        <f>SUMIFS(ApprovedBudget!H130:H166,ApprovedBudget!$A$130:$A$166,"Product",ApprovedBudget!$B$130:$B$166,"Homologation &amp; Registration")</f>
        <v>0</v>
      </c>
      <c r="G8" s="167">
        <f>SUMIFS(ApprovedBudget!I130:I166,ApprovedBudget!$A$130:$A$166,"Product",ApprovedBudget!$B$130:$B$166,"Homologation &amp; Registration")</f>
        <v>0</v>
      </c>
      <c r="H8" s="167">
        <f>SUMIFS(ApprovedBudget!J130:J166,ApprovedBudget!$A$130:$A$166,"Product",ApprovedBudget!$B$130:$B$166,"Homologation &amp; Registration")</f>
        <v>0</v>
      </c>
      <c r="I8" s="167">
        <f>SUMIFS(ApprovedBudget!K130:K166,ApprovedBudget!$A$130:$A$166,"Product",ApprovedBudget!$B$130:$B$166,"Homologation &amp; Registration")</f>
        <v>0</v>
      </c>
    </row>
    <row r="9">
      <c r="A9" s="78" t="s">
        <v>26</v>
      </c>
      <c r="B9" s="78" t="s">
        <v>71</v>
      </c>
      <c r="C9" s="167">
        <f>SUMIFS(ApprovedBudget!E130:E166,ApprovedBudget!$A$130:$A$166,"Product",ApprovedBudget!$B$130:$B$166,"R&amp;D")</f>
        <v>259777.5478</v>
      </c>
      <c r="D9" s="167">
        <f>SUMIFS(ApprovedBudget!F130:F166,ApprovedBudget!$A$130:$A$166,"Product",ApprovedBudget!$B$130:$B$166,"R&amp;D")</f>
        <v>392135.843</v>
      </c>
      <c r="E9" s="167">
        <f>SUMIFS(ApprovedBudget!G130:G166,ApprovedBudget!$A$130:$A$166,"Product",ApprovedBudget!$B$130:$B$166,"R&amp;D")</f>
        <v>611108.5793</v>
      </c>
      <c r="F9" s="167">
        <f>SUMIFS(ApprovedBudget!H130:H166,ApprovedBudget!$A$130:$A$166,"Product",ApprovedBudget!$B$130:$B$166,"R&amp;D")</f>
        <v>832680.8121</v>
      </c>
      <c r="G9" s="167">
        <f>SUMIFS(ApprovedBudget!I130:I166,ApprovedBudget!$A$130:$A$166,"Product",ApprovedBudget!$B$130:$B$166,"R&amp;D")</f>
        <v>1377768.121</v>
      </c>
      <c r="H9" s="167">
        <f>SUMIFS(ApprovedBudget!J130:J166,ApprovedBudget!$A$130:$A$166,"Product",ApprovedBudget!$B$130:$B$166,"R&amp;D")</f>
        <v>1441680.554</v>
      </c>
      <c r="I9" s="167">
        <f>SUMIFS(ApprovedBudget!K130:K166,ApprovedBudget!$A$130:$A$166,"Product",ApprovedBudget!$B$130:$B$166,"R&amp;D")</f>
        <v>1553372.298</v>
      </c>
    </row>
    <row r="10">
      <c r="A10" s="78" t="s">
        <v>27</v>
      </c>
      <c r="B10" s="78" t="s">
        <v>77</v>
      </c>
      <c r="C10" s="167">
        <f>SUMIFS(ApprovedBudget!E130:E166,ApprovedBudget!$A$130:$A$166,"RideBox")</f>
        <v>12965.6792</v>
      </c>
      <c r="D10" s="167">
        <f>SUMIFS(ApprovedBudget!F130:F166,ApprovedBudget!$A$130:$A$166,"RideBox")</f>
        <v>18964.5784</v>
      </c>
      <c r="E10" s="167">
        <f>SUMIFS(ApprovedBudget!G130:G166,ApprovedBudget!$A$130:$A$166,"RideBox")</f>
        <v>29414.50107</v>
      </c>
      <c r="F10" s="167">
        <f>SUMIFS(ApprovedBudget!H130:H166,ApprovedBudget!$A$130:$A$166,"RideBox")</f>
        <v>39953.3744</v>
      </c>
      <c r="G10" s="167">
        <f>SUMIFS(ApprovedBudget!I130:I166,ApprovedBudget!$A$130:$A$166,"RideBox")</f>
        <v>58230.23493</v>
      </c>
      <c r="H10" s="167">
        <f>SUMIFS(ApprovedBudget!J130:J166,ApprovedBudget!$A$130:$A$166,"RideBox")</f>
        <v>68857.08347</v>
      </c>
      <c r="I10" s="167">
        <f>SUMIFS(ApprovedBudget!K130:K166,ApprovedBudget!$A$130:$A$166,"RideBox")</f>
        <v>74346.44933</v>
      </c>
    </row>
    <row r="11">
      <c r="A11" s="78" t="s">
        <v>28</v>
      </c>
      <c r="B11" s="78" t="s">
        <v>28</v>
      </c>
      <c r="C11" s="167">
        <f>SUMIFS(ApprovedBudget!E130:E166,ApprovedBudget!$A$130:$A$166,"Technology")</f>
        <v>28380</v>
      </c>
      <c r="D11" s="167">
        <f>SUMIFS(ApprovedBudget!F130:F166,ApprovedBudget!$A$130:$A$166,"Technology")</f>
        <v>28380</v>
      </c>
      <c r="E11" s="167">
        <f>SUMIFS(ApprovedBudget!G130:G166,ApprovedBudget!$A$130:$A$166,"Technology")</f>
        <v>28380</v>
      </c>
      <c r="F11" s="167">
        <f>SUMIFS(ApprovedBudget!H130:H166,ApprovedBudget!$A$130:$A$166,"Technology")</f>
        <v>1338380</v>
      </c>
      <c r="G11" s="167">
        <f>SUMIFS(ApprovedBudget!I130:I166,ApprovedBudget!$A$130:$A$166,"Technology")</f>
        <v>1338380</v>
      </c>
      <c r="H11" s="167">
        <f>SUMIFS(ApprovedBudget!J130:J166,ApprovedBudget!$A$130:$A$166,"Technology")</f>
        <v>1038380</v>
      </c>
      <c r="I11" s="167">
        <f>SUMIFS(ApprovedBudget!K130:K166,ApprovedBudget!$A$130:$A$166,"Technology")</f>
        <v>1038380</v>
      </c>
    </row>
    <row r="12">
      <c r="A12" s="78" t="s">
        <v>29</v>
      </c>
      <c r="B12" s="78" t="s">
        <v>29</v>
      </c>
      <c r="C12" s="167">
        <f>SUMIFS(ApprovedBudget!E130:E166,ApprovedBudget!$A$130:$A$166,"Finance")</f>
        <v>0</v>
      </c>
      <c r="D12" s="167">
        <f>SUMIFS(ApprovedBudget!F130:F166,ApprovedBudget!$A$130:$A$166,"Finance")</f>
        <v>0</v>
      </c>
      <c r="E12" s="167">
        <f>SUMIFS(ApprovedBudget!G130:G166,ApprovedBudget!$A$130:$A$166,"Finance")</f>
        <v>0</v>
      </c>
      <c r="F12" s="167">
        <f>SUMIFS(ApprovedBudget!H130:H166,ApprovedBudget!$A$130:$A$166,"Finance")</f>
        <v>0</v>
      </c>
      <c r="G12" s="167">
        <f>SUMIFS(ApprovedBudget!I130:I166,ApprovedBudget!$A$130:$A$166,"Finance")</f>
        <v>0</v>
      </c>
      <c r="H12" s="167">
        <f>SUMIFS(ApprovedBudget!J130:J166,ApprovedBudget!$A$130:$A$166,"Finance")</f>
        <v>500000</v>
      </c>
      <c r="I12" s="167">
        <f>SUMIFS(ApprovedBudget!K130:K166,ApprovedBudget!$A$130:$A$166,"Finance")</f>
        <v>500000</v>
      </c>
    </row>
    <row r="13">
      <c r="A13" s="78" t="s">
        <v>30</v>
      </c>
      <c r="B13" s="78" t="s">
        <v>30</v>
      </c>
      <c r="C13" s="167">
        <f>SUMIFS(ApprovedBudget!E130:E166,ApprovedBudget!$A$130:$A$166,"Admin",ApprovedBudget!$B$130:$B$166,"Admin")</f>
        <v>0</v>
      </c>
      <c r="D13" s="167">
        <f>SUMIFS(ApprovedBudget!F130:F166,ApprovedBudget!$A$130:$A$166,"Admin",ApprovedBudget!$B$130:$B$166,"Admin")</f>
        <v>0</v>
      </c>
      <c r="E13" s="167">
        <f>SUMIFS(ApprovedBudget!G130:G166,ApprovedBudget!$A$130:$A$166,"Admin",ApprovedBudget!$B$130:$B$166,"Admin")</f>
        <v>0</v>
      </c>
      <c r="F13" s="167">
        <f>SUMIFS(ApprovedBudget!H130:H166,ApprovedBudget!$A$130:$A$166,"Admin",ApprovedBudget!$B$130:$B$166,"Admin")</f>
        <v>0</v>
      </c>
      <c r="G13" s="167">
        <f>SUMIFS(ApprovedBudget!I130:I166,ApprovedBudget!$A$130:$A$166,"Admin",ApprovedBudget!$B$130:$B$166,"Admin")</f>
        <v>0</v>
      </c>
      <c r="H13" s="167">
        <f>SUMIFS(ApprovedBudget!J130:J166,ApprovedBudget!$A$130:$A$166,"Admin",ApprovedBudget!$B$130:$B$166,"Admin")</f>
        <v>0</v>
      </c>
      <c r="I13" s="167">
        <f>SUMIFS(ApprovedBudget!K130:K166,ApprovedBudget!$A$130:$A$166,"Admin",ApprovedBudget!$B$130:$B$166,"Admin")</f>
        <v>0</v>
      </c>
    </row>
    <row r="14">
      <c r="A14" s="182"/>
      <c r="B14" s="173" t="s">
        <v>270</v>
      </c>
      <c r="C14" s="174">
        <f t="shared" ref="C14:I14" si="1">SUM(C5:C13)</f>
        <v>6716552.644</v>
      </c>
      <c r="D14" s="174">
        <f t="shared" si="1"/>
        <v>10004666.3</v>
      </c>
      <c r="E14" s="174">
        <f t="shared" si="1"/>
        <v>15472924.44</v>
      </c>
      <c r="F14" s="174">
        <f t="shared" si="1"/>
        <v>22356351.83</v>
      </c>
      <c r="G14" s="174">
        <f t="shared" si="1"/>
        <v>34655495.03</v>
      </c>
      <c r="H14" s="174">
        <f t="shared" si="1"/>
        <v>37864926.79</v>
      </c>
      <c r="I14" s="174">
        <f t="shared" si="1"/>
        <v>45834607.95</v>
      </c>
    </row>
    <row r="15">
      <c r="C15" s="167"/>
      <c r="D15" s="167"/>
      <c r="E15" s="167"/>
      <c r="F15" s="167"/>
      <c r="G15" s="167"/>
      <c r="H15" s="167"/>
      <c r="I15" s="167"/>
    </row>
    <row r="16">
      <c r="A16" s="165" t="s">
        <v>417</v>
      </c>
      <c r="B16" s="181"/>
      <c r="C16" s="179"/>
      <c r="D16" s="179"/>
      <c r="E16" s="179"/>
      <c r="F16" s="179"/>
      <c r="G16" s="179"/>
      <c r="H16" s="179"/>
      <c r="I16" s="179"/>
    </row>
    <row r="17">
      <c r="A17" s="78" t="s">
        <v>1</v>
      </c>
      <c r="B17" s="78" t="s">
        <v>2</v>
      </c>
      <c r="C17" s="180" t="s">
        <v>5</v>
      </c>
      <c r="D17" s="180" t="s">
        <v>6</v>
      </c>
      <c r="E17" s="180" t="s">
        <v>7</v>
      </c>
      <c r="F17" s="180" t="s">
        <v>8</v>
      </c>
      <c r="G17" s="180" t="s">
        <v>9</v>
      </c>
      <c r="H17" s="180" t="s">
        <v>413</v>
      </c>
      <c r="I17" s="180" t="s">
        <v>414</v>
      </c>
    </row>
    <row r="18">
      <c r="A18" s="78" t="s">
        <v>23</v>
      </c>
      <c r="B18" s="78" t="s">
        <v>57</v>
      </c>
      <c r="C18" s="167">
        <f>SUMIFS('Detailed Receipts'!$K:$K, 'Detailed Receipts'!$A:$A, $A18, 'Detailed Receipts'!$B:$B, $B18, 'Detailed Receipts'!$D:$D, C$17, 'Detailed Receipts'!$L:$L, "CAPEX")</f>
        <v>3431</v>
      </c>
      <c r="D18" s="167">
        <f>SUMIFS('Detailed Receipts'!$K:$K, 'Detailed Receipts'!$A:$A, $A18, 'Detailed Receipts'!$B:$B, $B18, 'Detailed Receipts'!$D:$D, D$17, 'Detailed Receipts'!$L:$L, "CAPEX")</f>
        <v>13204</v>
      </c>
      <c r="E18" s="167">
        <f>SUMIFS('Detailed Receipts'!$K:$K, 'Detailed Receipts'!$A:$A, $A18, 'Detailed Receipts'!$B:$B, $B18, 'Detailed Receipts'!$D:$D, E$17, 'Detailed Receipts'!$L:$L, "CAPEX")</f>
        <v>140</v>
      </c>
      <c r="F18" s="167">
        <f>SUMIFS('Detailed Receipts'!$K:$K, 'Detailed Receipts'!$A:$A, $A18, 'Detailed Receipts'!$B:$B, $B18, 'Detailed Receipts'!$D:$D, F$17, 'Detailed Receipts'!$L:$L, "CAPEX")</f>
        <v>2312004</v>
      </c>
      <c r="G18" s="167">
        <f>SUMIFS('Detailed Receipts'!$K:$K, 'Detailed Receipts'!$A:$A, $A18, 'Detailed Receipts'!$B:$B, $B18, 'Detailed Receipts'!$D:$D, G$17, 'Detailed Receipts'!$L:$L, "CAPEX")</f>
        <v>0</v>
      </c>
      <c r="H18" s="167">
        <f>SUMIFS('Detailed Receipts'!$K:$K, 'Detailed Receipts'!$A:$A, $A18, 'Detailed Receipts'!$B:$B, $B18, 'Detailed Receipts'!$D:$D, H$17, 'Detailed Receipts'!$L:$L, "CAPEX")</f>
        <v>0</v>
      </c>
      <c r="I18" s="167">
        <f>SUMIFS('Detailed Receipts'!$K:$K, 'Detailed Receipts'!$A:$A, $A18, 'Detailed Receipts'!$B:$B, $B18, 'Detailed Receipts'!$D:$D, I$17, 'Detailed Receipts'!$L:$L, "CAPEX")</f>
        <v>0</v>
      </c>
    </row>
    <row r="19">
      <c r="A19" s="78" t="s">
        <v>23</v>
      </c>
      <c r="B19" s="78" t="s">
        <v>24</v>
      </c>
      <c r="C19" s="167">
        <f>SUMIFS('Detailed Receipts'!$K:$K, 'Detailed Receipts'!$A:$A, $A19, 'Detailed Receipts'!$B:$B, $B19, 'Detailed Receipts'!$D:$D, C$17, 'Detailed Receipts'!$L:$L, "CAPEX")</f>
        <v>0</v>
      </c>
      <c r="D19" s="167">
        <f>SUMIFS('Detailed Receipts'!$K:$K, 'Detailed Receipts'!$A:$A, $A19, 'Detailed Receipts'!$B:$B, $B19, 'Detailed Receipts'!$D:$D, D$17, 'Detailed Receipts'!$L:$L, "CAPEX")</f>
        <v>6773</v>
      </c>
      <c r="E19" s="167">
        <f>SUMIFS('Detailed Receipts'!$K:$K, 'Detailed Receipts'!$A:$A, $A19, 'Detailed Receipts'!$B:$B, $B19, 'Detailed Receipts'!$D:$D, E$17, 'Detailed Receipts'!$L:$L, "CAPEX")</f>
        <v>1331</v>
      </c>
      <c r="F19" s="167">
        <f>SUMIFS('Detailed Receipts'!$K:$K, 'Detailed Receipts'!$A:$A, $A19, 'Detailed Receipts'!$B:$B, $B19, 'Detailed Receipts'!$D:$D, F$17, 'Detailed Receipts'!$L:$L, "CAPEX")</f>
        <v>0</v>
      </c>
      <c r="G19" s="167">
        <f>SUMIFS('Detailed Receipts'!$K:$K, 'Detailed Receipts'!$A:$A, $A19, 'Detailed Receipts'!$B:$B, $B19, 'Detailed Receipts'!$D:$D, G$17, 'Detailed Receipts'!$L:$L, "CAPEX")</f>
        <v>0</v>
      </c>
      <c r="H19" s="167">
        <f>SUMIFS('Detailed Receipts'!$K:$K, 'Detailed Receipts'!$A:$A, $A19, 'Detailed Receipts'!$B:$B, $B19, 'Detailed Receipts'!$D:$D, H$17, 'Detailed Receipts'!$L:$L, "CAPEX")</f>
        <v>0</v>
      </c>
      <c r="I19" s="167">
        <f>SUMIFS('Detailed Receipts'!$K:$K, 'Detailed Receipts'!$A:$A, $A19, 'Detailed Receipts'!$B:$B, $B19, 'Detailed Receipts'!$D:$D, I$17, 'Detailed Receipts'!$L:$L, "CAPEX")</f>
        <v>0</v>
      </c>
    </row>
    <row r="20">
      <c r="A20" s="78" t="s">
        <v>23</v>
      </c>
      <c r="B20" s="78" t="s">
        <v>66</v>
      </c>
      <c r="C20" s="167">
        <f>SUMIFS('Detailed Receipts'!$K:$K, 'Detailed Receipts'!$A:$A, $A20, 'Detailed Receipts'!$B:$B, $B20, 'Detailed Receipts'!$D:$D, C$17, 'Detailed Receipts'!$L:$L, "CAPEX")</f>
        <v>0</v>
      </c>
      <c r="D20" s="167">
        <f>SUMIFS('Detailed Receipts'!$K:$K, 'Detailed Receipts'!$A:$A, $A20, 'Detailed Receipts'!$B:$B, $B20, 'Detailed Receipts'!$D:$D, D$17, 'Detailed Receipts'!$L:$L, "CAPEX")</f>
        <v>0</v>
      </c>
      <c r="E20" s="167">
        <f>SUMIFS('Detailed Receipts'!$K:$K, 'Detailed Receipts'!$A:$A, $A20, 'Detailed Receipts'!$B:$B, $B20, 'Detailed Receipts'!$D:$D, E$17, 'Detailed Receipts'!$L:$L, "CAPEX")</f>
        <v>0</v>
      </c>
      <c r="F20" s="167">
        <f>SUMIFS('Detailed Receipts'!$K:$K, 'Detailed Receipts'!$A:$A, $A20, 'Detailed Receipts'!$B:$B, $B20, 'Detailed Receipts'!$D:$D, F$17, 'Detailed Receipts'!$L:$L, "CAPEX")</f>
        <v>0</v>
      </c>
      <c r="G20" s="167">
        <f>SUMIFS('Detailed Receipts'!$K:$K, 'Detailed Receipts'!$A:$A, $A20, 'Detailed Receipts'!$B:$B, $B20, 'Detailed Receipts'!$D:$D, G$17, 'Detailed Receipts'!$L:$L, "CAPEX")</f>
        <v>0</v>
      </c>
      <c r="H20" s="167">
        <f>SUMIFS('Detailed Receipts'!$K:$K, 'Detailed Receipts'!$A:$A, $A20, 'Detailed Receipts'!$B:$B, $B20, 'Detailed Receipts'!$D:$D, H$17, 'Detailed Receipts'!$L:$L, "CAPEX")</f>
        <v>0</v>
      </c>
      <c r="I20" s="167">
        <f>SUMIFS('Detailed Receipts'!$K:$K, 'Detailed Receipts'!$A:$A, $A20, 'Detailed Receipts'!$B:$B, $B20, 'Detailed Receipts'!$D:$D, I$17, 'Detailed Receipts'!$L:$L, "CAPEX")</f>
        <v>0</v>
      </c>
    </row>
    <row r="21">
      <c r="A21" s="78" t="s">
        <v>26</v>
      </c>
      <c r="B21" s="78" t="s">
        <v>403</v>
      </c>
      <c r="C21" s="167">
        <f>SUMIFS('Detailed Receipts'!$K:$K, 'Detailed Receipts'!$A:$A, $A21, 'Detailed Receipts'!$B:$B, $B21, 'Detailed Receipts'!$D:$D, C$17, 'Detailed Receipts'!$L:$L, "CAPEX")</f>
        <v>0</v>
      </c>
      <c r="D21" s="167">
        <f>SUMIFS('Detailed Receipts'!$K:$K, 'Detailed Receipts'!$A:$A, $A21, 'Detailed Receipts'!$B:$B, $B21, 'Detailed Receipts'!$D:$D, D$17, 'Detailed Receipts'!$L:$L, "CAPEX")</f>
        <v>0</v>
      </c>
      <c r="E21" s="167">
        <f>SUMIFS('Detailed Receipts'!$K:$K, 'Detailed Receipts'!$A:$A, $A21, 'Detailed Receipts'!$B:$B, $B21, 'Detailed Receipts'!$D:$D, E$17, 'Detailed Receipts'!$L:$L, "CAPEX")</f>
        <v>0</v>
      </c>
      <c r="F21" s="167">
        <f>SUMIFS('Detailed Receipts'!$K:$K, 'Detailed Receipts'!$A:$A, $A21, 'Detailed Receipts'!$B:$B, $B21, 'Detailed Receipts'!$D:$D, F$17, 'Detailed Receipts'!$L:$L, "CAPEX")</f>
        <v>0</v>
      </c>
      <c r="G21" s="167">
        <f>SUMIFS('Detailed Receipts'!$K:$K, 'Detailed Receipts'!$A:$A, $A21, 'Detailed Receipts'!$B:$B, $B21, 'Detailed Receipts'!$D:$D, G$17, 'Detailed Receipts'!$L:$L, "CAPEX")</f>
        <v>0</v>
      </c>
      <c r="H21" s="167">
        <f>SUMIFS('Detailed Receipts'!$K:$K, 'Detailed Receipts'!$A:$A, $A21, 'Detailed Receipts'!$B:$B, $B21, 'Detailed Receipts'!$D:$D, H$17, 'Detailed Receipts'!$L:$L, "CAPEX")</f>
        <v>0</v>
      </c>
      <c r="I21" s="167">
        <f>SUMIFS('Detailed Receipts'!$K:$K, 'Detailed Receipts'!$A:$A, $A21, 'Detailed Receipts'!$B:$B, $B21, 'Detailed Receipts'!$D:$D, I$17, 'Detailed Receipts'!$L:$L, "CAPEX")</f>
        <v>0</v>
      </c>
    </row>
    <row r="22">
      <c r="A22" s="78" t="s">
        <v>26</v>
      </c>
      <c r="B22" s="78" t="s">
        <v>71</v>
      </c>
      <c r="C22" s="167">
        <f>SUMIFS('Detailed Receipts'!$K:$K, 'Detailed Receipts'!$A:$A, $A22, 'Detailed Receipts'!$B:$B, $B22, 'Detailed Receipts'!$D:$D, C$17, 'Detailed Receipts'!$L:$L, "CAPEX")</f>
        <v>4500</v>
      </c>
      <c r="D22" s="167">
        <f>SUMIFS('Detailed Receipts'!$K:$K, 'Detailed Receipts'!$A:$A, $A22, 'Detailed Receipts'!$B:$B, $B22, 'Detailed Receipts'!$D:$D, D$17, 'Detailed Receipts'!$L:$L, "CAPEX")</f>
        <v>0</v>
      </c>
      <c r="E22" s="167">
        <f>SUMIFS('Detailed Receipts'!$K:$K, 'Detailed Receipts'!$A:$A, $A22, 'Detailed Receipts'!$B:$B, $B22, 'Detailed Receipts'!$D:$D, E$17, 'Detailed Receipts'!$L:$L, "CAPEX")</f>
        <v>0</v>
      </c>
      <c r="F22" s="167">
        <f>SUMIFS('Detailed Receipts'!$K:$K, 'Detailed Receipts'!$A:$A, $A22, 'Detailed Receipts'!$B:$B, $B22, 'Detailed Receipts'!$D:$D, F$17, 'Detailed Receipts'!$L:$L, "CAPEX")</f>
        <v>0</v>
      </c>
      <c r="G22" s="167">
        <f>SUMIFS('Detailed Receipts'!$K:$K, 'Detailed Receipts'!$A:$A, $A22, 'Detailed Receipts'!$B:$B, $B22, 'Detailed Receipts'!$D:$D, G$17, 'Detailed Receipts'!$L:$L, "CAPEX")</f>
        <v>0</v>
      </c>
      <c r="H22" s="167">
        <f>SUMIFS('Detailed Receipts'!$K:$K, 'Detailed Receipts'!$A:$A, $A22, 'Detailed Receipts'!$B:$B, $B22, 'Detailed Receipts'!$D:$D, H$17, 'Detailed Receipts'!$L:$L, "CAPEX")</f>
        <v>0</v>
      </c>
      <c r="I22" s="167">
        <f>SUMIFS('Detailed Receipts'!$K:$K, 'Detailed Receipts'!$A:$A, $A22, 'Detailed Receipts'!$B:$B, $B22, 'Detailed Receipts'!$D:$D, I$17, 'Detailed Receipts'!$L:$L, "CAPEX")</f>
        <v>0</v>
      </c>
    </row>
    <row r="23">
      <c r="A23" s="78" t="s">
        <v>27</v>
      </c>
      <c r="B23" s="78" t="s">
        <v>77</v>
      </c>
      <c r="C23" s="167">
        <f>SUMIFS('Detailed Receipts'!$K:$K, 'Detailed Receipts'!$A:$A, $A23, 'Detailed Receipts'!$B:$B, $B23, 'Detailed Receipts'!$D:$D, C$17, 'Detailed Receipts'!$L:$L, "CAPEX")</f>
        <v>184518</v>
      </c>
      <c r="D23" s="167">
        <f>SUMIFS('Detailed Receipts'!$K:$K, 'Detailed Receipts'!$A:$A, $A23, 'Detailed Receipts'!$B:$B, $B23, 'Detailed Receipts'!$D:$D, D$17, 'Detailed Receipts'!$L:$L, "CAPEX")</f>
        <v>190322</v>
      </c>
      <c r="E23" s="167">
        <f>SUMIFS('Detailed Receipts'!$K:$K, 'Detailed Receipts'!$A:$A, $A23, 'Detailed Receipts'!$B:$B, $B23, 'Detailed Receipts'!$D:$D, E$17, 'Detailed Receipts'!$L:$L, "CAPEX")</f>
        <v>520857</v>
      </c>
      <c r="F23" s="167">
        <f>SUMIFS('Detailed Receipts'!$K:$K, 'Detailed Receipts'!$A:$A, $A23, 'Detailed Receipts'!$B:$B, $B23, 'Detailed Receipts'!$D:$D, F$17, 'Detailed Receipts'!$L:$L, "CAPEX")</f>
        <v>0</v>
      </c>
      <c r="G23" s="167">
        <f>SUMIFS('Detailed Receipts'!$K:$K, 'Detailed Receipts'!$A:$A, $A23, 'Detailed Receipts'!$B:$B, $B23, 'Detailed Receipts'!$D:$D, G$17, 'Detailed Receipts'!$L:$L, "CAPEX")</f>
        <v>191599</v>
      </c>
      <c r="H23" s="167">
        <f>SUMIFS('Detailed Receipts'!$K:$K, 'Detailed Receipts'!$A:$A, $A23, 'Detailed Receipts'!$B:$B, $B23, 'Detailed Receipts'!$D:$D, H$17, 'Detailed Receipts'!$L:$L, "CAPEX")</f>
        <v>0</v>
      </c>
      <c r="I23" s="167">
        <f>SUMIFS('Detailed Receipts'!$K:$K, 'Detailed Receipts'!$A:$A, $A23, 'Detailed Receipts'!$B:$B, $B23, 'Detailed Receipts'!$D:$D, I$17, 'Detailed Receipts'!$L:$L, "CAPEX")</f>
        <v>0</v>
      </c>
    </row>
    <row r="24">
      <c r="A24" s="78" t="s">
        <v>28</v>
      </c>
      <c r="B24" s="78" t="s">
        <v>28</v>
      </c>
      <c r="C24" s="167">
        <f>SUMIFS('Detailed Receipts'!$K:$K, 'Detailed Receipts'!$A:$A, $A24, 'Detailed Receipts'!$B:$B, $B24, 'Detailed Receipts'!$D:$D, C$17, 'Detailed Receipts'!$L:$L, "CAPEX")</f>
        <v>619920</v>
      </c>
      <c r="D24" s="167">
        <f>SUMIFS('Detailed Receipts'!$K:$K, 'Detailed Receipts'!$A:$A, $A24, 'Detailed Receipts'!$B:$B, $B24, 'Detailed Receipts'!$D:$D, D$17, 'Detailed Receipts'!$L:$L, "CAPEX")</f>
        <v>0</v>
      </c>
      <c r="E24" s="167">
        <f>SUMIFS('Detailed Receipts'!$K:$K, 'Detailed Receipts'!$A:$A, $A24, 'Detailed Receipts'!$B:$B, $B24, 'Detailed Receipts'!$D:$D, E$17, 'Detailed Receipts'!$L:$L, "CAPEX")</f>
        <v>1239840</v>
      </c>
      <c r="F24" s="167">
        <f>SUMIFS('Detailed Receipts'!$K:$K, 'Detailed Receipts'!$A:$A, $A24, 'Detailed Receipts'!$B:$B, $B24, 'Detailed Receipts'!$D:$D, F$17, 'Detailed Receipts'!$L:$L, "CAPEX")</f>
        <v>0</v>
      </c>
      <c r="G24" s="167">
        <f>SUMIFS('Detailed Receipts'!$K:$K, 'Detailed Receipts'!$A:$A, $A24, 'Detailed Receipts'!$B:$B, $B24, 'Detailed Receipts'!$D:$D, G$17, 'Detailed Receipts'!$L:$L, "CAPEX")</f>
        <v>0</v>
      </c>
      <c r="H24" s="167">
        <f>SUMIFS('Detailed Receipts'!$K:$K, 'Detailed Receipts'!$A:$A, $A24, 'Detailed Receipts'!$B:$B, $B24, 'Detailed Receipts'!$D:$D, H$17, 'Detailed Receipts'!$L:$L, "CAPEX")</f>
        <v>0</v>
      </c>
      <c r="I24" s="167">
        <f>SUMIFS('Detailed Receipts'!$K:$K, 'Detailed Receipts'!$A:$A, $A24, 'Detailed Receipts'!$B:$B, $B24, 'Detailed Receipts'!$D:$D, I$17, 'Detailed Receipts'!$L:$L, "CAPEX")</f>
        <v>0</v>
      </c>
    </row>
    <row r="25">
      <c r="A25" s="78" t="s">
        <v>29</v>
      </c>
      <c r="B25" s="78" t="s">
        <v>29</v>
      </c>
      <c r="C25" s="167">
        <f>SUMIFS('Detailed Receipts'!$K:$K, 'Detailed Receipts'!$A:$A, $A25, 'Detailed Receipts'!$B:$B, $B25, 'Detailed Receipts'!$D:$D, C$17, 'Detailed Receipts'!$L:$L, "CAPEX")</f>
        <v>0</v>
      </c>
      <c r="D25" s="167">
        <f>SUMIFS('Detailed Receipts'!$K:$K, 'Detailed Receipts'!$A:$A, $A25, 'Detailed Receipts'!$B:$B, $B25, 'Detailed Receipts'!$D:$D, D$17, 'Detailed Receipts'!$L:$L, "CAPEX")</f>
        <v>0</v>
      </c>
      <c r="E25" s="167">
        <f>SUMIFS('Detailed Receipts'!$K:$K, 'Detailed Receipts'!$A:$A, $A25, 'Detailed Receipts'!$B:$B, $B25, 'Detailed Receipts'!$D:$D, E$17, 'Detailed Receipts'!$L:$L, "CAPEX")</f>
        <v>0</v>
      </c>
      <c r="F25" s="167">
        <f>SUMIFS('Detailed Receipts'!$K:$K, 'Detailed Receipts'!$A:$A, $A25, 'Detailed Receipts'!$B:$B, $B25, 'Detailed Receipts'!$D:$D, F$17, 'Detailed Receipts'!$L:$L, "CAPEX")</f>
        <v>0</v>
      </c>
      <c r="G25" s="167">
        <f>SUMIFS('Detailed Receipts'!$K:$K, 'Detailed Receipts'!$A:$A, $A25, 'Detailed Receipts'!$B:$B, $B25, 'Detailed Receipts'!$D:$D, G$17, 'Detailed Receipts'!$L:$L, "CAPEX")</f>
        <v>0</v>
      </c>
      <c r="H25" s="167">
        <f>SUMIFS('Detailed Receipts'!$K:$K, 'Detailed Receipts'!$A:$A, $A25, 'Detailed Receipts'!$B:$B, $B25, 'Detailed Receipts'!$D:$D, H$17, 'Detailed Receipts'!$L:$L, "CAPEX")</f>
        <v>0</v>
      </c>
      <c r="I25" s="167">
        <f>SUMIFS('Detailed Receipts'!$K:$K, 'Detailed Receipts'!$A:$A, $A25, 'Detailed Receipts'!$B:$B, $B25, 'Detailed Receipts'!$D:$D, I$17, 'Detailed Receipts'!$L:$L, "CAPEX")</f>
        <v>0</v>
      </c>
    </row>
    <row r="26">
      <c r="A26" s="78" t="s">
        <v>30</v>
      </c>
      <c r="B26" s="78" t="s">
        <v>30</v>
      </c>
      <c r="C26" s="167">
        <f>SUMIFS('Detailed Receipts'!$K:$K, 'Detailed Receipts'!$A:$A, $A26, 'Detailed Receipts'!$B:$B, $B26, 'Detailed Receipts'!$D:$D, C$17, 'Detailed Receipts'!$L:$L, "CAPEX")</f>
        <v>0</v>
      </c>
      <c r="D26" s="167">
        <f>SUMIFS('Detailed Receipts'!$K:$K, 'Detailed Receipts'!$A:$A, $A26, 'Detailed Receipts'!$B:$B, $B26, 'Detailed Receipts'!$D:$D, D$17, 'Detailed Receipts'!$L:$L, "CAPEX")</f>
        <v>0</v>
      </c>
      <c r="E26" s="167">
        <f>SUMIFS('Detailed Receipts'!$K:$K, 'Detailed Receipts'!$A:$A, $A26, 'Detailed Receipts'!$B:$B, $B26, 'Detailed Receipts'!$D:$D, E$17, 'Detailed Receipts'!$L:$L, "CAPEX")</f>
        <v>0</v>
      </c>
      <c r="F26" s="167">
        <f>SUMIFS('Detailed Receipts'!$K:$K, 'Detailed Receipts'!$A:$A, $A26, 'Detailed Receipts'!$B:$B, $B26, 'Detailed Receipts'!$D:$D, F$17, 'Detailed Receipts'!$L:$L, "CAPEX")</f>
        <v>0</v>
      </c>
      <c r="G26" s="167">
        <f>SUMIFS('Detailed Receipts'!$K:$K, 'Detailed Receipts'!$A:$A, $A26, 'Detailed Receipts'!$B:$B, $B26, 'Detailed Receipts'!$D:$D, G$17, 'Detailed Receipts'!$L:$L, "CAPEX")</f>
        <v>0</v>
      </c>
      <c r="H26" s="167">
        <f>SUMIFS('Detailed Receipts'!$K:$K, 'Detailed Receipts'!$A:$A, $A26, 'Detailed Receipts'!$B:$B, $B26, 'Detailed Receipts'!$D:$D, H$17, 'Detailed Receipts'!$L:$L, "CAPEX")</f>
        <v>0</v>
      </c>
      <c r="I26" s="167">
        <f>SUMIFS('Detailed Receipts'!$K:$K, 'Detailed Receipts'!$A:$A, $A26, 'Detailed Receipts'!$B:$B, $B26, 'Detailed Receipts'!$D:$D, I$17, 'Detailed Receipts'!$L:$L, "CAPEX")</f>
        <v>0</v>
      </c>
    </row>
    <row r="27">
      <c r="A27" s="182"/>
      <c r="B27" s="173" t="s">
        <v>270</v>
      </c>
      <c r="C27" s="174">
        <f t="shared" ref="C27:I27" si="2">SUM(C18:C26)</f>
        <v>812369</v>
      </c>
      <c r="D27" s="174">
        <f t="shared" si="2"/>
        <v>210299</v>
      </c>
      <c r="E27" s="174">
        <f t="shared" si="2"/>
        <v>1762168</v>
      </c>
      <c r="F27" s="174">
        <f t="shared" si="2"/>
        <v>2312004</v>
      </c>
      <c r="G27" s="174">
        <f t="shared" si="2"/>
        <v>191599</v>
      </c>
      <c r="H27" s="174">
        <f t="shared" si="2"/>
        <v>0</v>
      </c>
      <c r="I27" s="174">
        <f t="shared" si="2"/>
        <v>0</v>
      </c>
    </row>
  </sheetData>
  <mergeCells count="1">
    <mergeCell ref="A1:I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20.0"/>
    <col customWidth="1" min="3" max="3" width="30.0"/>
    <col customWidth="1" min="4" max="4" width="9.71"/>
    <col customWidth="1" min="5" max="5" width="18.0"/>
    <col customWidth="1" min="6" max="7" width="11.0"/>
    <col customWidth="1" min="8" max="8" width="22.0"/>
    <col customWidth="1" min="9" max="9" width="24.0"/>
    <col customWidth="1" min="10" max="10" width="40.0"/>
    <col customWidth="1" min="11" max="11" width="13.0"/>
    <col customWidth="1" min="12" max="12" width="11.0"/>
    <col customWidth="1" min="13" max="26" width="8.71"/>
  </cols>
  <sheetData>
    <row r="1">
      <c r="A1" s="183" t="s">
        <v>418</v>
      </c>
    </row>
    <row r="2">
      <c r="A2" s="132"/>
    </row>
    <row r="4">
      <c r="A4" s="184" t="s">
        <v>1</v>
      </c>
      <c r="B4" s="184" t="s">
        <v>2</v>
      </c>
      <c r="C4" s="184" t="s">
        <v>419</v>
      </c>
      <c r="D4" s="184" t="s">
        <v>420</v>
      </c>
      <c r="E4" s="184" t="s">
        <v>421</v>
      </c>
      <c r="F4" s="184" t="s">
        <v>422</v>
      </c>
      <c r="G4" s="184" t="s">
        <v>274</v>
      </c>
      <c r="H4" s="184" t="s">
        <v>423</v>
      </c>
      <c r="I4" s="184" t="s">
        <v>424</v>
      </c>
      <c r="J4" s="184" t="s">
        <v>425</v>
      </c>
      <c r="K4" s="184" t="s">
        <v>426</v>
      </c>
      <c r="L4" s="184" t="s">
        <v>4</v>
      </c>
    </row>
    <row r="5">
      <c r="A5" s="6" t="s">
        <v>19</v>
      </c>
      <c r="B5" s="6" t="s">
        <v>35</v>
      </c>
      <c r="C5" s="6" t="s">
        <v>427</v>
      </c>
      <c r="D5" s="6" t="s">
        <v>5</v>
      </c>
      <c r="E5" s="6" t="s">
        <v>428</v>
      </c>
      <c r="F5" s="6" t="s">
        <v>429</v>
      </c>
      <c r="G5" s="6" t="s">
        <v>429</v>
      </c>
      <c r="H5" s="6" t="s">
        <v>430</v>
      </c>
      <c r="I5" s="6" t="s">
        <v>431</v>
      </c>
      <c r="J5" s="185" t="s">
        <v>432</v>
      </c>
      <c r="K5" s="186">
        <v>538.0</v>
      </c>
      <c r="L5" s="6" t="s">
        <v>21</v>
      </c>
    </row>
    <row r="6">
      <c r="A6" s="6" t="s">
        <v>19</v>
      </c>
      <c r="B6" s="6" t="s">
        <v>35</v>
      </c>
      <c r="C6" s="6" t="s">
        <v>433</v>
      </c>
      <c r="D6" s="6" t="s">
        <v>5</v>
      </c>
      <c r="E6" s="6" t="s">
        <v>428</v>
      </c>
      <c r="F6" s="6" t="s">
        <v>429</v>
      </c>
      <c r="G6" s="6" t="s">
        <v>429</v>
      </c>
      <c r="H6" s="6" t="s">
        <v>430</v>
      </c>
      <c r="I6" s="6" t="s">
        <v>434</v>
      </c>
      <c r="J6" s="185" t="s">
        <v>435</v>
      </c>
      <c r="K6" s="186">
        <v>250.0</v>
      </c>
      <c r="L6" s="6" t="s">
        <v>21</v>
      </c>
    </row>
    <row r="7">
      <c r="A7" s="6" t="s">
        <v>19</v>
      </c>
      <c r="B7" s="6" t="s">
        <v>35</v>
      </c>
      <c r="C7" s="6" t="s">
        <v>433</v>
      </c>
      <c r="D7" s="6" t="s">
        <v>5</v>
      </c>
      <c r="E7" s="6" t="s">
        <v>428</v>
      </c>
      <c r="F7" s="6" t="s">
        <v>429</v>
      </c>
      <c r="G7" s="6" t="s">
        <v>429</v>
      </c>
      <c r="H7" s="6" t="s">
        <v>430</v>
      </c>
      <c r="I7" s="6" t="s">
        <v>434</v>
      </c>
      <c r="J7" s="185" t="s">
        <v>436</v>
      </c>
      <c r="K7" s="186">
        <v>183.0</v>
      </c>
      <c r="L7" s="6" t="s">
        <v>21</v>
      </c>
    </row>
    <row r="8">
      <c r="A8" s="6" t="s">
        <v>19</v>
      </c>
      <c r="B8" s="6" t="s">
        <v>35</v>
      </c>
      <c r="C8" s="6" t="s">
        <v>437</v>
      </c>
      <c r="D8" s="6" t="s">
        <v>5</v>
      </c>
      <c r="E8" s="6" t="s">
        <v>438</v>
      </c>
      <c r="F8" s="6" t="s">
        <v>439</v>
      </c>
      <c r="G8" s="6" t="s">
        <v>439</v>
      </c>
      <c r="H8" s="6" t="s">
        <v>440</v>
      </c>
      <c r="I8" s="6" t="s">
        <v>441</v>
      </c>
      <c r="J8" s="185" t="s">
        <v>442</v>
      </c>
      <c r="K8" s="186">
        <v>6400.0</v>
      </c>
      <c r="L8" s="6" t="s">
        <v>21</v>
      </c>
    </row>
    <row r="9">
      <c r="A9" s="6" t="s">
        <v>19</v>
      </c>
      <c r="B9" s="6" t="s">
        <v>35</v>
      </c>
      <c r="C9" s="6" t="s">
        <v>427</v>
      </c>
      <c r="D9" s="6" t="s">
        <v>5</v>
      </c>
      <c r="E9" s="6" t="s">
        <v>438</v>
      </c>
      <c r="F9" s="6" t="s">
        <v>439</v>
      </c>
      <c r="G9" s="6" t="s">
        <v>439</v>
      </c>
      <c r="H9" s="6" t="s">
        <v>440</v>
      </c>
      <c r="I9" s="6" t="s">
        <v>441</v>
      </c>
      <c r="J9" s="185" t="s">
        <v>443</v>
      </c>
      <c r="K9" s="186">
        <v>3150.0</v>
      </c>
      <c r="L9" s="6" t="s">
        <v>21</v>
      </c>
    </row>
    <row r="10">
      <c r="A10" s="6" t="s">
        <v>19</v>
      </c>
      <c r="B10" s="6" t="s">
        <v>35</v>
      </c>
      <c r="C10" s="6" t="s">
        <v>444</v>
      </c>
      <c r="D10" s="6" t="s">
        <v>5</v>
      </c>
      <c r="E10" s="6" t="s">
        <v>445</v>
      </c>
      <c r="F10" s="6" t="s">
        <v>439</v>
      </c>
      <c r="G10" s="6" t="s">
        <v>446</v>
      </c>
      <c r="H10" s="6" t="s">
        <v>440</v>
      </c>
      <c r="I10" s="6" t="s">
        <v>441</v>
      </c>
      <c r="J10" s="185" t="s">
        <v>447</v>
      </c>
      <c r="K10" s="186">
        <v>2000.0</v>
      </c>
      <c r="L10" s="6" t="s">
        <v>21</v>
      </c>
    </row>
    <row r="11">
      <c r="A11" s="6" t="s">
        <v>19</v>
      </c>
      <c r="B11" s="6" t="s">
        <v>35</v>
      </c>
      <c r="C11" s="6" t="s">
        <v>448</v>
      </c>
      <c r="D11" s="6" t="s">
        <v>5</v>
      </c>
      <c r="E11" s="6" t="s">
        <v>449</v>
      </c>
      <c r="F11" s="6" t="s">
        <v>450</v>
      </c>
      <c r="G11" s="6" t="s">
        <v>349</v>
      </c>
      <c r="H11" s="6" t="s">
        <v>451</v>
      </c>
      <c r="I11" s="6" t="s">
        <v>452</v>
      </c>
      <c r="J11" s="185" t="s">
        <v>453</v>
      </c>
      <c r="K11" s="186">
        <v>720.0</v>
      </c>
      <c r="L11" s="6" t="s">
        <v>21</v>
      </c>
    </row>
    <row r="12">
      <c r="A12" s="6" t="s">
        <v>19</v>
      </c>
      <c r="B12" s="6" t="s">
        <v>35</v>
      </c>
      <c r="C12" s="6" t="s">
        <v>448</v>
      </c>
      <c r="D12" s="6" t="s">
        <v>5</v>
      </c>
      <c r="E12" s="6" t="s">
        <v>449</v>
      </c>
      <c r="F12" s="6" t="s">
        <v>450</v>
      </c>
      <c r="G12" s="6" t="s">
        <v>349</v>
      </c>
      <c r="H12" s="6" t="s">
        <v>451</v>
      </c>
      <c r="I12" s="6" t="s">
        <v>452</v>
      </c>
      <c r="J12" s="185" t="s">
        <v>453</v>
      </c>
      <c r="K12" s="186">
        <v>188.0</v>
      </c>
      <c r="L12" s="6" t="s">
        <v>21</v>
      </c>
    </row>
    <row r="13">
      <c r="A13" s="6" t="s">
        <v>19</v>
      </c>
      <c r="B13" s="6" t="s">
        <v>35</v>
      </c>
      <c r="C13" s="6" t="s">
        <v>437</v>
      </c>
      <c r="D13" s="6" t="s">
        <v>5</v>
      </c>
      <c r="E13" s="6" t="s">
        <v>449</v>
      </c>
      <c r="F13" s="6" t="s">
        <v>450</v>
      </c>
      <c r="G13" s="6" t="s">
        <v>439</v>
      </c>
      <c r="H13" s="6" t="s">
        <v>451</v>
      </c>
      <c r="I13" s="6" t="s">
        <v>454</v>
      </c>
      <c r="J13" s="185" t="s">
        <v>454</v>
      </c>
      <c r="K13" s="186">
        <v>1055.0</v>
      </c>
      <c r="L13" s="6" t="s">
        <v>21</v>
      </c>
    </row>
    <row r="14">
      <c r="A14" s="6" t="s">
        <v>19</v>
      </c>
      <c r="B14" s="6" t="s">
        <v>35</v>
      </c>
      <c r="C14" s="6" t="s">
        <v>444</v>
      </c>
      <c r="D14" s="6" t="s">
        <v>5</v>
      </c>
      <c r="E14" s="6" t="s">
        <v>455</v>
      </c>
      <c r="F14" s="6" t="s">
        <v>456</v>
      </c>
      <c r="G14" s="6" t="s">
        <v>450</v>
      </c>
      <c r="H14" s="6" t="s">
        <v>451</v>
      </c>
      <c r="I14" s="6" t="s">
        <v>457</v>
      </c>
      <c r="J14" s="185" t="s">
        <v>458</v>
      </c>
      <c r="K14" s="186">
        <v>50.0</v>
      </c>
      <c r="L14" s="6" t="s">
        <v>21</v>
      </c>
    </row>
    <row r="15">
      <c r="A15" s="39" t="s">
        <v>31</v>
      </c>
      <c r="B15" s="39" t="s">
        <v>31</v>
      </c>
      <c r="C15" s="6" t="s">
        <v>459</v>
      </c>
      <c r="D15" s="6" t="s">
        <v>5</v>
      </c>
      <c r="E15" s="6" t="s">
        <v>455</v>
      </c>
      <c r="F15" s="6" t="s">
        <v>456</v>
      </c>
      <c r="G15" s="6" t="s">
        <v>460</v>
      </c>
      <c r="H15" s="6" t="s">
        <v>451</v>
      </c>
      <c r="I15" s="6" t="s">
        <v>461</v>
      </c>
      <c r="J15" s="185" t="s">
        <v>462</v>
      </c>
      <c r="K15" s="186">
        <v>2196.0</v>
      </c>
      <c r="L15" s="6" t="s">
        <v>21</v>
      </c>
    </row>
    <row r="16">
      <c r="A16" s="39" t="s">
        <v>31</v>
      </c>
      <c r="B16" s="39" t="s">
        <v>31</v>
      </c>
      <c r="C16" s="6" t="s">
        <v>459</v>
      </c>
      <c r="D16" s="6" t="s">
        <v>5</v>
      </c>
      <c r="E16" s="6" t="s">
        <v>455</v>
      </c>
      <c r="F16" s="6" t="s">
        <v>456</v>
      </c>
      <c r="G16" s="6" t="s">
        <v>463</v>
      </c>
      <c r="H16" s="6" t="s">
        <v>451</v>
      </c>
      <c r="I16" s="6" t="s">
        <v>464</v>
      </c>
      <c r="J16" s="185" t="s">
        <v>465</v>
      </c>
      <c r="K16" s="186">
        <v>299.0</v>
      </c>
      <c r="L16" s="6" t="s">
        <v>21</v>
      </c>
    </row>
    <row r="17">
      <c r="A17" s="39" t="s">
        <v>31</v>
      </c>
      <c r="B17" s="39" t="s">
        <v>31</v>
      </c>
      <c r="C17" s="6" t="s">
        <v>466</v>
      </c>
      <c r="D17" s="6" t="s">
        <v>5</v>
      </c>
      <c r="E17" s="6" t="s">
        <v>467</v>
      </c>
      <c r="F17" s="6" t="s">
        <v>468</v>
      </c>
      <c r="G17" s="6" t="s">
        <v>468</v>
      </c>
      <c r="H17" s="6" t="s">
        <v>469</v>
      </c>
      <c r="I17" s="6" t="s">
        <v>470</v>
      </c>
      <c r="J17" s="185" t="s">
        <v>471</v>
      </c>
      <c r="K17" s="186">
        <v>700.0</v>
      </c>
      <c r="L17" s="6" t="s">
        <v>21</v>
      </c>
    </row>
    <row r="18">
      <c r="A18" s="39" t="s">
        <v>31</v>
      </c>
      <c r="B18" s="39" t="s">
        <v>31</v>
      </c>
      <c r="C18" s="6" t="s">
        <v>466</v>
      </c>
      <c r="D18" s="6" t="s">
        <v>5</v>
      </c>
      <c r="E18" s="6" t="s">
        <v>467</v>
      </c>
      <c r="F18" s="6" t="s">
        <v>468</v>
      </c>
      <c r="G18" s="6" t="s">
        <v>468</v>
      </c>
      <c r="H18" s="6" t="s">
        <v>469</v>
      </c>
      <c r="I18" s="6" t="s">
        <v>470</v>
      </c>
      <c r="J18" s="185" t="s">
        <v>472</v>
      </c>
      <c r="K18" s="186">
        <v>350.0</v>
      </c>
      <c r="L18" s="6" t="s">
        <v>21</v>
      </c>
    </row>
    <row r="19">
      <c r="A19" s="39" t="s">
        <v>31</v>
      </c>
      <c r="B19" s="39" t="s">
        <v>31</v>
      </c>
      <c r="C19" s="6" t="s">
        <v>466</v>
      </c>
      <c r="D19" s="6" t="s">
        <v>5</v>
      </c>
      <c r="E19" s="6" t="s">
        <v>467</v>
      </c>
      <c r="F19" s="6" t="s">
        <v>468</v>
      </c>
      <c r="G19" s="6" t="s">
        <v>468</v>
      </c>
      <c r="H19" s="6" t="s">
        <v>469</v>
      </c>
      <c r="I19" s="6" t="s">
        <v>470</v>
      </c>
      <c r="J19" s="185" t="s">
        <v>473</v>
      </c>
      <c r="K19" s="186">
        <v>500.0</v>
      </c>
      <c r="L19" s="6" t="s">
        <v>21</v>
      </c>
    </row>
    <row r="20">
      <c r="A20" s="39" t="s">
        <v>31</v>
      </c>
      <c r="B20" s="39" t="s">
        <v>31</v>
      </c>
      <c r="C20" s="6" t="s">
        <v>433</v>
      </c>
      <c r="D20" s="6" t="s">
        <v>5</v>
      </c>
      <c r="E20" s="6" t="s">
        <v>467</v>
      </c>
      <c r="F20" s="6" t="s">
        <v>468</v>
      </c>
      <c r="G20" s="6" t="s">
        <v>474</v>
      </c>
      <c r="H20" s="6" t="s">
        <v>469</v>
      </c>
      <c r="I20" s="6" t="s">
        <v>475</v>
      </c>
      <c r="J20" s="185" t="s">
        <v>476</v>
      </c>
      <c r="K20" s="186">
        <v>106.0</v>
      </c>
      <c r="L20" s="6" t="s">
        <v>21</v>
      </c>
    </row>
    <row r="21" ht="15.75" customHeight="1">
      <c r="A21" s="39" t="s">
        <v>31</v>
      </c>
      <c r="B21" s="39" t="s">
        <v>31</v>
      </c>
      <c r="C21" s="6" t="s">
        <v>433</v>
      </c>
      <c r="D21" s="6" t="s">
        <v>5</v>
      </c>
      <c r="E21" s="6" t="s">
        <v>467</v>
      </c>
      <c r="F21" s="6" t="s">
        <v>468</v>
      </c>
      <c r="G21" s="6" t="s">
        <v>456</v>
      </c>
      <c r="H21" s="6" t="s">
        <v>469</v>
      </c>
      <c r="I21" s="6" t="s">
        <v>475</v>
      </c>
      <c r="J21" s="185" t="s">
        <v>477</v>
      </c>
      <c r="K21" s="186">
        <v>138.0</v>
      </c>
      <c r="L21" s="6" t="s">
        <v>21</v>
      </c>
    </row>
    <row r="22" ht="15.75" customHeight="1">
      <c r="A22" s="39" t="s">
        <v>31</v>
      </c>
      <c r="B22" s="39" t="s">
        <v>31</v>
      </c>
      <c r="C22" s="6" t="s">
        <v>437</v>
      </c>
      <c r="D22" s="6" t="s">
        <v>5</v>
      </c>
      <c r="E22" s="6" t="s">
        <v>478</v>
      </c>
      <c r="F22" s="6" t="s">
        <v>479</v>
      </c>
      <c r="G22" s="6" t="s">
        <v>480</v>
      </c>
      <c r="H22" s="6" t="s">
        <v>451</v>
      </c>
      <c r="I22" s="6" t="s">
        <v>481</v>
      </c>
      <c r="J22" s="185" t="s">
        <v>482</v>
      </c>
      <c r="K22" s="186">
        <v>150.0</v>
      </c>
      <c r="L22" s="6" t="s">
        <v>21</v>
      </c>
    </row>
    <row r="23" ht="15.75" customHeight="1">
      <c r="A23" s="39" t="s">
        <v>31</v>
      </c>
      <c r="B23" s="39" t="s">
        <v>31</v>
      </c>
      <c r="C23" s="6" t="s">
        <v>459</v>
      </c>
      <c r="D23" s="6" t="s">
        <v>5</v>
      </c>
      <c r="E23" s="6" t="s">
        <v>478</v>
      </c>
      <c r="F23" s="6" t="s">
        <v>479</v>
      </c>
      <c r="G23" s="6" t="s">
        <v>483</v>
      </c>
      <c r="H23" s="6" t="s">
        <v>451</v>
      </c>
      <c r="I23" s="6" t="s">
        <v>464</v>
      </c>
      <c r="J23" s="185" t="s">
        <v>484</v>
      </c>
      <c r="K23" s="186">
        <v>299.0</v>
      </c>
      <c r="L23" s="6" t="s">
        <v>21</v>
      </c>
    </row>
    <row r="24" ht="15.75" customHeight="1">
      <c r="A24" s="39" t="s">
        <v>31</v>
      </c>
      <c r="B24" s="39" t="s">
        <v>31</v>
      </c>
      <c r="C24" s="6" t="s">
        <v>459</v>
      </c>
      <c r="D24" s="6" t="s">
        <v>5</v>
      </c>
      <c r="E24" s="6" t="s">
        <v>478</v>
      </c>
      <c r="F24" s="6" t="s">
        <v>479</v>
      </c>
      <c r="G24" s="6" t="s">
        <v>483</v>
      </c>
      <c r="H24" s="6" t="s">
        <v>451</v>
      </c>
      <c r="I24" s="6" t="s">
        <v>464</v>
      </c>
      <c r="J24" s="185" t="s">
        <v>485</v>
      </c>
      <c r="K24" s="186">
        <v>299.0</v>
      </c>
      <c r="L24" s="6" t="s">
        <v>21</v>
      </c>
    </row>
    <row r="25" ht="15.75" customHeight="1">
      <c r="A25" s="39" t="s">
        <v>31</v>
      </c>
      <c r="B25" s="39" t="s">
        <v>31</v>
      </c>
      <c r="C25" s="6" t="s">
        <v>459</v>
      </c>
      <c r="D25" s="6" t="s">
        <v>5</v>
      </c>
      <c r="E25" s="6" t="s">
        <v>478</v>
      </c>
      <c r="F25" s="6" t="s">
        <v>479</v>
      </c>
      <c r="G25" s="6" t="s">
        <v>479</v>
      </c>
      <c r="H25" s="6" t="s">
        <v>451</v>
      </c>
      <c r="I25" s="6" t="s">
        <v>464</v>
      </c>
      <c r="J25" s="185" t="s">
        <v>486</v>
      </c>
      <c r="K25" s="186">
        <v>299.0</v>
      </c>
      <c r="L25" s="6" t="s">
        <v>21</v>
      </c>
    </row>
    <row r="26" ht="15.75" customHeight="1">
      <c r="A26" s="39" t="s">
        <v>31</v>
      </c>
      <c r="B26" s="39" t="s">
        <v>31</v>
      </c>
      <c r="C26" s="6" t="s">
        <v>459</v>
      </c>
      <c r="D26" s="6" t="s">
        <v>5</v>
      </c>
      <c r="E26" s="6" t="s">
        <v>478</v>
      </c>
      <c r="F26" s="6" t="s">
        <v>479</v>
      </c>
      <c r="G26" s="6" t="s">
        <v>479</v>
      </c>
      <c r="H26" s="6" t="s">
        <v>451</v>
      </c>
      <c r="I26" s="6" t="s">
        <v>464</v>
      </c>
      <c r="J26" s="185" t="s">
        <v>487</v>
      </c>
      <c r="K26" s="186">
        <v>309.0</v>
      </c>
      <c r="L26" s="6" t="s">
        <v>21</v>
      </c>
    </row>
    <row r="27" ht="15.75" customHeight="1">
      <c r="A27" s="39" t="s">
        <v>31</v>
      </c>
      <c r="B27" s="39" t="s">
        <v>31</v>
      </c>
      <c r="C27" s="6" t="s">
        <v>459</v>
      </c>
      <c r="D27" s="6" t="s">
        <v>5</v>
      </c>
      <c r="E27" s="6" t="s">
        <v>478</v>
      </c>
      <c r="F27" s="6" t="s">
        <v>479</v>
      </c>
      <c r="G27" s="6" t="s">
        <v>479</v>
      </c>
      <c r="H27" s="6" t="s">
        <v>451</v>
      </c>
      <c r="I27" s="6" t="s">
        <v>464</v>
      </c>
      <c r="J27" s="185" t="s">
        <v>487</v>
      </c>
      <c r="K27" s="186">
        <v>309.0</v>
      </c>
      <c r="L27" s="6" t="s">
        <v>21</v>
      </c>
    </row>
    <row r="28" ht="15.75" customHeight="1">
      <c r="A28" s="39" t="s">
        <v>31</v>
      </c>
      <c r="B28" s="39" t="s">
        <v>31</v>
      </c>
      <c r="C28" s="6" t="s">
        <v>466</v>
      </c>
      <c r="D28" s="6" t="s">
        <v>5</v>
      </c>
      <c r="E28" s="6" t="s">
        <v>488</v>
      </c>
      <c r="F28" s="6" t="s">
        <v>489</v>
      </c>
      <c r="G28" s="6" t="s">
        <v>474</v>
      </c>
      <c r="H28" s="6" t="s">
        <v>451</v>
      </c>
      <c r="I28" s="6" t="s">
        <v>490</v>
      </c>
      <c r="J28" s="185" t="s">
        <v>491</v>
      </c>
      <c r="K28" s="186">
        <v>82.0</v>
      </c>
      <c r="L28" s="6" t="s">
        <v>21</v>
      </c>
    </row>
    <row r="29" ht="15.75" customHeight="1">
      <c r="A29" s="39" t="s">
        <v>31</v>
      </c>
      <c r="B29" s="39" t="s">
        <v>31</v>
      </c>
      <c r="C29" s="6" t="s">
        <v>466</v>
      </c>
      <c r="D29" s="6" t="s">
        <v>5</v>
      </c>
      <c r="E29" s="6" t="s">
        <v>488</v>
      </c>
      <c r="F29" s="6" t="s">
        <v>489</v>
      </c>
      <c r="G29" s="6" t="s">
        <v>474</v>
      </c>
      <c r="H29" s="6" t="s">
        <v>451</v>
      </c>
      <c r="I29" s="6" t="s">
        <v>492</v>
      </c>
      <c r="J29" s="185" t="s">
        <v>493</v>
      </c>
      <c r="K29" s="186">
        <v>77.0</v>
      </c>
      <c r="L29" s="6" t="s">
        <v>21</v>
      </c>
    </row>
    <row r="30" ht="15.75" customHeight="1">
      <c r="A30" s="39" t="s">
        <v>31</v>
      </c>
      <c r="B30" s="39" t="s">
        <v>31</v>
      </c>
      <c r="C30" s="6" t="s">
        <v>444</v>
      </c>
      <c r="D30" s="6" t="s">
        <v>5</v>
      </c>
      <c r="E30" s="6" t="s">
        <v>488</v>
      </c>
      <c r="F30" s="6" t="s">
        <v>489</v>
      </c>
      <c r="G30" s="6" t="s">
        <v>474</v>
      </c>
      <c r="H30" s="6" t="s">
        <v>451</v>
      </c>
      <c r="I30" s="6" t="s">
        <v>494</v>
      </c>
      <c r="J30" s="185" t="s">
        <v>495</v>
      </c>
      <c r="K30" s="186">
        <v>663.0</v>
      </c>
      <c r="L30" s="6" t="s">
        <v>21</v>
      </c>
    </row>
    <row r="31" ht="15.75" customHeight="1">
      <c r="A31" s="39" t="s">
        <v>31</v>
      </c>
      <c r="B31" s="39" t="s">
        <v>31</v>
      </c>
      <c r="C31" s="6" t="s">
        <v>466</v>
      </c>
      <c r="D31" s="6" t="s">
        <v>5</v>
      </c>
      <c r="E31" s="6" t="s">
        <v>488</v>
      </c>
      <c r="F31" s="6" t="s">
        <v>489</v>
      </c>
      <c r="G31" s="6" t="s">
        <v>474</v>
      </c>
      <c r="H31" s="6" t="s">
        <v>451</v>
      </c>
      <c r="I31" s="6" t="s">
        <v>496</v>
      </c>
      <c r="J31" s="185" t="s">
        <v>497</v>
      </c>
      <c r="K31" s="186">
        <v>118.0</v>
      </c>
      <c r="L31" s="6" t="s">
        <v>21</v>
      </c>
    </row>
    <row r="32" ht="15.75" customHeight="1">
      <c r="A32" s="39" t="s">
        <v>31</v>
      </c>
      <c r="B32" s="39" t="s">
        <v>31</v>
      </c>
      <c r="C32" s="6" t="s">
        <v>466</v>
      </c>
      <c r="D32" s="6" t="s">
        <v>5</v>
      </c>
      <c r="E32" s="6" t="s">
        <v>488</v>
      </c>
      <c r="F32" s="6" t="s">
        <v>489</v>
      </c>
      <c r="G32" s="6" t="s">
        <v>498</v>
      </c>
      <c r="H32" s="6" t="s">
        <v>451</v>
      </c>
      <c r="I32" s="6" t="s">
        <v>499</v>
      </c>
      <c r="J32" s="185" t="s">
        <v>500</v>
      </c>
      <c r="K32" s="186">
        <v>50.0</v>
      </c>
      <c r="L32" s="6" t="s">
        <v>21</v>
      </c>
    </row>
    <row r="33" ht="15.75" customHeight="1">
      <c r="A33" s="39" t="s">
        <v>31</v>
      </c>
      <c r="B33" s="39" t="s">
        <v>31</v>
      </c>
      <c r="C33" s="6" t="s">
        <v>466</v>
      </c>
      <c r="D33" s="6" t="s">
        <v>5</v>
      </c>
      <c r="E33" s="6" t="s">
        <v>501</v>
      </c>
      <c r="F33" s="6" t="s">
        <v>329</v>
      </c>
      <c r="G33" s="6" t="s">
        <v>502</v>
      </c>
      <c r="H33" s="6" t="s">
        <v>430</v>
      </c>
      <c r="I33" s="6" t="s">
        <v>503</v>
      </c>
      <c r="J33" s="185" t="s">
        <v>504</v>
      </c>
      <c r="K33" s="186">
        <v>235.0</v>
      </c>
      <c r="L33" s="6" t="s">
        <v>21</v>
      </c>
    </row>
    <row r="34" ht="15.75" customHeight="1">
      <c r="A34" s="39" t="s">
        <v>31</v>
      </c>
      <c r="B34" s="39" t="s">
        <v>31</v>
      </c>
      <c r="C34" s="6" t="s">
        <v>466</v>
      </c>
      <c r="D34" s="6" t="s">
        <v>5</v>
      </c>
      <c r="E34" s="6" t="s">
        <v>501</v>
      </c>
      <c r="F34" s="6" t="s">
        <v>329</v>
      </c>
      <c r="G34" s="6" t="s">
        <v>502</v>
      </c>
      <c r="H34" s="6" t="s">
        <v>430</v>
      </c>
      <c r="I34" s="6" t="s">
        <v>503</v>
      </c>
      <c r="J34" s="185" t="s">
        <v>505</v>
      </c>
      <c r="K34" s="186">
        <v>463.0</v>
      </c>
      <c r="L34" s="6" t="s">
        <v>21</v>
      </c>
    </row>
    <row r="35" ht="15.75" customHeight="1">
      <c r="A35" s="39" t="s">
        <v>31</v>
      </c>
      <c r="B35" s="39" t="s">
        <v>31</v>
      </c>
      <c r="C35" s="6" t="s">
        <v>466</v>
      </c>
      <c r="D35" s="6" t="s">
        <v>5</v>
      </c>
      <c r="E35" s="6" t="s">
        <v>501</v>
      </c>
      <c r="F35" s="6" t="s">
        <v>329</v>
      </c>
      <c r="G35" s="6" t="s">
        <v>502</v>
      </c>
      <c r="H35" s="6" t="s">
        <v>430</v>
      </c>
      <c r="I35" s="6" t="s">
        <v>503</v>
      </c>
      <c r="J35" s="185" t="s">
        <v>506</v>
      </c>
      <c r="K35" s="186">
        <v>353.0</v>
      </c>
      <c r="L35" s="6" t="s">
        <v>21</v>
      </c>
    </row>
    <row r="36" ht="15.75" customHeight="1">
      <c r="A36" s="39" t="s">
        <v>31</v>
      </c>
      <c r="B36" s="39" t="s">
        <v>31</v>
      </c>
      <c r="C36" s="6" t="s">
        <v>466</v>
      </c>
      <c r="D36" s="6" t="s">
        <v>5</v>
      </c>
      <c r="E36" s="6" t="s">
        <v>501</v>
      </c>
      <c r="F36" s="6" t="s">
        <v>329</v>
      </c>
      <c r="G36" s="6" t="s">
        <v>502</v>
      </c>
      <c r="H36" s="6" t="s">
        <v>430</v>
      </c>
      <c r="I36" s="6" t="s">
        <v>503</v>
      </c>
      <c r="J36" s="185" t="s">
        <v>507</v>
      </c>
      <c r="K36" s="186">
        <v>427.0</v>
      </c>
      <c r="L36" s="6" t="s">
        <v>21</v>
      </c>
    </row>
    <row r="37" ht="15.75" customHeight="1">
      <c r="A37" s="46" t="s">
        <v>31</v>
      </c>
      <c r="B37" s="46" t="s">
        <v>31</v>
      </c>
      <c r="C37" s="12" t="s">
        <v>444</v>
      </c>
      <c r="D37" s="12" t="s">
        <v>5</v>
      </c>
      <c r="E37" s="12" t="s">
        <v>508</v>
      </c>
      <c r="F37" s="12" t="s">
        <v>474</v>
      </c>
      <c r="G37" s="12" t="s">
        <v>439</v>
      </c>
      <c r="H37" s="12" t="s">
        <v>509</v>
      </c>
      <c r="I37" s="12" t="s">
        <v>509</v>
      </c>
      <c r="J37" s="187" t="s">
        <v>510</v>
      </c>
      <c r="K37" s="188">
        <v>1656.0</v>
      </c>
      <c r="L37" s="12" t="s">
        <v>21</v>
      </c>
    </row>
    <row r="38" ht="15.75" customHeight="1">
      <c r="A38" s="46" t="s">
        <v>31</v>
      </c>
      <c r="B38" s="46" t="s">
        <v>31</v>
      </c>
      <c r="C38" s="12" t="s">
        <v>444</v>
      </c>
      <c r="D38" s="12" t="s">
        <v>5</v>
      </c>
      <c r="E38" s="12" t="s">
        <v>511</v>
      </c>
      <c r="F38" s="12" t="s">
        <v>468</v>
      </c>
      <c r="G38" s="12" t="s">
        <v>456</v>
      </c>
      <c r="H38" s="12" t="s">
        <v>509</v>
      </c>
      <c r="I38" s="12" t="s">
        <v>509</v>
      </c>
      <c r="J38" s="187" t="s">
        <v>510</v>
      </c>
      <c r="K38" s="188">
        <v>1656.0</v>
      </c>
      <c r="L38" s="12" t="s">
        <v>21</v>
      </c>
    </row>
    <row r="39" ht="15.75" customHeight="1">
      <c r="A39" s="46" t="s">
        <v>31</v>
      </c>
      <c r="B39" s="46" t="s">
        <v>31</v>
      </c>
      <c r="C39" s="12" t="s">
        <v>433</v>
      </c>
      <c r="D39" s="12" t="s">
        <v>5</v>
      </c>
      <c r="E39" s="12" t="s">
        <v>512</v>
      </c>
      <c r="F39" s="12" t="s">
        <v>460</v>
      </c>
      <c r="G39" s="12" t="s">
        <v>446</v>
      </c>
      <c r="H39" s="12" t="s">
        <v>513</v>
      </c>
      <c r="I39" s="12" t="s">
        <v>475</v>
      </c>
      <c r="J39" s="187" t="s">
        <v>514</v>
      </c>
      <c r="K39" s="188">
        <v>331.0</v>
      </c>
      <c r="L39" s="12" t="s">
        <v>21</v>
      </c>
    </row>
    <row r="40" ht="15.75" customHeight="1">
      <c r="A40" s="46" t="s">
        <v>31</v>
      </c>
      <c r="B40" s="46" t="s">
        <v>31</v>
      </c>
      <c r="C40" s="12" t="s">
        <v>515</v>
      </c>
      <c r="D40" s="12" t="s">
        <v>5</v>
      </c>
      <c r="E40" s="12" t="s">
        <v>508</v>
      </c>
      <c r="F40" s="12" t="s">
        <v>474</v>
      </c>
      <c r="G40" s="12" t="s">
        <v>439</v>
      </c>
      <c r="H40" s="12" t="s">
        <v>509</v>
      </c>
      <c r="I40" s="12" t="s">
        <v>509</v>
      </c>
      <c r="J40" s="187" t="s">
        <v>516</v>
      </c>
      <c r="K40" s="188">
        <v>13800.0</v>
      </c>
      <c r="L40" s="62" t="s">
        <v>148</v>
      </c>
    </row>
    <row r="41" ht="15.75" customHeight="1">
      <c r="A41" s="46" t="s">
        <v>31</v>
      </c>
      <c r="B41" s="46" t="s">
        <v>31</v>
      </c>
      <c r="C41" s="12" t="s">
        <v>517</v>
      </c>
      <c r="D41" s="12" t="s">
        <v>5</v>
      </c>
      <c r="E41" s="12" t="s">
        <v>518</v>
      </c>
      <c r="F41" s="12" t="s">
        <v>456</v>
      </c>
      <c r="G41" s="12" t="s">
        <v>519</v>
      </c>
      <c r="H41" s="12" t="s">
        <v>513</v>
      </c>
      <c r="I41" s="12" t="s">
        <v>520</v>
      </c>
      <c r="J41" s="187" t="s">
        <v>521</v>
      </c>
      <c r="K41" s="188">
        <v>5600.0</v>
      </c>
      <c r="L41" s="62" t="s">
        <v>148</v>
      </c>
    </row>
    <row r="42" ht="15.75" customHeight="1">
      <c r="A42" s="12" t="s">
        <v>23</v>
      </c>
      <c r="B42" s="12" t="s">
        <v>57</v>
      </c>
      <c r="C42" s="12" t="s">
        <v>517</v>
      </c>
      <c r="D42" s="12" t="s">
        <v>5</v>
      </c>
      <c r="E42" s="12" t="s">
        <v>522</v>
      </c>
      <c r="F42" s="12" t="s">
        <v>468</v>
      </c>
      <c r="G42" s="12" t="s">
        <v>523</v>
      </c>
      <c r="H42" s="12" t="s">
        <v>513</v>
      </c>
      <c r="I42" s="12" t="s">
        <v>524</v>
      </c>
      <c r="J42" s="187" t="s">
        <v>521</v>
      </c>
      <c r="K42" s="188">
        <v>3431.0</v>
      </c>
      <c r="L42" s="62" t="s">
        <v>148</v>
      </c>
    </row>
    <row r="43" ht="15.75" customHeight="1">
      <c r="A43" s="12" t="s">
        <v>23</v>
      </c>
      <c r="B43" s="12" t="s">
        <v>57</v>
      </c>
      <c r="C43" s="12" t="s">
        <v>433</v>
      </c>
      <c r="D43" s="12" t="s">
        <v>5</v>
      </c>
      <c r="E43" s="12" t="s">
        <v>511</v>
      </c>
      <c r="F43" s="12" t="s">
        <v>468</v>
      </c>
      <c r="G43" s="12" t="s">
        <v>456</v>
      </c>
      <c r="H43" s="12" t="s">
        <v>509</v>
      </c>
      <c r="I43" s="12" t="s">
        <v>509</v>
      </c>
      <c r="J43" s="187" t="s">
        <v>525</v>
      </c>
      <c r="K43" s="188">
        <v>13800.0</v>
      </c>
      <c r="L43" s="12" t="s">
        <v>21</v>
      </c>
    </row>
    <row r="44" ht="15.75" customHeight="1">
      <c r="A44" s="12" t="s">
        <v>23</v>
      </c>
      <c r="B44" s="12" t="s">
        <v>64</v>
      </c>
      <c r="C44" s="12" t="s">
        <v>466</v>
      </c>
      <c r="D44" s="12" t="s">
        <v>5</v>
      </c>
      <c r="E44" s="12" t="s">
        <v>526</v>
      </c>
      <c r="F44" s="12" t="s">
        <v>527</v>
      </c>
      <c r="G44" s="12" t="s">
        <v>528</v>
      </c>
      <c r="H44" s="12" t="s">
        <v>529</v>
      </c>
      <c r="I44" s="12" t="s">
        <v>530</v>
      </c>
      <c r="J44" s="187" t="s">
        <v>531</v>
      </c>
      <c r="K44" s="188">
        <v>1050.0</v>
      </c>
      <c r="L44" s="12" t="s">
        <v>21</v>
      </c>
    </row>
    <row r="45" ht="15.75" customHeight="1">
      <c r="A45" s="12" t="s">
        <v>23</v>
      </c>
      <c r="B45" s="12" t="s">
        <v>64</v>
      </c>
      <c r="C45" s="12" t="s">
        <v>437</v>
      </c>
      <c r="D45" s="12" t="s">
        <v>5</v>
      </c>
      <c r="E45" s="12" t="s">
        <v>532</v>
      </c>
      <c r="F45" s="12" t="s">
        <v>468</v>
      </c>
      <c r="G45" s="12" t="s">
        <v>468</v>
      </c>
      <c r="H45" s="12" t="s">
        <v>533</v>
      </c>
      <c r="I45" s="12" t="s">
        <v>492</v>
      </c>
      <c r="J45" s="187" t="s">
        <v>534</v>
      </c>
      <c r="K45" s="188">
        <v>102.0</v>
      </c>
      <c r="L45" s="12" t="s">
        <v>21</v>
      </c>
    </row>
    <row r="46" ht="15.75" customHeight="1">
      <c r="A46" s="12" t="s">
        <v>23</v>
      </c>
      <c r="B46" s="12" t="s">
        <v>64</v>
      </c>
      <c r="C46" s="12" t="s">
        <v>466</v>
      </c>
      <c r="D46" s="12" t="s">
        <v>5</v>
      </c>
      <c r="E46" s="12" t="s">
        <v>532</v>
      </c>
      <c r="F46" s="12" t="s">
        <v>468</v>
      </c>
      <c r="G46" s="12" t="s">
        <v>468</v>
      </c>
      <c r="H46" s="12" t="s">
        <v>533</v>
      </c>
      <c r="I46" s="12" t="s">
        <v>535</v>
      </c>
      <c r="J46" s="187" t="s">
        <v>536</v>
      </c>
      <c r="K46" s="188">
        <v>80.0</v>
      </c>
      <c r="L46" s="12" t="s">
        <v>21</v>
      </c>
    </row>
    <row r="47" ht="15.75" customHeight="1">
      <c r="A47" s="12" t="s">
        <v>23</v>
      </c>
      <c r="B47" s="12" t="s">
        <v>64</v>
      </c>
      <c r="C47" s="12" t="s">
        <v>466</v>
      </c>
      <c r="D47" s="12" t="s">
        <v>5</v>
      </c>
      <c r="E47" s="12" t="s">
        <v>532</v>
      </c>
      <c r="F47" s="12" t="s">
        <v>468</v>
      </c>
      <c r="G47" s="12" t="s">
        <v>468</v>
      </c>
      <c r="H47" s="12" t="s">
        <v>533</v>
      </c>
      <c r="I47" s="12" t="s">
        <v>535</v>
      </c>
      <c r="J47" s="187" t="s">
        <v>537</v>
      </c>
      <c r="K47" s="188">
        <v>86.0</v>
      </c>
      <c r="L47" s="12" t="s">
        <v>21</v>
      </c>
    </row>
    <row r="48" ht="15.75" customHeight="1">
      <c r="A48" s="12" t="s">
        <v>23</v>
      </c>
      <c r="B48" s="12" t="s">
        <v>64</v>
      </c>
      <c r="C48" s="12" t="s">
        <v>466</v>
      </c>
      <c r="D48" s="12" t="s">
        <v>5</v>
      </c>
      <c r="E48" s="12" t="s">
        <v>532</v>
      </c>
      <c r="F48" s="12" t="s">
        <v>468</v>
      </c>
      <c r="G48" s="12" t="s">
        <v>468</v>
      </c>
      <c r="H48" s="12" t="s">
        <v>533</v>
      </c>
      <c r="I48" s="12" t="s">
        <v>492</v>
      </c>
      <c r="J48" s="187" t="s">
        <v>538</v>
      </c>
      <c r="K48" s="188">
        <v>102.0</v>
      </c>
      <c r="L48" s="12" t="s">
        <v>21</v>
      </c>
    </row>
    <row r="49" ht="15.75" customHeight="1">
      <c r="A49" s="12" t="s">
        <v>23</v>
      </c>
      <c r="B49" s="12" t="s">
        <v>64</v>
      </c>
      <c r="C49" s="12" t="s">
        <v>466</v>
      </c>
      <c r="D49" s="12" t="s">
        <v>5</v>
      </c>
      <c r="E49" s="12" t="s">
        <v>522</v>
      </c>
      <c r="F49" s="12" t="s">
        <v>468</v>
      </c>
      <c r="G49" s="12" t="s">
        <v>539</v>
      </c>
      <c r="H49" s="12" t="s">
        <v>513</v>
      </c>
      <c r="I49" s="12" t="s">
        <v>540</v>
      </c>
      <c r="J49" s="187" t="s">
        <v>541</v>
      </c>
      <c r="K49" s="188">
        <v>1494.0</v>
      </c>
      <c r="L49" s="12" t="s">
        <v>21</v>
      </c>
    </row>
    <row r="50" ht="15.75" customHeight="1">
      <c r="A50" s="12" t="s">
        <v>23</v>
      </c>
      <c r="B50" s="12" t="s">
        <v>64</v>
      </c>
      <c r="C50" s="12" t="s">
        <v>466</v>
      </c>
      <c r="D50" s="12" t="s">
        <v>5</v>
      </c>
      <c r="E50" s="12" t="s">
        <v>542</v>
      </c>
      <c r="F50" s="12" t="s">
        <v>543</v>
      </c>
      <c r="G50" s="12" t="s">
        <v>468</v>
      </c>
      <c r="H50" s="12" t="s">
        <v>544</v>
      </c>
      <c r="I50" s="12" t="s">
        <v>470</v>
      </c>
      <c r="J50" s="187" t="s">
        <v>545</v>
      </c>
      <c r="K50" s="188">
        <v>1050.0</v>
      </c>
      <c r="L50" s="12" t="s">
        <v>21</v>
      </c>
    </row>
    <row r="51" ht="15.75" customHeight="1">
      <c r="A51" s="12" t="s">
        <v>23</v>
      </c>
      <c r="B51" s="12" t="s">
        <v>64</v>
      </c>
      <c r="C51" s="12" t="s">
        <v>437</v>
      </c>
      <c r="D51" s="12" t="s">
        <v>5</v>
      </c>
      <c r="E51" s="12" t="s">
        <v>542</v>
      </c>
      <c r="F51" s="12" t="s">
        <v>543</v>
      </c>
      <c r="G51" s="12" t="s">
        <v>468</v>
      </c>
      <c r="H51" s="12" t="s">
        <v>544</v>
      </c>
      <c r="I51" s="12" t="s">
        <v>492</v>
      </c>
      <c r="J51" s="187" t="s">
        <v>546</v>
      </c>
      <c r="K51" s="188">
        <v>102.0</v>
      </c>
      <c r="L51" s="12" t="s">
        <v>21</v>
      </c>
    </row>
    <row r="52" ht="15.75" customHeight="1">
      <c r="A52" s="12" t="s">
        <v>23</v>
      </c>
      <c r="B52" s="12" t="s">
        <v>64</v>
      </c>
      <c r="C52" s="12" t="s">
        <v>437</v>
      </c>
      <c r="D52" s="12" t="s">
        <v>5</v>
      </c>
      <c r="E52" s="12" t="s">
        <v>542</v>
      </c>
      <c r="F52" s="12" t="s">
        <v>543</v>
      </c>
      <c r="G52" s="12" t="s">
        <v>468</v>
      </c>
      <c r="H52" s="12" t="s">
        <v>544</v>
      </c>
      <c r="I52" s="12" t="s">
        <v>492</v>
      </c>
      <c r="J52" s="187" t="s">
        <v>547</v>
      </c>
      <c r="K52" s="188">
        <v>102.0</v>
      </c>
      <c r="L52" s="12" t="s">
        <v>21</v>
      </c>
    </row>
    <row r="53" ht="15.75" customHeight="1">
      <c r="A53" s="12" t="s">
        <v>23</v>
      </c>
      <c r="B53" s="12" t="s">
        <v>64</v>
      </c>
      <c r="C53" s="12" t="s">
        <v>466</v>
      </c>
      <c r="D53" s="12" t="s">
        <v>5</v>
      </c>
      <c r="E53" s="12" t="s">
        <v>542</v>
      </c>
      <c r="F53" s="12" t="s">
        <v>543</v>
      </c>
      <c r="G53" s="12" t="s">
        <v>468</v>
      </c>
      <c r="H53" s="12" t="s">
        <v>544</v>
      </c>
      <c r="I53" s="12" t="s">
        <v>535</v>
      </c>
      <c r="J53" s="187" t="s">
        <v>548</v>
      </c>
      <c r="K53" s="188">
        <v>53.0</v>
      </c>
      <c r="L53" s="12" t="s">
        <v>21</v>
      </c>
    </row>
    <row r="54" ht="15.75" customHeight="1">
      <c r="A54" s="12" t="s">
        <v>23</v>
      </c>
      <c r="B54" s="12" t="s">
        <v>64</v>
      </c>
      <c r="C54" s="12" t="s">
        <v>466</v>
      </c>
      <c r="D54" s="12" t="s">
        <v>5</v>
      </c>
      <c r="E54" s="12" t="s">
        <v>542</v>
      </c>
      <c r="F54" s="12" t="s">
        <v>543</v>
      </c>
      <c r="G54" s="12" t="s">
        <v>468</v>
      </c>
      <c r="H54" s="12" t="s">
        <v>544</v>
      </c>
      <c r="I54" s="12" t="s">
        <v>535</v>
      </c>
      <c r="J54" s="187" t="s">
        <v>549</v>
      </c>
      <c r="K54" s="188">
        <v>54.0</v>
      </c>
      <c r="L54" s="12" t="s">
        <v>21</v>
      </c>
    </row>
    <row r="55" ht="15.75" customHeight="1">
      <c r="A55" s="12" t="s">
        <v>23</v>
      </c>
      <c r="B55" s="12" t="s">
        <v>24</v>
      </c>
      <c r="C55" s="12" t="s">
        <v>437</v>
      </c>
      <c r="D55" s="12" t="s">
        <v>5</v>
      </c>
      <c r="E55" s="12" t="s">
        <v>550</v>
      </c>
      <c r="F55" s="12" t="s">
        <v>439</v>
      </c>
      <c r="G55" s="12" t="s">
        <v>439</v>
      </c>
      <c r="H55" s="12" t="s">
        <v>551</v>
      </c>
      <c r="I55" s="12" t="s">
        <v>552</v>
      </c>
      <c r="J55" s="187" t="s">
        <v>553</v>
      </c>
      <c r="K55" s="188">
        <v>13614.0</v>
      </c>
      <c r="L55" s="12" t="s">
        <v>21</v>
      </c>
    </row>
    <row r="56" ht="15.75" customHeight="1">
      <c r="A56" s="12" t="s">
        <v>23</v>
      </c>
      <c r="B56" s="12" t="s">
        <v>24</v>
      </c>
      <c r="C56" s="12" t="s">
        <v>554</v>
      </c>
      <c r="D56" s="12" t="s">
        <v>5</v>
      </c>
      <c r="E56" s="12" t="s">
        <v>555</v>
      </c>
      <c r="F56" s="12" t="s">
        <v>439</v>
      </c>
      <c r="G56" s="12" t="s">
        <v>556</v>
      </c>
      <c r="H56" s="12" t="s">
        <v>551</v>
      </c>
      <c r="I56" s="12" t="s">
        <v>551</v>
      </c>
      <c r="J56" s="187" t="s">
        <v>557</v>
      </c>
      <c r="K56" s="188">
        <v>208650.0</v>
      </c>
      <c r="L56" s="12" t="s">
        <v>21</v>
      </c>
    </row>
    <row r="57" ht="15.75" customHeight="1">
      <c r="A57" s="12" t="s">
        <v>23</v>
      </c>
      <c r="B57" s="12" t="s">
        <v>24</v>
      </c>
      <c r="C57" s="12" t="s">
        <v>558</v>
      </c>
      <c r="D57" s="12" t="s">
        <v>5</v>
      </c>
      <c r="E57" s="12" t="s">
        <v>512</v>
      </c>
      <c r="F57" s="12" t="s">
        <v>460</v>
      </c>
      <c r="G57" s="12" t="s">
        <v>559</v>
      </c>
      <c r="H57" s="12" t="s">
        <v>513</v>
      </c>
      <c r="I57" s="12" t="s">
        <v>560</v>
      </c>
      <c r="J57" s="187" t="s">
        <v>561</v>
      </c>
      <c r="K57" s="188">
        <v>4700.0</v>
      </c>
      <c r="L57" s="12" t="s">
        <v>21</v>
      </c>
    </row>
    <row r="58" ht="15.75" customHeight="1">
      <c r="A58" s="12" t="s">
        <v>23</v>
      </c>
      <c r="B58" s="12" t="s">
        <v>24</v>
      </c>
      <c r="C58" s="12" t="s">
        <v>437</v>
      </c>
      <c r="D58" s="12" t="s">
        <v>5</v>
      </c>
      <c r="E58" s="12" t="s">
        <v>512</v>
      </c>
      <c r="F58" s="12" t="s">
        <v>460</v>
      </c>
      <c r="G58" s="12" t="s">
        <v>562</v>
      </c>
      <c r="H58" s="12" t="s">
        <v>513</v>
      </c>
      <c r="I58" s="12" t="s">
        <v>563</v>
      </c>
      <c r="J58" s="187" t="s">
        <v>564</v>
      </c>
      <c r="K58" s="188">
        <v>350.0</v>
      </c>
      <c r="L58" s="12" t="s">
        <v>21</v>
      </c>
    </row>
    <row r="59" ht="15.75" customHeight="1">
      <c r="A59" s="12" t="s">
        <v>23</v>
      </c>
      <c r="B59" s="12" t="s">
        <v>24</v>
      </c>
      <c r="C59" s="12" t="s">
        <v>448</v>
      </c>
      <c r="D59" s="12" t="s">
        <v>5</v>
      </c>
      <c r="E59" s="12" t="s">
        <v>512</v>
      </c>
      <c r="F59" s="12" t="s">
        <v>460</v>
      </c>
      <c r="G59" s="12" t="s">
        <v>565</v>
      </c>
      <c r="H59" s="12" t="s">
        <v>513</v>
      </c>
      <c r="I59" s="12" t="s">
        <v>566</v>
      </c>
      <c r="J59" s="187" t="s">
        <v>567</v>
      </c>
      <c r="K59" s="188">
        <v>1768.0</v>
      </c>
      <c r="L59" s="12" t="s">
        <v>21</v>
      </c>
    </row>
    <row r="60" ht="15.75" customHeight="1">
      <c r="A60" s="12" t="s">
        <v>23</v>
      </c>
      <c r="B60" s="12" t="s">
        <v>24</v>
      </c>
      <c r="C60" s="12" t="s">
        <v>444</v>
      </c>
      <c r="D60" s="12" t="s">
        <v>5</v>
      </c>
      <c r="E60" s="12" t="s">
        <v>512</v>
      </c>
      <c r="F60" s="12" t="s">
        <v>460</v>
      </c>
      <c r="G60" s="12" t="s">
        <v>349</v>
      </c>
      <c r="H60" s="12" t="s">
        <v>513</v>
      </c>
      <c r="I60" s="12" t="s">
        <v>568</v>
      </c>
      <c r="J60" s="187" t="s">
        <v>569</v>
      </c>
      <c r="K60" s="188">
        <v>1075.0</v>
      </c>
      <c r="L60" s="12" t="s">
        <v>21</v>
      </c>
    </row>
    <row r="61" ht="15.75" customHeight="1">
      <c r="A61" s="12" t="s">
        <v>23</v>
      </c>
      <c r="B61" s="12" t="s">
        <v>24</v>
      </c>
      <c r="C61" s="12" t="s">
        <v>459</v>
      </c>
      <c r="D61" s="12" t="s">
        <v>5</v>
      </c>
      <c r="E61" s="12" t="s">
        <v>512</v>
      </c>
      <c r="F61" s="12" t="s">
        <v>460</v>
      </c>
      <c r="G61" s="12" t="s">
        <v>446</v>
      </c>
      <c r="H61" s="12" t="s">
        <v>513</v>
      </c>
      <c r="I61" s="12" t="s">
        <v>570</v>
      </c>
      <c r="J61" s="187" t="s">
        <v>571</v>
      </c>
      <c r="K61" s="188">
        <v>604.0</v>
      </c>
      <c r="L61" s="12" t="s">
        <v>21</v>
      </c>
    </row>
    <row r="62" ht="15.75" customHeight="1">
      <c r="A62" s="12" t="s">
        <v>23</v>
      </c>
      <c r="B62" s="12" t="s">
        <v>24</v>
      </c>
      <c r="C62" s="12" t="s">
        <v>558</v>
      </c>
      <c r="D62" s="12" t="s">
        <v>5</v>
      </c>
      <c r="E62" s="12" t="s">
        <v>518</v>
      </c>
      <c r="F62" s="12" t="s">
        <v>456</v>
      </c>
      <c r="G62" s="12" t="s">
        <v>572</v>
      </c>
      <c r="H62" s="12" t="s">
        <v>513</v>
      </c>
      <c r="I62" s="12" t="s">
        <v>573</v>
      </c>
      <c r="J62" s="187" t="s">
        <v>574</v>
      </c>
      <c r="K62" s="188">
        <v>3217.0</v>
      </c>
      <c r="L62" s="12" t="s">
        <v>21</v>
      </c>
    </row>
    <row r="63" ht="15.75" customHeight="1">
      <c r="A63" s="12" t="s">
        <v>23</v>
      </c>
      <c r="B63" s="12" t="s">
        <v>24</v>
      </c>
      <c r="C63" s="12" t="s">
        <v>433</v>
      </c>
      <c r="D63" s="12" t="s">
        <v>5</v>
      </c>
      <c r="E63" s="12" t="s">
        <v>518</v>
      </c>
      <c r="F63" s="12" t="s">
        <v>456</v>
      </c>
      <c r="G63" s="12" t="s">
        <v>575</v>
      </c>
      <c r="H63" s="12" t="s">
        <v>513</v>
      </c>
      <c r="I63" s="12" t="s">
        <v>576</v>
      </c>
      <c r="J63" s="187" t="s">
        <v>577</v>
      </c>
      <c r="K63" s="188">
        <v>1782.0</v>
      </c>
      <c r="L63" s="12" t="s">
        <v>21</v>
      </c>
    </row>
    <row r="64" ht="15.75" customHeight="1">
      <c r="A64" s="12" t="s">
        <v>23</v>
      </c>
      <c r="B64" s="12" t="s">
        <v>24</v>
      </c>
      <c r="C64" s="12" t="s">
        <v>466</v>
      </c>
      <c r="D64" s="12" t="s">
        <v>5</v>
      </c>
      <c r="E64" s="12" t="s">
        <v>518</v>
      </c>
      <c r="F64" s="12" t="s">
        <v>456</v>
      </c>
      <c r="G64" s="12" t="s">
        <v>460</v>
      </c>
      <c r="H64" s="12" t="s">
        <v>513</v>
      </c>
      <c r="I64" s="12" t="s">
        <v>578</v>
      </c>
      <c r="J64" s="187" t="s">
        <v>579</v>
      </c>
      <c r="K64" s="188">
        <v>1946.0</v>
      </c>
      <c r="L64" s="12" t="s">
        <v>21</v>
      </c>
    </row>
    <row r="65" ht="15.75" customHeight="1">
      <c r="A65" s="12" t="s">
        <v>23</v>
      </c>
      <c r="B65" s="12" t="s">
        <v>24</v>
      </c>
      <c r="C65" s="12" t="s">
        <v>444</v>
      </c>
      <c r="D65" s="12" t="s">
        <v>5</v>
      </c>
      <c r="E65" s="12" t="s">
        <v>518</v>
      </c>
      <c r="F65" s="12" t="s">
        <v>456</v>
      </c>
      <c r="G65" s="12" t="s">
        <v>463</v>
      </c>
      <c r="H65" s="12" t="s">
        <v>513</v>
      </c>
      <c r="I65" s="12" t="s">
        <v>580</v>
      </c>
      <c r="J65" s="187" t="s">
        <v>581</v>
      </c>
      <c r="K65" s="188">
        <v>801.0</v>
      </c>
      <c r="L65" s="12" t="s">
        <v>21</v>
      </c>
    </row>
    <row r="66" ht="15.75" customHeight="1">
      <c r="A66" s="12" t="s">
        <v>23</v>
      </c>
      <c r="B66" s="12" t="s">
        <v>24</v>
      </c>
      <c r="C66" s="12" t="s">
        <v>582</v>
      </c>
      <c r="D66" s="12" t="s">
        <v>5</v>
      </c>
      <c r="E66" s="12" t="s">
        <v>518</v>
      </c>
      <c r="F66" s="12" t="s">
        <v>456</v>
      </c>
      <c r="G66" s="12" t="s">
        <v>456</v>
      </c>
      <c r="H66" s="12" t="s">
        <v>513</v>
      </c>
      <c r="I66" s="12" t="s">
        <v>583</v>
      </c>
      <c r="J66" s="187" t="s">
        <v>584</v>
      </c>
      <c r="K66" s="188">
        <v>253.0</v>
      </c>
      <c r="L66" s="12" t="s">
        <v>21</v>
      </c>
    </row>
    <row r="67" ht="15.75" customHeight="1">
      <c r="A67" s="12" t="s">
        <v>23</v>
      </c>
      <c r="B67" s="12" t="s">
        <v>24</v>
      </c>
      <c r="C67" s="12" t="s">
        <v>466</v>
      </c>
      <c r="D67" s="12" t="s">
        <v>5</v>
      </c>
      <c r="E67" s="12" t="s">
        <v>532</v>
      </c>
      <c r="F67" s="12" t="s">
        <v>468</v>
      </c>
      <c r="G67" s="12" t="s">
        <v>468</v>
      </c>
      <c r="H67" s="12" t="s">
        <v>533</v>
      </c>
      <c r="I67" s="12" t="s">
        <v>535</v>
      </c>
      <c r="J67" s="187" t="s">
        <v>585</v>
      </c>
      <c r="K67" s="188">
        <v>188.0</v>
      </c>
      <c r="L67" s="12" t="s">
        <v>21</v>
      </c>
    </row>
    <row r="68" ht="15.75" customHeight="1">
      <c r="A68" s="12" t="s">
        <v>23</v>
      </c>
      <c r="B68" s="12" t="s">
        <v>24</v>
      </c>
      <c r="C68" s="12" t="s">
        <v>466</v>
      </c>
      <c r="D68" s="12" t="s">
        <v>5</v>
      </c>
      <c r="E68" s="12" t="s">
        <v>532</v>
      </c>
      <c r="F68" s="12" t="s">
        <v>468</v>
      </c>
      <c r="G68" s="12" t="s">
        <v>468</v>
      </c>
      <c r="H68" s="12" t="s">
        <v>533</v>
      </c>
      <c r="I68" s="12" t="s">
        <v>535</v>
      </c>
      <c r="J68" s="187" t="s">
        <v>586</v>
      </c>
      <c r="K68" s="188">
        <v>155.0</v>
      </c>
      <c r="L68" s="12" t="s">
        <v>21</v>
      </c>
    </row>
    <row r="69" ht="15.75" customHeight="1">
      <c r="A69" s="12" t="s">
        <v>23</v>
      </c>
      <c r="B69" s="12" t="s">
        <v>24</v>
      </c>
      <c r="C69" s="12" t="s">
        <v>466</v>
      </c>
      <c r="D69" s="12" t="s">
        <v>5</v>
      </c>
      <c r="E69" s="12" t="s">
        <v>532</v>
      </c>
      <c r="F69" s="12" t="s">
        <v>468</v>
      </c>
      <c r="G69" s="12" t="s">
        <v>468</v>
      </c>
      <c r="H69" s="12" t="s">
        <v>533</v>
      </c>
      <c r="I69" s="12" t="s">
        <v>470</v>
      </c>
      <c r="J69" s="187" t="s">
        <v>587</v>
      </c>
      <c r="K69" s="188">
        <v>1050.0</v>
      </c>
      <c r="L69" s="12" t="s">
        <v>21</v>
      </c>
    </row>
    <row r="70" ht="15.75" customHeight="1">
      <c r="A70" s="12" t="s">
        <v>23</v>
      </c>
      <c r="B70" s="12" t="s">
        <v>24</v>
      </c>
      <c r="C70" s="12" t="s">
        <v>558</v>
      </c>
      <c r="D70" s="12" t="s">
        <v>5</v>
      </c>
      <c r="E70" s="12" t="s">
        <v>522</v>
      </c>
      <c r="F70" s="12" t="s">
        <v>468</v>
      </c>
      <c r="G70" s="12" t="s">
        <v>588</v>
      </c>
      <c r="H70" s="12" t="s">
        <v>513</v>
      </c>
      <c r="I70" s="12" t="s">
        <v>589</v>
      </c>
      <c r="J70" s="187" t="s">
        <v>574</v>
      </c>
      <c r="K70" s="188">
        <v>4340.0</v>
      </c>
      <c r="L70" s="12" t="s">
        <v>21</v>
      </c>
    </row>
    <row r="71" ht="15.75" customHeight="1">
      <c r="A71" s="12" t="s">
        <v>23</v>
      </c>
      <c r="B71" s="12" t="s">
        <v>24</v>
      </c>
      <c r="C71" s="12" t="s">
        <v>433</v>
      </c>
      <c r="D71" s="12" t="s">
        <v>5</v>
      </c>
      <c r="E71" s="12" t="s">
        <v>522</v>
      </c>
      <c r="F71" s="12" t="s">
        <v>468</v>
      </c>
      <c r="G71" s="12" t="s">
        <v>590</v>
      </c>
      <c r="H71" s="12" t="s">
        <v>513</v>
      </c>
      <c r="I71" s="12" t="s">
        <v>475</v>
      </c>
      <c r="J71" s="187" t="s">
        <v>591</v>
      </c>
      <c r="K71" s="188">
        <v>296.0</v>
      </c>
      <c r="L71" s="12" t="s">
        <v>21</v>
      </c>
    </row>
    <row r="72" ht="15.75" customHeight="1">
      <c r="A72" s="12" t="s">
        <v>23</v>
      </c>
      <c r="B72" s="12" t="s">
        <v>24</v>
      </c>
      <c r="C72" s="12" t="s">
        <v>448</v>
      </c>
      <c r="D72" s="12" t="s">
        <v>5</v>
      </c>
      <c r="E72" s="12" t="s">
        <v>522</v>
      </c>
      <c r="F72" s="12" t="s">
        <v>468</v>
      </c>
      <c r="G72" s="12" t="s">
        <v>592</v>
      </c>
      <c r="H72" s="12" t="s">
        <v>513</v>
      </c>
      <c r="I72" s="12" t="s">
        <v>578</v>
      </c>
      <c r="J72" s="187" t="s">
        <v>593</v>
      </c>
      <c r="K72" s="188">
        <v>2094.0</v>
      </c>
      <c r="L72" s="12" t="s">
        <v>21</v>
      </c>
    </row>
    <row r="73" ht="15.75" customHeight="1">
      <c r="A73" s="12" t="s">
        <v>23</v>
      </c>
      <c r="B73" s="12" t="s">
        <v>24</v>
      </c>
      <c r="C73" s="12" t="s">
        <v>466</v>
      </c>
      <c r="D73" s="12" t="s">
        <v>5</v>
      </c>
      <c r="E73" s="12" t="s">
        <v>522</v>
      </c>
      <c r="F73" s="12" t="s">
        <v>468</v>
      </c>
      <c r="G73" s="12" t="s">
        <v>468</v>
      </c>
      <c r="H73" s="12" t="s">
        <v>513</v>
      </c>
      <c r="I73" s="12" t="s">
        <v>594</v>
      </c>
      <c r="J73" s="187" t="s">
        <v>595</v>
      </c>
      <c r="K73" s="188">
        <v>60.0</v>
      </c>
      <c r="L73" s="12" t="s">
        <v>21</v>
      </c>
    </row>
    <row r="74" ht="15.75" customHeight="1">
      <c r="A74" s="12" t="s">
        <v>23</v>
      </c>
      <c r="B74" s="12" t="s">
        <v>24</v>
      </c>
      <c r="C74" s="12" t="s">
        <v>444</v>
      </c>
      <c r="D74" s="12" t="s">
        <v>5</v>
      </c>
      <c r="E74" s="12" t="s">
        <v>596</v>
      </c>
      <c r="F74" s="12" t="s">
        <v>468</v>
      </c>
      <c r="G74" s="12" t="s">
        <v>480</v>
      </c>
      <c r="H74" s="12" t="s">
        <v>597</v>
      </c>
      <c r="I74" s="12" t="s">
        <v>597</v>
      </c>
      <c r="J74" s="187" t="s">
        <v>598</v>
      </c>
      <c r="K74" s="188">
        <v>18000.0</v>
      </c>
      <c r="L74" s="12" t="s">
        <v>21</v>
      </c>
    </row>
    <row r="75" ht="15.75" customHeight="1">
      <c r="A75" s="18" t="s">
        <v>26</v>
      </c>
      <c r="B75" s="18" t="s">
        <v>403</v>
      </c>
      <c r="C75" s="18" t="s">
        <v>582</v>
      </c>
      <c r="D75" s="18" t="s">
        <v>5</v>
      </c>
      <c r="E75" s="18" t="s">
        <v>512</v>
      </c>
      <c r="F75" s="18" t="s">
        <v>460</v>
      </c>
      <c r="G75" s="18" t="s">
        <v>599</v>
      </c>
      <c r="H75" s="18" t="s">
        <v>513</v>
      </c>
      <c r="I75" s="18" t="s">
        <v>600</v>
      </c>
      <c r="J75" s="189" t="s">
        <v>601</v>
      </c>
      <c r="K75" s="190">
        <v>572.0</v>
      </c>
      <c r="L75" s="18" t="s">
        <v>21</v>
      </c>
    </row>
    <row r="76" ht="15.75" customHeight="1">
      <c r="A76" s="18" t="s">
        <v>26</v>
      </c>
      <c r="B76" s="18" t="s">
        <v>403</v>
      </c>
      <c r="C76" s="18" t="s">
        <v>582</v>
      </c>
      <c r="D76" s="18" t="s">
        <v>5</v>
      </c>
      <c r="E76" s="18" t="s">
        <v>602</v>
      </c>
      <c r="F76" s="18" t="s">
        <v>480</v>
      </c>
      <c r="G76" s="18" t="s">
        <v>480</v>
      </c>
      <c r="H76" s="18" t="s">
        <v>544</v>
      </c>
      <c r="I76" s="18" t="s">
        <v>603</v>
      </c>
      <c r="J76" s="189" t="s">
        <v>604</v>
      </c>
      <c r="K76" s="190">
        <v>2400.0</v>
      </c>
      <c r="L76" s="18" t="s">
        <v>21</v>
      </c>
    </row>
    <row r="77" ht="15.75" customHeight="1">
      <c r="A77" s="18" t="s">
        <v>26</v>
      </c>
      <c r="B77" s="18" t="s">
        <v>403</v>
      </c>
      <c r="C77" s="18" t="s">
        <v>582</v>
      </c>
      <c r="D77" s="18" t="s">
        <v>5</v>
      </c>
      <c r="E77" s="18" t="s">
        <v>602</v>
      </c>
      <c r="F77" s="18" t="s">
        <v>480</v>
      </c>
      <c r="G77" s="18" t="s">
        <v>480</v>
      </c>
      <c r="H77" s="18" t="s">
        <v>544</v>
      </c>
      <c r="I77" s="18" t="s">
        <v>603</v>
      </c>
      <c r="J77" s="189" t="s">
        <v>605</v>
      </c>
      <c r="K77" s="190">
        <v>2400.0</v>
      </c>
      <c r="L77" s="18" t="s">
        <v>21</v>
      </c>
    </row>
    <row r="78" ht="15.75" customHeight="1">
      <c r="A78" s="18" t="s">
        <v>26</v>
      </c>
      <c r="B78" s="18" t="s">
        <v>403</v>
      </c>
      <c r="C78" s="18" t="s">
        <v>582</v>
      </c>
      <c r="D78" s="18" t="s">
        <v>5</v>
      </c>
      <c r="E78" s="18" t="s">
        <v>606</v>
      </c>
      <c r="F78" s="18" t="s">
        <v>483</v>
      </c>
      <c r="G78" s="18" t="s">
        <v>483</v>
      </c>
      <c r="H78" s="18" t="s">
        <v>607</v>
      </c>
      <c r="I78" s="18" t="s">
        <v>607</v>
      </c>
      <c r="J78" s="189" t="s">
        <v>608</v>
      </c>
      <c r="K78" s="190">
        <v>110699.0</v>
      </c>
      <c r="L78" s="18" t="s">
        <v>21</v>
      </c>
    </row>
    <row r="79" ht="15.75" customHeight="1">
      <c r="A79" s="18" t="s">
        <v>26</v>
      </c>
      <c r="B79" s="18" t="s">
        <v>403</v>
      </c>
      <c r="C79" s="18" t="s">
        <v>582</v>
      </c>
      <c r="D79" s="18" t="s">
        <v>5</v>
      </c>
      <c r="E79" s="18" t="s">
        <v>606</v>
      </c>
      <c r="F79" s="18" t="s">
        <v>483</v>
      </c>
      <c r="G79" s="18" t="s">
        <v>483</v>
      </c>
      <c r="H79" s="18" t="s">
        <v>607</v>
      </c>
      <c r="I79" s="18" t="s">
        <v>607</v>
      </c>
      <c r="J79" s="189" t="s">
        <v>609</v>
      </c>
      <c r="K79" s="190">
        <v>110101.0</v>
      </c>
      <c r="L79" s="18" t="s">
        <v>21</v>
      </c>
    </row>
    <row r="80" ht="15.75" customHeight="1">
      <c r="A80" s="18" t="s">
        <v>26</v>
      </c>
      <c r="B80" s="18" t="s">
        <v>403</v>
      </c>
      <c r="C80" s="18" t="s">
        <v>582</v>
      </c>
      <c r="D80" s="18" t="s">
        <v>5</v>
      </c>
      <c r="E80" s="18" t="s">
        <v>542</v>
      </c>
      <c r="F80" s="18" t="s">
        <v>543</v>
      </c>
      <c r="G80" s="18" t="s">
        <v>468</v>
      </c>
      <c r="H80" s="18" t="s">
        <v>544</v>
      </c>
      <c r="I80" s="18" t="s">
        <v>535</v>
      </c>
      <c r="J80" s="189" t="s">
        <v>610</v>
      </c>
      <c r="K80" s="190">
        <v>161.0</v>
      </c>
      <c r="L80" s="18" t="s">
        <v>21</v>
      </c>
    </row>
    <row r="81" ht="15.75" customHeight="1">
      <c r="A81" s="18" t="s">
        <v>26</v>
      </c>
      <c r="B81" s="18" t="s">
        <v>403</v>
      </c>
      <c r="C81" s="18" t="s">
        <v>582</v>
      </c>
      <c r="D81" s="18" t="s">
        <v>5</v>
      </c>
      <c r="E81" s="18" t="s">
        <v>542</v>
      </c>
      <c r="F81" s="18" t="s">
        <v>543</v>
      </c>
      <c r="G81" s="18" t="s">
        <v>468</v>
      </c>
      <c r="H81" s="18" t="s">
        <v>544</v>
      </c>
      <c r="I81" s="18" t="s">
        <v>535</v>
      </c>
      <c r="J81" s="189" t="s">
        <v>611</v>
      </c>
      <c r="K81" s="190">
        <v>142.0</v>
      </c>
      <c r="L81" s="18" t="s">
        <v>21</v>
      </c>
    </row>
    <row r="82" ht="15.75" customHeight="1">
      <c r="A82" s="18" t="s">
        <v>26</v>
      </c>
      <c r="B82" s="18" t="s">
        <v>403</v>
      </c>
      <c r="C82" s="18" t="s">
        <v>582</v>
      </c>
      <c r="D82" s="18" t="s">
        <v>5</v>
      </c>
      <c r="E82" s="18" t="s">
        <v>612</v>
      </c>
      <c r="F82" s="18" t="s">
        <v>483</v>
      </c>
      <c r="G82" s="18" t="s">
        <v>480</v>
      </c>
      <c r="H82" s="18" t="s">
        <v>613</v>
      </c>
      <c r="I82" s="18" t="s">
        <v>614</v>
      </c>
      <c r="J82" s="189" t="s">
        <v>615</v>
      </c>
      <c r="K82" s="190">
        <v>914.0</v>
      </c>
      <c r="L82" s="18" t="s">
        <v>21</v>
      </c>
    </row>
    <row r="83" ht="15.75" customHeight="1">
      <c r="A83" s="18" t="s">
        <v>26</v>
      </c>
      <c r="B83" s="18" t="s">
        <v>403</v>
      </c>
      <c r="C83" s="18" t="s">
        <v>582</v>
      </c>
      <c r="D83" s="18" t="s">
        <v>5</v>
      </c>
      <c r="E83" s="18" t="s">
        <v>612</v>
      </c>
      <c r="F83" s="18" t="s">
        <v>483</v>
      </c>
      <c r="G83" s="18" t="s">
        <v>480</v>
      </c>
      <c r="H83" s="18" t="s">
        <v>613</v>
      </c>
      <c r="I83" s="18" t="s">
        <v>614</v>
      </c>
      <c r="J83" s="189" t="s">
        <v>615</v>
      </c>
      <c r="K83" s="190">
        <v>818.0</v>
      </c>
      <c r="L83" s="18" t="s">
        <v>21</v>
      </c>
    </row>
    <row r="84" ht="15.75" customHeight="1">
      <c r="A84" s="18" t="s">
        <v>26</v>
      </c>
      <c r="B84" s="18" t="s">
        <v>403</v>
      </c>
      <c r="C84" s="18" t="s">
        <v>582</v>
      </c>
      <c r="D84" s="18" t="s">
        <v>5</v>
      </c>
      <c r="E84" s="18" t="s">
        <v>612</v>
      </c>
      <c r="F84" s="18" t="s">
        <v>483</v>
      </c>
      <c r="G84" s="18" t="s">
        <v>480</v>
      </c>
      <c r="H84" s="18" t="s">
        <v>613</v>
      </c>
      <c r="I84" s="18" t="s">
        <v>614</v>
      </c>
      <c r="J84" s="189" t="s">
        <v>615</v>
      </c>
      <c r="K84" s="190">
        <v>959.0</v>
      </c>
      <c r="L84" s="18" t="s">
        <v>21</v>
      </c>
    </row>
    <row r="85" ht="15.75" customHeight="1">
      <c r="A85" s="18" t="s">
        <v>26</v>
      </c>
      <c r="B85" s="18" t="s">
        <v>403</v>
      </c>
      <c r="C85" s="18" t="s">
        <v>582</v>
      </c>
      <c r="D85" s="18" t="s">
        <v>5</v>
      </c>
      <c r="E85" s="18" t="s">
        <v>612</v>
      </c>
      <c r="F85" s="18" t="s">
        <v>483</v>
      </c>
      <c r="G85" s="18" t="s">
        <v>480</v>
      </c>
      <c r="H85" s="18" t="s">
        <v>613</v>
      </c>
      <c r="I85" s="18" t="s">
        <v>614</v>
      </c>
      <c r="J85" s="189" t="s">
        <v>615</v>
      </c>
      <c r="K85" s="190">
        <v>959.0</v>
      </c>
      <c r="L85" s="18" t="s">
        <v>21</v>
      </c>
    </row>
    <row r="86" ht="15.75" customHeight="1">
      <c r="A86" s="18" t="s">
        <v>26</v>
      </c>
      <c r="B86" s="18" t="s">
        <v>403</v>
      </c>
      <c r="C86" s="18" t="s">
        <v>582</v>
      </c>
      <c r="D86" s="18" t="s">
        <v>5</v>
      </c>
      <c r="E86" s="18" t="s">
        <v>612</v>
      </c>
      <c r="F86" s="18" t="s">
        <v>483</v>
      </c>
      <c r="G86" s="18" t="s">
        <v>480</v>
      </c>
      <c r="H86" s="18" t="s">
        <v>613</v>
      </c>
      <c r="I86" s="18" t="s">
        <v>614</v>
      </c>
      <c r="J86" s="189" t="s">
        <v>615</v>
      </c>
      <c r="K86" s="190">
        <v>959.0</v>
      </c>
      <c r="L86" s="18" t="s">
        <v>21</v>
      </c>
    </row>
    <row r="87" ht="15.75" customHeight="1">
      <c r="A87" s="18" t="s">
        <v>26</v>
      </c>
      <c r="B87" s="18" t="s">
        <v>403</v>
      </c>
      <c r="C87" s="18" t="s">
        <v>582</v>
      </c>
      <c r="D87" s="18" t="s">
        <v>5</v>
      </c>
      <c r="E87" s="18" t="s">
        <v>612</v>
      </c>
      <c r="F87" s="18" t="s">
        <v>483</v>
      </c>
      <c r="G87" s="18" t="s">
        <v>480</v>
      </c>
      <c r="H87" s="18" t="s">
        <v>613</v>
      </c>
      <c r="I87" s="18" t="s">
        <v>614</v>
      </c>
      <c r="J87" s="189" t="s">
        <v>615</v>
      </c>
      <c r="K87" s="190">
        <v>959.0</v>
      </c>
      <c r="L87" s="18" t="s">
        <v>21</v>
      </c>
    </row>
    <row r="88" ht="15.75" customHeight="1">
      <c r="A88" s="18" t="s">
        <v>26</v>
      </c>
      <c r="B88" s="18" t="s">
        <v>403</v>
      </c>
      <c r="C88" s="18" t="s">
        <v>582</v>
      </c>
      <c r="D88" s="18" t="s">
        <v>5</v>
      </c>
      <c r="E88" s="18" t="s">
        <v>612</v>
      </c>
      <c r="F88" s="18" t="s">
        <v>483</v>
      </c>
      <c r="G88" s="18" t="s">
        <v>480</v>
      </c>
      <c r="H88" s="18" t="s">
        <v>613</v>
      </c>
      <c r="I88" s="18" t="s">
        <v>614</v>
      </c>
      <c r="J88" s="189" t="s">
        <v>615</v>
      </c>
      <c r="K88" s="190">
        <v>959.0</v>
      </c>
      <c r="L88" s="18" t="s">
        <v>21</v>
      </c>
    </row>
    <row r="89" ht="15.75" customHeight="1">
      <c r="A89" s="18" t="s">
        <v>26</v>
      </c>
      <c r="B89" s="18" t="s">
        <v>403</v>
      </c>
      <c r="C89" s="18" t="s">
        <v>582</v>
      </c>
      <c r="D89" s="18" t="s">
        <v>5</v>
      </c>
      <c r="E89" s="18" t="s">
        <v>612</v>
      </c>
      <c r="F89" s="18" t="s">
        <v>483</v>
      </c>
      <c r="G89" s="18" t="s">
        <v>480</v>
      </c>
      <c r="H89" s="18" t="s">
        <v>613</v>
      </c>
      <c r="I89" s="18" t="s">
        <v>614</v>
      </c>
      <c r="J89" s="189" t="s">
        <v>615</v>
      </c>
      <c r="K89" s="190">
        <v>914.0</v>
      </c>
      <c r="L89" s="18" t="s">
        <v>21</v>
      </c>
    </row>
    <row r="90" ht="15.75" customHeight="1">
      <c r="A90" s="18" t="s">
        <v>26</v>
      </c>
      <c r="B90" s="18" t="s">
        <v>403</v>
      </c>
      <c r="C90" s="18" t="s">
        <v>582</v>
      </c>
      <c r="D90" s="18" t="s">
        <v>5</v>
      </c>
      <c r="E90" s="18" t="s">
        <v>612</v>
      </c>
      <c r="F90" s="18" t="s">
        <v>483</v>
      </c>
      <c r="G90" s="18" t="s">
        <v>480</v>
      </c>
      <c r="H90" s="18" t="s">
        <v>613</v>
      </c>
      <c r="I90" s="18" t="s">
        <v>614</v>
      </c>
      <c r="J90" s="189" t="s">
        <v>615</v>
      </c>
      <c r="K90" s="190">
        <v>863.0</v>
      </c>
      <c r="L90" s="18" t="s">
        <v>21</v>
      </c>
    </row>
    <row r="91" ht="15.75" customHeight="1">
      <c r="A91" s="18" t="s">
        <v>26</v>
      </c>
      <c r="B91" s="18" t="s">
        <v>403</v>
      </c>
      <c r="C91" s="18" t="s">
        <v>582</v>
      </c>
      <c r="D91" s="18" t="s">
        <v>5</v>
      </c>
      <c r="E91" s="18" t="s">
        <v>612</v>
      </c>
      <c r="F91" s="18" t="s">
        <v>483</v>
      </c>
      <c r="G91" s="18" t="s">
        <v>480</v>
      </c>
      <c r="H91" s="18" t="s">
        <v>613</v>
      </c>
      <c r="I91" s="18" t="s">
        <v>614</v>
      </c>
      <c r="J91" s="189" t="s">
        <v>615</v>
      </c>
      <c r="K91" s="190">
        <v>914.0</v>
      </c>
      <c r="L91" s="18" t="s">
        <v>21</v>
      </c>
    </row>
    <row r="92" ht="15.75" customHeight="1">
      <c r="A92" s="18" t="s">
        <v>26</v>
      </c>
      <c r="B92" s="18" t="s">
        <v>403</v>
      </c>
      <c r="C92" s="18" t="s">
        <v>582</v>
      </c>
      <c r="D92" s="18" t="s">
        <v>5</v>
      </c>
      <c r="E92" s="18" t="s">
        <v>612</v>
      </c>
      <c r="F92" s="18" t="s">
        <v>483</v>
      </c>
      <c r="G92" s="18" t="s">
        <v>480</v>
      </c>
      <c r="H92" s="18" t="s">
        <v>613</v>
      </c>
      <c r="I92" s="18" t="s">
        <v>614</v>
      </c>
      <c r="J92" s="189" t="s">
        <v>615</v>
      </c>
      <c r="K92" s="190">
        <v>863.0</v>
      </c>
      <c r="L92" s="18" t="s">
        <v>21</v>
      </c>
    </row>
    <row r="93" ht="15.75" customHeight="1">
      <c r="A93" s="18" t="s">
        <v>26</v>
      </c>
      <c r="B93" s="18" t="s">
        <v>403</v>
      </c>
      <c r="C93" s="18" t="s">
        <v>582</v>
      </c>
      <c r="D93" s="18" t="s">
        <v>5</v>
      </c>
      <c r="E93" s="18" t="s">
        <v>612</v>
      </c>
      <c r="F93" s="18" t="s">
        <v>483</v>
      </c>
      <c r="G93" s="18" t="s">
        <v>480</v>
      </c>
      <c r="H93" s="18" t="s">
        <v>613</v>
      </c>
      <c r="I93" s="18" t="s">
        <v>614</v>
      </c>
      <c r="J93" s="189" t="s">
        <v>615</v>
      </c>
      <c r="K93" s="190">
        <v>959.0</v>
      </c>
      <c r="L93" s="18" t="s">
        <v>21</v>
      </c>
    </row>
    <row r="94" ht="15.75" customHeight="1">
      <c r="A94" s="18" t="s">
        <v>26</v>
      </c>
      <c r="B94" s="18" t="s">
        <v>403</v>
      </c>
      <c r="C94" s="18" t="s">
        <v>582</v>
      </c>
      <c r="D94" s="18" t="s">
        <v>5</v>
      </c>
      <c r="E94" s="18" t="s">
        <v>612</v>
      </c>
      <c r="F94" s="18" t="s">
        <v>483</v>
      </c>
      <c r="G94" s="18" t="s">
        <v>480</v>
      </c>
      <c r="H94" s="18" t="s">
        <v>613</v>
      </c>
      <c r="I94" s="18" t="s">
        <v>614</v>
      </c>
      <c r="J94" s="189" t="s">
        <v>615</v>
      </c>
      <c r="K94" s="190">
        <v>914.0</v>
      </c>
      <c r="L94" s="18" t="s">
        <v>21</v>
      </c>
    </row>
    <row r="95" ht="15.75" customHeight="1">
      <c r="A95" s="18" t="s">
        <v>26</v>
      </c>
      <c r="B95" s="18" t="s">
        <v>403</v>
      </c>
      <c r="C95" s="18" t="s">
        <v>582</v>
      </c>
      <c r="D95" s="18" t="s">
        <v>5</v>
      </c>
      <c r="E95" s="18" t="s">
        <v>612</v>
      </c>
      <c r="F95" s="18" t="s">
        <v>483</v>
      </c>
      <c r="G95" s="18" t="s">
        <v>480</v>
      </c>
      <c r="H95" s="18" t="s">
        <v>613</v>
      </c>
      <c r="I95" s="18" t="s">
        <v>614</v>
      </c>
      <c r="J95" s="189" t="s">
        <v>615</v>
      </c>
      <c r="K95" s="190">
        <v>818.0</v>
      </c>
      <c r="L95" s="18" t="s">
        <v>21</v>
      </c>
    </row>
    <row r="96" ht="15.75" customHeight="1">
      <c r="A96" s="18" t="s">
        <v>26</v>
      </c>
      <c r="B96" s="18" t="s">
        <v>403</v>
      </c>
      <c r="C96" s="18" t="s">
        <v>582</v>
      </c>
      <c r="D96" s="18" t="s">
        <v>5</v>
      </c>
      <c r="E96" s="18" t="s">
        <v>612</v>
      </c>
      <c r="F96" s="18" t="s">
        <v>483</v>
      </c>
      <c r="G96" s="18" t="s">
        <v>480</v>
      </c>
      <c r="H96" s="18" t="s">
        <v>613</v>
      </c>
      <c r="I96" s="18" t="s">
        <v>614</v>
      </c>
      <c r="J96" s="189" t="s">
        <v>615</v>
      </c>
      <c r="K96" s="190">
        <v>863.0</v>
      </c>
      <c r="L96" s="18" t="s">
        <v>21</v>
      </c>
    </row>
    <row r="97" ht="15.75" customHeight="1">
      <c r="A97" s="18" t="s">
        <v>26</v>
      </c>
      <c r="B97" s="18" t="s">
        <v>403</v>
      </c>
      <c r="C97" s="18" t="s">
        <v>582</v>
      </c>
      <c r="D97" s="18" t="s">
        <v>5</v>
      </c>
      <c r="E97" s="18" t="s">
        <v>612</v>
      </c>
      <c r="F97" s="18" t="s">
        <v>483</v>
      </c>
      <c r="G97" s="18" t="s">
        <v>480</v>
      </c>
      <c r="H97" s="18" t="s">
        <v>613</v>
      </c>
      <c r="I97" s="18" t="s">
        <v>614</v>
      </c>
      <c r="J97" s="189" t="s">
        <v>615</v>
      </c>
      <c r="K97" s="190">
        <v>914.0</v>
      </c>
      <c r="L97" s="18" t="s">
        <v>21</v>
      </c>
    </row>
    <row r="98" ht="15.75" customHeight="1">
      <c r="A98" s="18" t="s">
        <v>26</v>
      </c>
      <c r="B98" s="18" t="s">
        <v>403</v>
      </c>
      <c r="C98" s="18" t="s">
        <v>582</v>
      </c>
      <c r="D98" s="18" t="s">
        <v>5</v>
      </c>
      <c r="E98" s="18" t="s">
        <v>612</v>
      </c>
      <c r="F98" s="18" t="s">
        <v>483</v>
      </c>
      <c r="G98" s="18" t="s">
        <v>480</v>
      </c>
      <c r="H98" s="18" t="s">
        <v>613</v>
      </c>
      <c r="I98" s="18" t="s">
        <v>614</v>
      </c>
      <c r="J98" s="189" t="s">
        <v>615</v>
      </c>
      <c r="K98" s="190">
        <v>959.0</v>
      </c>
      <c r="L98" s="18" t="s">
        <v>21</v>
      </c>
    </row>
    <row r="99" ht="15.75" customHeight="1">
      <c r="A99" s="18" t="s">
        <v>26</v>
      </c>
      <c r="B99" s="18" t="s">
        <v>403</v>
      </c>
      <c r="C99" s="18" t="s">
        <v>582</v>
      </c>
      <c r="D99" s="18" t="s">
        <v>5</v>
      </c>
      <c r="E99" s="18" t="s">
        <v>612</v>
      </c>
      <c r="F99" s="18" t="s">
        <v>483</v>
      </c>
      <c r="G99" s="18" t="s">
        <v>480</v>
      </c>
      <c r="H99" s="18" t="s">
        <v>613</v>
      </c>
      <c r="I99" s="18" t="s">
        <v>614</v>
      </c>
      <c r="J99" s="189" t="s">
        <v>615</v>
      </c>
      <c r="K99" s="190">
        <v>774.0</v>
      </c>
      <c r="L99" s="18" t="s">
        <v>21</v>
      </c>
    </row>
    <row r="100" ht="15.75" customHeight="1">
      <c r="A100" s="18" t="s">
        <v>26</v>
      </c>
      <c r="B100" s="18" t="s">
        <v>403</v>
      </c>
      <c r="C100" s="18" t="s">
        <v>582</v>
      </c>
      <c r="D100" s="18" t="s">
        <v>5</v>
      </c>
      <c r="E100" s="18" t="s">
        <v>612</v>
      </c>
      <c r="F100" s="18" t="s">
        <v>483</v>
      </c>
      <c r="G100" s="18" t="s">
        <v>480</v>
      </c>
      <c r="H100" s="18" t="s">
        <v>613</v>
      </c>
      <c r="I100" s="18" t="s">
        <v>614</v>
      </c>
      <c r="J100" s="189" t="s">
        <v>615</v>
      </c>
      <c r="K100" s="190">
        <v>774.0</v>
      </c>
      <c r="L100" s="18" t="s">
        <v>21</v>
      </c>
    </row>
    <row r="101" ht="15.75" customHeight="1">
      <c r="A101" s="18" t="s">
        <v>26</v>
      </c>
      <c r="B101" s="18" t="s">
        <v>403</v>
      </c>
      <c r="C101" s="18" t="s">
        <v>582</v>
      </c>
      <c r="D101" s="18" t="s">
        <v>5</v>
      </c>
      <c r="E101" s="18" t="s">
        <v>612</v>
      </c>
      <c r="F101" s="18" t="s">
        <v>483</v>
      </c>
      <c r="G101" s="18" t="s">
        <v>480</v>
      </c>
      <c r="H101" s="18" t="s">
        <v>613</v>
      </c>
      <c r="I101" s="18" t="s">
        <v>614</v>
      </c>
      <c r="J101" s="189" t="s">
        <v>615</v>
      </c>
      <c r="K101" s="190">
        <v>730.0</v>
      </c>
      <c r="L101" s="18" t="s">
        <v>21</v>
      </c>
    </row>
    <row r="102" ht="15.75" customHeight="1">
      <c r="A102" s="18" t="s">
        <v>26</v>
      </c>
      <c r="B102" s="18" t="s">
        <v>403</v>
      </c>
      <c r="C102" s="18" t="s">
        <v>582</v>
      </c>
      <c r="D102" s="18" t="s">
        <v>5</v>
      </c>
      <c r="E102" s="18" t="s">
        <v>612</v>
      </c>
      <c r="F102" s="18" t="s">
        <v>483</v>
      </c>
      <c r="G102" s="18" t="s">
        <v>480</v>
      </c>
      <c r="H102" s="18" t="s">
        <v>613</v>
      </c>
      <c r="I102" s="18" t="s">
        <v>614</v>
      </c>
      <c r="J102" s="189" t="s">
        <v>615</v>
      </c>
      <c r="K102" s="190">
        <v>867.0</v>
      </c>
      <c r="L102" s="18" t="s">
        <v>21</v>
      </c>
    </row>
    <row r="103" ht="15.75" customHeight="1">
      <c r="A103" s="18" t="s">
        <v>26</v>
      </c>
      <c r="B103" s="18" t="s">
        <v>403</v>
      </c>
      <c r="C103" s="18" t="s">
        <v>582</v>
      </c>
      <c r="D103" s="18" t="s">
        <v>5</v>
      </c>
      <c r="E103" s="18" t="s">
        <v>612</v>
      </c>
      <c r="F103" s="18" t="s">
        <v>483</v>
      </c>
      <c r="G103" s="18" t="s">
        <v>480</v>
      </c>
      <c r="H103" s="18" t="s">
        <v>613</v>
      </c>
      <c r="I103" s="18" t="s">
        <v>614</v>
      </c>
      <c r="J103" s="189" t="s">
        <v>615</v>
      </c>
      <c r="K103" s="190">
        <v>818.0</v>
      </c>
      <c r="L103" s="18" t="s">
        <v>21</v>
      </c>
    </row>
    <row r="104" ht="15.75" customHeight="1">
      <c r="A104" s="18" t="s">
        <v>26</v>
      </c>
      <c r="B104" s="18" t="s">
        <v>403</v>
      </c>
      <c r="C104" s="18" t="s">
        <v>582</v>
      </c>
      <c r="D104" s="18" t="s">
        <v>5</v>
      </c>
      <c r="E104" s="18" t="s">
        <v>612</v>
      </c>
      <c r="F104" s="18" t="s">
        <v>483</v>
      </c>
      <c r="G104" s="18" t="s">
        <v>480</v>
      </c>
      <c r="H104" s="18" t="s">
        <v>613</v>
      </c>
      <c r="I104" s="18" t="s">
        <v>614</v>
      </c>
      <c r="J104" s="189" t="s">
        <v>615</v>
      </c>
      <c r="K104" s="190">
        <v>914.0</v>
      </c>
      <c r="L104" s="18" t="s">
        <v>21</v>
      </c>
    </row>
    <row r="105" ht="15.75" customHeight="1">
      <c r="A105" s="18" t="s">
        <v>26</v>
      </c>
      <c r="B105" s="18" t="s">
        <v>403</v>
      </c>
      <c r="C105" s="18" t="s">
        <v>582</v>
      </c>
      <c r="D105" s="18" t="s">
        <v>5</v>
      </c>
      <c r="E105" s="18" t="s">
        <v>612</v>
      </c>
      <c r="F105" s="18" t="s">
        <v>483</v>
      </c>
      <c r="G105" s="18" t="s">
        <v>480</v>
      </c>
      <c r="H105" s="18" t="s">
        <v>613</v>
      </c>
      <c r="I105" s="18" t="s">
        <v>614</v>
      </c>
      <c r="J105" s="189" t="s">
        <v>615</v>
      </c>
      <c r="K105" s="190">
        <v>959.0</v>
      </c>
      <c r="L105" s="18" t="s">
        <v>21</v>
      </c>
    </row>
    <row r="106" ht="15.75" customHeight="1">
      <c r="A106" s="18" t="s">
        <v>26</v>
      </c>
      <c r="B106" s="18" t="s">
        <v>403</v>
      </c>
      <c r="C106" s="18" t="s">
        <v>582</v>
      </c>
      <c r="D106" s="18" t="s">
        <v>5</v>
      </c>
      <c r="E106" s="18" t="s">
        <v>612</v>
      </c>
      <c r="F106" s="18" t="s">
        <v>483</v>
      </c>
      <c r="G106" s="18" t="s">
        <v>480</v>
      </c>
      <c r="H106" s="18" t="s">
        <v>613</v>
      </c>
      <c r="I106" s="18" t="s">
        <v>614</v>
      </c>
      <c r="J106" s="189" t="s">
        <v>615</v>
      </c>
      <c r="K106" s="190">
        <v>959.0</v>
      </c>
      <c r="L106" s="18" t="s">
        <v>21</v>
      </c>
    </row>
    <row r="107" ht="15.75" customHeight="1">
      <c r="A107" s="18" t="s">
        <v>26</v>
      </c>
      <c r="B107" s="18" t="s">
        <v>403</v>
      </c>
      <c r="C107" s="18" t="s">
        <v>582</v>
      </c>
      <c r="D107" s="18" t="s">
        <v>5</v>
      </c>
      <c r="E107" s="18" t="s">
        <v>612</v>
      </c>
      <c r="F107" s="18" t="s">
        <v>483</v>
      </c>
      <c r="G107" s="18" t="s">
        <v>480</v>
      </c>
      <c r="H107" s="18" t="s">
        <v>613</v>
      </c>
      <c r="I107" s="18" t="s">
        <v>614</v>
      </c>
      <c r="J107" s="189" t="s">
        <v>615</v>
      </c>
      <c r="K107" s="190">
        <v>818.0</v>
      </c>
      <c r="L107" s="18" t="s">
        <v>21</v>
      </c>
    </row>
    <row r="108" ht="15.75" customHeight="1">
      <c r="A108" s="18" t="s">
        <v>26</v>
      </c>
      <c r="B108" s="18" t="s">
        <v>403</v>
      </c>
      <c r="C108" s="18" t="s">
        <v>582</v>
      </c>
      <c r="D108" s="18" t="s">
        <v>5</v>
      </c>
      <c r="E108" s="18" t="s">
        <v>612</v>
      </c>
      <c r="F108" s="18" t="s">
        <v>483</v>
      </c>
      <c r="G108" s="18" t="s">
        <v>480</v>
      </c>
      <c r="H108" s="18" t="s">
        <v>613</v>
      </c>
      <c r="I108" s="18" t="s">
        <v>614</v>
      </c>
      <c r="J108" s="189" t="s">
        <v>615</v>
      </c>
      <c r="K108" s="190">
        <v>959.0</v>
      </c>
      <c r="L108" s="18" t="s">
        <v>21</v>
      </c>
    </row>
    <row r="109" ht="15.75" customHeight="1">
      <c r="A109" s="18" t="s">
        <v>26</v>
      </c>
      <c r="B109" s="18" t="s">
        <v>71</v>
      </c>
      <c r="C109" s="18" t="s">
        <v>515</v>
      </c>
      <c r="D109" s="18" t="s">
        <v>5</v>
      </c>
      <c r="E109" s="18" t="s">
        <v>616</v>
      </c>
      <c r="F109" s="18" t="s">
        <v>329</v>
      </c>
      <c r="G109" s="18" t="s">
        <v>329</v>
      </c>
      <c r="H109" s="18" t="s">
        <v>617</v>
      </c>
      <c r="I109" s="18" t="s">
        <v>618</v>
      </c>
      <c r="J109" s="189" t="s">
        <v>619</v>
      </c>
      <c r="K109" s="190">
        <v>4500.0</v>
      </c>
      <c r="L109" s="65" t="s">
        <v>148</v>
      </c>
    </row>
    <row r="110" ht="15.75" customHeight="1">
      <c r="A110" s="21" t="s">
        <v>27</v>
      </c>
      <c r="B110" s="21" t="s">
        <v>77</v>
      </c>
      <c r="C110" s="21" t="s">
        <v>515</v>
      </c>
      <c r="D110" s="21" t="s">
        <v>5</v>
      </c>
      <c r="E110" s="21" t="s">
        <v>620</v>
      </c>
      <c r="F110" s="21" t="s">
        <v>621</v>
      </c>
      <c r="G110" s="21" t="s">
        <v>349</v>
      </c>
      <c r="H110" s="21" t="s">
        <v>622</v>
      </c>
      <c r="I110" s="21" t="s">
        <v>623</v>
      </c>
      <c r="J110" s="191" t="s">
        <v>624</v>
      </c>
      <c r="K110" s="192">
        <v>31152.0</v>
      </c>
      <c r="L110" s="66" t="s">
        <v>148</v>
      </c>
    </row>
    <row r="111" ht="15.75" customHeight="1">
      <c r="A111" s="21" t="s">
        <v>27</v>
      </c>
      <c r="B111" s="21" t="s">
        <v>77</v>
      </c>
      <c r="C111" s="21" t="s">
        <v>515</v>
      </c>
      <c r="D111" s="21" t="s">
        <v>5</v>
      </c>
      <c r="E111" s="21" t="s">
        <v>625</v>
      </c>
      <c r="F111" s="21" t="s">
        <v>429</v>
      </c>
      <c r="G111" s="21" t="s">
        <v>626</v>
      </c>
      <c r="H111" s="21" t="s">
        <v>622</v>
      </c>
      <c r="I111" s="21" t="s">
        <v>623</v>
      </c>
      <c r="J111" s="191" t="s">
        <v>627</v>
      </c>
      <c r="K111" s="192">
        <v>14537.0</v>
      </c>
      <c r="L111" s="66" t="s">
        <v>148</v>
      </c>
    </row>
    <row r="112" ht="15.75" customHeight="1">
      <c r="A112" s="21" t="s">
        <v>27</v>
      </c>
      <c r="B112" s="21" t="s">
        <v>77</v>
      </c>
      <c r="C112" s="21" t="s">
        <v>515</v>
      </c>
      <c r="D112" s="21" t="s">
        <v>5</v>
      </c>
      <c r="E112" s="21" t="s">
        <v>628</v>
      </c>
      <c r="F112" s="21" t="s">
        <v>439</v>
      </c>
      <c r="G112" s="21" t="s">
        <v>439</v>
      </c>
      <c r="H112" s="21" t="s">
        <v>629</v>
      </c>
      <c r="I112" s="21" t="s">
        <v>629</v>
      </c>
      <c r="J112" s="191" t="s">
        <v>630</v>
      </c>
      <c r="K112" s="192">
        <v>18993.0</v>
      </c>
      <c r="L112" s="66" t="s">
        <v>148</v>
      </c>
    </row>
    <row r="113" ht="15.75" customHeight="1">
      <c r="A113" s="21" t="s">
        <v>27</v>
      </c>
      <c r="B113" s="21" t="s">
        <v>77</v>
      </c>
      <c r="C113" s="21" t="s">
        <v>515</v>
      </c>
      <c r="D113" s="21" t="s">
        <v>5</v>
      </c>
      <c r="E113" s="21" t="s">
        <v>631</v>
      </c>
      <c r="F113" s="21" t="s">
        <v>439</v>
      </c>
      <c r="G113" s="21" t="s">
        <v>439</v>
      </c>
      <c r="H113" s="21" t="s">
        <v>629</v>
      </c>
      <c r="I113" s="21" t="s">
        <v>629</v>
      </c>
      <c r="J113" s="191" t="s">
        <v>632</v>
      </c>
      <c r="K113" s="192">
        <v>18706.0</v>
      </c>
      <c r="L113" s="66" t="s">
        <v>148</v>
      </c>
    </row>
    <row r="114" ht="15.75" customHeight="1">
      <c r="A114" s="21" t="s">
        <v>27</v>
      </c>
      <c r="B114" s="21" t="s">
        <v>77</v>
      </c>
      <c r="C114" s="21" t="s">
        <v>459</v>
      </c>
      <c r="D114" s="21" t="s">
        <v>5</v>
      </c>
      <c r="E114" s="21" t="s">
        <v>633</v>
      </c>
      <c r="F114" s="21" t="s">
        <v>439</v>
      </c>
      <c r="G114" s="21" t="s">
        <v>634</v>
      </c>
      <c r="H114" s="21" t="s">
        <v>617</v>
      </c>
      <c r="I114" s="21" t="s">
        <v>635</v>
      </c>
      <c r="J114" s="191" t="s">
        <v>636</v>
      </c>
      <c r="K114" s="192">
        <v>748.0</v>
      </c>
      <c r="L114" s="21" t="s">
        <v>21</v>
      </c>
    </row>
    <row r="115" ht="15.75" customHeight="1">
      <c r="A115" s="21" t="s">
        <v>27</v>
      </c>
      <c r="B115" s="21" t="s">
        <v>77</v>
      </c>
      <c r="C115" s="21" t="s">
        <v>637</v>
      </c>
      <c r="D115" s="21" t="s">
        <v>5</v>
      </c>
      <c r="E115" s="21" t="s">
        <v>638</v>
      </c>
      <c r="F115" s="21" t="s">
        <v>439</v>
      </c>
      <c r="G115" s="21" t="s">
        <v>439</v>
      </c>
      <c r="H115" s="21" t="s">
        <v>629</v>
      </c>
      <c r="I115" s="21" t="s">
        <v>629</v>
      </c>
      <c r="J115" s="191" t="s">
        <v>639</v>
      </c>
      <c r="K115" s="192">
        <v>2240.0</v>
      </c>
      <c r="L115" s="66" t="s">
        <v>148</v>
      </c>
    </row>
    <row r="116" ht="15.75" customHeight="1">
      <c r="A116" s="21" t="s">
        <v>27</v>
      </c>
      <c r="B116" s="21" t="s">
        <v>77</v>
      </c>
      <c r="C116" s="21" t="s">
        <v>515</v>
      </c>
      <c r="D116" s="21" t="s">
        <v>5</v>
      </c>
      <c r="E116" s="21" t="s">
        <v>640</v>
      </c>
      <c r="F116" s="21" t="s">
        <v>439</v>
      </c>
      <c r="G116" s="21" t="s">
        <v>439</v>
      </c>
      <c r="H116" s="21" t="s">
        <v>629</v>
      </c>
      <c r="I116" s="21" t="s">
        <v>629</v>
      </c>
      <c r="J116" s="191" t="s">
        <v>641</v>
      </c>
      <c r="K116" s="192">
        <v>19893.0</v>
      </c>
      <c r="L116" s="66" t="s">
        <v>148</v>
      </c>
    </row>
    <row r="117" ht="15.75" customHeight="1">
      <c r="A117" s="21" t="s">
        <v>27</v>
      </c>
      <c r="B117" s="21" t="s">
        <v>77</v>
      </c>
      <c r="C117" s="21" t="s">
        <v>515</v>
      </c>
      <c r="D117" s="21" t="s">
        <v>5</v>
      </c>
      <c r="E117" s="21" t="s">
        <v>642</v>
      </c>
      <c r="F117" s="21" t="s">
        <v>439</v>
      </c>
      <c r="G117" s="21" t="s">
        <v>439</v>
      </c>
      <c r="H117" s="21" t="s">
        <v>629</v>
      </c>
      <c r="I117" s="21" t="s">
        <v>629</v>
      </c>
      <c r="J117" s="191" t="s">
        <v>643</v>
      </c>
      <c r="K117" s="192">
        <v>16430.0</v>
      </c>
      <c r="L117" s="66" t="s">
        <v>148</v>
      </c>
    </row>
    <row r="118" ht="15.75" customHeight="1">
      <c r="A118" s="21" t="s">
        <v>27</v>
      </c>
      <c r="B118" s="21" t="s">
        <v>77</v>
      </c>
      <c r="C118" s="21" t="s">
        <v>515</v>
      </c>
      <c r="D118" s="21" t="s">
        <v>5</v>
      </c>
      <c r="E118" s="21" t="s">
        <v>644</v>
      </c>
      <c r="F118" s="21" t="s">
        <v>450</v>
      </c>
      <c r="G118" s="21" t="s">
        <v>439</v>
      </c>
      <c r="H118" s="21" t="s">
        <v>629</v>
      </c>
      <c r="I118" s="21" t="s">
        <v>645</v>
      </c>
      <c r="J118" s="191" t="s">
        <v>646</v>
      </c>
      <c r="K118" s="192">
        <v>22805.0</v>
      </c>
      <c r="L118" s="66" t="s">
        <v>148</v>
      </c>
    </row>
    <row r="119" ht="15.75" customHeight="1">
      <c r="A119" s="21" t="s">
        <v>27</v>
      </c>
      <c r="B119" s="21" t="s">
        <v>77</v>
      </c>
      <c r="C119" s="21" t="s">
        <v>466</v>
      </c>
      <c r="D119" s="21" t="s">
        <v>5</v>
      </c>
      <c r="E119" s="21" t="s">
        <v>647</v>
      </c>
      <c r="F119" s="21" t="s">
        <v>429</v>
      </c>
      <c r="G119" s="21" t="s">
        <v>648</v>
      </c>
      <c r="H119" s="21" t="s">
        <v>617</v>
      </c>
      <c r="I119" s="21" t="s">
        <v>649</v>
      </c>
      <c r="J119" s="191" t="s">
        <v>650</v>
      </c>
      <c r="K119" s="192">
        <v>156.0</v>
      </c>
      <c r="L119" s="21" t="s">
        <v>21</v>
      </c>
    </row>
    <row r="120" ht="15.75" customHeight="1">
      <c r="A120" s="21" t="s">
        <v>27</v>
      </c>
      <c r="B120" s="21" t="s">
        <v>77</v>
      </c>
      <c r="C120" s="21" t="s">
        <v>466</v>
      </c>
      <c r="D120" s="21" t="s">
        <v>5</v>
      </c>
      <c r="E120" s="21" t="s">
        <v>647</v>
      </c>
      <c r="F120" s="21" t="s">
        <v>429</v>
      </c>
      <c r="G120" s="21" t="s">
        <v>651</v>
      </c>
      <c r="H120" s="21" t="s">
        <v>617</v>
      </c>
      <c r="I120" s="21" t="s">
        <v>649</v>
      </c>
      <c r="J120" s="191" t="s">
        <v>652</v>
      </c>
      <c r="K120" s="192">
        <v>341.0</v>
      </c>
      <c r="L120" s="21" t="s">
        <v>21</v>
      </c>
    </row>
    <row r="121" ht="15.75" customHeight="1">
      <c r="A121" s="21" t="s">
        <v>27</v>
      </c>
      <c r="B121" s="21" t="s">
        <v>77</v>
      </c>
      <c r="C121" s="21" t="s">
        <v>515</v>
      </c>
      <c r="D121" s="21" t="s">
        <v>5</v>
      </c>
      <c r="E121" s="21" t="s">
        <v>653</v>
      </c>
      <c r="F121" s="21" t="s">
        <v>439</v>
      </c>
      <c r="G121" s="21" t="s">
        <v>439</v>
      </c>
      <c r="H121" s="21" t="s">
        <v>629</v>
      </c>
      <c r="I121" s="21" t="s">
        <v>645</v>
      </c>
      <c r="J121" s="191" t="s">
        <v>654</v>
      </c>
      <c r="K121" s="192">
        <v>27358.0</v>
      </c>
      <c r="L121" s="66" t="s">
        <v>148</v>
      </c>
    </row>
    <row r="122" ht="15.75" customHeight="1">
      <c r="A122" s="21" t="s">
        <v>27</v>
      </c>
      <c r="B122" s="21" t="s">
        <v>77</v>
      </c>
      <c r="C122" s="21" t="s">
        <v>459</v>
      </c>
      <c r="D122" s="21" t="s">
        <v>5</v>
      </c>
      <c r="E122" s="21" t="s">
        <v>449</v>
      </c>
      <c r="F122" s="21" t="s">
        <v>450</v>
      </c>
      <c r="G122" s="21" t="s">
        <v>655</v>
      </c>
      <c r="H122" s="21" t="s">
        <v>451</v>
      </c>
      <c r="I122" s="21" t="s">
        <v>656</v>
      </c>
      <c r="J122" s="191" t="s">
        <v>657</v>
      </c>
      <c r="K122" s="192">
        <v>199.0</v>
      </c>
      <c r="L122" s="21" t="s">
        <v>21</v>
      </c>
    </row>
    <row r="123" ht="15.75" customHeight="1">
      <c r="A123" s="21" t="s">
        <v>27</v>
      </c>
      <c r="B123" s="21" t="s">
        <v>77</v>
      </c>
      <c r="C123" s="21" t="s">
        <v>515</v>
      </c>
      <c r="D123" s="21" t="s">
        <v>5</v>
      </c>
      <c r="E123" s="21" t="s">
        <v>449</v>
      </c>
      <c r="F123" s="21" t="s">
        <v>450</v>
      </c>
      <c r="G123" s="21" t="s">
        <v>446</v>
      </c>
      <c r="H123" s="21" t="s">
        <v>451</v>
      </c>
      <c r="I123" s="21" t="s">
        <v>658</v>
      </c>
      <c r="J123" s="191" t="s">
        <v>659</v>
      </c>
      <c r="K123" s="192">
        <v>120.0</v>
      </c>
      <c r="L123" s="66" t="s">
        <v>148</v>
      </c>
    </row>
    <row r="124" ht="15.75" customHeight="1">
      <c r="A124" s="21" t="s">
        <v>27</v>
      </c>
      <c r="B124" s="21" t="s">
        <v>77</v>
      </c>
      <c r="C124" s="21" t="s">
        <v>515</v>
      </c>
      <c r="D124" s="21" t="s">
        <v>5</v>
      </c>
      <c r="E124" s="21" t="s">
        <v>449</v>
      </c>
      <c r="F124" s="21" t="s">
        <v>450</v>
      </c>
      <c r="G124" s="21" t="s">
        <v>439</v>
      </c>
      <c r="H124" s="21" t="s">
        <v>451</v>
      </c>
      <c r="I124" s="21" t="s">
        <v>658</v>
      </c>
      <c r="J124" s="191" t="s">
        <v>659</v>
      </c>
      <c r="K124" s="192">
        <v>205.0</v>
      </c>
      <c r="L124" s="66" t="s">
        <v>148</v>
      </c>
    </row>
    <row r="125" ht="15.75" customHeight="1">
      <c r="A125" s="21" t="s">
        <v>27</v>
      </c>
      <c r="B125" s="21" t="s">
        <v>77</v>
      </c>
      <c r="C125" s="21" t="s">
        <v>515</v>
      </c>
      <c r="D125" s="21" t="s">
        <v>5</v>
      </c>
      <c r="E125" s="21" t="s">
        <v>449</v>
      </c>
      <c r="F125" s="21" t="s">
        <v>450</v>
      </c>
      <c r="G125" s="21" t="s">
        <v>439</v>
      </c>
      <c r="H125" s="21" t="s">
        <v>451</v>
      </c>
      <c r="I125" s="21" t="s">
        <v>658</v>
      </c>
      <c r="J125" s="191" t="s">
        <v>659</v>
      </c>
      <c r="K125" s="192">
        <v>189.0</v>
      </c>
      <c r="L125" s="66" t="s">
        <v>148</v>
      </c>
    </row>
    <row r="126" ht="15.75" customHeight="1">
      <c r="A126" s="21" t="s">
        <v>27</v>
      </c>
      <c r="B126" s="21" t="s">
        <v>77</v>
      </c>
      <c r="C126" s="21" t="s">
        <v>466</v>
      </c>
      <c r="D126" s="21" t="s">
        <v>5</v>
      </c>
      <c r="E126" s="21" t="s">
        <v>647</v>
      </c>
      <c r="F126" s="21" t="s">
        <v>660</v>
      </c>
      <c r="G126" s="21" t="s">
        <v>660</v>
      </c>
      <c r="H126" s="21" t="s">
        <v>661</v>
      </c>
      <c r="I126" s="21" t="s">
        <v>662</v>
      </c>
      <c r="J126" s="191" t="s">
        <v>663</v>
      </c>
      <c r="K126" s="192">
        <v>5000.0</v>
      </c>
      <c r="L126" s="21" t="s">
        <v>21</v>
      </c>
    </row>
    <row r="127" ht="15.75" customHeight="1">
      <c r="A127" s="21" t="s">
        <v>27</v>
      </c>
      <c r="B127" s="21" t="s">
        <v>77</v>
      </c>
      <c r="C127" s="21" t="s">
        <v>515</v>
      </c>
      <c r="D127" s="21" t="s">
        <v>5</v>
      </c>
      <c r="E127" s="21" t="s">
        <v>664</v>
      </c>
      <c r="F127" s="21" t="s">
        <v>660</v>
      </c>
      <c r="G127" s="21" t="s">
        <v>660</v>
      </c>
      <c r="H127" s="21" t="s">
        <v>617</v>
      </c>
      <c r="I127" s="21" t="s">
        <v>665</v>
      </c>
      <c r="J127" s="191" t="s">
        <v>666</v>
      </c>
      <c r="K127" s="192">
        <v>4500.0</v>
      </c>
      <c r="L127" s="66" t="s">
        <v>148</v>
      </c>
    </row>
    <row r="128" ht="15.75" customHeight="1">
      <c r="A128" s="21" t="s">
        <v>27</v>
      </c>
      <c r="B128" s="21" t="s">
        <v>77</v>
      </c>
      <c r="C128" s="21" t="s">
        <v>466</v>
      </c>
      <c r="D128" s="21" t="s">
        <v>5</v>
      </c>
      <c r="E128" s="21" t="s">
        <v>518</v>
      </c>
      <c r="F128" s="21" t="s">
        <v>456</v>
      </c>
      <c r="G128" s="21" t="s">
        <v>667</v>
      </c>
      <c r="H128" s="21" t="s">
        <v>513</v>
      </c>
      <c r="I128" s="21" t="s">
        <v>668</v>
      </c>
      <c r="J128" s="191" t="s">
        <v>669</v>
      </c>
      <c r="K128" s="192">
        <v>1279.0</v>
      </c>
      <c r="L128" s="21" t="s">
        <v>21</v>
      </c>
    </row>
    <row r="129" ht="15.75" customHeight="1">
      <c r="A129" s="21" t="s">
        <v>27</v>
      </c>
      <c r="B129" s="21" t="s">
        <v>77</v>
      </c>
      <c r="C129" s="21" t="s">
        <v>459</v>
      </c>
      <c r="D129" s="21" t="s">
        <v>5</v>
      </c>
      <c r="E129" s="21" t="s">
        <v>478</v>
      </c>
      <c r="F129" s="21" t="s">
        <v>479</v>
      </c>
      <c r="G129" s="21" t="s">
        <v>479</v>
      </c>
      <c r="H129" s="21" t="s">
        <v>451</v>
      </c>
      <c r="I129" s="21" t="s">
        <v>464</v>
      </c>
      <c r="J129" s="191" t="s">
        <v>670</v>
      </c>
      <c r="K129" s="192">
        <v>199.0</v>
      </c>
      <c r="L129" s="21" t="s">
        <v>21</v>
      </c>
    </row>
    <row r="130" ht="15.75" customHeight="1">
      <c r="A130" s="21" t="s">
        <v>27</v>
      </c>
      <c r="B130" s="21" t="s">
        <v>77</v>
      </c>
      <c r="C130" s="21" t="s">
        <v>515</v>
      </c>
      <c r="D130" s="21" t="s">
        <v>5</v>
      </c>
      <c r="E130" s="21" t="s">
        <v>671</v>
      </c>
      <c r="F130" s="21" t="s">
        <v>502</v>
      </c>
      <c r="G130" s="21" t="s">
        <v>502</v>
      </c>
      <c r="H130" s="21" t="s">
        <v>622</v>
      </c>
      <c r="I130" s="21" t="s">
        <v>622</v>
      </c>
      <c r="J130" s="191" t="s">
        <v>672</v>
      </c>
      <c r="K130" s="192">
        <v>1160.0</v>
      </c>
      <c r="L130" s="66" t="s">
        <v>148</v>
      </c>
    </row>
    <row r="131" ht="15.75" customHeight="1">
      <c r="A131" s="21" t="s">
        <v>27</v>
      </c>
      <c r="B131" s="21" t="s">
        <v>77</v>
      </c>
      <c r="C131" s="21" t="s">
        <v>515</v>
      </c>
      <c r="D131" s="21" t="s">
        <v>5</v>
      </c>
      <c r="E131" s="21" t="s">
        <v>673</v>
      </c>
      <c r="F131" s="21" t="s">
        <v>502</v>
      </c>
      <c r="G131" s="21" t="s">
        <v>502</v>
      </c>
      <c r="H131" s="21" t="s">
        <v>622</v>
      </c>
      <c r="I131" s="21" t="s">
        <v>623</v>
      </c>
      <c r="J131" s="191" t="s">
        <v>674</v>
      </c>
      <c r="K131" s="192">
        <v>6230.0</v>
      </c>
      <c r="L131" s="66" t="s">
        <v>148</v>
      </c>
    </row>
    <row r="132" ht="15.75" customHeight="1">
      <c r="A132" s="21" t="s">
        <v>27</v>
      </c>
      <c r="B132" s="21" t="s">
        <v>210</v>
      </c>
      <c r="C132" s="21" t="s">
        <v>437</v>
      </c>
      <c r="D132" s="21" t="s">
        <v>5</v>
      </c>
      <c r="E132" s="21" t="s">
        <v>675</v>
      </c>
      <c r="F132" s="21" t="s">
        <v>539</v>
      </c>
      <c r="G132" s="21" t="s">
        <v>329</v>
      </c>
      <c r="H132" s="21" t="s">
        <v>676</v>
      </c>
      <c r="I132" s="21" t="s">
        <v>676</v>
      </c>
      <c r="J132" s="191" t="s">
        <v>677</v>
      </c>
      <c r="K132" s="192">
        <v>6948.0</v>
      </c>
      <c r="L132" s="21" t="s">
        <v>21</v>
      </c>
    </row>
    <row r="133" ht="15.75" customHeight="1">
      <c r="A133" s="21" t="s">
        <v>27</v>
      </c>
      <c r="B133" s="21" t="s">
        <v>210</v>
      </c>
      <c r="C133" s="21" t="s">
        <v>437</v>
      </c>
      <c r="D133" s="21" t="s">
        <v>5</v>
      </c>
      <c r="E133" s="21" t="s">
        <v>532</v>
      </c>
      <c r="F133" s="21" t="s">
        <v>468</v>
      </c>
      <c r="G133" s="21" t="s">
        <v>468</v>
      </c>
      <c r="H133" s="21" t="s">
        <v>533</v>
      </c>
      <c r="I133" s="21" t="s">
        <v>470</v>
      </c>
      <c r="J133" s="191" t="s">
        <v>678</v>
      </c>
      <c r="K133" s="192">
        <v>1050.0</v>
      </c>
      <c r="L133" s="21" t="s">
        <v>21</v>
      </c>
    </row>
    <row r="134" ht="15.75" customHeight="1">
      <c r="A134" s="21" t="s">
        <v>27</v>
      </c>
      <c r="B134" s="21" t="s">
        <v>210</v>
      </c>
      <c r="C134" s="21" t="s">
        <v>437</v>
      </c>
      <c r="D134" s="21" t="s">
        <v>5</v>
      </c>
      <c r="E134" s="21" t="s">
        <v>679</v>
      </c>
      <c r="F134" s="21" t="s">
        <v>543</v>
      </c>
      <c r="G134" s="21" t="s">
        <v>660</v>
      </c>
      <c r="H134" s="21" t="s">
        <v>680</v>
      </c>
      <c r="I134" s="21" t="s">
        <v>454</v>
      </c>
      <c r="J134" s="191" t="s">
        <v>681</v>
      </c>
      <c r="K134" s="192">
        <v>310.0</v>
      </c>
      <c r="L134" s="21" t="s">
        <v>21</v>
      </c>
    </row>
    <row r="135" ht="15.75" customHeight="1">
      <c r="A135" s="24" t="s">
        <v>28</v>
      </c>
      <c r="B135" s="24" t="s">
        <v>28</v>
      </c>
      <c r="C135" s="24" t="s">
        <v>444</v>
      </c>
      <c r="D135" s="24" t="s">
        <v>5</v>
      </c>
      <c r="E135" s="24" t="s">
        <v>682</v>
      </c>
      <c r="F135" s="24" t="s">
        <v>446</v>
      </c>
      <c r="G135" s="24" t="s">
        <v>446</v>
      </c>
      <c r="H135" s="24" t="s">
        <v>683</v>
      </c>
      <c r="I135" s="24" t="s">
        <v>683</v>
      </c>
      <c r="J135" s="193" t="s">
        <v>684</v>
      </c>
      <c r="K135" s="194">
        <v>23196.0</v>
      </c>
      <c r="L135" s="24" t="s">
        <v>21</v>
      </c>
    </row>
    <row r="136" ht="15.75" customHeight="1">
      <c r="A136" s="24" t="s">
        <v>28</v>
      </c>
      <c r="B136" s="24" t="s">
        <v>28</v>
      </c>
      <c r="C136" s="24" t="s">
        <v>685</v>
      </c>
      <c r="D136" s="24" t="s">
        <v>5</v>
      </c>
      <c r="E136" s="24" t="s">
        <v>686</v>
      </c>
      <c r="F136" s="24" t="s">
        <v>446</v>
      </c>
      <c r="G136" s="24" t="s">
        <v>687</v>
      </c>
      <c r="H136" s="24" t="s">
        <v>688</v>
      </c>
      <c r="I136" s="24" t="s">
        <v>689</v>
      </c>
      <c r="J136" s="193" t="s">
        <v>690</v>
      </c>
      <c r="K136" s="194">
        <v>7193.0</v>
      </c>
      <c r="L136" s="24" t="s">
        <v>21</v>
      </c>
    </row>
    <row r="137" ht="15.75" customHeight="1">
      <c r="A137" s="24" t="s">
        <v>28</v>
      </c>
      <c r="B137" s="24" t="s">
        <v>28</v>
      </c>
      <c r="C137" s="24" t="s">
        <v>685</v>
      </c>
      <c r="D137" s="24" t="s">
        <v>5</v>
      </c>
      <c r="E137" s="24" t="s">
        <v>686</v>
      </c>
      <c r="F137" s="24" t="s">
        <v>446</v>
      </c>
      <c r="G137" s="24" t="s">
        <v>691</v>
      </c>
      <c r="H137" s="24" t="s">
        <v>688</v>
      </c>
      <c r="I137" s="24" t="s">
        <v>692</v>
      </c>
      <c r="J137" s="193" t="s">
        <v>692</v>
      </c>
      <c r="K137" s="194">
        <v>1200.0</v>
      </c>
      <c r="L137" s="24" t="s">
        <v>21</v>
      </c>
    </row>
    <row r="138" ht="15.75" customHeight="1">
      <c r="A138" s="24" t="s">
        <v>28</v>
      </c>
      <c r="B138" s="24" t="s">
        <v>28</v>
      </c>
      <c r="C138" s="24" t="s">
        <v>685</v>
      </c>
      <c r="D138" s="24" t="s">
        <v>5</v>
      </c>
      <c r="E138" s="24" t="s">
        <v>686</v>
      </c>
      <c r="F138" s="24" t="s">
        <v>446</v>
      </c>
      <c r="G138" s="24" t="s">
        <v>648</v>
      </c>
      <c r="H138" s="24" t="s">
        <v>688</v>
      </c>
      <c r="I138" s="24" t="s">
        <v>693</v>
      </c>
      <c r="J138" s="193" t="s">
        <v>694</v>
      </c>
      <c r="K138" s="194">
        <v>4962.0</v>
      </c>
      <c r="L138" s="24" t="s">
        <v>21</v>
      </c>
    </row>
    <row r="139" ht="15.75" customHeight="1">
      <c r="A139" s="24" t="s">
        <v>28</v>
      </c>
      <c r="B139" s="24" t="s">
        <v>28</v>
      </c>
      <c r="C139" s="24" t="s">
        <v>685</v>
      </c>
      <c r="D139" s="24" t="s">
        <v>5</v>
      </c>
      <c r="E139" s="24" t="s">
        <v>686</v>
      </c>
      <c r="F139" s="24" t="s">
        <v>446</v>
      </c>
      <c r="G139" s="24" t="s">
        <v>626</v>
      </c>
      <c r="H139" s="24" t="s">
        <v>688</v>
      </c>
      <c r="I139" s="24" t="s">
        <v>693</v>
      </c>
      <c r="J139" s="193" t="s">
        <v>695</v>
      </c>
      <c r="K139" s="194">
        <v>45145.0</v>
      </c>
      <c r="L139" s="24" t="s">
        <v>21</v>
      </c>
    </row>
    <row r="140" ht="15.75" customHeight="1">
      <c r="A140" s="24" t="s">
        <v>28</v>
      </c>
      <c r="B140" s="24" t="s">
        <v>28</v>
      </c>
      <c r="C140" s="24" t="s">
        <v>685</v>
      </c>
      <c r="D140" s="24" t="s">
        <v>5</v>
      </c>
      <c r="E140" s="24" t="s">
        <v>686</v>
      </c>
      <c r="F140" s="24" t="s">
        <v>446</v>
      </c>
      <c r="G140" s="24" t="s">
        <v>696</v>
      </c>
      <c r="H140" s="24" t="s">
        <v>688</v>
      </c>
      <c r="I140" s="24" t="s">
        <v>697</v>
      </c>
      <c r="J140" s="193" t="s">
        <v>697</v>
      </c>
      <c r="K140" s="194">
        <v>1499.0</v>
      </c>
      <c r="L140" s="24" t="s">
        <v>21</v>
      </c>
    </row>
    <row r="141" ht="15.75" customHeight="1">
      <c r="A141" s="24" t="s">
        <v>28</v>
      </c>
      <c r="B141" s="24" t="s">
        <v>28</v>
      </c>
      <c r="C141" s="24" t="s">
        <v>444</v>
      </c>
      <c r="D141" s="24" t="s">
        <v>5</v>
      </c>
      <c r="E141" s="24" t="s">
        <v>628</v>
      </c>
      <c r="F141" s="24" t="s">
        <v>460</v>
      </c>
      <c r="G141" s="24" t="s">
        <v>446</v>
      </c>
      <c r="H141" s="24" t="s">
        <v>354</v>
      </c>
      <c r="I141" s="24" t="s">
        <v>354</v>
      </c>
      <c r="J141" s="193" t="s">
        <v>698</v>
      </c>
      <c r="K141" s="194">
        <v>46704.0</v>
      </c>
      <c r="L141" s="24" t="s">
        <v>21</v>
      </c>
    </row>
    <row r="142" ht="15.75" customHeight="1">
      <c r="A142" s="24" t="s">
        <v>28</v>
      </c>
      <c r="B142" s="24" t="s">
        <v>28</v>
      </c>
      <c r="C142" s="24" t="s">
        <v>444</v>
      </c>
      <c r="D142" s="24" t="s">
        <v>5</v>
      </c>
      <c r="E142" s="24" t="s">
        <v>642</v>
      </c>
      <c r="F142" s="24" t="s">
        <v>460</v>
      </c>
      <c r="G142" s="24" t="s">
        <v>460</v>
      </c>
      <c r="H142" s="24" t="s">
        <v>699</v>
      </c>
      <c r="I142" s="24" t="s">
        <v>699</v>
      </c>
      <c r="J142" s="193" t="s">
        <v>700</v>
      </c>
      <c r="K142" s="194">
        <v>20999.0</v>
      </c>
      <c r="L142" s="24" t="s">
        <v>21</v>
      </c>
    </row>
    <row r="143" ht="15.75" customHeight="1">
      <c r="A143" s="24" t="s">
        <v>28</v>
      </c>
      <c r="B143" s="24" t="s">
        <v>28</v>
      </c>
      <c r="C143" s="24" t="s">
        <v>685</v>
      </c>
      <c r="D143" s="24" t="s">
        <v>5</v>
      </c>
      <c r="E143" s="24" t="s">
        <v>640</v>
      </c>
      <c r="F143" s="24" t="s">
        <v>474</v>
      </c>
      <c r="G143" s="24" t="s">
        <v>474</v>
      </c>
      <c r="H143" s="24" t="s">
        <v>701</v>
      </c>
      <c r="I143" s="24" t="s">
        <v>702</v>
      </c>
      <c r="J143" s="193" t="s">
        <v>703</v>
      </c>
      <c r="K143" s="194">
        <v>4490.0</v>
      </c>
      <c r="L143" s="24" t="s">
        <v>21</v>
      </c>
    </row>
    <row r="144" ht="15.75" customHeight="1">
      <c r="A144" s="24" t="s">
        <v>28</v>
      </c>
      <c r="B144" s="24" t="s">
        <v>28</v>
      </c>
      <c r="C144" s="24" t="s">
        <v>466</v>
      </c>
      <c r="D144" s="24" t="s">
        <v>5</v>
      </c>
      <c r="E144" s="24" t="s">
        <v>647</v>
      </c>
      <c r="F144" s="24" t="s">
        <v>660</v>
      </c>
      <c r="G144" s="24" t="s">
        <v>660</v>
      </c>
      <c r="H144" s="24" t="s">
        <v>661</v>
      </c>
      <c r="I144" s="24" t="s">
        <v>662</v>
      </c>
      <c r="J144" s="193" t="s">
        <v>704</v>
      </c>
      <c r="K144" s="194">
        <v>500.0</v>
      </c>
      <c r="L144" s="24" t="s">
        <v>21</v>
      </c>
    </row>
    <row r="145" ht="15.75" customHeight="1">
      <c r="A145" s="24" t="s">
        <v>28</v>
      </c>
      <c r="B145" s="24" t="s">
        <v>28</v>
      </c>
      <c r="C145" s="24" t="s">
        <v>705</v>
      </c>
      <c r="D145" s="24" t="s">
        <v>5</v>
      </c>
      <c r="E145" s="24" t="s">
        <v>706</v>
      </c>
      <c r="F145" s="24" t="s">
        <v>483</v>
      </c>
      <c r="G145" s="24" t="s">
        <v>456</v>
      </c>
      <c r="H145" s="24" t="s">
        <v>707</v>
      </c>
      <c r="I145" s="24" t="s">
        <v>707</v>
      </c>
      <c r="J145" s="193" t="s">
        <v>708</v>
      </c>
      <c r="K145" s="194">
        <v>553500.0</v>
      </c>
      <c r="L145" s="67" t="s">
        <v>148</v>
      </c>
    </row>
    <row r="146" ht="15.75" customHeight="1">
      <c r="A146" s="24" t="s">
        <v>28</v>
      </c>
      <c r="B146" s="24" t="s">
        <v>28</v>
      </c>
      <c r="C146" s="24" t="s">
        <v>705</v>
      </c>
      <c r="D146" s="24" t="s">
        <v>5</v>
      </c>
      <c r="E146" s="24" t="s">
        <v>706</v>
      </c>
      <c r="F146" s="24" t="s">
        <v>483</v>
      </c>
      <c r="G146" s="24" t="s">
        <v>456</v>
      </c>
      <c r="H146" s="24" t="s">
        <v>707</v>
      </c>
      <c r="I146" s="24" t="s">
        <v>707</v>
      </c>
      <c r="J146" s="193" t="s">
        <v>709</v>
      </c>
      <c r="K146" s="194">
        <v>66420.0</v>
      </c>
      <c r="L146" s="67" t="s">
        <v>148</v>
      </c>
    </row>
    <row r="147" ht="15.75" customHeight="1">
      <c r="A147" s="24" t="s">
        <v>28</v>
      </c>
      <c r="B147" s="24" t="s">
        <v>28</v>
      </c>
      <c r="C147" s="24" t="s">
        <v>685</v>
      </c>
      <c r="D147" s="24" t="s">
        <v>5</v>
      </c>
      <c r="E147" s="24" t="s">
        <v>612</v>
      </c>
      <c r="F147" s="24" t="s">
        <v>483</v>
      </c>
      <c r="G147" s="24" t="s">
        <v>480</v>
      </c>
      <c r="H147" s="24" t="s">
        <v>613</v>
      </c>
      <c r="I147" s="24" t="s">
        <v>710</v>
      </c>
      <c r="J147" s="193" t="s">
        <v>711</v>
      </c>
      <c r="K147" s="194">
        <v>42922.0</v>
      </c>
      <c r="L147" s="24" t="s">
        <v>21</v>
      </c>
    </row>
    <row r="148" ht="15.75" customHeight="1">
      <c r="A148" s="24" t="s">
        <v>28</v>
      </c>
      <c r="B148" s="24" t="s">
        <v>28</v>
      </c>
      <c r="C148" s="24" t="s">
        <v>685</v>
      </c>
      <c r="D148" s="24" t="s">
        <v>5</v>
      </c>
      <c r="E148" s="24" t="s">
        <v>612</v>
      </c>
      <c r="F148" s="24" t="s">
        <v>483</v>
      </c>
      <c r="G148" s="24" t="s">
        <v>480</v>
      </c>
      <c r="H148" s="24" t="s">
        <v>613</v>
      </c>
      <c r="I148" s="24" t="s">
        <v>710</v>
      </c>
      <c r="J148" s="193" t="s">
        <v>712</v>
      </c>
      <c r="K148" s="194">
        <v>5102.0</v>
      </c>
      <c r="L148" s="24" t="s">
        <v>21</v>
      </c>
    </row>
    <row r="149" ht="15.75" customHeight="1">
      <c r="A149" s="24" t="s">
        <v>28</v>
      </c>
      <c r="B149" s="24" t="s">
        <v>28</v>
      </c>
      <c r="C149" s="24" t="s">
        <v>685</v>
      </c>
      <c r="D149" s="24" t="s">
        <v>5</v>
      </c>
      <c r="E149" s="24" t="s">
        <v>612</v>
      </c>
      <c r="F149" s="24" t="s">
        <v>483</v>
      </c>
      <c r="G149" s="24" t="s">
        <v>480</v>
      </c>
      <c r="H149" s="24" t="s">
        <v>613</v>
      </c>
      <c r="I149" s="24" t="s">
        <v>710</v>
      </c>
      <c r="J149" s="193" t="s">
        <v>713</v>
      </c>
      <c r="K149" s="194">
        <v>4042.0</v>
      </c>
      <c r="L149" s="24" t="s">
        <v>21</v>
      </c>
    </row>
    <row r="150" ht="15.75" customHeight="1">
      <c r="A150" s="24" t="s">
        <v>28</v>
      </c>
      <c r="B150" s="24" t="s">
        <v>28</v>
      </c>
      <c r="C150" s="24" t="s">
        <v>685</v>
      </c>
      <c r="D150" s="24" t="s">
        <v>5</v>
      </c>
      <c r="E150" s="24" t="s">
        <v>714</v>
      </c>
      <c r="F150" s="24" t="s">
        <v>489</v>
      </c>
      <c r="G150" s="24" t="s">
        <v>489</v>
      </c>
      <c r="H150" s="24" t="s">
        <v>613</v>
      </c>
      <c r="I150" s="24" t="s">
        <v>715</v>
      </c>
      <c r="J150" s="193" t="s">
        <v>716</v>
      </c>
      <c r="K150" s="194">
        <v>1993.0</v>
      </c>
      <c r="L150" s="24" t="s">
        <v>21</v>
      </c>
    </row>
    <row r="151" ht="15.75" customHeight="1">
      <c r="A151" s="24" t="s">
        <v>28</v>
      </c>
      <c r="B151" s="24" t="s">
        <v>28</v>
      </c>
      <c r="C151" s="24" t="s">
        <v>685</v>
      </c>
      <c r="D151" s="24" t="s">
        <v>5</v>
      </c>
      <c r="E151" s="24" t="s">
        <v>714</v>
      </c>
      <c r="F151" s="24" t="s">
        <v>489</v>
      </c>
      <c r="G151" s="24" t="s">
        <v>489</v>
      </c>
      <c r="H151" s="24" t="s">
        <v>613</v>
      </c>
      <c r="I151" s="24" t="s">
        <v>38</v>
      </c>
      <c r="J151" s="193" t="s">
        <v>717</v>
      </c>
      <c r="K151" s="194">
        <v>5979.0</v>
      </c>
      <c r="L151" s="24" t="s">
        <v>21</v>
      </c>
    </row>
    <row r="152" ht="15.75" customHeight="1">
      <c r="A152" s="27" t="s">
        <v>29</v>
      </c>
      <c r="B152" s="27" t="s">
        <v>29</v>
      </c>
      <c r="C152" s="27" t="s">
        <v>718</v>
      </c>
      <c r="D152" s="27" t="s">
        <v>5</v>
      </c>
      <c r="E152" s="27" t="s">
        <v>719</v>
      </c>
      <c r="F152" s="27" t="s">
        <v>439</v>
      </c>
      <c r="G152" s="27" t="s">
        <v>439</v>
      </c>
      <c r="H152" s="27" t="s">
        <v>720</v>
      </c>
      <c r="I152" s="27" t="s">
        <v>720</v>
      </c>
      <c r="J152" s="195" t="s">
        <v>721</v>
      </c>
      <c r="K152" s="196">
        <v>235200.0</v>
      </c>
      <c r="L152" s="27" t="s">
        <v>21</v>
      </c>
    </row>
    <row r="153" ht="15.75" customHeight="1">
      <c r="A153" s="27" t="s">
        <v>29</v>
      </c>
      <c r="B153" s="27" t="s">
        <v>29</v>
      </c>
      <c r="C153" s="27" t="s">
        <v>718</v>
      </c>
      <c r="D153" s="27" t="s">
        <v>5</v>
      </c>
      <c r="E153" s="27" t="s">
        <v>719</v>
      </c>
      <c r="F153" s="27" t="s">
        <v>439</v>
      </c>
      <c r="G153" s="27" t="s">
        <v>439</v>
      </c>
      <c r="H153" s="27" t="s">
        <v>720</v>
      </c>
      <c r="I153" s="27" t="s">
        <v>720</v>
      </c>
      <c r="J153" s="195" t="s">
        <v>722</v>
      </c>
      <c r="K153" s="196">
        <v>79160.0</v>
      </c>
      <c r="L153" s="27" t="s">
        <v>21</v>
      </c>
    </row>
    <row r="154" ht="15.75" customHeight="1">
      <c r="A154" s="27" t="s">
        <v>29</v>
      </c>
      <c r="B154" s="27" t="s">
        <v>29</v>
      </c>
      <c r="C154" s="27" t="s">
        <v>459</v>
      </c>
      <c r="D154" s="27" t="s">
        <v>5</v>
      </c>
      <c r="E154" s="27" t="s">
        <v>723</v>
      </c>
      <c r="F154" s="27" t="s">
        <v>480</v>
      </c>
      <c r="G154" s="27" t="s">
        <v>480</v>
      </c>
      <c r="H154" s="27" t="s">
        <v>688</v>
      </c>
      <c r="I154" s="27" t="s">
        <v>724</v>
      </c>
      <c r="J154" s="195" t="s">
        <v>725</v>
      </c>
      <c r="K154" s="196">
        <v>15680.0</v>
      </c>
      <c r="L154" s="27" t="s">
        <v>21</v>
      </c>
    </row>
    <row r="155" ht="15.75" customHeight="1">
      <c r="A155" s="27" t="s">
        <v>29</v>
      </c>
      <c r="B155" s="27" t="s">
        <v>29</v>
      </c>
      <c r="C155" s="27" t="s">
        <v>459</v>
      </c>
      <c r="D155" s="27" t="s">
        <v>5</v>
      </c>
      <c r="E155" s="27" t="s">
        <v>723</v>
      </c>
      <c r="F155" s="27" t="s">
        <v>480</v>
      </c>
      <c r="G155" s="27" t="s">
        <v>480</v>
      </c>
      <c r="H155" s="27" t="s">
        <v>688</v>
      </c>
      <c r="I155" s="27" t="s">
        <v>726</v>
      </c>
      <c r="J155" s="195" t="s">
        <v>727</v>
      </c>
      <c r="K155" s="196">
        <v>4000.0</v>
      </c>
      <c r="L155" s="27" t="s">
        <v>21</v>
      </c>
    </row>
    <row r="156" ht="15.75" customHeight="1">
      <c r="A156" s="27" t="s">
        <v>29</v>
      </c>
      <c r="B156" s="27" t="s">
        <v>29</v>
      </c>
      <c r="C156" s="27" t="s">
        <v>728</v>
      </c>
      <c r="D156" s="27" t="s">
        <v>5</v>
      </c>
      <c r="E156" s="27" t="s">
        <v>612</v>
      </c>
      <c r="F156" s="27" t="s">
        <v>483</v>
      </c>
      <c r="G156" s="27" t="s">
        <v>480</v>
      </c>
      <c r="H156" s="27" t="s">
        <v>613</v>
      </c>
      <c r="I156" s="27" t="s">
        <v>710</v>
      </c>
      <c r="J156" s="195" t="s">
        <v>729</v>
      </c>
      <c r="K156" s="196">
        <v>23196.0</v>
      </c>
      <c r="L156" s="27" t="s">
        <v>21</v>
      </c>
    </row>
    <row r="157" ht="15.75" customHeight="1">
      <c r="A157" s="27" t="s">
        <v>29</v>
      </c>
      <c r="B157" s="27" t="s">
        <v>29</v>
      </c>
      <c r="C157" s="27" t="s">
        <v>730</v>
      </c>
      <c r="D157" s="27" t="s">
        <v>5</v>
      </c>
      <c r="E157" s="27" t="s">
        <v>612</v>
      </c>
      <c r="F157" s="27" t="s">
        <v>483</v>
      </c>
      <c r="G157" s="27" t="s">
        <v>480</v>
      </c>
      <c r="H157" s="27" t="s">
        <v>613</v>
      </c>
      <c r="I157" s="27" t="s">
        <v>710</v>
      </c>
      <c r="J157" s="195" t="s">
        <v>731</v>
      </c>
      <c r="K157" s="196">
        <v>3741.0</v>
      </c>
      <c r="L157" s="27" t="s">
        <v>21</v>
      </c>
    </row>
    <row r="158" ht="15.75" customHeight="1">
      <c r="A158" s="27" t="s">
        <v>29</v>
      </c>
      <c r="B158" s="27" t="s">
        <v>29</v>
      </c>
      <c r="C158" s="27" t="s">
        <v>730</v>
      </c>
      <c r="D158" s="27" t="s">
        <v>5</v>
      </c>
      <c r="E158" s="27" t="s">
        <v>612</v>
      </c>
      <c r="F158" s="27" t="s">
        <v>483</v>
      </c>
      <c r="G158" s="27" t="s">
        <v>480</v>
      </c>
      <c r="H158" s="27" t="s">
        <v>613</v>
      </c>
      <c r="I158" s="27" t="s">
        <v>710</v>
      </c>
      <c r="J158" s="195" t="s">
        <v>732</v>
      </c>
      <c r="K158" s="196">
        <v>624.0</v>
      </c>
      <c r="L158" s="27" t="s">
        <v>21</v>
      </c>
    </row>
    <row r="159" ht="15.75" customHeight="1">
      <c r="A159" s="27" t="s">
        <v>29</v>
      </c>
      <c r="B159" s="27" t="s">
        <v>29</v>
      </c>
      <c r="C159" s="27" t="s">
        <v>730</v>
      </c>
      <c r="D159" s="27" t="s">
        <v>5</v>
      </c>
      <c r="E159" s="27" t="s">
        <v>612</v>
      </c>
      <c r="F159" s="27" t="s">
        <v>483</v>
      </c>
      <c r="G159" s="27" t="s">
        <v>480</v>
      </c>
      <c r="H159" s="27" t="s">
        <v>613</v>
      </c>
      <c r="I159" s="27" t="s">
        <v>710</v>
      </c>
      <c r="J159" s="195" t="s">
        <v>733</v>
      </c>
      <c r="K159" s="196">
        <v>4065.0</v>
      </c>
      <c r="L159" s="27" t="s">
        <v>21</v>
      </c>
    </row>
    <row r="160" ht="15.75" customHeight="1">
      <c r="A160" s="27" t="s">
        <v>29</v>
      </c>
      <c r="B160" s="27" t="s">
        <v>29</v>
      </c>
      <c r="C160" s="27" t="s">
        <v>730</v>
      </c>
      <c r="D160" s="27" t="s">
        <v>5</v>
      </c>
      <c r="E160" s="27" t="s">
        <v>612</v>
      </c>
      <c r="F160" s="27" t="s">
        <v>483</v>
      </c>
      <c r="G160" s="27" t="s">
        <v>480</v>
      </c>
      <c r="H160" s="27" t="s">
        <v>613</v>
      </c>
      <c r="I160" s="27" t="s">
        <v>710</v>
      </c>
      <c r="J160" s="195" t="s">
        <v>734</v>
      </c>
      <c r="K160" s="196">
        <v>1800.0</v>
      </c>
      <c r="L160" s="27" t="s">
        <v>21</v>
      </c>
    </row>
    <row r="161" ht="15.75" customHeight="1">
      <c r="A161" s="30" t="s">
        <v>30</v>
      </c>
      <c r="B161" s="30" t="s">
        <v>30</v>
      </c>
      <c r="C161" s="30" t="s">
        <v>444</v>
      </c>
      <c r="D161" s="30" t="s">
        <v>5</v>
      </c>
      <c r="E161" s="30" t="s">
        <v>735</v>
      </c>
      <c r="F161" s="30" t="s">
        <v>439</v>
      </c>
      <c r="G161" s="30" t="s">
        <v>439</v>
      </c>
      <c r="H161" s="30" t="s">
        <v>736</v>
      </c>
      <c r="I161" s="30" t="s">
        <v>736</v>
      </c>
      <c r="J161" s="197" t="s">
        <v>737</v>
      </c>
      <c r="K161" s="198">
        <v>13600.0</v>
      </c>
      <c r="L161" s="30" t="s">
        <v>21</v>
      </c>
    </row>
    <row r="162" ht="15.75" customHeight="1">
      <c r="A162" s="30" t="s">
        <v>30</v>
      </c>
      <c r="B162" s="30" t="s">
        <v>30</v>
      </c>
      <c r="C162" s="30" t="s">
        <v>444</v>
      </c>
      <c r="D162" s="30" t="s">
        <v>5</v>
      </c>
      <c r="E162" s="30" t="s">
        <v>735</v>
      </c>
      <c r="F162" s="30" t="s">
        <v>439</v>
      </c>
      <c r="G162" s="30" t="s">
        <v>439</v>
      </c>
      <c r="H162" s="30" t="s">
        <v>736</v>
      </c>
      <c r="I162" s="30" t="s">
        <v>736</v>
      </c>
      <c r="J162" s="197" t="s">
        <v>738</v>
      </c>
      <c r="K162" s="198">
        <v>6000.0</v>
      </c>
      <c r="L162" s="30" t="s">
        <v>21</v>
      </c>
    </row>
    <row r="163" ht="15.75" customHeight="1">
      <c r="A163" s="30" t="s">
        <v>30</v>
      </c>
      <c r="B163" s="30" t="s">
        <v>30</v>
      </c>
      <c r="C163" s="30" t="s">
        <v>459</v>
      </c>
      <c r="D163" s="30" t="s">
        <v>5</v>
      </c>
      <c r="E163" s="30" t="s">
        <v>739</v>
      </c>
      <c r="F163" s="30" t="s">
        <v>460</v>
      </c>
      <c r="G163" s="30" t="s">
        <v>460</v>
      </c>
      <c r="H163" s="30" t="s">
        <v>740</v>
      </c>
      <c r="I163" s="30" t="s">
        <v>740</v>
      </c>
      <c r="J163" s="197" t="s">
        <v>741</v>
      </c>
      <c r="K163" s="198">
        <v>999.0</v>
      </c>
      <c r="L163" s="30" t="s">
        <v>21</v>
      </c>
    </row>
    <row r="164" ht="15.75" customHeight="1">
      <c r="A164" s="30" t="s">
        <v>30</v>
      </c>
      <c r="B164" s="30" t="s">
        <v>30</v>
      </c>
      <c r="C164" s="30" t="s">
        <v>459</v>
      </c>
      <c r="D164" s="30" t="s">
        <v>5</v>
      </c>
      <c r="E164" s="30" t="s">
        <v>739</v>
      </c>
      <c r="F164" s="30" t="s">
        <v>460</v>
      </c>
      <c r="G164" s="30" t="s">
        <v>460</v>
      </c>
      <c r="H164" s="30" t="s">
        <v>740</v>
      </c>
      <c r="I164" s="30" t="s">
        <v>740</v>
      </c>
      <c r="J164" s="197" t="s">
        <v>742</v>
      </c>
      <c r="K164" s="198">
        <v>999.0</v>
      </c>
      <c r="L164" s="30" t="s">
        <v>21</v>
      </c>
    </row>
    <row r="165" ht="15.75" customHeight="1">
      <c r="A165" s="30" t="s">
        <v>30</v>
      </c>
      <c r="B165" s="30" t="s">
        <v>30</v>
      </c>
      <c r="C165" s="30" t="s">
        <v>459</v>
      </c>
      <c r="D165" s="30" t="s">
        <v>5</v>
      </c>
      <c r="E165" s="30" t="s">
        <v>739</v>
      </c>
      <c r="F165" s="30" t="s">
        <v>460</v>
      </c>
      <c r="G165" s="30" t="s">
        <v>460</v>
      </c>
      <c r="H165" s="30" t="s">
        <v>740</v>
      </c>
      <c r="I165" s="30" t="s">
        <v>740</v>
      </c>
      <c r="J165" s="197" t="s">
        <v>743</v>
      </c>
      <c r="K165" s="198">
        <v>999.0</v>
      </c>
      <c r="L165" s="30" t="s">
        <v>21</v>
      </c>
    </row>
    <row r="166" ht="15.75" customHeight="1">
      <c r="A166" s="30" t="s">
        <v>30</v>
      </c>
      <c r="B166" s="30" t="s">
        <v>30</v>
      </c>
      <c r="C166" s="30" t="s">
        <v>459</v>
      </c>
      <c r="D166" s="30" t="s">
        <v>5</v>
      </c>
      <c r="E166" s="30" t="s">
        <v>739</v>
      </c>
      <c r="F166" s="30" t="s">
        <v>460</v>
      </c>
      <c r="G166" s="30" t="s">
        <v>460</v>
      </c>
      <c r="H166" s="30" t="s">
        <v>740</v>
      </c>
      <c r="I166" s="30" t="s">
        <v>740</v>
      </c>
      <c r="J166" s="197" t="s">
        <v>744</v>
      </c>
      <c r="K166" s="198">
        <v>999.0</v>
      </c>
      <c r="L166" s="30" t="s">
        <v>21</v>
      </c>
    </row>
    <row r="167" ht="15.75" customHeight="1">
      <c r="A167" s="30" t="s">
        <v>30</v>
      </c>
      <c r="B167" s="30" t="s">
        <v>30</v>
      </c>
      <c r="C167" s="30" t="s">
        <v>459</v>
      </c>
      <c r="D167" s="30" t="s">
        <v>5</v>
      </c>
      <c r="E167" s="30" t="s">
        <v>739</v>
      </c>
      <c r="F167" s="30" t="s">
        <v>460</v>
      </c>
      <c r="G167" s="30" t="s">
        <v>460</v>
      </c>
      <c r="H167" s="30" t="s">
        <v>740</v>
      </c>
      <c r="I167" s="30" t="s">
        <v>740</v>
      </c>
      <c r="J167" s="197" t="s">
        <v>745</v>
      </c>
      <c r="K167" s="198">
        <v>1137.0</v>
      </c>
      <c r="L167" s="30" t="s">
        <v>21</v>
      </c>
    </row>
    <row r="168" ht="15.75" customHeight="1">
      <c r="A168" s="199" t="s">
        <v>23</v>
      </c>
      <c r="B168" s="199" t="s">
        <v>24</v>
      </c>
      <c r="C168" s="30" t="s">
        <v>459</v>
      </c>
      <c r="D168" s="30" t="s">
        <v>5</v>
      </c>
      <c r="E168" s="30" t="s">
        <v>739</v>
      </c>
      <c r="F168" s="30" t="s">
        <v>460</v>
      </c>
      <c r="G168" s="30" t="s">
        <v>460</v>
      </c>
      <c r="H168" s="30" t="s">
        <v>740</v>
      </c>
      <c r="I168" s="30" t="s">
        <v>740</v>
      </c>
      <c r="J168" s="197" t="s">
        <v>746</v>
      </c>
      <c r="K168" s="198">
        <v>999.0</v>
      </c>
      <c r="L168" s="30" t="s">
        <v>21</v>
      </c>
    </row>
    <row r="169" ht="15.75" customHeight="1">
      <c r="A169" s="30" t="s">
        <v>30</v>
      </c>
      <c r="B169" s="30" t="s">
        <v>30</v>
      </c>
      <c r="C169" s="30" t="s">
        <v>459</v>
      </c>
      <c r="D169" s="30" t="s">
        <v>5</v>
      </c>
      <c r="E169" s="30" t="s">
        <v>739</v>
      </c>
      <c r="F169" s="30" t="s">
        <v>460</v>
      </c>
      <c r="G169" s="30" t="s">
        <v>460</v>
      </c>
      <c r="H169" s="30" t="s">
        <v>740</v>
      </c>
      <c r="I169" s="30" t="s">
        <v>740</v>
      </c>
      <c r="J169" s="197" t="s">
        <v>747</v>
      </c>
      <c r="K169" s="198">
        <v>999.0</v>
      </c>
      <c r="L169" s="30" t="s">
        <v>21</v>
      </c>
    </row>
    <row r="170" ht="15.75" customHeight="1">
      <c r="A170" s="30" t="s">
        <v>30</v>
      </c>
      <c r="B170" s="30" t="s">
        <v>30</v>
      </c>
      <c r="C170" s="30" t="s">
        <v>459</v>
      </c>
      <c r="D170" s="30" t="s">
        <v>5</v>
      </c>
      <c r="E170" s="30" t="s">
        <v>739</v>
      </c>
      <c r="F170" s="30" t="s">
        <v>460</v>
      </c>
      <c r="G170" s="30" t="s">
        <v>460</v>
      </c>
      <c r="H170" s="30" t="s">
        <v>740</v>
      </c>
      <c r="I170" s="30" t="s">
        <v>740</v>
      </c>
      <c r="J170" s="197" t="s">
        <v>748</v>
      </c>
      <c r="K170" s="198">
        <v>999.0</v>
      </c>
      <c r="L170" s="30" t="s">
        <v>21</v>
      </c>
    </row>
    <row r="171" ht="15.75" customHeight="1">
      <c r="A171" s="30" t="s">
        <v>30</v>
      </c>
      <c r="B171" s="30" t="s">
        <v>30</v>
      </c>
      <c r="C171" s="30" t="s">
        <v>459</v>
      </c>
      <c r="D171" s="30" t="s">
        <v>5</v>
      </c>
      <c r="E171" s="30" t="s">
        <v>739</v>
      </c>
      <c r="F171" s="30" t="s">
        <v>460</v>
      </c>
      <c r="G171" s="30" t="s">
        <v>460</v>
      </c>
      <c r="H171" s="30" t="s">
        <v>740</v>
      </c>
      <c r="I171" s="30" t="s">
        <v>740</v>
      </c>
      <c r="J171" s="197" t="s">
        <v>749</v>
      </c>
      <c r="K171" s="198">
        <v>799.0</v>
      </c>
      <c r="L171" s="30" t="s">
        <v>21</v>
      </c>
    </row>
    <row r="172" ht="15.75" customHeight="1">
      <c r="A172" s="30" t="s">
        <v>30</v>
      </c>
      <c r="B172" s="30" t="s">
        <v>30</v>
      </c>
      <c r="C172" s="30" t="s">
        <v>459</v>
      </c>
      <c r="D172" s="30" t="s">
        <v>5</v>
      </c>
      <c r="E172" s="30" t="s">
        <v>739</v>
      </c>
      <c r="F172" s="30" t="s">
        <v>460</v>
      </c>
      <c r="G172" s="30" t="s">
        <v>460</v>
      </c>
      <c r="H172" s="30" t="s">
        <v>740</v>
      </c>
      <c r="I172" s="30" t="s">
        <v>740</v>
      </c>
      <c r="J172" s="197" t="s">
        <v>750</v>
      </c>
      <c r="K172" s="198">
        <v>799.0</v>
      </c>
      <c r="L172" s="30" t="s">
        <v>21</v>
      </c>
    </row>
    <row r="173" ht="15.75" customHeight="1">
      <c r="A173" s="30" t="s">
        <v>30</v>
      </c>
      <c r="B173" s="30" t="s">
        <v>30</v>
      </c>
      <c r="C173" s="30" t="s">
        <v>459</v>
      </c>
      <c r="D173" s="30" t="s">
        <v>5</v>
      </c>
      <c r="E173" s="30" t="s">
        <v>739</v>
      </c>
      <c r="F173" s="30" t="s">
        <v>460</v>
      </c>
      <c r="G173" s="30" t="s">
        <v>460</v>
      </c>
      <c r="H173" s="30" t="s">
        <v>740</v>
      </c>
      <c r="I173" s="30" t="s">
        <v>740</v>
      </c>
      <c r="J173" s="197" t="s">
        <v>751</v>
      </c>
      <c r="K173" s="198">
        <v>799.0</v>
      </c>
      <c r="L173" s="30" t="s">
        <v>21</v>
      </c>
    </row>
    <row r="174" ht="15.75" customHeight="1">
      <c r="A174" s="30" t="s">
        <v>30</v>
      </c>
      <c r="B174" s="30" t="s">
        <v>30</v>
      </c>
      <c r="C174" s="30" t="s">
        <v>459</v>
      </c>
      <c r="D174" s="30" t="s">
        <v>5</v>
      </c>
      <c r="E174" s="30" t="s">
        <v>739</v>
      </c>
      <c r="F174" s="30" t="s">
        <v>460</v>
      </c>
      <c r="G174" s="30" t="s">
        <v>460</v>
      </c>
      <c r="H174" s="30" t="s">
        <v>740</v>
      </c>
      <c r="I174" s="30" t="s">
        <v>740</v>
      </c>
      <c r="J174" s="197" t="s">
        <v>752</v>
      </c>
      <c r="K174" s="198">
        <v>799.0</v>
      </c>
      <c r="L174" s="30" t="s">
        <v>21</v>
      </c>
    </row>
    <row r="175" ht="15.75" customHeight="1">
      <c r="A175" s="30" t="s">
        <v>30</v>
      </c>
      <c r="B175" s="30" t="s">
        <v>30</v>
      </c>
      <c r="C175" s="30" t="s">
        <v>459</v>
      </c>
      <c r="D175" s="30" t="s">
        <v>5</v>
      </c>
      <c r="E175" s="30" t="s">
        <v>739</v>
      </c>
      <c r="F175" s="30" t="s">
        <v>460</v>
      </c>
      <c r="G175" s="30" t="s">
        <v>460</v>
      </c>
      <c r="H175" s="30" t="s">
        <v>740</v>
      </c>
      <c r="I175" s="30" t="s">
        <v>740</v>
      </c>
      <c r="J175" s="197" t="s">
        <v>753</v>
      </c>
      <c r="K175" s="198">
        <v>799.0</v>
      </c>
      <c r="L175" s="30" t="s">
        <v>21</v>
      </c>
    </row>
    <row r="176" ht="15.75" customHeight="1">
      <c r="A176" s="30" t="s">
        <v>30</v>
      </c>
      <c r="B176" s="30" t="s">
        <v>30</v>
      </c>
      <c r="C176" s="30" t="s">
        <v>459</v>
      </c>
      <c r="D176" s="30" t="s">
        <v>5</v>
      </c>
      <c r="E176" s="30" t="s">
        <v>739</v>
      </c>
      <c r="F176" s="30" t="s">
        <v>460</v>
      </c>
      <c r="G176" s="30" t="s">
        <v>460</v>
      </c>
      <c r="H176" s="30" t="s">
        <v>740</v>
      </c>
      <c r="I176" s="30" t="s">
        <v>740</v>
      </c>
      <c r="J176" s="197" t="s">
        <v>754</v>
      </c>
      <c r="K176" s="198">
        <v>999.0</v>
      </c>
      <c r="L176" s="30" t="s">
        <v>21</v>
      </c>
    </row>
    <row r="177" ht="15.75" customHeight="1">
      <c r="A177" s="30" t="s">
        <v>30</v>
      </c>
      <c r="B177" s="30" t="s">
        <v>30</v>
      </c>
      <c r="C177" s="30" t="s">
        <v>459</v>
      </c>
      <c r="D177" s="30" t="s">
        <v>5</v>
      </c>
      <c r="E177" s="30" t="s">
        <v>755</v>
      </c>
      <c r="F177" s="30" t="s">
        <v>460</v>
      </c>
      <c r="G177" s="30" t="s">
        <v>460</v>
      </c>
      <c r="H177" s="30" t="s">
        <v>740</v>
      </c>
      <c r="I177" s="30" t="s">
        <v>756</v>
      </c>
      <c r="J177" s="197" t="s">
        <v>757</v>
      </c>
      <c r="K177" s="198">
        <v>2499.0</v>
      </c>
      <c r="L177" s="30" t="s">
        <v>21</v>
      </c>
    </row>
    <row r="178" ht="15.75" customHeight="1">
      <c r="A178" s="30" t="s">
        <v>30</v>
      </c>
      <c r="B178" s="30" t="s">
        <v>30</v>
      </c>
      <c r="C178" s="30" t="s">
        <v>554</v>
      </c>
      <c r="D178" s="30" t="s">
        <v>5</v>
      </c>
      <c r="E178" s="30" t="s">
        <v>758</v>
      </c>
      <c r="F178" s="30" t="s">
        <v>460</v>
      </c>
      <c r="G178" s="30" t="s">
        <v>460</v>
      </c>
      <c r="H178" s="30" t="s">
        <v>759</v>
      </c>
      <c r="I178" s="30" t="s">
        <v>759</v>
      </c>
      <c r="J178" s="197" t="s">
        <v>760</v>
      </c>
      <c r="K178" s="198">
        <v>144985.0</v>
      </c>
      <c r="L178" s="30" t="s">
        <v>21</v>
      </c>
    </row>
    <row r="179" ht="15.75" customHeight="1">
      <c r="A179" s="30" t="s">
        <v>30</v>
      </c>
      <c r="B179" s="30" t="s">
        <v>30</v>
      </c>
      <c r="C179" s="30" t="s">
        <v>558</v>
      </c>
      <c r="D179" s="30" t="s">
        <v>5</v>
      </c>
      <c r="E179" s="30" t="s">
        <v>758</v>
      </c>
      <c r="F179" s="30" t="s">
        <v>460</v>
      </c>
      <c r="G179" s="30" t="s">
        <v>460</v>
      </c>
      <c r="H179" s="30" t="s">
        <v>759</v>
      </c>
      <c r="I179" s="30" t="s">
        <v>759</v>
      </c>
      <c r="J179" s="197" t="s">
        <v>761</v>
      </c>
      <c r="K179" s="198">
        <v>10000.0</v>
      </c>
      <c r="L179" s="30" t="s">
        <v>21</v>
      </c>
    </row>
    <row r="180" ht="15.75" customHeight="1">
      <c r="A180" s="30" t="s">
        <v>30</v>
      </c>
      <c r="B180" s="30" t="s">
        <v>30</v>
      </c>
      <c r="C180" s="30" t="s">
        <v>437</v>
      </c>
      <c r="D180" s="30" t="s">
        <v>5</v>
      </c>
      <c r="E180" s="30" t="s">
        <v>758</v>
      </c>
      <c r="F180" s="30" t="s">
        <v>460</v>
      </c>
      <c r="G180" s="30" t="s">
        <v>460</v>
      </c>
      <c r="H180" s="30" t="s">
        <v>759</v>
      </c>
      <c r="I180" s="30" t="s">
        <v>759</v>
      </c>
      <c r="J180" s="197" t="s">
        <v>762</v>
      </c>
      <c r="K180" s="198">
        <v>716.0</v>
      </c>
      <c r="L180" s="30" t="s">
        <v>21</v>
      </c>
    </row>
    <row r="181" ht="15.75" customHeight="1">
      <c r="A181" s="30" t="s">
        <v>30</v>
      </c>
      <c r="B181" s="30" t="s">
        <v>30</v>
      </c>
      <c r="C181" s="30" t="s">
        <v>448</v>
      </c>
      <c r="D181" s="30" t="s">
        <v>5</v>
      </c>
      <c r="E181" s="30" t="s">
        <v>763</v>
      </c>
      <c r="F181" s="30" t="s">
        <v>660</v>
      </c>
      <c r="G181" s="30" t="s">
        <v>660</v>
      </c>
      <c r="H181" s="30" t="s">
        <v>764</v>
      </c>
      <c r="I181" s="30" t="s">
        <v>764</v>
      </c>
      <c r="J181" s="197" t="s">
        <v>765</v>
      </c>
      <c r="K181" s="198">
        <v>4254.0</v>
      </c>
      <c r="L181" s="30" t="s">
        <v>21</v>
      </c>
    </row>
    <row r="182" ht="15.75" customHeight="1">
      <c r="A182" s="30" t="s">
        <v>30</v>
      </c>
      <c r="B182" s="30" t="s">
        <v>30</v>
      </c>
      <c r="C182" s="30" t="s">
        <v>437</v>
      </c>
      <c r="D182" s="30" t="s">
        <v>5</v>
      </c>
      <c r="E182" s="30" t="s">
        <v>675</v>
      </c>
      <c r="F182" s="30" t="s">
        <v>539</v>
      </c>
      <c r="G182" s="30" t="s">
        <v>329</v>
      </c>
      <c r="H182" s="30" t="s">
        <v>676</v>
      </c>
      <c r="I182" s="30" t="s">
        <v>676</v>
      </c>
      <c r="J182" s="197" t="s">
        <v>766</v>
      </c>
      <c r="K182" s="198">
        <v>14082.0</v>
      </c>
      <c r="L182" s="30" t="s">
        <v>21</v>
      </c>
    </row>
    <row r="183" ht="15.75" customHeight="1">
      <c r="A183" s="30" t="s">
        <v>30</v>
      </c>
      <c r="B183" s="30" t="s">
        <v>30</v>
      </c>
      <c r="C183" s="30" t="s">
        <v>437</v>
      </c>
      <c r="D183" s="30" t="s">
        <v>5</v>
      </c>
      <c r="E183" s="30" t="s">
        <v>675</v>
      </c>
      <c r="F183" s="30" t="s">
        <v>539</v>
      </c>
      <c r="G183" s="30" t="s">
        <v>329</v>
      </c>
      <c r="H183" s="30" t="s">
        <v>676</v>
      </c>
      <c r="I183" s="30" t="s">
        <v>676</v>
      </c>
      <c r="J183" s="197" t="s">
        <v>767</v>
      </c>
      <c r="K183" s="198">
        <v>19331.0</v>
      </c>
      <c r="L183" s="30" t="s">
        <v>21</v>
      </c>
    </row>
    <row r="184" ht="15.75" customHeight="1">
      <c r="A184" s="30" t="s">
        <v>30</v>
      </c>
      <c r="B184" s="30" t="s">
        <v>30</v>
      </c>
      <c r="C184" s="30" t="s">
        <v>554</v>
      </c>
      <c r="D184" s="30" t="s">
        <v>5</v>
      </c>
      <c r="E184" s="30" t="s">
        <v>768</v>
      </c>
      <c r="F184" s="30" t="s">
        <v>483</v>
      </c>
      <c r="G184" s="30" t="s">
        <v>483</v>
      </c>
      <c r="H184" s="30" t="s">
        <v>769</v>
      </c>
      <c r="I184" s="30" t="s">
        <v>769</v>
      </c>
      <c r="J184" s="197" t="s">
        <v>557</v>
      </c>
      <c r="K184" s="198">
        <v>72283.0</v>
      </c>
      <c r="L184" s="30" t="s">
        <v>21</v>
      </c>
    </row>
    <row r="185" ht="15.75" customHeight="1">
      <c r="A185" s="30" t="s">
        <v>30</v>
      </c>
      <c r="B185" s="30" t="s">
        <v>30</v>
      </c>
      <c r="C185" s="30" t="s">
        <v>466</v>
      </c>
      <c r="D185" s="30" t="s">
        <v>5</v>
      </c>
      <c r="E185" s="30" t="s">
        <v>768</v>
      </c>
      <c r="F185" s="30" t="s">
        <v>483</v>
      </c>
      <c r="G185" s="30" t="s">
        <v>483</v>
      </c>
      <c r="H185" s="30" t="s">
        <v>769</v>
      </c>
      <c r="I185" s="30" t="s">
        <v>769</v>
      </c>
      <c r="J185" s="197" t="s">
        <v>770</v>
      </c>
      <c r="K185" s="198">
        <v>10294.0</v>
      </c>
      <c r="L185" s="30" t="s">
        <v>21</v>
      </c>
    </row>
    <row r="186" ht="15.75" customHeight="1">
      <c r="A186" s="30" t="s">
        <v>30</v>
      </c>
      <c r="B186" s="30" t="s">
        <v>30</v>
      </c>
      <c r="C186" s="30" t="s">
        <v>444</v>
      </c>
      <c r="D186" s="30" t="s">
        <v>5</v>
      </c>
      <c r="E186" s="30" t="s">
        <v>771</v>
      </c>
      <c r="F186" s="30" t="s">
        <v>483</v>
      </c>
      <c r="G186" s="30" t="s">
        <v>483</v>
      </c>
      <c r="H186" s="30" t="s">
        <v>772</v>
      </c>
      <c r="I186" s="30" t="s">
        <v>772</v>
      </c>
      <c r="J186" s="197" t="s">
        <v>773</v>
      </c>
      <c r="K186" s="198">
        <v>13738.0</v>
      </c>
      <c r="L186" s="30" t="s">
        <v>21</v>
      </c>
    </row>
    <row r="187" ht="15.75" customHeight="1">
      <c r="A187" s="30" t="s">
        <v>30</v>
      </c>
      <c r="B187" s="30" t="s">
        <v>30</v>
      </c>
      <c r="C187" s="30" t="s">
        <v>437</v>
      </c>
      <c r="D187" s="30" t="s">
        <v>5</v>
      </c>
      <c r="E187" s="30" t="s">
        <v>774</v>
      </c>
      <c r="F187" s="30" t="s">
        <v>489</v>
      </c>
      <c r="G187" s="30" t="s">
        <v>489</v>
      </c>
      <c r="H187" s="30" t="s">
        <v>551</v>
      </c>
      <c r="I187" s="30" t="s">
        <v>676</v>
      </c>
      <c r="J187" s="197" t="s">
        <v>775</v>
      </c>
      <c r="K187" s="198">
        <v>12370.0</v>
      </c>
      <c r="L187" s="30" t="s">
        <v>21</v>
      </c>
    </row>
    <row r="188" ht="15.75" customHeight="1">
      <c r="A188" s="33" t="s">
        <v>32</v>
      </c>
      <c r="B188" s="33" t="s">
        <v>140</v>
      </c>
      <c r="C188" s="33" t="s">
        <v>433</v>
      </c>
      <c r="D188" s="33" t="s">
        <v>5</v>
      </c>
      <c r="E188" s="33" t="s">
        <v>526</v>
      </c>
      <c r="F188" s="33" t="s">
        <v>527</v>
      </c>
      <c r="G188" s="33" t="s">
        <v>626</v>
      </c>
      <c r="H188" s="33" t="s">
        <v>529</v>
      </c>
      <c r="I188" s="33" t="s">
        <v>776</v>
      </c>
      <c r="J188" s="200" t="s">
        <v>777</v>
      </c>
      <c r="K188" s="201">
        <v>123.0</v>
      </c>
      <c r="L188" s="33" t="s">
        <v>21</v>
      </c>
    </row>
    <row r="189" ht="15.75" customHeight="1">
      <c r="A189" s="33" t="s">
        <v>32</v>
      </c>
      <c r="B189" s="33" t="s">
        <v>140</v>
      </c>
      <c r="C189" s="33" t="s">
        <v>433</v>
      </c>
      <c r="D189" s="33" t="s">
        <v>5</v>
      </c>
      <c r="E189" s="33" t="s">
        <v>526</v>
      </c>
      <c r="F189" s="33" t="s">
        <v>527</v>
      </c>
      <c r="G189" s="33" t="s">
        <v>626</v>
      </c>
      <c r="H189" s="33" t="s">
        <v>529</v>
      </c>
      <c r="I189" s="33" t="s">
        <v>776</v>
      </c>
      <c r="J189" s="200" t="s">
        <v>777</v>
      </c>
      <c r="K189" s="201">
        <v>139.0</v>
      </c>
      <c r="L189" s="33" t="s">
        <v>21</v>
      </c>
    </row>
    <row r="190" ht="15.75" customHeight="1">
      <c r="A190" s="33" t="s">
        <v>32</v>
      </c>
      <c r="B190" s="33" t="s">
        <v>140</v>
      </c>
      <c r="C190" s="33" t="s">
        <v>444</v>
      </c>
      <c r="D190" s="33" t="s">
        <v>5</v>
      </c>
      <c r="E190" s="33" t="s">
        <v>526</v>
      </c>
      <c r="F190" s="33" t="s">
        <v>527</v>
      </c>
      <c r="G190" s="33" t="s">
        <v>778</v>
      </c>
      <c r="H190" s="33" t="s">
        <v>529</v>
      </c>
      <c r="I190" s="33" t="s">
        <v>779</v>
      </c>
      <c r="J190" s="200" t="s">
        <v>779</v>
      </c>
      <c r="K190" s="201">
        <v>150.0</v>
      </c>
      <c r="L190" s="33" t="s">
        <v>21</v>
      </c>
    </row>
    <row r="191" ht="15.75" customHeight="1">
      <c r="A191" s="33" t="s">
        <v>32</v>
      </c>
      <c r="B191" s="33" t="s">
        <v>140</v>
      </c>
      <c r="C191" s="33" t="s">
        <v>433</v>
      </c>
      <c r="D191" s="33" t="s">
        <v>5</v>
      </c>
      <c r="E191" s="33" t="s">
        <v>526</v>
      </c>
      <c r="F191" s="33" t="s">
        <v>527</v>
      </c>
      <c r="G191" s="33" t="s">
        <v>780</v>
      </c>
      <c r="H191" s="33" t="s">
        <v>529</v>
      </c>
      <c r="I191" s="33" t="s">
        <v>776</v>
      </c>
      <c r="J191" s="200" t="s">
        <v>777</v>
      </c>
      <c r="K191" s="201">
        <v>227.0</v>
      </c>
      <c r="L191" s="33" t="s">
        <v>21</v>
      </c>
    </row>
    <row r="192" ht="15.75" customHeight="1">
      <c r="A192" s="33" t="s">
        <v>32</v>
      </c>
      <c r="B192" s="33" t="s">
        <v>140</v>
      </c>
      <c r="C192" s="33" t="s">
        <v>730</v>
      </c>
      <c r="D192" s="33" t="s">
        <v>5</v>
      </c>
      <c r="E192" s="33" t="s">
        <v>781</v>
      </c>
      <c r="F192" s="33" t="s">
        <v>474</v>
      </c>
      <c r="G192" s="33" t="s">
        <v>450</v>
      </c>
      <c r="H192" s="33" t="s">
        <v>782</v>
      </c>
      <c r="I192" s="33" t="s">
        <v>782</v>
      </c>
      <c r="J192" s="200" t="s">
        <v>783</v>
      </c>
      <c r="K192" s="201">
        <v>14850.0</v>
      </c>
      <c r="L192" s="33" t="s">
        <v>21</v>
      </c>
    </row>
    <row r="193" ht="15.75" customHeight="1">
      <c r="A193" s="33" t="s">
        <v>32</v>
      </c>
      <c r="B193" s="33" t="s">
        <v>140</v>
      </c>
      <c r="C193" s="33" t="s">
        <v>784</v>
      </c>
      <c r="D193" s="33" t="s">
        <v>5</v>
      </c>
      <c r="E193" s="33" t="s">
        <v>785</v>
      </c>
      <c r="F193" s="33" t="s">
        <v>660</v>
      </c>
      <c r="G193" s="33" t="s">
        <v>660</v>
      </c>
      <c r="H193" s="33" t="s">
        <v>786</v>
      </c>
      <c r="I193" s="33" t="s">
        <v>786</v>
      </c>
      <c r="J193" s="200" t="s">
        <v>787</v>
      </c>
      <c r="K193" s="201">
        <v>30000.0</v>
      </c>
      <c r="L193" s="33" t="s">
        <v>21</v>
      </c>
    </row>
    <row r="194" ht="15.75" customHeight="1">
      <c r="A194" s="33" t="s">
        <v>32</v>
      </c>
      <c r="B194" s="33" t="s">
        <v>140</v>
      </c>
      <c r="C194" s="33" t="s">
        <v>784</v>
      </c>
      <c r="D194" s="33" t="s">
        <v>5</v>
      </c>
      <c r="E194" s="33" t="s">
        <v>785</v>
      </c>
      <c r="F194" s="33" t="s">
        <v>660</v>
      </c>
      <c r="G194" s="33" t="s">
        <v>660</v>
      </c>
      <c r="H194" s="33" t="s">
        <v>786</v>
      </c>
      <c r="I194" s="33" t="s">
        <v>786</v>
      </c>
      <c r="J194" s="200" t="s">
        <v>709</v>
      </c>
      <c r="K194" s="201">
        <v>3600.0</v>
      </c>
      <c r="L194" s="33" t="s">
        <v>21</v>
      </c>
    </row>
    <row r="195" ht="15.75" customHeight="1">
      <c r="A195" s="33" t="s">
        <v>32</v>
      </c>
      <c r="B195" s="33" t="s">
        <v>140</v>
      </c>
      <c r="C195" s="33" t="s">
        <v>784</v>
      </c>
      <c r="D195" s="33" t="s">
        <v>5</v>
      </c>
      <c r="E195" s="33" t="s">
        <v>785</v>
      </c>
      <c r="F195" s="33" t="s">
        <v>660</v>
      </c>
      <c r="G195" s="33" t="s">
        <v>660</v>
      </c>
      <c r="H195" s="33" t="s">
        <v>786</v>
      </c>
      <c r="I195" s="33" t="s">
        <v>786</v>
      </c>
      <c r="J195" s="200" t="s">
        <v>503</v>
      </c>
      <c r="K195" s="201">
        <v>720.0</v>
      </c>
      <c r="L195" s="33" t="s">
        <v>21</v>
      </c>
    </row>
    <row r="196" ht="15.75" customHeight="1">
      <c r="A196" s="33" t="s">
        <v>32</v>
      </c>
      <c r="B196" s="33" t="s">
        <v>140</v>
      </c>
      <c r="C196" s="33" t="s">
        <v>784</v>
      </c>
      <c r="D196" s="33" t="s">
        <v>5</v>
      </c>
      <c r="E196" s="33" t="s">
        <v>785</v>
      </c>
      <c r="F196" s="33" t="s">
        <v>660</v>
      </c>
      <c r="G196" s="33" t="s">
        <v>660</v>
      </c>
      <c r="H196" s="33" t="s">
        <v>786</v>
      </c>
      <c r="I196" s="33" t="s">
        <v>786</v>
      </c>
      <c r="J196" s="200" t="s">
        <v>788</v>
      </c>
      <c r="K196" s="201">
        <v>680.0</v>
      </c>
      <c r="L196" s="33" t="s">
        <v>21</v>
      </c>
    </row>
    <row r="197" ht="15.75" customHeight="1">
      <c r="A197" s="33" t="s">
        <v>32</v>
      </c>
      <c r="B197" s="33" t="s">
        <v>140</v>
      </c>
      <c r="C197" s="33" t="s">
        <v>784</v>
      </c>
      <c r="D197" s="33" t="s">
        <v>5</v>
      </c>
      <c r="E197" s="33" t="s">
        <v>785</v>
      </c>
      <c r="F197" s="33" t="s">
        <v>660</v>
      </c>
      <c r="G197" s="33" t="s">
        <v>660</v>
      </c>
      <c r="H197" s="33" t="s">
        <v>786</v>
      </c>
      <c r="I197" s="33" t="s">
        <v>786</v>
      </c>
      <c r="J197" s="200" t="s">
        <v>789</v>
      </c>
      <c r="K197" s="201">
        <v>972.0</v>
      </c>
      <c r="L197" s="33" t="s">
        <v>21</v>
      </c>
    </row>
    <row r="198" ht="15.75" customHeight="1">
      <c r="A198" s="33" t="s">
        <v>32</v>
      </c>
      <c r="B198" s="33" t="s">
        <v>140</v>
      </c>
      <c r="C198" s="33" t="s">
        <v>784</v>
      </c>
      <c r="D198" s="33" t="s">
        <v>5</v>
      </c>
      <c r="E198" s="33" t="s">
        <v>790</v>
      </c>
      <c r="F198" s="33" t="s">
        <v>543</v>
      </c>
      <c r="G198" s="33" t="s">
        <v>543</v>
      </c>
      <c r="H198" s="33" t="s">
        <v>786</v>
      </c>
      <c r="I198" s="33" t="s">
        <v>786</v>
      </c>
      <c r="J198" s="200" t="s">
        <v>144</v>
      </c>
      <c r="K198" s="201">
        <v>50400.0</v>
      </c>
      <c r="L198" s="33" t="s">
        <v>21</v>
      </c>
    </row>
    <row r="199" ht="15.75" customHeight="1">
      <c r="A199" s="33" t="s">
        <v>32</v>
      </c>
      <c r="B199" s="33" t="s">
        <v>140</v>
      </c>
      <c r="C199" s="33" t="s">
        <v>784</v>
      </c>
      <c r="D199" s="33" t="s">
        <v>5</v>
      </c>
      <c r="E199" s="33" t="s">
        <v>790</v>
      </c>
      <c r="F199" s="33" t="s">
        <v>543</v>
      </c>
      <c r="G199" s="33" t="s">
        <v>543</v>
      </c>
      <c r="H199" s="33" t="s">
        <v>786</v>
      </c>
      <c r="I199" s="33" t="s">
        <v>786</v>
      </c>
      <c r="J199" s="200" t="s">
        <v>791</v>
      </c>
      <c r="K199" s="201">
        <v>400.0</v>
      </c>
      <c r="L199" s="33" t="s">
        <v>21</v>
      </c>
    </row>
    <row r="200" ht="15.75" customHeight="1">
      <c r="A200" s="33" t="s">
        <v>32</v>
      </c>
      <c r="B200" s="33" t="s">
        <v>140</v>
      </c>
      <c r="C200" s="33" t="s">
        <v>466</v>
      </c>
      <c r="D200" s="33" t="s">
        <v>5</v>
      </c>
      <c r="E200" s="33" t="s">
        <v>542</v>
      </c>
      <c r="F200" s="33" t="s">
        <v>543</v>
      </c>
      <c r="G200" s="33" t="s">
        <v>468</v>
      </c>
      <c r="H200" s="33" t="s">
        <v>544</v>
      </c>
      <c r="I200" s="33" t="s">
        <v>535</v>
      </c>
      <c r="J200" s="200" t="s">
        <v>792</v>
      </c>
      <c r="K200" s="201">
        <v>67.0</v>
      </c>
      <c r="L200" s="33" t="s">
        <v>21</v>
      </c>
    </row>
    <row r="201" ht="15.75" customHeight="1">
      <c r="A201" s="33" t="s">
        <v>32</v>
      </c>
      <c r="B201" s="33" t="s">
        <v>140</v>
      </c>
      <c r="C201" s="33" t="s">
        <v>466</v>
      </c>
      <c r="D201" s="33" t="s">
        <v>5</v>
      </c>
      <c r="E201" s="33" t="s">
        <v>542</v>
      </c>
      <c r="F201" s="33" t="s">
        <v>543</v>
      </c>
      <c r="G201" s="33" t="s">
        <v>468</v>
      </c>
      <c r="H201" s="33" t="s">
        <v>544</v>
      </c>
      <c r="I201" s="33" t="s">
        <v>793</v>
      </c>
      <c r="J201" s="200" t="s">
        <v>794</v>
      </c>
      <c r="K201" s="201">
        <v>160.0</v>
      </c>
      <c r="L201" s="33" t="s">
        <v>21</v>
      </c>
    </row>
    <row r="202" ht="15.75" customHeight="1">
      <c r="A202" s="33" t="s">
        <v>32</v>
      </c>
      <c r="B202" s="33" t="s">
        <v>140</v>
      </c>
      <c r="C202" s="33" t="s">
        <v>466</v>
      </c>
      <c r="D202" s="33" t="s">
        <v>5</v>
      </c>
      <c r="E202" s="33" t="s">
        <v>542</v>
      </c>
      <c r="F202" s="33" t="s">
        <v>543</v>
      </c>
      <c r="G202" s="33" t="s">
        <v>468</v>
      </c>
      <c r="H202" s="33" t="s">
        <v>544</v>
      </c>
      <c r="I202" s="33" t="s">
        <v>535</v>
      </c>
      <c r="J202" s="200" t="s">
        <v>795</v>
      </c>
      <c r="K202" s="201">
        <v>147.0</v>
      </c>
      <c r="L202" s="33" t="s">
        <v>21</v>
      </c>
    </row>
    <row r="203" ht="15.75" customHeight="1">
      <c r="A203" s="33" t="s">
        <v>32</v>
      </c>
      <c r="B203" s="33" t="s">
        <v>140</v>
      </c>
      <c r="C203" s="33" t="s">
        <v>444</v>
      </c>
      <c r="D203" s="33" t="s">
        <v>5</v>
      </c>
      <c r="E203" s="33" t="s">
        <v>542</v>
      </c>
      <c r="F203" s="33" t="s">
        <v>543</v>
      </c>
      <c r="G203" s="33" t="s">
        <v>468</v>
      </c>
      <c r="H203" s="33" t="s">
        <v>544</v>
      </c>
      <c r="I203" s="33" t="s">
        <v>779</v>
      </c>
      <c r="J203" s="200" t="s">
        <v>796</v>
      </c>
      <c r="K203" s="201">
        <v>200.0</v>
      </c>
      <c r="L203" s="33" t="s">
        <v>21</v>
      </c>
    </row>
    <row r="204" ht="15.75" customHeight="1">
      <c r="A204" s="33" t="s">
        <v>32</v>
      </c>
      <c r="B204" s="33" t="s">
        <v>140</v>
      </c>
      <c r="C204" s="33" t="s">
        <v>466</v>
      </c>
      <c r="D204" s="33" t="s">
        <v>5</v>
      </c>
      <c r="E204" s="33" t="s">
        <v>542</v>
      </c>
      <c r="F204" s="33" t="s">
        <v>543</v>
      </c>
      <c r="G204" s="33" t="s">
        <v>468</v>
      </c>
      <c r="H204" s="33" t="s">
        <v>544</v>
      </c>
      <c r="I204" s="33" t="s">
        <v>793</v>
      </c>
      <c r="J204" s="200" t="s">
        <v>794</v>
      </c>
      <c r="K204" s="201">
        <v>180.0</v>
      </c>
      <c r="L204" s="33" t="s">
        <v>21</v>
      </c>
    </row>
    <row r="205" ht="15.75" customHeight="1">
      <c r="A205" s="33" t="s">
        <v>32</v>
      </c>
      <c r="B205" s="33" t="s">
        <v>140</v>
      </c>
      <c r="C205" s="33" t="s">
        <v>582</v>
      </c>
      <c r="D205" s="33" t="s">
        <v>5</v>
      </c>
      <c r="E205" s="33" t="s">
        <v>542</v>
      </c>
      <c r="F205" s="33" t="s">
        <v>543</v>
      </c>
      <c r="G205" s="33" t="s">
        <v>468</v>
      </c>
      <c r="H205" s="33" t="s">
        <v>544</v>
      </c>
      <c r="I205" s="33" t="s">
        <v>797</v>
      </c>
      <c r="J205" s="200" t="s">
        <v>798</v>
      </c>
      <c r="K205" s="201">
        <v>40.0</v>
      </c>
      <c r="L205" s="33" t="s">
        <v>21</v>
      </c>
    </row>
    <row r="206" ht="15.75" customHeight="1">
      <c r="A206" s="33" t="s">
        <v>32</v>
      </c>
      <c r="B206" s="33" t="s">
        <v>140</v>
      </c>
      <c r="C206" s="33" t="s">
        <v>582</v>
      </c>
      <c r="D206" s="33" t="s">
        <v>5</v>
      </c>
      <c r="E206" s="33" t="s">
        <v>542</v>
      </c>
      <c r="F206" s="33" t="s">
        <v>543</v>
      </c>
      <c r="G206" s="33" t="s">
        <v>468</v>
      </c>
      <c r="H206" s="33" t="s">
        <v>544</v>
      </c>
      <c r="I206" s="33" t="s">
        <v>797</v>
      </c>
      <c r="J206" s="200" t="s">
        <v>799</v>
      </c>
      <c r="K206" s="201">
        <v>40.0</v>
      </c>
      <c r="L206" s="33" t="s">
        <v>21</v>
      </c>
    </row>
    <row r="207" ht="15.75" customHeight="1">
      <c r="A207" s="33" t="s">
        <v>32</v>
      </c>
      <c r="B207" s="33" t="s">
        <v>140</v>
      </c>
      <c r="C207" s="33" t="s">
        <v>466</v>
      </c>
      <c r="D207" s="33" t="s">
        <v>5</v>
      </c>
      <c r="E207" s="33" t="s">
        <v>542</v>
      </c>
      <c r="F207" s="33" t="s">
        <v>543</v>
      </c>
      <c r="G207" s="33" t="s">
        <v>468</v>
      </c>
      <c r="H207" s="33" t="s">
        <v>544</v>
      </c>
      <c r="I207" s="33" t="s">
        <v>535</v>
      </c>
      <c r="J207" s="200" t="s">
        <v>800</v>
      </c>
      <c r="K207" s="201">
        <v>64.0</v>
      </c>
      <c r="L207" s="33" t="s">
        <v>21</v>
      </c>
    </row>
    <row r="208" ht="15.75" customHeight="1">
      <c r="A208" s="33" t="s">
        <v>32</v>
      </c>
      <c r="B208" s="33" t="s">
        <v>140</v>
      </c>
      <c r="C208" s="33" t="s">
        <v>466</v>
      </c>
      <c r="D208" s="33" t="s">
        <v>5</v>
      </c>
      <c r="E208" s="33" t="s">
        <v>542</v>
      </c>
      <c r="F208" s="33" t="s">
        <v>543</v>
      </c>
      <c r="G208" s="33" t="s">
        <v>468</v>
      </c>
      <c r="H208" s="33" t="s">
        <v>544</v>
      </c>
      <c r="I208" s="33" t="s">
        <v>535</v>
      </c>
      <c r="J208" s="200" t="s">
        <v>801</v>
      </c>
      <c r="K208" s="201">
        <v>95.0</v>
      </c>
      <c r="L208" s="33" t="s">
        <v>21</v>
      </c>
    </row>
    <row r="209" ht="15.75" customHeight="1">
      <c r="A209" s="33" t="s">
        <v>32</v>
      </c>
      <c r="B209" s="33" t="s">
        <v>140</v>
      </c>
      <c r="C209" s="33" t="s">
        <v>466</v>
      </c>
      <c r="D209" s="33" t="s">
        <v>5</v>
      </c>
      <c r="E209" s="33" t="s">
        <v>542</v>
      </c>
      <c r="F209" s="33" t="s">
        <v>543</v>
      </c>
      <c r="G209" s="33" t="s">
        <v>468</v>
      </c>
      <c r="H209" s="33" t="s">
        <v>544</v>
      </c>
      <c r="I209" s="33" t="s">
        <v>535</v>
      </c>
      <c r="J209" s="200" t="s">
        <v>802</v>
      </c>
      <c r="K209" s="201">
        <v>84.0</v>
      </c>
      <c r="L209" s="33" t="s">
        <v>21</v>
      </c>
    </row>
    <row r="210" ht="15.75" customHeight="1">
      <c r="A210" s="33" t="s">
        <v>32</v>
      </c>
      <c r="B210" s="33" t="s">
        <v>138</v>
      </c>
      <c r="C210" s="33" t="s">
        <v>582</v>
      </c>
      <c r="D210" s="33" t="s">
        <v>5</v>
      </c>
      <c r="E210" s="33" t="s">
        <v>803</v>
      </c>
      <c r="F210" s="33" t="s">
        <v>450</v>
      </c>
      <c r="G210" s="33" t="s">
        <v>450</v>
      </c>
      <c r="H210" s="33" t="s">
        <v>544</v>
      </c>
      <c r="I210" s="33" t="s">
        <v>804</v>
      </c>
      <c r="J210" s="200" t="s">
        <v>805</v>
      </c>
      <c r="K210" s="201">
        <v>77785.0</v>
      </c>
      <c r="L210" s="33" t="s">
        <v>21</v>
      </c>
    </row>
    <row r="211" ht="15.75" customHeight="1">
      <c r="A211" s="33" t="s">
        <v>32</v>
      </c>
      <c r="B211" s="33" t="s">
        <v>138</v>
      </c>
      <c r="C211" s="33" t="s">
        <v>582</v>
      </c>
      <c r="D211" s="33" t="s">
        <v>5</v>
      </c>
      <c r="E211" s="33" t="s">
        <v>803</v>
      </c>
      <c r="F211" s="33" t="s">
        <v>450</v>
      </c>
      <c r="G211" s="33" t="s">
        <v>450</v>
      </c>
      <c r="H211" s="33" t="s">
        <v>544</v>
      </c>
      <c r="I211" s="33" t="s">
        <v>804</v>
      </c>
      <c r="J211" s="200" t="s">
        <v>806</v>
      </c>
      <c r="K211" s="201">
        <v>35378.0</v>
      </c>
      <c r="L211" s="33" t="s">
        <v>21</v>
      </c>
    </row>
    <row r="212" ht="15.75" customHeight="1">
      <c r="A212" s="33" t="s">
        <v>32</v>
      </c>
      <c r="B212" s="33" t="s">
        <v>138</v>
      </c>
      <c r="C212" s="33" t="s">
        <v>582</v>
      </c>
      <c r="D212" s="33" t="s">
        <v>5</v>
      </c>
      <c r="E212" s="33" t="s">
        <v>807</v>
      </c>
      <c r="F212" s="33" t="s">
        <v>460</v>
      </c>
      <c r="G212" s="33" t="s">
        <v>460</v>
      </c>
      <c r="H212" s="33" t="s">
        <v>544</v>
      </c>
      <c r="I212" s="33" t="s">
        <v>804</v>
      </c>
      <c r="J212" s="200" t="s">
        <v>808</v>
      </c>
      <c r="K212" s="201">
        <v>19288.0</v>
      </c>
      <c r="L212" s="33" t="s">
        <v>21</v>
      </c>
    </row>
    <row r="213" ht="15.75" customHeight="1">
      <c r="A213" s="33" t="s">
        <v>32</v>
      </c>
      <c r="B213" s="33" t="s">
        <v>138</v>
      </c>
      <c r="C213" s="33" t="s">
        <v>582</v>
      </c>
      <c r="D213" s="33" t="s">
        <v>5</v>
      </c>
      <c r="E213" s="33" t="s">
        <v>809</v>
      </c>
      <c r="F213" s="33" t="s">
        <v>539</v>
      </c>
      <c r="G213" s="33" t="s">
        <v>539</v>
      </c>
      <c r="H213" s="33" t="s">
        <v>544</v>
      </c>
      <c r="I213" s="33" t="s">
        <v>810</v>
      </c>
      <c r="J213" s="200" t="s">
        <v>805</v>
      </c>
      <c r="K213" s="201">
        <v>77785.0</v>
      </c>
      <c r="L213" s="33" t="s">
        <v>21</v>
      </c>
    </row>
    <row r="214" ht="15.75" customHeight="1">
      <c r="A214" s="33" t="s">
        <v>32</v>
      </c>
      <c r="B214" s="33" t="s">
        <v>138</v>
      </c>
      <c r="C214" s="33" t="s">
        <v>582</v>
      </c>
      <c r="D214" s="33" t="s">
        <v>5</v>
      </c>
      <c r="E214" s="33" t="s">
        <v>809</v>
      </c>
      <c r="F214" s="33" t="s">
        <v>539</v>
      </c>
      <c r="G214" s="33" t="s">
        <v>539</v>
      </c>
      <c r="H214" s="33" t="s">
        <v>544</v>
      </c>
      <c r="I214" s="33" t="s">
        <v>810</v>
      </c>
      <c r="J214" s="200" t="s">
        <v>806</v>
      </c>
      <c r="K214" s="201">
        <v>35378.0</v>
      </c>
      <c r="L214" s="33" t="s">
        <v>21</v>
      </c>
    </row>
    <row r="215" ht="15.75" customHeight="1">
      <c r="A215" s="33" t="s">
        <v>32</v>
      </c>
      <c r="B215" s="33" t="s">
        <v>138</v>
      </c>
      <c r="C215" s="33" t="s">
        <v>582</v>
      </c>
      <c r="D215" s="33" t="s">
        <v>5</v>
      </c>
      <c r="E215" s="33" t="s">
        <v>809</v>
      </c>
      <c r="F215" s="33" t="s">
        <v>539</v>
      </c>
      <c r="G215" s="33" t="s">
        <v>539</v>
      </c>
      <c r="H215" s="33" t="s">
        <v>544</v>
      </c>
      <c r="I215" s="33" t="s">
        <v>810</v>
      </c>
      <c r="J215" s="200" t="s">
        <v>808</v>
      </c>
      <c r="K215" s="201">
        <v>19288.0</v>
      </c>
      <c r="L215" s="33" t="s">
        <v>21</v>
      </c>
    </row>
    <row r="216" ht="15.75" customHeight="1">
      <c r="A216" s="33" t="s">
        <v>32</v>
      </c>
      <c r="B216" s="33" t="s">
        <v>138</v>
      </c>
      <c r="C216" s="33" t="s">
        <v>582</v>
      </c>
      <c r="D216" s="33" t="s">
        <v>5</v>
      </c>
      <c r="E216" s="33" t="s">
        <v>602</v>
      </c>
      <c r="F216" s="33" t="s">
        <v>480</v>
      </c>
      <c r="G216" s="33" t="s">
        <v>480</v>
      </c>
      <c r="H216" s="33" t="s">
        <v>544</v>
      </c>
      <c r="I216" s="33" t="s">
        <v>811</v>
      </c>
      <c r="J216" s="200" t="s">
        <v>812</v>
      </c>
      <c r="K216" s="201">
        <v>1994.0</v>
      </c>
      <c r="L216" s="33" t="s">
        <v>21</v>
      </c>
    </row>
    <row r="217" ht="15.75" customHeight="1">
      <c r="A217" s="33" t="s">
        <v>32</v>
      </c>
      <c r="B217" s="33" t="s">
        <v>138</v>
      </c>
      <c r="C217" s="33" t="s">
        <v>582</v>
      </c>
      <c r="D217" s="33" t="s">
        <v>5</v>
      </c>
      <c r="E217" s="33" t="s">
        <v>602</v>
      </c>
      <c r="F217" s="33" t="s">
        <v>480</v>
      </c>
      <c r="G217" s="33" t="s">
        <v>480</v>
      </c>
      <c r="H217" s="33" t="s">
        <v>544</v>
      </c>
      <c r="I217" s="33" t="s">
        <v>811</v>
      </c>
      <c r="J217" s="200" t="s">
        <v>813</v>
      </c>
      <c r="K217" s="201">
        <v>4945.0</v>
      </c>
      <c r="L217" s="33" t="s">
        <v>21</v>
      </c>
    </row>
    <row r="218" ht="15.75" customHeight="1">
      <c r="A218" s="33" t="s">
        <v>32</v>
      </c>
      <c r="B218" s="33" t="s">
        <v>138</v>
      </c>
      <c r="C218" s="33" t="s">
        <v>582</v>
      </c>
      <c r="D218" s="33" t="s">
        <v>5</v>
      </c>
      <c r="E218" s="33" t="s">
        <v>602</v>
      </c>
      <c r="F218" s="33" t="s">
        <v>480</v>
      </c>
      <c r="G218" s="33" t="s">
        <v>480</v>
      </c>
      <c r="H218" s="33" t="s">
        <v>544</v>
      </c>
      <c r="I218" s="33" t="s">
        <v>811</v>
      </c>
      <c r="J218" s="200" t="s">
        <v>814</v>
      </c>
      <c r="K218" s="201">
        <v>11576.0</v>
      </c>
      <c r="L218" s="33" t="s">
        <v>21</v>
      </c>
    </row>
    <row r="219" ht="15.75" customHeight="1">
      <c r="A219" s="33" t="s">
        <v>32</v>
      </c>
      <c r="B219" s="33" t="s">
        <v>138</v>
      </c>
      <c r="C219" s="33" t="s">
        <v>730</v>
      </c>
      <c r="D219" s="33" t="s">
        <v>5</v>
      </c>
      <c r="E219" s="33" t="s">
        <v>815</v>
      </c>
      <c r="F219" s="33" t="s">
        <v>543</v>
      </c>
      <c r="G219" s="33" t="s">
        <v>450</v>
      </c>
      <c r="H219" s="33" t="s">
        <v>816</v>
      </c>
      <c r="I219" s="33" t="s">
        <v>816</v>
      </c>
      <c r="J219" s="200" t="s">
        <v>817</v>
      </c>
      <c r="K219" s="201">
        <v>6110.0</v>
      </c>
      <c r="L219" s="33" t="s">
        <v>21</v>
      </c>
    </row>
    <row r="220" ht="15.75" customHeight="1">
      <c r="A220" s="33" t="s">
        <v>32</v>
      </c>
      <c r="B220" s="33" t="s">
        <v>138</v>
      </c>
      <c r="C220" s="33" t="s">
        <v>582</v>
      </c>
      <c r="D220" s="33" t="s">
        <v>5</v>
      </c>
      <c r="E220" s="33" t="s">
        <v>542</v>
      </c>
      <c r="F220" s="33" t="s">
        <v>543</v>
      </c>
      <c r="G220" s="33" t="s">
        <v>468</v>
      </c>
      <c r="H220" s="33" t="s">
        <v>544</v>
      </c>
      <c r="I220" s="33" t="s">
        <v>535</v>
      </c>
      <c r="J220" s="200" t="s">
        <v>818</v>
      </c>
      <c r="K220" s="201">
        <v>72.0</v>
      </c>
      <c r="L220" s="33" t="s">
        <v>21</v>
      </c>
    </row>
    <row r="221" ht="15.75" customHeight="1">
      <c r="A221" s="33" t="s">
        <v>32</v>
      </c>
      <c r="B221" s="33" t="s">
        <v>138</v>
      </c>
      <c r="C221" s="33" t="s">
        <v>582</v>
      </c>
      <c r="D221" s="33" t="s">
        <v>5</v>
      </c>
      <c r="E221" s="33" t="s">
        <v>542</v>
      </c>
      <c r="F221" s="33" t="s">
        <v>543</v>
      </c>
      <c r="G221" s="33" t="s">
        <v>468</v>
      </c>
      <c r="H221" s="33" t="s">
        <v>544</v>
      </c>
      <c r="I221" s="33" t="s">
        <v>535</v>
      </c>
      <c r="J221" s="200" t="s">
        <v>819</v>
      </c>
      <c r="K221" s="201">
        <v>74.0</v>
      </c>
      <c r="L221" s="33" t="s">
        <v>21</v>
      </c>
    </row>
    <row r="222" ht="15.75" customHeight="1">
      <c r="A222" s="33" t="s">
        <v>32</v>
      </c>
      <c r="B222" s="33" t="s">
        <v>138</v>
      </c>
      <c r="C222" s="33" t="s">
        <v>582</v>
      </c>
      <c r="D222" s="33" t="s">
        <v>5</v>
      </c>
      <c r="E222" s="33" t="s">
        <v>542</v>
      </c>
      <c r="F222" s="33" t="s">
        <v>543</v>
      </c>
      <c r="G222" s="33" t="s">
        <v>468</v>
      </c>
      <c r="H222" s="33" t="s">
        <v>544</v>
      </c>
      <c r="I222" s="33" t="s">
        <v>820</v>
      </c>
      <c r="J222" s="200" t="s">
        <v>821</v>
      </c>
      <c r="K222" s="201">
        <v>45.0</v>
      </c>
      <c r="L222" s="33" t="s">
        <v>21</v>
      </c>
    </row>
    <row r="223" ht="15.75" customHeight="1">
      <c r="A223" s="6" t="s">
        <v>19</v>
      </c>
      <c r="B223" s="6" t="s">
        <v>35</v>
      </c>
      <c r="C223" s="6" t="s">
        <v>448</v>
      </c>
      <c r="D223" s="6" t="s">
        <v>6</v>
      </c>
      <c r="E223" s="6" t="s">
        <v>822</v>
      </c>
      <c r="F223" s="6" t="s">
        <v>823</v>
      </c>
      <c r="G223" s="6" t="s">
        <v>824</v>
      </c>
      <c r="H223" s="6" t="s">
        <v>451</v>
      </c>
      <c r="I223" s="6" t="s">
        <v>825</v>
      </c>
      <c r="J223" s="185" t="s">
        <v>826</v>
      </c>
      <c r="K223" s="186">
        <v>278.0</v>
      </c>
      <c r="L223" s="6" t="s">
        <v>21</v>
      </c>
    </row>
    <row r="224" ht="15.75" customHeight="1">
      <c r="A224" s="6" t="s">
        <v>19</v>
      </c>
      <c r="B224" s="6" t="s">
        <v>35</v>
      </c>
      <c r="C224" s="6" t="s">
        <v>459</v>
      </c>
      <c r="D224" s="6" t="s">
        <v>6</v>
      </c>
      <c r="E224" s="6" t="s">
        <v>822</v>
      </c>
      <c r="F224" s="6" t="s">
        <v>823</v>
      </c>
      <c r="G224" s="6" t="s">
        <v>556</v>
      </c>
      <c r="H224" s="6" t="s">
        <v>451</v>
      </c>
      <c r="I224" s="6" t="s">
        <v>461</v>
      </c>
      <c r="J224" s="185" t="s">
        <v>462</v>
      </c>
      <c r="K224" s="186">
        <v>2200.0</v>
      </c>
      <c r="L224" s="6" t="s">
        <v>21</v>
      </c>
    </row>
    <row r="225" ht="15.75" customHeight="1">
      <c r="A225" s="6" t="s">
        <v>19</v>
      </c>
      <c r="B225" s="6" t="s">
        <v>35</v>
      </c>
      <c r="C225" s="6" t="s">
        <v>448</v>
      </c>
      <c r="D225" s="6" t="s">
        <v>6</v>
      </c>
      <c r="E225" s="6" t="s">
        <v>822</v>
      </c>
      <c r="F225" s="6" t="s">
        <v>823</v>
      </c>
      <c r="G225" s="6" t="s">
        <v>823</v>
      </c>
      <c r="H225" s="6" t="s">
        <v>451</v>
      </c>
      <c r="I225" s="6" t="s">
        <v>825</v>
      </c>
      <c r="J225" s="185" t="s">
        <v>826</v>
      </c>
      <c r="K225" s="186">
        <v>270.0</v>
      </c>
      <c r="L225" s="6" t="s">
        <v>21</v>
      </c>
    </row>
    <row r="226" ht="15.75" customHeight="1">
      <c r="A226" s="6" t="s">
        <v>19</v>
      </c>
      <c r="B226" s="6" t="s">
        <v>35</v>
      </c>
      <c r="C226" s="6" t="s">
        <v>448</v>
      </c>
      <c r="D226" s="6" t="s">
        <v>6</v>
      </c>
      <c r="E226" s="6" t="s">
        <v>822</v>
      </c>
      <c r="F226" s="6" t="s">
        <v>823</v>
      </c>
      <c r="G226" s="6" t="s">
        <v>823</v>
      </c>
      <c r="H226" s="6" t="s">
        <v>451</v>
      </c>
      <c r="I226" s="6" t="s">
        <v>825</v>
      </c>
      <c r="J226" s="185" t="s">
        <v>826</v>
      </c>
      <c r="K226" s="186">
        <v>48.0</v>
      </c>
      <c r="L226" s="6" t="s">
        <v>21</v>
      </c>
    </row>
    <row r="227" ht="15.75" customHeight="1">
      <c r="A227" s="6" t="s">
        <v>19</v>
      </c>
      <c r="B227" s="6" t="s">
        <v>35</v>
      </c>
      <c r="C227" s="6" t="s">
        <v>444</v>
      </c>
      <c r="D227" s="6" t="s">
        <v>6</v>
      </c>
      <c r="E227" s="6" t="s">
        <v>827</v>
      </c>
      <c r="F227" s="6" t="s">
        <v>828</v>
      </c>
      <c r="G227" s="6" t="s">
        <v>829</v>
      </c>
      <c r="H227" s="6" t="s">
        <v>613</v>
      </c>
      <c r="I227" s="6" t="s">
        <v>715</v>
      </c>
      <c r="J227" s="185" t="s">
        <v>830</v>
      </c>
      <c r="K227" s="186">
        <v>2195.0</v>
      </c>
      <c r="L227" s="6" t="s">
        <v>21</v>
      </c>
    </row>
    <row r="228" ht="15.75" customHeight="1">
      <c r="A228" s="6" t="s">
        <v>19</v>
      </c>
      <c r="B228" s="6" t="s">
        <v>35</v>
      </c>
      <c r="C228" s="6" t="s">
        <v>433</v>
      </c>
      <c r="D228" s="6" t="s">
        <v>6</v>
      </c>
      <c r="E228" s="6" t="s">
        <v>831</v>
      </c>
      <c r="F228" s="6" t="s">
        <v>832</v>
      </c>
      <c r="G228" s="6" t="s">
        <v>833</v>
      </c>
      <c r="H228" s="6" t="s">
        <v>430</v>
      </c>
      <c r="I228" s="6" t="s">
        <v>834</v>
      </c>
      <c r="J228" s="185" t="s">
        <v>835</v>
      </c>
      <c r="K228" s="186">
        <v>106.0</v>
      </c>
      <c r="L228" s="6" t="s">
        <v>21</v>
      </c>
    </row>
    <row r="229" ht="15.75" customHeight="1">
      <c r="A229" s="6" t="s">
        <v>19</v>
      </c>
      <c r="B229" s="6" t="s">
        <v>35</v>
      </c>
      <c r="C229" s="6" t="s">
        <v>433</v>
      </c>
      <c r="D229" s="6" t="s">
        <v>6</v>
      </c>
      <c r="E229" s="6" t="s">
        <v>831</v>
      </c>
      <c r="F229" s="6" t="s">
        <v>832</v>
      </c>
      <c r="G229" s="6" t="s">
        <v>833</v>
      </c>
      <c r="H229" s="6" t="s">
        <v>430</v>
      </c>
      <c r="I229" s="6" t="s">
        <v>836</v>
      </c>
      <c r="J229" s="185" t="s">
        <v>837</v>
      </c>
      <c r="K229" s="186">
        <v>261.0</v>
      </c>
      <c r="L229" s="6" t="s">
        <v>21</v>
      </c>
    </row>
    <row r="230" ht="15.75" customHeight="1">
      <c r="A230" s="6" t="s">
        <v>19</v>
      </c>
      <c r="B230" s="6" t="s">
        <v>35</v>
      </c>
      <c r="C230" s="6" t="s">
        <v>637</v>
      </c>
      <c r="D230" s="6" t="s">
        <v>6</v>
      </c>
      <c r="E230" s="6" t="s">
        <v>838</v>
      </c>
      <c r="F230" s="6" t="s">
        <v>832</v>
      </c>
      <c r="G230" s="6" t="s">
        <v>839</v>
      </c>
      <c r="H230" s="6" t="s">
        <v>840</v>
      </c>
      <c r="I230" s="6" t="s">
        <v>840</v>
      </c>
      <c r="J230" s="185" t="s">
        <v>841</v>
      </c>
      <c r="K230" s="186">
        <v>19000.0</v>
      </c>
      <c r="L230" s="202" t="s">
        <v>148</v>
      </c>
    </row>
    <row r="231" ht="15.75" customHeight="1">
      <c r="A231" s="6" t="s">
        <v>19</v>
      </c>
      <c r="B231" s="6" t="s">
        <v>35</v>
      </c>
      <c r="C231" s="6" t="s">
        <v>427</v>
      </c>
      <c r="D231" s="6" t="s">
        <v>6</v>
      </c>
      <c r="E231" s="6" t="s">
        <v>842</v>
      </c>
      <c r="F231" s="6" t="s">
        <v>843</v>
      </c>
      <c r="G231" s="6" t="s">
        <v>833</v>
      </c>
      <c r="H231" s="6" t="s">
        <v>440</v>
      </c>
      <c r="I231" s="6" t="s">
        <v>844</v>
      </c>
      <c r="J231" s="185" t="s">
        <v>845</v>
      </c>
      <c r="K231" s="186">
        <v>1700.0</v>
      </c>
      <c r="L231" s="6" t="s">
        <v>21</v>
      </c>
    </row>
    <row r="232" ht="15.75" customHeight="1">
      <c r="A232" s="6" t="s">
        <v>19</v>
      </c>
      <c r="B232" s="6" t="s">
        <v>35</v>
      </c>
      <c r="C232" s="6" t="s">
        <v>427</v>
      </c>
      <c r="D232" s="6" t="s">
        <v>6</v>
      </c>
      <c r="E232" s="6" t="s">
        <v>842</v>
      </c>
      <c r="F232" s="6" t="s">
        <v>843</v>
      </c>
      <c r="G232" s="6" t="s">
        <v>833</v>
      </c>
      <c r="H232" s="6" t="s">
        <v>440</v>
      </c>
      <c r="I232" s="6" t="s">
        <v>844</v>
      </c>
      <c r="J232" s="185" t="s">
        <v>846</v>
      </c>
      <c r="K232" s="186">
        <v>3000.0</v>
      </c>
      <c r="L232" s="6" t="s">
        <v>21</v>
      </c>
    </row>
    <row r="233" ht="15.75" customHeight="1">
      <c r="A233" s="6" t="s">
        <v>19</v>
      </c>
      <c r="B233" s="6" t="s">
        <v>35</v>
      </c>
      <c r="C233" s="6" t="s">
        <v>437</v>
      </c>
      <c r="D233" s="6" t="s">
        <v>6</v>
      </c>
      <c r="E233" s="6" t="s">
        <v>847</v>
      </c>
      <c r="F233" s="6" t="s">
        <v>848</v>
      </c>
      <c r="G233" s="6" t="s">
        <v>849</v>
      </c>
      <c r="H233" s="6" t="s">
        <v>451</v>
      </c>
      <c r="I233" s="6" t="s">
        <v>850</v>
      </c>
      <c r="J233" s="185" t="s">
        <v>851</v>
      </c>
      <c r="K233" s="186">
        <v>150.0</v>
      </c>
      <c r="L233" s="6" t="s">
        <v>21</v>
      </c>
    </row>
    <row r="234" ht="15.75" customHeight="1">
      <c r="A234" s="6" t="s">
        <v>19</v>
      </c>
      <c r="B234" s="6" t="s">
        <v>35</v>
      </c>
      <c r="C234" s="6" t="s">
        <v>459</v>
      </c>
      <c r="D234" s="6" t="s">
        <v>6</v>
      </c>
      <c r="E234" s="6" t="s">
        <v>847</v>
      </c>
      <c r="F234" s="6" t="s">
        <v>848</v>
      </c>
      <c r="G234" s="6" t="s">
        <v>832</v>
      </c>
      <c r="H234" s="6" t="s">
        <v>451</v>
      </c>
      <c r="I234" s="6" t="s">
        <v>852</v>
      </c>
      <c r="J234" s="185" t="s">
        <v>465</v>
      </c>
      <c r="K234" s="186">
        <v>299.0</v>
      </c>
      <c r="L234" s="6" t="s">
        <v>21</v>
      </c>
    </row>
    <row r="235" ht="15.75" customHeight="1">
      <c r="A235" s="6" t="s">
        <v>19</v>
      </c>
      <c r="B235" s="6" t="s">
        <v>35</v>
      </c>
      <c r="C235" s="6" t="s">
        <v>448</v>
      </c>
      <c r="D235" s="6" t="s">
        <v>6</v>
      </c>
      <c r="E235" s="6" t="s">
        <v>847</v>
      </c>
      <c r="F235" s="6" t="s">
        <v>848</v>
      </c>
      <c r="G235" s="6" t="s">
        <v>853</v>
      </c>
      <c r="H235" s="6" t="s">
        <v>451</v>
      </c>
      <c r="I235" s="6" t="s">
        <v>825</v>
      </c>
      <c r="J235" s="185" t="s">
        <v>854</v>
      </c>
      <c r="K235" s="186">
        <v>302.0</v>
      </c>
      <c r="L235" s="6" t="s">
        <v>21</v>
      </c>
    </row>
    <row r="236" ht="15.75" customHeight="1">
      <c r="A236" s="6" t="s">
        <v>19</v>
      </c>
      <c r="B236" s="6" t="s">
        <v>35</v>
      </c>
      <c r="C236" s="6" t="s">
        <v>459</v>
      </c>
      <c r="D236" s="6" t="s">
        <v>6</v>
      </c>
      <c r="E236" s="6" t="s">
        <v>847</v>
      </c>
      <c r="F236" s="6" t="s">
        <v>848</v>
      </c>
      <c r="G236" s="6" t="s">
        <v>855</v>
      </c>
      <c r="H236" s="6" t="s">
        <v>451</v>
      </c>
      <c r="I236" s="6" t="s">
        <v>852</v>
      </c>
      <c r="J236" s="185" t="s">
        <v>486</v>
      </c>
      <c r="K236" s="186">
        <v>299.0</v>
      </c>
      <c r="L236" s="6" t="s">
        <v>21</v>
      </c>
    </row>
    <row r="237" ht="15.75" customHeight="1">
      <c r="A237" s="6" t="s">
        <v>19</v>
      </c>
      <c r="B237" s="6" t="s">
        <v>35</v>
      </c>
      <c r="C237" s="6" t="s">
        <v>459</v>
      </c>
      <c r="D237" s="6" t="s">
        <v>6</v>
      </c>
      <c r="E237" s="6" t="s">
        <v>847</v>
      </c>
      <c r="F237" s="6" t="s">
        <v>848</v>
      </c>
      <c r="G237" s="6" t="s">
        <v>855</v>
      </c>
      <c r="H237" s="6" t="s">
        <v>451</v>
      </c>
      <c r="I237" s="6" t="s">
        <v>852</v>
      </c>
      <c r="J237" s="185" t="s">
        <v>485</v>
      </c>
      <c r="K237" s="186">
        <v>299.0</v>
      </c>
      <c r="L237" s="6" t="s">
        <v>21</v>
      </c>
    </row>
    <row r="238" ht="15.75" customHeight="1">
      <c r="A238" s="6" t="s">
        <v>19</v>
      </c>
      <c r="B238" s="6" t="s">
        <v>35</v>
      </c>
      <c r="C238" s="6" t="s">
        <v>459</v>
      </c>
      <c r="D238" s="6" t="s">
        <v>6</v>
      </c>
      <c r="E238" s="6" t="s">
        <v>847</v>
      </c>
      <c r="F238" s="6" t="s">
        <v>848</v>
      </c>
      <c r="G238" s="6" t="s">
        <v>856</v>
      </c>
      <c r="H238" s="6" t="s">
        <v>451</v>
      </c>
      <c r="I238" s="6" t="s">
        <v>852</v>
      </c>
      <c r="J238" s="185" t="s">
        <v>484</v>
      </c>
      <c r="K238" s="186">
        <v>299.0</v>
      </c>
      <c r="L238" s="6" t="s">
        <v>21</v>
      </c>
    </row>
    <row r="239" ht="15.75" customHeight="1">
      <c r="A239" s="12" t="s">
        <v>23</v>
      </c>
      <c r="B239" s="12" t="s">
        <v>57</v>
      </c>
      <c r="C239" s="12" t="s">
        <v>515</v>
      </c>
      <c r="D239" s="12" t="s">
        <v>6</v>
      </c>
      <c r="E239" s="12" t="s">
        <v>857</v>
      </c>
      <c r="F239" s="12" t="s">
        <v>858</v>
      </c>
      <c r="G239" s="12" t="s">
        <v>859</v>
      </c>
      <c r="H239" s="12" t="s">
        <v>513</v>
      </c>
      <c r="I239" s="12" t="s">
        <v>475</v>
      </c>
      <c r="J239" s="187" t="s">
        <v>860</v>
      </c>
      <c r="K239" s="188">
        <v>2929.0</v>
      </c>
      <c r="L239" s="62" t="s">
        <v>148</v>
      </c>
    </row>
    <row r="240" ht="15.75" customHeight="1">
      <c r="A240" s="12" t="s">
        <v>23</v>
      </c>
      <c r="B240" s="12" t="s">
        <v>57</v>
      </c>
      <c r="C240" s="12" t="s">
        <v>517</v>
      </c>
      <c r="D240" s="12" t="s">
        <v>6</v>
      </c>
      <c r="E240" s="12" t="s">
        <v>857</v>
      </c>
      <c r="F240" s="12" t="s">
        <v>858</v>
      </c>
      <c r="G240" s="12" t="s">
        <v>861</v>
      </c>
      <c r="H240" s="12" t="s">
        <v>513</v>
      </c>
      <c r="I240" s="12" t="s">
        <v>862</v>
      </c>
      <c r="J240" s="187" t="s">
        <v>863</v>
      </c>
      <c r="K240" s="188">
        <v>6346.0</v>
      </c>
      <c r="L240" s="62" t="s">
        <v>148</v>
      </c>
    </row>
    <row r="241" ht="15.75" customHeight="1">
      <c r="A241" s="12" t="s">
        <v>23</v>
      </c>
      <c r="B241" s="12" t="s">
        <v>57</v>
      </c>
      <c r="C241" s="12" t="s">
        <v>517</v>
      </c>
      <c r="D241" s="12" t="s">
        <v>6</v>
      </c>
      <c r="E241" s="12" t="s">
        <v>864</v>
      </c>
      <c r="F241" s="12" t="s">
        <v>865</v>
      </c>
      <c r="G241" s="12" t="s">
        <v>858</v>
      </c>
      <c r="H241" s="12" t="s">
        <v>513</v>
      </c>
      <c r="I241" s="12" t="s">
        <v>866</v>
      </c>
      <c r="J241" s="187" t="s">
        <v>867</v>
      </c>
      <c r="K241" s="188">
        <v>1481.0</v>
      </c>
      <c r="L241" s="62" t="s">
        <v>148</v>
      </c>
    </row>
    <row r="242" ht="15.75" customHeight="1">
      <c r="A242" s="12" t="s">
        <v>23</v>
      </c>
      <c r="B242" s="12" t="s">
        <v>57</v>
      </c>
      <c r="C242" s="12" t="s">
        <v>868</v>
      </c>
      <c r="D242" s="12" t="s">
        <v>6</v>
      </c>
      <c r="E242" s="12" t="s">
        <v>869</v>
      </c>
      <c r="F242" s="12" t="s">
        <v>870</v>
      </c>
      <c r="G242" s="12" t="s">
        <v>621</v>
      </c>
      <c r="H242" s="12" t="s">
        <v>871</v>
      </c>
      <c r="I242" s="12" t="s">
        <v>872</v>
      </c>
      <c r="J242" s="187" t="s">
        <v>873</v>
      </c>
      <c r="K242" s="188">
        <v>993.0</v>
      </c>
      <c r="L242" s="62" t="s">
        <v>148</v>
      </c>
    </row>
    <row r="243" ht="15.75" customHeight="1">
      <c r="A243" s="12" t="s">
        <v>23</v>
      </c>
      <c r="B243" s="12" t="s">
        <v>57</v>
      </c>
      <c r="C243" s="12" t="s">
        <v>868</v>
      </c>
      <c r="D243" s="12" t="s">
        <v>6</v>
      </c>
      <c r="E243" s="12" t="s">
        <v>869</v>
      </c>
      <c r="F243" s="12" t="s">
        <v>870</v>
      </c>
      <c r="G243" s="12" t="s">
        <v>621</v>
      </c>
      <c r="H243" s="12" t="s">
        <v>871</v>
      </c>
      <c r="I243" s="12" t="s">
        <v>872</v>
      </c>
      <c r="J243" s="187" t="s">
        <v>874</v>
      </c>
      <c r="K243" s="188">
        <v>1093.0</v>
      </c>
      <c r="L243" s="62" t="s">
        <v>148</v>
      </c>
    </row>
    <row r="244" ht="15.75" customHeight="1">
      <c r="A244" s="12" t="s">
        <v>23</v>
      </c>
      <c r="B244" s="12" t="s">
        <v>57</v>
      </c>
      <c r="C244" s="12" t="s">
        <v>517</v>
      </c>
      <c r="D244" s="12" t="s">
        <v>6</v>
      </c>
      <c r="E244" s="12" t="s">
        <v>875</v>
      </c>
      <c r="F244" s="12" t="s">
        <v>870</v>
      </c>
      <c r="G244" s="12" t="s">
        <v>865</v>
      </c>
      <c r="H244" s="12" t="s">
        <v>871</v>
      </c>
      <c r="I244" s="12" t="s">
        <v>866</v>
      </c>
      <c r="J244" s="187" t="s">
        <v>876</v>
      </c>
      <c r="K244" s="188">
        <v>362.0</v>
      </c>
      <c r="L244" s="62" t="s">
        <v>148</v>
      </c>
    </row>
    <row r="245" ht="15.75" customHeight="1">
      <c r="A245" s="12" t="s">
        <v>23</v>
      </c>
      <c r="B245" s="12" t="s">
        <v>64</v>
      </c>
      <c r="C245" s="12" t="s">
        <v>466</v>
      </c>
      <c r="D245" s="12" t="s">
        <v>6</v>
      </c>
      <c r="E245" s="12" t="s">
        <v>877</v>
      </c>
      <c r="F245" s="12" t="s">
        <v>858</v>
      </c>
      <c r="G245" s="12" t="s">
        <v>878</v>
      </c>
      <c r="H245" s="12" t="s">
        <v>871</v>
      </c>
      <c r="I245" s="12" t="s">
        <v>879</v>
      </c>
      <c r="J245" s="187" t="s">
        <v>880</v>
      </c>
      <c r="K245" s="188">
        <v>4200.0</v>
      </c>
      <c r="L245" s="12" t="s">
        <v>21</v>
      </c>
    </row>
    <row r="246" ht="15.75" customHeight="1">
      <c r="A246" s="12" t="s">
        <v>23</v>
      </c>
      <c r="B246" s="12" t="s">
        <v>64</v>
      </c>
      <c r="C246" s="12" t="s">
        <v>515</v>
      </c>
      <c r="D246" s="12" t="s">
        <v>6</v>
      </c>
      <c r="E246" s="12" t="s">
        <v>881</v>
      </c>
      <c r="F246" s="12" t="s">
        <v>828</v>
      </c>
      <c r="G246" s="12" t="s">
        <v>882</v>
      </c>
      <c r="H246" s="12" t="s">
        <v>544</v>
      </c>
      <c r="I246" s="12" t="s">
        <v>883</v>
      </c>
      <c r="J246" s="187" t="s">
        <v>884</v>
      </c>
      <c r="K246" s="188">
        <v>9862.0</v>
      </c>
      <c r="L246" s="62" t="s">
        <v>148</v>
      </c>
    </row>
    <row r="247" ht="15.75" customHeight="1">
      <c r="A247" s="12" t="s">
        <v>23</v>
      </c>
      <c r="B247" s="12" t="s">
        <v>64</v>
      </c>
      <c r="C247" s="12" t="s">
        <v>582</v>
      </c>
      <c r="D247" s="12" t="s">
        <v>6</v>
      </c>
      <c r="E247" s="12" t="s">
        <v>885</v>
      </c>
      <c r="F247" s="12" t="s">
        <v>886</v>
      </c>
      <c r="G247" s="12" t="s">
        <v>887</v>
      </c>
      <c r="H247" s="12" t="s">
        <v>544</v>
      </c>
      <c r="I247" s="12" t="s">
        <v>888</v>
      </c>
      <c r="J247" s="187" t="s">
        <v>889</v>
      </c>
      <c r="K247" s="188">
        <v>1050.0</v>
      </c>
      <c r="L247" s="12" t="s">
        <v>21</v>
      </c>
    </row>
    <row r="248" ht="15.75" customHeight="1">
      <c r="A248" s="12" t="s">
        <v>23</v>
      </c>
      <c r="B248" s="12" t="s">
        <v>64</v>
      </c>
      <c r="C248" s="12" t="s">
        <v>466</v>
      </c>
      <c r="D248" s="12" t="s">
        <v>6</v>
      </c>
      <c r="E248" s="12" t="s">
        <v>885</v>
      </c>
      <c r="F248" s="12" t="s">
        <v>886</v>
      </c>
      <c r="G248" s="12" t="s">
        <v>887</v>
      </c>
      <c r="H248" s="12" t="s">
        <v>544</v>
      </c>
      <c r="I248" s="12" t="s">
        <v>866</v>
      </c>
      <c r="J248" s="187" t="s">
        <v>890</v>
      </c>
      <c r="K248" s="188">
        <v>55.0</v>
      </c>
      <c r="L248" s="12" t="s">
        <v>21</v>
      </c>
    </row>
    <row r="249" ht="15.75" customHeight="1">
      <c r="A249" s="12" t="s">
        <v>23</v>
      </c>
      <c r="B249" s="12" t="s">
        <v>64</v>
      </c>
      <c r="C249" s="12" t="s">
        <v>466</v>
      </c>
      <c r="D249" s="12" t="s">
        <v>6</v>
      </c>
      <c r="E249" s="12" t="s">
        <v>885</v>
      </c>
      <c r="F249" s="12" t="s">
        <v>886</v>
      </c>
      <c r="G249" s="12" t="s">
        <v>887</v>
      </c>
      <c r="H249" s="12" t="s">
        <v>544</v>
      </c>
      <c r="I249" s="12" t="s">
        <v>866</v>
      </c>
      <c r="J249" s="187" t="s">
        <v>891</v>
      </c>
      <c r="K249" s="188">
        <v>57.0</v>
      </c>
      <c r="L249" s="12" t="s">
        <v>21</v>
      </c>
    </row>
    <row r="250" ht="15.75" customHeight="1">
      <c r="A250" s="12" t="s">
        <v>23</v>
      </c>
      <c r="B250" s="12" t="s">
        <v>64</v>
      </c>
      <c r="C250" s="12" t="s">
        <v>437</v>
      </c>
      <c r="D250" s="12" t="s">
        <v>6</v>
      </c>
      <c r="E250" s="12" t="s">
        <v>885</v>
      </c>
      <c r="F250" s="12" t="s">
        <v>886</v>
      </c>
      <c r="G250" s="12" t="s">
        <v>887</v>
      </c>
      <c r="H250" s="12" t="s">
        <v>544</v>
      </c>
      <c r="I250" s="12" t="s">
        <v>492</v>
      </c>
      <c r="J250" s="187" t="s">
        <v>892</v>
      </c>
      <c r="K250" s="188">
        <v>102.0</v>
      </c>
      <c r="L250" s="12" t="s">
        <v>21</v>
      </c>
    </row>
    <row r="251" ht="15.75" customHeight="1">
      <c r="A251" s="12" t="s">
        <v>23</v>
      </c>
      <c r="B251" s="12" t="s">
        <v>64</v>
      </c>
      <c r="C251" s="12" t="s">
        <v>437</v>
      </c>
      <c r="D251" s="12" t="s">
        <v>6</v>
      </c>
      <c r="E251" s="12" t="s">
        <v>885</v>
      </c>
      <c r="F251" s="12" t="s">
        <v>886</v>
      </c>
      <c r="G251" s="12" t="s">
        <v>887</v>
      </c>
      <c r="H251" s="12" t="s">
        <v>544</v>
      </c>
      <c r="I251" s="12" t="s">
        <v>492</v>
      </c>
      <c r="J251" s="187" t="s">
        <v>893</v>
      </c>
      <c r="K251" s="188">
        <v>102.0</v>
      </c>
      <c r="L251" s="12" t="s">
        <v>21</v>
      </c>
    </row>
    <row r="252" ht="15.75" customHeight="1">
      <c r="A252" s="12" t="s">
        <v>23</v>
      </c>
      <c r="B252" s="12" t="s">
        <v>64</v>
      </c>
      <c r="C252" s="12" t="s">
        <v>582</v>
      </c>
      <c r="D252" s="12" t="s">
        <v>6</v>
      </c>
      <c r="E252" s="12" t="s">
        <v>885</v>
      </c>
      <c r="F252" s="12" t="s">
        <v>886</v>
      </c>
      <c r="G252" s="12" t="s">
        <v>894</v>
      </c>
      <c r="H252" s="12" t="s">
        <v>544</v>
      </c>
      <c r="I252" s="12" t="s">
        <v>888</v>
      </c>
      <c r="J252" s="187" t="s">
        <v>895</v>
      </c>
      <c r="K252" s="188">
        <v>1050.0</v>
      </c>
      <c r="L252" s="12" t="s">
        <v>21</v>
      </c>
    </row>
    <row r="253" ht="15.75" customHeight="1">
      <c r="A253" s="12" t="s">
        <v>23</v>
      </c>
      <c r="B253" s="12" t="s">
        <v>64</v>
      </c>
      <c r="C253" s="12" t="s">
        <v>466</v>
      </c>
      <c r="D253" s="12" t="s">
        <v>6</v>
      </c>
      <c r="E253" s="12" t="s">
        <v>885</v>
      </c>
      <c r="F253" s="12" t="s">
        <v>886</v>
      </c>
      <c r="G253" s="12" t="s">
        <v>894</v>
      </c>
      <c r="H253" s="12" t="s">
        <v>544</v>
      </c>
      <c r="I253" s="12" t="s">
        <v>866</v>
      </c>
      <c r="J253" s="187" t="s">
        <v>890</v>
      </c>
      <c r="K253" s="188">
        <v>55.0</v>
      </c>
      <c r="L253" s="12" t="s">
        <v>21</v>
      </c>
    </row>
    <row r="254" ht="15.75" customHeight="1">
      <c r="A254" s="12" t="s">
        <v>23</v>
      </c>
      <c r="B254" s="12" t="s">
        <v>64</v>
      </c>
      <c r="C254" s="12" t="s">
        <v>466</v>
      </c>
      <c r="D254" s="12" t="s">
        <v>6</v>
      </c>
      <c r="E254" s="12" t="s">
        <v>885</v>
      </c>
      <c r="F254" s="12" t="s">
        <v>886</v>
      </c>
      <c r="G254" s="12" t="s">
        <v>894</v>
      </c>
      <c r="H254" s="12" t="s">
        <v>544</v>
      </c>
      <c r="I254" s="12" t="s">
        <v>866</v>
      </c>
      <c r="J254" s="187" t="s">
        <v>891</v>
      </c>
      <c r="K254" s="188">
        <v>57.0</v>
      </c>
      <c r="L254" s="12" t="s">
        <v>21</v>
      </c>
    </row>
    <row r="255" ht="15.75" customHeight="1">
      <c r="A255" s="12" t="s">
        <v>23</v>
      </c>
      <c r="B255" s="12" t="s">
        <v>64</v>
      </c>
      <c r="C255" s="12" t="s">
        <v>437</v>
      </c>
      <c r="D255" s="12" t="s">
        <v>6</v>
      </c>
      <c r="E255" s="12" t="s">
        <v>885</v>
      </c>
      <c r="F255" s="12" t="s">
        <v>886</v>
      </c>
      <c r="G255" s="12" t="s">
        <v>894</v>
      </c>
      <c r="H255" s="12" t="s">
        <v>544</v>
      </c>
      <c r="I255" s="12" t="s">
        <v>492</v>
      </c>
      <c r="J255" s="187" t="s">
        <v>896</v>
      </c>
      <c r="K255" s="188">
        <v>102.0</v>
      </c>
      <c r="L255" s="12" t="s">
        <v>21</v>
      </c>
    </row>
    <row r="256" ht="15.75" customHeight="1">
      <c r="A256" s="12" t="s">
        <v>23</v>
      </c>
      <c r="B256" s="12" t="s">
        <v>64</v>
      </c>
      <c r="C256" s="12" t="s">
        <v>437</v>
      </c>
      <c r="D256" s="12" t="s">
        <v>6</v>
      </c>
      <c r="E256" s="12" t="s">
        <v>885</v>
      </c>
      <c r="F256" s="12" t="s">
        <v>886</v>
      </c>
      <c r="G256" s="12" t="s">
        <v>894</v>
      </c>
      <c r="H256" s="12" t="s">
        <v>544</v>
      </c>
      <c r="I256" s="12" t="s">
        <v>492</v>
      </c>
      <c r="J256" s="187" t="s">
        <v>897</v>
      </c>
      <c r="K256" s="188">
        <v>102.0</v>
      </c>
      <c r="L256" s="12" t="s">
        <v>21</v>
      </c>
    </row>
    <row r="257" ht="15.75" customHeight="1">
      <c r="A257" s="12" t="s">
        <v>23</v>
      </c>
      <c r="B257" s="12" t="s">
        <v>24</v>
      </c>
      <c r="C257" s="12" t="s">
        <v>437</v>
      </c>
      <c r="D257" s="12" t="s">
        <v>6</v>
      </c>
      <c r="E257" s="12" t="s">
        <v>857</v>
      </c>
      <c r="F257" s="12" t="s">
        <v>858</v>
      </c>
      <c r="G257" s="12" t="s">
        <v>898</v>
      </c>
      <c r="H257" s="12" t="s">
        <v>513</v>
      </c>
      <c r="I257" s="12" t="s">
        <v>899</v>
      </c>
      <c r="J257" s="187" t="s">
        <v>900</v>
      </c>
      <c r="K257" s="188">
        <v>300.0</v>
      </c>
      <c r="L257" s="12" t="s">
        <v>21</v>
      </c>
    </row>
    <row r="258" ht="15.75" customHeight="1">
      <c r="A258" s="12" t="s">
        <v>23</v>
      </c>
      <c r="B258" s="12" t="s">
        <v>24</v>
      </c>
      <c r="C258" s="12" t="s">
        <v>444</v>
      </c>
      <c r="D258" s="12" t="s">
        <v>6</v>
      </c>
      <c r="E258" s="12" t="s">
        <v>857</v>
      </c>
      <c r="F258" s="12" t="s">
        <v>858</v>
      </c>
      <c r="G258" s="12" t="s">
        <v>901</v>
      </c>
      <c r="H258" s="12" t="s">
        <v>513</v>
      </c>
      <c r="I258" s="12" t="s">
        <v>902</v>
      </c>
      <c r="J258" s="187" t="s">
        <v>903</v>
      </c>
      <c r="K258" s="188">
        <v>7963.0</v>
      </c>
      <c r="L258" s="12" t="s">
        <v>21</v>
      </c>
    </row>
    <row r="259" ht="15.75" customHeight="1">
      <c r="A259" s="12" t="s">
        <v>23</v>
      </c>
      <c r="B259" s="12" t="s">
        <v>24</v>
      </c>
      <c r="C259" s="12" t="s">
        <v>466</v>
      </c>
      <c r="D259" s="12" t="s">
        <v>6</v>
      </c>
      <c r="E259" s="12" t="s">
        <v>857</v>
      </c>
      <c r="F259" s="12" t="s">
        <v>858</v>
      </c>
      <c r="G259" s="12" t="s">
        <v>329</v>
      </c>
      <c r="H259" s="12" t="s">
        <v>513</v>
      </c>
      <c r="I259" s="12" t="s">
        <v>904</v>
      </c>
      <c r="J259" s="187" t="s">
        <v>905</v>
      </c>
      <c r="K259" s="188">
        <v>400.0</v>
      </c>
      <c r="L259" s="12" t="s">
        <v>21</v>
      </c>
    </row>
    <row r="260" ht="15.75" customHeight="1">
      <c r="A260" s="12" t="s">
        <v>23</v>
      </c>
      <c r="B260" s="12" t="s">
        <v>24</v>
      </c>
      <c r="C260" s="12" t="s">
        <v>466</v>
      </c>
      <c r="D260" s="12" t="s">
        <v>6</v>
      </c>
      <c r="E260" s="12" t="s">
        <v>857</v>
      </c>
      <c r="F260" s="12" t="s">
        <v>858</v>
      </c>
      <c r="G260" s="12" t="s">
        <v>329</v>
      </c>
      <c r="H260" s="12" t="s">
        <v>513</v>
      </c>
      <c r="I260" s="12" t="s">
        <v>906</v>
      </c>
      <c r="J260" s="187" t="s">
        <v>907</v>
      </c>
      <c r="K260" s="188">
        <v>100.0</v>
      </c>
      <c r="L260" s="12" t="s">
        <v>21</v>
      </c>
    </row>
    <row r="261" ht="15.75" customHeight="1">
      <c r="A261" s="12" t="s">
        <v>23</v>
      </c>
      <c r="B261" s="12" t="s">
        <v>24</v>
      </c>
      <c r="C261" s="12" t="s">
        <v>466</v>
      </c>
      <c r="D261" s="12" t="s">
        <v>6</v>
      </c>
      <c r="E261" s="12" t="s">
        <v>857</v>
      </c>
      <c r="F261" s="12" t="s">
        <v>858</v>
      </c>
      <c r="G261" s="12" t="s">
        <v>329</v>
      </c>
      <c r="H261" s="12" t="s">
        <v>513</v>
      </c>
      <c r="I261" s="12" t="s">
        <v>908</v>
      </c>
      <c r="J261" s="187" t="s">
        <v>909</v>
      </c>
      <c r="K261" s="188">
        <v>408.0</v>
      </c>
      <c r="L261" s="12" t="s">
        <v>21</v>
      </c>
    </row>
    <row r="262" ht="15.75" customHeight="1">
      <c r="A262" s="12" t="s">
        <v>23</v>
      </c>
      <c r="B262" s="12" t="s">
        <v>24</v>
      </c>
      <c r="C262" s="12" t="s">
        <v>444</v>
      </c>
      <c r="D262" s="12" t="s">
        <v>6</v>
      </c>
      <c r="E262" s="12" t="s">
        <v>857</v>
      </c>
      <c r="F262" s="12" t="s">
        <v>858</v>
      </c>
      <c r="G262" s="12" t="s">
        <v>910</v>
      </c>
      <c r="H262" s="12" t="s">
        <v>513</v>
      </c>
      <c r="I262" s="12" t="s">
        <v>911</v>
      </c>
      <c r="J262" s="187" t="s">
        <v>912</v>
      </c>
      <c r="K262" s="188">
        <v>120.0</v>
      </c>
      <c r="L262" s="12" t="s">
        <v>21</v>
      </c>
    </row>
    <row r="263" ht="15.75" customHeight="1">
      <c r="A263" s="12" t="s">
        <v>23</v>
      </c>
      <c r="B263" s="12" t="s">
        <v>24</v>
      </c>
      <c r="C263" s="12" t="s">
        <v>554</v>
      </c>
      <c r="D263" s="12" t="s">
        <v>6</v>
      </c>
      <c r="E263" s="12" t="s">
        <v>913</v>
      </c>
      <c r="F263" s="12" t="s">
        <v>824</v>
      </c>
      <c r="G263" s="12" t="s">
        <v>556</v>
      </c>
      <c r="H263" s="12" t="s">
        <v>759</v>
      </c>
      <c r="I263" s="12" t="s">
        <v>551</v>
      </c>
      <c r="J263" s="187" t="s">
        <v>914</v>
      </c>
      <c r="K263" s="188">
        <v>155430.0</v>
      </c>
      <c r="L263" s="12" t="s">
        <v>21</v>
      </c>
    </row>
    <row r="264" ht="15.75" customHeight="1">
      <c r="A264" s="12" t="s">
        <v>23</v>
      </c>
      <c r="B264" s="12" t="s">
        <v>24</v>
      </c>
      <c r="C264" s="12" t="s">
        <v>433</v>
      </c>
      <c r="D264" s="12" t="s">
        <v>6</v>
      </c>
      <c r="E264" s="12" t="s">
        <v>864</v>
      </c>
      <c r="F264" s="12" t="s">
        <v>865</v>
      </c>
      <c r="G264" s="12" t="s">
        <v>915</v>
      </c>
      <c r="H264" s="12" t="s">
        <v>513</v>
      </c>
      <c r="I264" s="12" t="s">
        <v>475</v>
      </c>
      <c r="J264" s="187" t="s">
        <v>916</v>
      </c>
      <c r="K264" s="188">
        <v>2212.0</v>
      </c>
      <c r="L264" s="12" t="s">
        <v>21</v>
      </c>
    </row>
    <row r="265" ht="15.75" customHeight="1">
      <c r="A265" s="12" t="s">
        <v>23</v>
      </c>
      <c r="B265" s="12" t="s">
        <v>24</v>
      </c>
      <c r="C265" s="12" t="s">
        <v>448</v>
      </c>
      <c r="D265" s="12" t="s">
        <v>6</v>
      </c>
      <c r="E265" s="12" t="s">
        <v>864</v>
      </c>
      <c r="F265" s="12" t="s">
        <v>865</v>
      </c>
      <c r="G265" s="12" t="s">
        <v>824</v>
      </c>
      <c r="H265" s="12" t="s">
        <v>513</v>
      </c>
      <c r="I265" s="12" t="s">
        <v>578</v>
      </c>
      <c r="J265" s="187" t="s">
        <v>567</v>
      </c>
      <c r="K265" s="188">
        <v>2024.0</v>
      </c>
      <c r="L265" s="12" t="s">
        <v>21</v>
      </c>
    </row>
    <row r="266" ht="15.75" customHeight="1">
      <c r="A266" s="12" t="s">
        <v>23</v>
      </c>
      <c r="B266" s="12" t="s">
        <v>24</v>
      </c>
      <c r="C266" s="12" t="s">
        <v>444</v>
      </c>
      <c r="D266" s="12" t="s">
        <v>6</v>
      </c>
      <c r="E266" s="12" t="s">
        <v>864</v>
      </c>
      <c r="F266" s="12" t="s">
        <v>865</v>
      </c>
      <c r="G266" s="12" t="s">
        <v>865</v>
      </c>
      <c r="H266" s="12" t="s">
        <v>513</v>
      </c>
      <c r="I266" s="12" t="s">
        <v>917</v>
      </c>
      <c r="J266" s="187" t="s">
        <v>918</v>
      </c>
      <c r="K266" s="188">
        <v>499.0</v>
      </c>
      <c r="L266" s="12" t="s">
        <v>21</v>
      </c>
    </row>
    <row r="267" ht="15.75" customHeight="1">
      <c r="A267" s="12" t="s">
        <v>23</v>
      </c>
      <c r="B267" s="12" t="s">
        <v>24</v>
      </c>
      <c r="C267" s="12" t="s">
        <v>554</v>
      </c>
      <c r="D267" s="12" t="s">
        <v>6</v>
      </c>
      <c r="E267" s="12" t="s">
        <v>919</v>
      </c>
      <c r="F267" s="12" t="s">
        <v>556</v>
      </c>
      <c r="G267" s="12" t="s">
        <v>556</v>
      </c>
      <c r="H267" s="12" t="s">
        <v>551</v>
      </c>
      <c r="I267" s="12" t="s">
        <v>551</v>
      </c>
      <c r="J267" s="187" t="s">
        <v>557</v>
      </c>
      <c r="K267" s="188">
        <v>208650.0</v>
      </c>
      <c r="L267" s="12" t="s">
        <v>21</v>
      </c>
    </row>
    <row r="268" ht="15.75" customHeight="1">
      <c r="A268" s="12" t="s">
        <v>23</v>
      </c>
      <c r="B268" s="12" t="s">
        <v>24</v>
      </c>
      <c r="C268" s="12" t="s">
        <v>444</v>
      </c>
      <c r="D268" s="12" t="s">
        <v>6</v>
      </c>
      <c r="E268" s="12" t="s">
        <v>920</v>
      </c>
      <c r="F268" s="12" t="s">
        <v>870</v>
      </c>
      <c r="G268" s="12" t="s">
        <v>329</v>
      </c>
      <c r="H268" s="12" t="s">
        <v>871</v>
      </c>
      <c r="I268" s="12" t="s">
        <v>921</v>
      </c>
      <c r="J268" s="187" t="s">
        <v>922</v>
      </c>
      <c r="K268" s="188">
        <v>420.0</v>
      </c>
      <c r="L268" s="12" t="s">
        <v>21</v>
      </c>
    </row>
    <row r="269" ht="15.75" customHeight="1">
      <c r="A269" s="12" t="s">
        <v>23</v>
      </c>
      <c r="B269" s="12" t="s">
        <v>24</v>
      </c>
      <c r="C269" s="12" t="s">
        <v>444</v>
      </c>
      <c r="D269" s="12" t="s">
        <v>6</v>
      </c>
      <c r="E269" s="12" t="s">
        <v>920</v>
      </c>
      <c r="F269" s="12" t="s">
        <v>870</v>
      </c>
      <c r="G269" s="12" t="s">
        <v>329</v>
      </c>
      <c r="H269" s="12" t="s">
        <v>871</v>
      </c>
      <c r="I269" s="12" t="s">
        <v>921</v>
      </c>
      <c r="J269" s="187" t="s">
        <v>923</v>
      </c>
      <c r="K269" s="188">
        <v>72.0</v>
      </c>
      <c r="L269" s="12" t="s">
        <v>21</v>
      </c>
    </row>
    <row r="270" ht="15.75" customHeight="1">
      <c r="A270" s="12" t="s">
        <v>23</v>
      </c>
      <c r="B270" s="12" t="s">
        <v>24</v>
      </c>
      <c r="C270" s="12" t="s">
        <v>444</v>
      </c>
      <c r="D270" s="12" t="s">
        <v>6</v>
      </c>
      <c r="E270" s="12" t="s">
        <v>920</v>
      </c>
      <c r="F270" s="12" t="s">
        <v>870</v>
      </c>
      <c r="G270" s="12" t="s">
        <v>329</v>
      </c>
      <c r="H270" s="12" t="s">
        <v>871</v>
      </c>
      <c r="I270" s="12" t="s">
        <v>921</v>
      </c>
      <c r="J270" s="187" t="s">
        <v>923</v>
      </c>
      <c r="K270" s="188">
        <v>248.0</v>
      </c>
      <c r="L270" s="12" t="s">
        <v>21</v>
      </c>
    </row>
    <row r="271" ht="15.75" customHeight="1">
      <c r="A271" s="12" t="s">
        <v>23</v>
      </c>
      <c r="B271" s="12" t="s">
        <v>24</v>
      </c>
      <c r="C271" s="12" t="s">
        <v>444</v>
      </c>
      <c r="D271" s="12" t="s">
        <v>6</v>
      </c>
      <c r="E271" s="12" t="s">
        <v>920</v>
      </c>
      <c r="F271" s="12" t="s">
        <v>870</v>
      </c>
      <c r="G271" s="12" t="s">
        <v>329</v>
      </c>
      <c r="H271" s="12" t="s">
        <v>871</v>
      </c>
      <c r="I271" s="12" t="s">
        <v>921</v>
      </c>
      <c r="J271" s="187" t="s">
        <v>924</v>
      </c>
      <c r="K271" s="188">
        <v>365.0</v>
      </c>
      <c r="L271" s="12" t="s">
        <v>21</v>
      </c>
    </row>
    <row r="272" ht="15.75" customHeight="1">
      <c r="A272" s="12" t="s">
        <v>23</v>
      </c>
      <c r="B272" s="12" t="s">
        <v>24</v>
      </c>
      <c r="C272" s="12" t="s">
        <v>444</v>
      </c>
      <c r="D272" s="12" t="s">
        <v>6</v>
      </c>
      <c r="E272" s="12" t="s">
        <v>920</v>
      </c>
      <c r="F272" s="12" t="s">
        <v>870</v>
      </c>
      <c r="G272" s="12" t="s">
        <v>329</v>
      </c>
      <c r="H272" s="12" t="s">
        <v>871</v>
      </c>
      <c r="I272" s="12" t="s">
        <v>921</v>
      </c>
      <c r="J272" s="187" t="s">
        <v>925</v>
      </c>
      <c r="K272" s="188">
        <v>76.0</v>
      </c>
      <c r="L272" s="12" t="s">
        <v>21</v>
      </c>
    </row>
    <row r="273" ht="15.75" customHeight="1">
      <c r="A273" s="12" t="s">
        <v>23</v>
      </c>
      <c r="B273" s="12" t="s">
        <v>24</v>
      </c>
      <c r="C273" s="12" t="s">
        <v>444</v>
      </c>
      <c r="D273" s="12" t="s">
        <v>6</v>
      </c>
      <c r="E273" s="12" t="s">
        <v>920</v>
      </c>
      <c r="F273" s="12" t="s">
        <v>870</v>
      </c>
      <c r="G273" s="12" t="s">
        <v>329</v>
      </c>
      <c r="H273" s="12" t="s">
        <v>871</v>
      </c>
      <c r="I273" s="12" t="s">
        <v>921</v>
      </c>
      <c r="J273" s="187" t="s">
        <v>926</v>
      </c>
      <c r="K273" s="188">
        <v>500.0</v>
      </c>
      <c r="L273" s="12" t="s">
        <v>21</v>
      </c>
    </row>
    <row r="274" ht="15.75" customHeight="1">
      <c r="A274" s="12" t="s">
        <v>23</v>
      </c>
      <c r="B274" s="12" t="s">
        <v>24</v>
      </c>
      <c r="C274" s="12" t="s">
        <v>444</v>
      </c>
      <c r="D274" s="12" t="s">
        <v>6</v>
      </c>
      <c r="E274" s="12" t="s">
        <v>920</v>
      </c>
      <c r="F274" s="12" t="s">
        <v>870</v>
      </c>
      <c r="G274" s="12" t="s">
        <v>329</v>
      </c>
      <c r="H274" s="12" t="s">
        <v>871</v>
      </c>
      <c r="I274" s="12" t="s">
        <v>921</v>
      </c>
      <c r="J274" s="187" t="s">
        <v>927</v>
      </c>
      <c r="K274" s="188">
        <v>50.0</v>
      </c>
      <c r="L274" s="12" t="s">
        <v>21</v>
      </c>
    </row>
    <row r="275" ht="15.75" customHeight="1">
      <c r="A275" s="12" t="s">
        <v>23</v>
      </c>
      <c r="B275" s="12" t="s">
        <v>24</v>
      </c>
      <c r="C275" s="12" t="s">
        <v>444</v>
      </c>
      <c r="D275" s="12" t="s">
        <v>6</v>
      </c>
      <c r="E275" s="12" t="s">
        <v>920</v>
      </c>
      <c r="F275" s="12" t="s">
        <v>870</v>
      </c>
      <c r="G275" s="12" t="s">
        <v>329</v>
      </c>
      <c r="H275" s="12" t="s">
        <v>871</v>
      </c>
      <c r="I275" s="12" t="s">
        <v>921</v>
      </c>
      <c r="J275" s="187" t="s">
        <v>928</v>
      </c>
      <c r="K275" s="188">
        <v>998.0</v>
      </c>
      <c r="L275" s="12" t="s">
        <v>21</v>
      </c>
    </row>
    <row r="276" ht="15.75" customHeight="1">
      <c r="A276" s="12" t="s">
        <v>23</v>
      </c>
      <c r="B276" s="12" t="s">
        <v>24</v>
      </c>
      <c r="C276" s="12" t="s">
        <v>444</v>
      </c>
      <c r="D276" s="12" t="s">
        <v>6</v>
      </c>
      <c r="E276" s="12" t="s">
        <v>920</v>
      </c>
      <c r="F276" s="12" t="s">
        <v>870</v>
      </c>
      <c r="G276" s="12" t="s">
        <v>329</v>
      </c>
      <c r="H276" s="12" t="s">
        <v>871</v>
      </c>
      <c r="I276" s="12" t="s">
        <v>921</v>
      </c>
      <c r="J276" s="187" t="s">
        <v>929</v>
      </c>
      <c r="K276" s="188">
        <v>5900.0</v>
      </c>
      <c r="L276" s="12" t="s">
        <v>21</v>
      </c>
    </row>
    <row r="277" ht="15.75" customHeight="1">
      <c r="A277" s="12" t="s">
        <v>23</v>
      </c>
      <c r="B277" s="12" t="s">
        <v>24</v>
      </c>
      <c r="C277" s="12" t="s">
        <v>444</v>
      </c>
      <c r="D277" s="12" t="s">
        <v>6</v>
      </c>
      <c r="E277" s="12" t="s">
        <v>920</v>
      </c>
      <c r="F277" s="12" t="s">
        <v>870</v>
      </c>
      <c r="G277" s="12" t="s">
        <v>329</v>
      </c>
      <c r="H277" s="12" t="s">
        <v>871</v>
      </c>
      <c r="I277" s="12" t="s">
        <v>921</v>
      </c>
      <c r="J277" s="187" t="s">
        <v>930</v>
      </c>
      <c r="K277" s="188">
        <v>3350.0</v>
      </c>
      <c r="L277" s="12" t="s">
        <v>21</v>
      </c>
    </row>
    <row r="278" ht="15.75" customHeight="1">
      <c r="A278" s="12" t="s">
        <v>23</v>
      </c>
      <c r="B278" s="12" t="s">
        <v>24</v>
      </c>
      <c r="C278" s="12" t="s">
        <v>444</v>
      </c>
      <c r="D278" s="12" t="s">
        <v>6</v>
      </c>
      <c r="E278" s="12" t="s">
        <v>920</v>
      </c>
      <c r="F278" s="12" t="s">
        <v>870</v>
      </c>
      <c r="G278" s="12" t="s">
        <v>329</v>
      </c>
      <c r="H278" s="12" t="s">
        <v>871</v>
      </c>
      <c r="I278" s="12" t="s">
        <v>921</v>
      </c>
      <c r="J278" s="187" t="s">
        <v>931</v>
      </c>
      <c r="K278" s="188">
        <v>0.0</v>
      </c>
      <c r="L278" s="12" t="s">
        <v>21</v>
      </c>
    </row>
    <row r="279" ht="15.75" customHeight="1">
      <c r="A279" s="12" t="s">
        <v>23</v>
      </c>
      <c r="B279" s="12" t="s">
        <v>24</v>
      </c>
      <c r="C279" s="12" t="s">
        <v>582</v>
      </c>
      <c r="D279" s="12" t="s">
        <v>6</v>
      </c>
      <c r="E279" s="12" t="s">
        <v>875</v>
      </c>
      <c r="F279" s="12" t="s">
        <v>870</v>
      </c>
      <c r="G279" s="12" t="s">
        <v>858</v>
      </c>
      <c r="H279" s="12" t="s">
        <v>871</v>
      </c>
      <c r="I279" s="12" t="s">
        <v>932</v>
      </c>
      <c r="J279" s="187" t="s">
        <v>933</v>
      </c>
      <c r="K279" s="188">
        <v>1130.0</v>
      </c>
      <c r="L279" s="12" t="s">
        <v>21</v>
      </c>
    </row>
    <row r="280" ht="15.75" customHeight="1">
      <c r="A280" s="12" t="s">
        <v>23</v>
      </c>
      <c r="B280" s="12" t="s">
        <v>24</v>
      </c>
      <c r="C280" s="12" t="s">
        <v>466</v>
      </c>
      <c r="D280" s="12" t="s">
        <v>6</v>
      </c>
      <c r="E280" s="12" t="s">
        <v>875</v>
      </c>
      <c r="F280" s="12" t="s">
        <v>870</v>
      </c>
      <c r="G280" s="12" t="s">
        <v>858</v>
      </c>
      <c r="H280" s="12" t="s">
        <v>871</v>
      </c>
      <c r="I280" s="12" t="s">
        <v>793</v>
      </c>
      <c r="J280" s="187" t="s">
        <v>934</v>
      </c>
      <c r="K280" s="188">
        <v>2875.0</v>
      </c>
      <c r="L280" s="12" t="s">
        <v>21</v>
      </c>
    </row>
    <row r="281" ht="15.75" customHeight="1">
      <c r="A281" s="46" t="s">
        <v>31</v>
      </c>
      <c r="B281" s="46" t="s">
        <v>31</v>
      </c>
      <c r="C281" s="12" t="s">
        <v>466</v>
      </c>
      <c r="D281" s="12" t="s">
        <v>6</v>
      </c>
      <c r="E281" s="12" t="s">
        <v>875</v>
      </c>
      <c r="F281" s="12" t="s">
        <v>870</v>
      </c>
      <c r="G281" s="12" t="s">
        <v>539</v>
      </c>
      <c r="H281" s="12" t="s">
        <v>871</v>
      </c>
      <c r="I281" s="12" t="s">
        <v>866</v>
      </c>
      <c r="J281" s="187" t="s">
        <v>935</v>
      </c>
      <c r="K281" s="188">
        <v>1159.0</v>
      </c>
      <c r="L281" s="12" t="s">
        <v>21</v>
      </c>
    </row>
    <row r="282" ht="15.75" customHeight="1">
      <c r="A282" s="46" t="s">
        <v>31</v>
      </c>
      <c r="B282" s="46" t="s">
        <v>31</v>
      </c>
      <c r="C282" s="12" t="s">
        <v>466</v>
      </c>
      <c r="D282" s="12" t="s">
        <v>6</v>
      </c>
      <c r="E282" s="12" t="s">
        <v>875</v>
      </c>
      <c r="F282" s="12" t="s">
        <v>870</v>
      </c>
      <c r="G282" s="12" t="s">
        <v>539</v>
      </c>
      <c r="H282" s="12" t="s">
        <v>871</v>
      </c>
      <c r="I282" s="12" t="s">
        <v>866</v>
      </c>
      <c r="J282" s="187" t="s">
        <v>936</v>
      </c>
      <c r="K282" s="188">
        <v>380.0</v>
      </c>
      <c r="L282" s="12" t="s">
        <v>21</v>
      </c>
    </row>
    <row r="283" ht="15.75" customHeight="1">
      <c r="A283" s="46" t="s">
        <v>31</v>
      </c>
      <c r="B283" s="46" t="s">
        <v>31</v>
      </c>
      <c r="C283" s="12" t="s">
        <v>466</v>
      </c>
      <c r="D283" s="12" t="s">
        <v>6</v>
      </c>
      <c r="E283" s="12" t="s">
        <v>875</v>
      </c>
      <c r="F283" s="12" t="s">
        <v>870</v>
      </c>
      <c r="G283" s="12" t="s">
        <v>539</v>
      </c>
      <c r="H283" s="12" t="s">
        <v>871</v>
      </c>
      <c r="I283" s="12" t="s">
        <v>866</v>
      </c>
      <c r="J283" s="187" t="s">
        <v>937</v>
      </c>
      <c r="K283" s="188">
        <v>262.0</v>
      </c>
      <c r="L283" s="12" t="s">
        <v>21</v>
      </c>
    </row>
    <row r="284" ht="15.75" customHeight="1">
      <c r="A284" s="46" t="s">
        <v>31</v>
      </c>
      <c r="B284" s="46" t="s">
        <v>31</v>
      </c>
      <c r="C284" s="12" t="s">
        <v>466</v>
      </c>
      <c r="D284" s="12" t="s">
        <v>6</v>
      </c>
      <c r="E284" s="12" t="s">
        <v>875</v>
      </c>
      <c r="F284" s="12" t="s">
        <v>870</v>
      </c>
      <c r="G284" s="12" t="s">
        <v>480</v>
      </c>
      <c r="H284" s="12" t="s">
        <v>871</v>
      </c>
      <c r="I284" s="12" t="s">
        <v>866</v>
      </c>
      <c r="J284" s="187" t="s">
        <v>936</v>
      </c>
      <c r="K284" s="188">
        <v>421.0</v>
      </c>
      <c r="L284" s="12" t="s">
        <v>21</v>
      </c>
    </row>
    <row r="285" ht="15.75" customHeight="1">
      <c r="A285" s="46" t="s">
        <v>31</v>
      </c>
      <c r="B285" s="46" t="s">
        <v>31</v>
      </c>
      <c r="C285" s="12" t="s">
        <v>466</v>
      </c>
      <c r="D285" s="12" t="s">
        <v>6</v>
      </c>
      <c r="E285" s="12" t="s">
        <v>875</v>
      </c>
      <c r="F285" s="12" t="s">
        <v>870</v>
      </c>
      <c r="G285" s="12" t="s">
        <v>483</v>
      </c>
      <c r="H285" s="12" t="s">
        <v>871</v>
      </c>
      <c r="I285" s="12" t="s">
        <v>866</v>
      </c>
      <c r="J285" s="187" t="s">
        <v>936</v>
      </c>
      <c r="K285" s="188">
        <v>394.0</v>
      </c>
      <c r="L285" s="12" t="s">
        <v>21</v>
      </c>
    </row>
    <row r="286" ht="15.75" customHeight="1">
      <c r="A286" s="46" t="s">
        <v>31</v>
      </c>
      <c r="B286" s="46" t="s">
        <v>31</v>
      </c>
      <c r="C286" s="12" t="s">
        <v>466</v>
      </c>
      <c r="D286" s="12" t="s">
        <v>6</v>
      </c>
      <c r="E286" s="12" t="s">
        <v>875</v>
      </c>
      <c r="F286" s="12" t="s">
        <v>870</v>
      </c>
      <c r="G286" s="12" t="s">
        <v>483</v>
      </c>
      <c r="H286" s="12" t="s">
        <v>871</v>
      </c>
      <c r="I286" s="12" t="s">
        <v>866</v>
      </c>
      <c r="J286" s="187" t="s">
        <v>937</v>
      </c>
      <c r="K286" s="188">
        <v>233.0</v>
      </c>
      <c r="L286" s="12" t="s">
        <v>21</v>
      </c>
    </row>
    <row r="287" ht="15.75" customHeight="1">
      <c r="A287" s="46" t="s">
        <v>31</v>
      </c>
      <c r="B287" s="46" t="s">
        <v>31</v>
      </c>
      <c r="C287" s="12" t="s">
        <v>466</v>
      </c>
      <c r="D287" s="12" t="s">
        <v>6</v>
      </c>
      <c r="E287" s="12" t="s">
        <v>875</v>
      </c>
      <c r="F287" s="12" t="s">
        <v>870</v>
      </c>
      <c r="G287" s="12" t="s">
        <v>468</v>
      </c>
      <c r="H287" s="12" t="s">
        <v>871</v>
      </c>
      <c r="I287" s="12" t="s">
        <v>866</v>
      </c>
      <c r="J287" s="187" t="s">
        <v>938</v>
      </c>
      <c r="K287" s="188">
        <v>472.0</v>
      </c>
      <c r="L287" s="12" t="s">
        <v>21</v>
      </c>
    </row>
    <row r="288" ht="15.75" customHeight="1">
      <c r="A288" s="46" t="s">
        <v>31</v>
      </c>
      <c r="B288" s="46" t="s">
        <v>31</v>
      </c>
      <c r="C288" s="12" t="s">
        <v>466</v>
      </c>
      <c r="D288" s="12" t="s">
        <v>6</v>
      </c>
      <c r="E288" s="12" t="s">
        <v>875</v>
      </c>
      <c r="F288" s="12" t="s">
        <v>870</v>
      </c>
      <c r="G288" s="12" t="s">
        <v>468</v>
      </c>
      <c r="H288" s="12" t="s">
        <v>871</v>
      </c>
      <c r="I288" s="12" t="s">
        <v>866</v>
      </c>
      <c r="J288" s="187" t="s">
        <v>936</v>
      </c>
      <c r="K288" s="188">
        <v>253.0</v>
      </c>
      <c r="L288" s="12" t="s">
        <v>21</v>
      </c>
    </row>
    <row r="289" ht="15.75" customHeight="1">
      <c r="A289" s="46" t="s">
        <v>31</v>
      </c>
      <c r="B289" s="46" t="s">
        <v>31</v>
      </c>
      <c r="C289" s="12" t="s">
        <v>466</v>
      </c>
      <c r="D289" s="12" t="s">
        <v>6</v>
      </c>
      <c r="E289" s="12" t="s">
        <v>875</v>
      </c>
      <c r="F289" s="12" t="s">
        <v>870</v>
      </c>
      <c r="G289" s="12" t="s">
        <v>479</v>
      </c>
      <c r="H289" s="12" t="s">
        <v>871</v>
      </c>
      <c r="I289" s="12" t="s">
        <v>866</v>
      </c>
      <c r="J289" s="187" t="s">
        <v>936</v>
      </c>
      <c r="K289" s="188">
        <v>229.0</v>
      </c>
      <c r="L289" s="12" t="s">
        <v>21</v>
      </c>
    </row>
    <row r="290" ht="15.75" customHeight="1">
      <c r="A290" s="46" t="s">
        <v>31</v>
      </c>
      <c r="B290" s="46" t="s">
        <v>31</v>
      </c>
      <c r="C290" s="12" t="s">
        <v>466</v>
      </c>
      <c r="D290" s="12" t="s">
        <v>6</v>
      </c>
      <c r="E290" s="12" t="s">
        <v>875</v>
      </c>
      <c r="F290" s="12" t="s">
        <v>870</v>
      </c>
      <c r="G290" s="12" t="s">
        <v>543</v>
      </c>
      <c r="H290" s="12" t="s">
        <v>871</v>
      </c>
      <c r="I290" s="12" t="s">
        <v>866</v>
      </c>
      <c r="J290" s="187" t="s">
        <v>936</v>
      </c>
      <c r="K290" s="188">
        <v>382.0</v>
      </c>
      <c r="L290" s="12" t="s">
        <v>21</v>
      </c>
    </row>
    <row r="291" ht="15.75" customHeight="1">
      <c r="A291" s="46" t="s">
        <v>31</v>
      </c>
      <c r="B291" s="46" t="s">
        <v>31</v>
      </c>
      <c r="C291" s="12" t="s">
        <v>466</v>
      </c>
      <c r="D291" s="12" t="s">
        <v>6</v>
      </c>
      <c r="E291" s="12" t="s">
        <v>875</v>
      </c>
      <c r="F291" s="12" t="s">
        <v>870</v>
      </c>
      <c r="G291" s="12" t="s">
        <v>502</v>
      </c>
      <c r="H291" s="12" t="s">
        <v>871</v>
      </c>
      <c r="I291" s="12" t="s">
        <v>866</v>
      </c>
      <c r="J291" s="187" t="s">
        <v>936</v>
      </c>
      <c r="K291" s="188">
        <v>432.0</v>
      </c>
      <c r="L291" s="12" t="s">
        <v>21</v>
      </c>
    </row>
    <row r="292" ht="15.75" customHeight="1">
      <c r="A292" s="12" t="s">
        <v>23</v>
      </c>
      <c r="B292" s="12" t="s">
        <v>24</v>
      </c>
      <c r="C292" s="12" t="s">
        <v>466</v>
      </c>
      <c r="D292" s="12" t="s">
        <v>6</v>
      </c>
      <c r="E292" s="12" t="s">
        <v>875</v>
      </c>
      <c r="F292" s="12" t="s">
        <v>870</v>
      </c>
      <c r="G292" s="12" t="s">
        <v>489</v>
      </c>
      <c r="H292" s="12" t="s">
        <v>871</v>
      </c>
      <c r="I292" s="12" t="s">
        <v>866</v>
      </c>
      <c r="J292" s="187" t="s">
        <v>936</v>
      </c>
      <c r="K292" s="188">
        <v>391.0</v>
      </c>
      <c r="L292" s="12" t="s">
        <v>21</v>
      </c>
    </row>
    <row r="293" ht="15.75" customHeight="1">
      <c r="A293" s="12" t="s">
        <v>23</v>
      </c>
      <c r="B293" s="12" t="s">
        <v>24</v>
      </c>
      <c r="C293" s="12" t="s">
        <v>466</v>
      </c>
      <c r="D293" s="12" t="s">
        <v>6</v>
      </c>
      <c r="E293" s="12" t="s">
        <v>875</v>
      </c>
      <c r="F293" s="12" t="s">
        <v>870</v>
      </c>
      <c r="G293" s="12" t="s">
        <v>329</v>
      </c>
      <c r="H293" s="12" t="s">
        <v>871</v>
      </c>
      <c r="I293" s="12" t="s">
        <v>866</v>
      </c>
      <c r="J293" s="187" t="s">
        <v>936</v>
      </c>
      <c r="K293" s="188">
        <v>387.0</v>
      </c>
      <c r="L293" s="12" t="s">
        <v>21</v>
      </c>
    </row>
    <row r="294" ht="15.75" customHeight="1">
      <c r="A294" s="12" t="s">
        <v>23</v>
      </c>
      <c r="B294" s="12" t="s">
        <v>24</v>
      </c>
      <c r="C294" s="12" t="s">
        <v>466</v>
      </c>
      <c r="D294" s="12" t="s">
        <v>6</v>
      </c>
      <c r="E294" s="12" t="s">
        <v>875</v>
      </c>
      <c r="F294" s="12" t="s">
        <v>870</v>
      </c>
      <c r="G294" s="12" t="s">
        <v>910</v>
      </c>
      <c r="H294" s="12" t="s">
        <v>871</v>
      </c>
      <c r="I294" s="12" t="s">
        <v>866</v>
      </c>
      <c r="J294" s="187" t="s">
        <v>936</v>
      </c>
      <c r="K294" s="188">
        <v>352.0</v>
      </c>
      <c r="L294" s="12" t="s">
        <v>21</v>
      </c>
    </row>
    <row r="295" ht="15.75" customHeight="1">
      <c r="A295" s="12" t="s">
        <v>23</v>
      </c>
      <c r="B295" s="12" t="s">
        <v>24</v>
      </c>
      <c r="C295" s="12" t="s">
        <v>466</v>
      </c>
      <c r="D295" s="12" t="s">
        <v>6</v>
      </c>
      <c r="E295" s="12" t="s">
        <v>875</v>
      </c>
      <c r="F295" s="12" t="s">
        <v>870</v>
      </c>
      <c r="G295" s="12" t="s">
        <v>898</v>
      </c>
      <c r="H295" s="12" t="s">
        <v>871</v>
      </c>
      <c r="I295" s="12" t="s">
        <v>866</v>
      </c>
      <c r="J295" s="187" t="s">
        <v>936</v>
      </c>
      <c r="K295" s="188">
        <v>373.0</v>
      </c>
      <c r="L295" s="12" t="s">
        <v>21</v>
      </c>
    </row>
    <row r="296" ht="15.75" customHeight="1">
      <c r="A296" s="12" t="s">
        <v>23</v>
      </c>
      <c r="B296" s="12" t="s">
        <v>24</v>
      </c>
      <c r="C296" s="12" t="s">
        <v>466</v>
      </c>
      <c r="D296" s="12" t="s">
        <v>6</v>
      </c>
      <c r="E296" s="12" t="s">
        <v>875</v>
      </c>
      <c r="F296" s="12" t="s">
        <v>870</v>
      </c>
      <c r="G296" s="12" t="s">
        <v>858</v>
      </c>
      <c r="H296" s="12" t="s">
        <v>871</v>
      </c>
      <c r="I296" s="12" t="s">
        <v>866</v>
      </c>
      <c r="J296" s="187" t="s">
        <v>936</v>
      </c>
      <c r="K296" s="188">
        <v>241.0</v>
      </c>
      <c r="L296" s="12" t="s">
        <v>21</v>
      </c>
    </row>
    <row r="297" ht="15.75" customHeight="1">
      <c r="A297" s="12" t="s">
        <v>23</v>
      </c>
      <c r="B297" s="12" t="s">
        <v>24</v>
      </c>
      <c r="C297" s="12" t="s">
        <v>466</v>
      </c>
      <c r="D297" s="12" t="s">
        <v>6</v>
      </c>
      <c r="E297" s="12" t="s">
        <v>875</v>
      </c>
      <c r="F297" s="12" t="s">
        <v>870</v>
      </c>
      <c r="G297" s="12" t="s">
        <v>824</v>
      </c>
      <c r="H297" s="12" t="s">
        <v>871</v>
      </c>
      <c r="I297" s="12" t="s">
        <v>866</v>
      </c>
      <c r="J297" s="187" t="s">
        <v>936</v>
      </c>
      <c r="K297" s="188">
        <v>430.0</v>
      </c>
      <c r="L297" s="12" t="s">
        <v>21</v>
      </c>
    </row>
    <row r="298" ht="15.75" customHeight="1">
      <c r="A298" s="12" t="s">
        <v>23</v>
      </c>
      <c r="B298" s="12" t="s">
        <v>24</v>
      </c>
      <c r="C298" s="12" t="s">
        <v>466</v>
      </c>
      <c r="D298" s="12" t="s">
        <v>6</v>
      </c>
      <c r="E298" s="12" t="s">
        <v>875</v>
      </c>
      <c r="F298" s="12" t="s">
        <v>870</v>
      </c>
      <c r="G298" s="12" t="s">
        <v>824</v>
      </c>
      <c r="H298" s="12" t="s">
        <v>871</v>
      </c>
      <c r="I298" s="12" t="s">
        <v>866</v>
      </c>
      <c r="J298" s="187" t="s">
        <v>935</v>
      </c>
      <c r="K298" s="188">
        <v>2163.0</v>
      </c>
      <c r="L298" s="12" t="s">
        <v>21</v>
      </c>
    </row>
    <row r="299" ht="15.75" customHeight="1">
      <c r="A299" s="12" t="s">
        <v>23</v>
      </c>
      <c r="B299" s="12" t="s">
        <v>24</v>
      </c>
      <c r="C299" s="12" t="s">
        <v>466</v>
      </c>
      <c r="D299" s="12" t="s">
        <v>6</v>
      </c>
      <c r="E299" s="12" t="s">
        <v>875</v>
      </c>
      <c r="F299" s="12" t="s">
        <v>870</v>
      </c>
      <c r="G299" s="12" t="s">
        <v>824</v>
      </c>
      <c r="H299" s="12" t="s">
        <v>871</v>
      </c>
      <c r="I299" s="12" t="s">
        <v>866</v>
      </c>
      <c r="J299" s="187" t="s">
        <v>939</v>
      </c>
      <c r="K299" s="188">
        <v>277.0</v>
      </c>
      <c r="L299" s="12" t="s">
        <v>21</v>
      </c>
    </row>
    <row r="300" ht="15.75" customHeight="1">
      <c r="A300" s="12" t="s">
        <v>23</v>
      </c>
      <c r="B300" s="12" t="s">
        <v>24</v>
      </c>
      <c r="C300" s="12" t="s">
        <v>466</v>
      </c>
      <c r="D300" s="12" t="s">
        <v>6</v>
      </c>
      <c r="E300" s="12" t="s">
        <v>875</v>
      </c>
      <c r="F300" s="12" t="s">
        <v>870</v>
      </c>
      <c r="G300" s="12" t="s">
        <v>865</v>
      </c>
      <c r="H300" s="12" t="s">
        <v>871</v>
      </c>
      <c r="I300" s="12" t="s">
        <v>866</v>
      </c>
      <c r="J300" s="187" t="s">
        <v>940</v>
      </c>
      <c r="K300" s="188">
        <v>118.0</v>
      </c>
      <c r="L300" s="12" t="s">
        <v>21</v>
      </c>
    </row>
    <row r="301" ht="15.75" customHeight="1">
      <c r="A301" s="12" t="s">
        <v>23</v>
      </c>
      <c r="B301" s="12" t="s">
        <v>24</v>
      </c>
      <c r="C301" s="12" t="s">
        <v>466</v>
      </c>
      <c r="D301" s="12" t="s">
        <v>6</v>
      </c>
      <c r="E301" s="12" t="s">
        <v>875</v>
      </c>
      <c r="F301" s="12" t="s">
        <v>870</v>
      </c>
      <c r="G301" s="12" t="s">
        <v>865</v>
      </c>
      <c r="H301" s="12" t="s">
        <v>871</v>
      </c>
      <c r="I301" s="12" t="s">
        <v>866</v>
      </c>
      <c r="J301" s="187" t="s">
        <v>935</v>
      </c>
      <c r="K301" s="188">
        <v>1947.0</v>
      </c>
      <c r="L301" s="12" t="s">
        <v>21</v>
      </c>
    </row>
    <row r="302" ht="15.75" customHeight="1">
      <c r="A302" s="12" t="s">
        <v>23</v>
      </c>
      <c r="B302" s="12" t="s">
        <v>24</v>
      </c>
      <c r="C302" s="12" t="s">
        <v>466</v>
      </c>
      <c r="D302" s="12" t="s">
        <v>6</v>
      </c>
      <c r="E302" s="12" t="s">
        <v>875</v>
      </c>
      <c r="F302" s="12" t="s">
        <v>870</v>
      </c>
      <c r="G302" s="12" t="s">
        <v>865</v>
      </c>
      <c r="H302" s="12" t="s">
        <v>871</v>
      </c>
      <c r="I302" s="12" t="s">
        <v>866</v>
      </c>
      <c r="J302" s="187" t="s">
        <v>941</v>
      </c>
      <c r="K302" s="188">
        <v>88.0</v>
      </c>
      <c r="L302" s="12" t="s">
        <v>21</v>
      </c>
    </row>
    <row r="303" ht="15.75" customHeight="1">
      <c r="A303" s="12" t="s">
        <v>23</v>
      </c>
      <c r="B303" s="12" t="s">
        <v>24</v>
      </c>
      <c r="C303" s="12" t="s">
        <v>466</v>
      </c>
      <c r="D303" s="12" t="s">
        <v>6</v>
      </c>
      <c r="E303" s="12" t="s">
        <v>875</v>
      </c>
      <c r="F303" s="12" t="s">
        <v>870</v>
      </c>
      <c r="G303" s="12" t="s">
        <v>942</v>
      </c>
      <c r="H303" s="12" t="s">
        <v>871</v>
      </c>
      <c r="I303" s="12" t="s">
        <v>866</v>
      </c>
      <c r="J303" s="187" t="s">
        <v>938</v>
      </c>
      <c r="K303" s="188">
        <v>471.0</v>
      </c>
      <c r="L303" s="12" t="s">
        <v>21</v>
      </c>
    </row>
    <row r="304" ht="15.75" customHeight="1">
      <c r="A304" s="12" t="s">
        <v>23</v>
      </c>
      <c r="B304" s="12" t="s">
        <v>24</v>
      </c>
      <c r="C304" s="12" t="s">
        <v>466</v>
      </c>
      <c r="D304" s="12" t="s">
        <v>6</v>
      </c>
      <c r="E304" s="12" t="s">
        <v>875</v>
      </c>
      <c r="F304" s="12" t="s">
        <v>870</v>
      </c>
      <c r="G304" s="12" t="s">
        <v>942</v>
      </c>
      <c r="H304" s="12" t="s">
        <v>871</v>
      </c>
      <c r="I304" s="12" t="s">
        <v>866</v>
      </c>
      <c r="J304" s="187" t="s">
        <v>940</v>
      </c>
      <c r="K304" s="188">
        <v>204.0</v>
      </c>
      <c r="L304" s="12" t="s">
        <v>21</v>
      </c>
    </row>
    <row r="305" ht="15.75" customHeight="1">
      <c r="A305" s="12" t="s">
        <v>23</v>
      </c>
      <c r="B305" s="12" t="s">
        <v>24</v>
      </c>
      <c r="C305" s="12" t="s">
        <v>466</v>
      </c>
      <c r="D305" s="12" t="s">
        <v>6</v>
      </c>
      <c r="E305" s="12" t="s">
        <v>875</v>
      </c>
      <c r="F305" s="12" t="s">
        <v>870</v>
      </c>
      <c r="G305" s="12" t="s">
        <v>942</v>
      </c>
      <c r="H305" s="12" t="s">
        <v>871</v>
      </c>
      <c r="I305" s="12" t="s">
        <v>866</v>
      </c>
      <c r="J305" s="187" t="s">
        <v>935</v>
      </c>
      <c r="K305" s="188">
        <v>1783.0</v>
      </c>
      <c r="L305" s="12" t="s">
        <v>21</v>
      </c>
    </row>
    <row r="306" ht="15.75" customHeight="1">
      <c r="A306" s="12" t="s">
        <v>23</v>
      </c>
      <c r="B306" s="12" t="s">
        <v>24</v>
      </c>
      <c r="C306" s="12" t="s">
        <v>466</v>
      </c>
      <c r="D306" s="12" t="s">
        <v>6</v>
      </c>
      <c r="E306" s="12" t="s">
        <v>875</v>
      </c>
      <c r="F306" s="12" t="s">
        <v>870</v>
      </c>
      <c r="G306" s="12" t="s">
        <v>942</v>
      </c>
      <c r="H306" s="12" t="s">
        <v>871</v>
      </c>
      <c r="I306" s="12" t="s">
        <v>866</v>
      </c>
      <c r="J306" s="187" t="s">
        <v>943</v>
      </c>
      <c r="K306" s="188">
        <v>232.0</v>
      </c>
      <c r="L306" s="12" t="s">
        <v>21</v>
      </c>
    </row>
    <row r="307" ht="15.75" customHeight="1">
      <c r="A307" s="12" t="s">
        <v>23</v>
      </c>
      <c r="B307" s="12" t="s">
        <v>24</v>
      </c>
      <c r="C307" s="12" t="s">
        <v>466</v>
      </c>
      <c r="D307" s="12" t="s">
        <v>6</v>
      </c>
      <c r="E307" s="12" t="s">
        <v>875</v>
      </c>
      <c r="F307" s="12" t="s">
        <v>870</v>
      </c>
      <c r="G307" s="12" t="s">
        <v>556</v>
      </c>
      <c r="H307" s="12" t="s">
        <v>871</v>
      </c>
      <c r="I307" s="12" t="s">
        <v>866</v>
      </c>
      <c r="J307" s="187" t="s">
        <v>938</v>
      </c>
      <c r="K307" s="188">
        <v>485.0</v>
      </c>
      <c r="L307" s="12" t="s">
        <v>21</v>
      </c>
    </row>
    <row r="308" ht="15.75" customHeight="1">
      <c r="A308" s="12" t="s">
        <v>23</v>
      </c>
      <c r="B308" s="12" t="s">
        <v>24</v>
      </c>
      <c r="C308" s="12" t="s">
        <v>444</v>
      </c>
      <c r="D308" s="12" t="s">
        <v>6</v>
      </c>
      <c r="E308" s="12" t="s">
        <v>944</v>
      </c>
      <c r="F308" s="12" t="s">
        <v>945</v>
      </c>
      <c r="G308" s="12" t="s">
        <v>898</v>
      </c>
      <c r="H308" s="12" t="s">
        <v>946</v>
      </c>
      <c r="I308" s="12" t="s">
        <v>947</v>
      </c>
      <c r="J308" s="187" t="s">
        <v>948</v>
      </c>
      <c r="K308" s="188">
        <v>75893.0</v>
      </c>
      <c r="L308" s="12" t="s">
        <v>21</v>
      </c>
    </row>
    <row r="309" ht="15.75" customHeight="1">
      <c r="A309" s="12" t="s">
        <v>23</v>
      </c>
      <c r="B309" s="12" t="s">
        <v>24</v>
      </c>
      <c r="C309" s="12" t="s">
        <v>582</v>
      </c>
      <c r="D309" s="12" t="s">
        <v>6</v>
      </c>
      <c r="E309" s="12" t="s">
        <v>944</v>
      </c>
      <c r="F309" s="12" t="s">
        <v>945</v>
      </c>
      <c r="G309" s="12" t="s">
        <v>898</v>
      </c>
      <c r="H309" s="12" t="s">
        <v>946</v>
      </c>
      <c r="I309" s="12" t="s">
        <v>947</v>
      </c>
      <c r="J309" s="187" t="s">
        <v>949</v>
      </c>
      <c r="K309" s="188">
        <v>9107.0</v>
      </c>
      <c r="L309" s="12" t="s">
        <v>21</v>
      </c>
    </row>
    <row r="310" ht="15.75" customHeight="1">
      <c r="A310" s="12" t="s">
        <v>23</v>
      </c>
      <c r="B310" s="12" t="s">
        <v>24</v>
      </c>
      <c r="C310" s="12" t="s">
        <v>444</v>
      </c>
      <c r="D310" s="12" t="s">
        <v>6</v>
      </c>
      <c r="E310" s="12" t="s">
        <v>950</v>
      </c>
      <c r="F310" s="12" t="s">
        <v>945</v>
      </c>
      <c r="G310" s="12" t="s">
        <v>951</v>
      </c>
      <c r="H310" s="12" t="s">
        <v>613</v>
      </c>
      <c r="I310" s="12" t="s">
        <v>947</v>
      </c>
      <c r="J310" s="187" t="s">
        <v>952</v>
      </c>
      <c r="K310" s="188">
        <v>35000.0</v>
      </c>
      <c r="L310" s="12" t="s">
        <v>21</v>
      </c>
    </row>
    <row r="311" ht="15.75" customHeight="1">
      <c r="A311" s="12" t="s">
        <v>23</v>
      </c>
      <c r="B311" s="12" t="s">
        <v>24</v>
      </c>
      <c r="C311" s="12" t="s">
        <v>444</v>
      </c>
      <c r="D311" s="12" t="s">
        <v>6</v>
      </c>
      <c r="E311" s="12" t="s">
        <v>950</v>
      </c>
      <c r="F311" s="12" t="s">
        <v>945</v>
      </c>
      <c r="G311" s="12" t="s">
        <v>951</v>
      </c>
      <c r="H311" s="12" t="s">
        <v>613</v>
      </c>
      <c r="I311" s="12" t="s">
        <v>947</v>
      </c>
      <c r="J311" s="187" t="s">
        <v>953</v>
      </c>
      <c r="K311" s="188">
        <v>50000.0</v>
      </c>
      <c r="L311" s="12" t="s">
        <v>21</v>
      </c>
    </row>
    <row r="312" ht="15.75" customHeight="1">
      <c r="A312" s="12" t="s">
        <v>23</v>
      </c>
      <c r="B312" s="12" t="s">
        <v>24</v>
      </c>
      <c r="C312" s="12" t="s">
        <v>444</v>
      </c>
      <c r="D312" s="12" t="s">
        <v>6</v>
      </c>
      <c r="E312" s="12" t="s">
        <v>954</v>
      </c>
      <c r="F312" s="12" t="s">
        <v>828</v>
      </c>
      <c r="G312" s="12" t="s">
        <v>882</v>
      </c>
      <c r="H312" s="12" t="s">
        <v>955</v>
      </c>
      <c r="I312" s="12" t="s">
        <v>955</v>
      </c>
      <c r="J312" s="187" t="s">
        <v>956</v>
      </c>
      <c r="K312" s="188">
        <v>56000.0</v>
      </c>
      <c r="L312" s="12" t="s">
        <v>21</v>
      </c>
    </row>
    <row r="313" ht="15.75" customHeight="1">
      <c r="A313" s="12" t="s">
        <v>23</v>
      </c>
      <c r="B313" s="12" t="s">
        <v>24</v>
      </c>
      <c r="C313" s="12" t="s">
        <v>444</v>
      </c>
      <c r="D313" s="12" t="s">
        <v>6</v>
      </c>
      <c r="E313" s="12" t="s">
        <v>954</v>
      </c>
      <c r="F313" s="12" t="s">
        <v>828</v>
      </c>
      <c r="G313" s="12" t="s">
        <v>882</v>
      </c>
      <c r="H313" s="12" t="s">
        <v>955</v>
      </c>
      <c r="I313" s="12" t="s">
        <v>955</v>
      </c>
      <c r="J313" s="187" t="s">
        <v>957</v>
      </c>
      <c r="K313" s="188">
        <v>28800.0</v>
      </c>
      <c r="L313" s="12" t="s">
        <v>21</v>
      </c>
    </row>
    <row r="314" ht="15.75" customHeight="1">
      <c r="A314" s="12" t="s">
        <v>23</v>
      </c>
      <c r="B314" s="12" t="s">
        <v>24</v>
      </c>
      <c r="C314" s="12" t="s">
        <v>444</v>
      </c>
      <c r="D314" s="12" t="s">
        <v>6</v>
      </c>
      <c r="E314" s="12" t="s">
        <v>958</v>
      </c>
      <c r="F314" s="12" t="s">
        <v>856</v>
      </c>
      <c r="G314" s="12" t="s">
        <v>959</v>
      </c>
      <c r="H314" s="12" t="s">
        <v>871</v>
      </c>
      <c r="I314" s="12" t="s">
        <v>960</v>
      </c>
      <c r="J314" s="187" t="s">
        <v>961</v>
      </c>
      <c r="K314" s="188">
        <v>825.0</v>
      </c>
      <c r="L314" s="12" t="s">
        <v>21</v>
      </c>
    </row>
    <row r="315" ht="15.75" customHeight="1">
      <c r="A315" s="12" t="s">
        <v>23</v>
      </c>
      <c r="B315" s="12" t="s">
        <v>24</v>
      </c>
      <c r="C315" s="12" t="s">
        <v>515</v>
      </c>
      <c r="D315" s="12" t="s">
        <v>6</v>
      </c>
      <c r="E315" s="12" t="s">
        <v>962</v>
      </c>
      <c r="F315" s="12" t="s">
        <v>848</v>
      </c>
      <c r="G315" s="12" t="s">
        <v>963</v>
      </c>
      <c r="H315" s="12" t="s">
        <v>513</v>
      </c>
      <c r="I315" s="12" t="s">
        <v>964</v>
      </c>
      <c r="J315" s="187" t="s">
        <v>965</v>
      </c>
      <c r="K315" s="188">
        <v>6773.0</v>
      </c>
      <c r="L315" s="62" t="s">
        <v>148</v>
      </c>
    </row>
    <row r="316" ht="15.75" customHeight="1">
      <c r="A316" s="12" t="s">
        <v>23</v>
      </c>
      <c r="B316" s="12" t="s">
        <v>24</v>
      </c>
      <c r="C316" s="12" t="s">
        <v>437</v>
      </c>
      <c r="D316" s="12" t="s">
        <v>6</v>
      </c>
      <c r="E316" s="12" t="s">
        <v>962</v>
      </c>
      <c r="F316" s="12" t="s">
        <v>848</v>
      </c>
      <c r="G316" s="12" t="s">
        <v>966</v>
      </c>
      <c r="H316" s="12" t="s">
        <v>513</v>
      </c>
      <c r="I316" s="12" t="s">
        <v>899</v>
      </c>
      <c r="J316" s="187" t="s">
        <v>564</v>
      </c>
      <c r="K316" s="188">
        <v>300.0</v>
      </c>
      <c r="L316" s="12" t="s">
        <v>21</v>
      </c>
    </row>
    <row r="317" ht="15.75" customHeight="1">
      <c r="A317" s="12" t="s">
        <v>23</v>
      </c>
      <c r="B317" s="12" t="s">
        <v>24</v>
      </c>
      <c r="C317" s="12" t="s">
        <v>459</v>
      </c>
      <c r="D317" s="12" t="s">
        <v>6</v>
      </c>
      <c r="E317" s="12" t="s">
        <v>962</v>
      </c>
      <c r="F317" s="12" t="s">
        <v>848</v>
      </c>
      <c r="G317" s="12" t="s">
        <v>967</v>
      </c>
      <c r="H317" s="12" t="s">
        <v>513</v>
      </c>
      <c r="I317" s="12" t="s">
        <v>968</v>
      </c>
      <c r="J317" s="187" t="s">
        <v>969</v>
      </c>
      <c r="K317" s="188">
        <v>1245.0</v>
      </c>
      <c r="L317" s="12" t="s">
        <v>21</v>
      </c>
    </row>
    <row r="318" ht="15.75" customHeight="1">
      <c r="A318" s="12" t="s">
        <v>23</v>
      </c>
      <c r="B318" s="12" t="s">
        <v>24</v>
      </c>
      <c r="C318" s="12" t="s">
        <v>558</v>
      </c>
      <c r="D318" s="12" t="s">
        <v>6</v>
      </c>
      <c r="E318" s="12" t="s">
        <v>962</v>
      </c>
      <c r="F318" s="12" t="s">
        <v>848</v>
      </c>
      <c r="G318" s="12" t="s">
        <v>970</v>
      </c>
      <c r="H318" s="12" t="s">
        <v>513</v>
      </c>
      <c r="I318" s="12" t="s">
        <v>971</v>
      </c>
      <c r="J318" s="187" t="s">
        <v>972</v>
      </c>
      <c r="K318" s="188">
        <v>1249.0</v>
      </c>
      <c r="L318" s="12" t="s">
        <v>21</v>
      </c>
    </row>
    <row r="319" ht="15.75" customHeight="1">
      <c r="A319" s="12" t="s">
        <v>23</v>
      </c>
      <c r="B319" s="12" t="s">
        <v>24</v>
      </c>
      <c r="C319" s="12" t="s">
        <v>448</v>
      </c>
      <c r="D319" s="12" t="s">
        <v>6</v>
      </c>
      <c r="E319" s="12" t="s">
        <v>962</v>
      </c>
      <c r="F319" s="12" t="s">
        <v>848</v>
      </c>
      <c r="G319" s="12" t="s">
        <v>973</v>
      </c>
      <c r="H319" s="12" t="s">
        <v>513</v>
      </c>
      <c r="I319" s="12" t="s">
        <v>578</v>
      </c>
      <c r="J319" s="187" t="s">
        <v>567</v>
      </c>
      <c r="K319" s="188">
        <v>1632.0</v>
      </c>
      <c r="L319" s="12" t="s">
        <v>21</v>
      </c>
    </row>
    <row r="320" ht="15.75" customHeight="1">
      <c r="A320" s="12" t="s">
        <v>23</v>
      </c>
      <c r="B320" s="12" t="s">
        <v>24</v>
      </c>
      <c r="C320" s="12" t="s">
        <v>466</v>
      </c>
      <c r="D320" s="12" t="s">
        <v>6</v>
      </c>
      <c r="E320" s="12" t="s">
        <v>962</v>
      </c>
      <c r="F320" s="12" t="s">
        <v>848</v>
      </c>
      <c r="G320" s="12" t="s">
        <v>974</v>
      </c>
      <c r="H320" s="12" t="s">
        <v>513</v>
      </c>
      <c r="I320" s="12" t="s">
        <v>975</v>
      </c>
      <c r="J320" s="187" t="s">
        <v>976</v>
      </c>
      <c r="K320" s="188">
        <v>835.0</v>
      </c>
      <c r="L320" s="12" t="s">
        <v>21</v>
      </c>
    </row>
    <row r="321" ht="15.75" customHeight="1">
      <c r="A321" s="12" t="s">
        <v>23</v>
      </c>
      <c r="B321" s="12" t="s">
        <v>24</v>
      </c>
      <c r="C321" s="12" t="s">
        <v>558</v>
      </c>
      <c r="D321" s="12" t="s">
        <v>6</v>
      </c>
      <c r="E321" s="12" t="s">
        <v>962</v>
      </c>
      <c r="F321" s="12" t="s">
        <v>848</v>
      </c>
      <c r="G321" s="12" t="s">
        <v>973</v>
      </c>
      <c r="H321" s="12" t="s">
        <v>513</v>
      </c>
      <c r="I321" s="12" t="s">
        <v>971</v>
      </c>
      <c r="J321" s="187" t="s">
        <v>977</v>
      </c>
      <c r="K321" s="188">
        <v>180.0</v>
      </c>
      <c r="L321" s="12" t="s">
        <v>21</v>
      </c>
    </row>
    <row r="322" ht="15.75" customHeight="1">
      <c r="A322" s="12" t="s">
        <v>23</v>
      </c>
      <c r="B322" s="12" t="s">
        <v>24</v>
      </c>
      <c r="C322" s="12" t="s">
        <v>466</v>
      </c>
      <c r="D322" s="12" t="s">
        <v>6</v>
      </c>
      <c r="E322" s="12" t="s">
        <v>978</v>
      </c>
      <c r="F322" s="12" t="s">
        <v>886</v>
      </c>
      <c r="G322" s="12" t="s">
        <v>979</v>
      </c>
      <c r="H322" s="12" t="s">
        <v>661</v>
      </c>
      <c r="I322" s="12" t="s">
        <v>661</v>
      </c>
      <c r="J322" s="187" t="s">
        <v>704</v>
      </c>
      <c r="K322" s="188">
        <v>500.0</v>
      </c>
      <c r="L322" s="12" t="s">
        <v>21</v>
      </c>
    </row>
    <row r="323" ht="15.75" customHeight="1">
      <c r="A323" s="15" t="s">
        <v>25</v>
      </c>
      <c r="B323" s="15" t="s">
        <v>25</v>
      </c>
      <c r="C323" s="15" t="s">
        <v>444</v>
      </c>
      <c r="D323" s="15" t="s">
        <v>6</v>
      </c>
      <c r="E323" s="15" t="s">
        <v>980</v>
      </c>
      <c r="F323" s="15" t="s">
        <v>870</v>
      </c>
      <c r="G323" s="15" t="s">
        <v>870</v>
      </c>
      <c r="H323" s="15" t="s">
        <v>871</v>
      </c>
      <c r="I323" s="15" t="s">
        <v>871</v>
      </c>
      <c r="J323" s="203" t="s">
        <v>981</v>
      </c>
      <c r="K323" s="204">
        <v>1428.0</v>
      </c>
      <c r="L323" s="15" t="s">
        <v>21</v>
      </c>
    </row>
    <row r="324" ht="15.75" customHeight="1">
      <c r="A324" s="18" t="s">
        <v>26</v>
      </c>
      <c r="B324" s="18" t="s">
        <v>403</v>
      </c>
      <c r="C324" s="18" t="s">
        <v>582</v>
      </c>
      <c r="D324" s="18" t="s">
        <v>6</v>
      </c>
      <c r="E324" s="18" t="s">
        <v>982</v>
      </c>
      <c r="F324" s="18" t="s">
        <v>556</v>
      </c>
      <c r="G324" s="18" t="s">
        <v>824</v>
      </c>
      <c r="H324" s="18" t="s">
        <v>544</v>
      </c>
      <c r="I324" s="18" t="s">
        <v>614</v>
      </c>
      <c r="J324" s="189" t="s">
        <v>983</v>
      </c>
      <c r="K324" s="190">
        <v>2400.0</v>
      </c>
      <c r="L324" s="18" t="s">
        <v>21</v>
      </c>
    </row>
    <row r="325" ht="15.75" customHeight="1">
      <c r="A325" s="18" t="s">
        <v>26</v>
      </c>
      <c r="B325" s="18" t="s">
        <v>403</v>
      </c>
      <c r="C325" s="18" t="s">
        <v>582</v>
      </c>
      <c r="D325" s="18" t="s">
        <v>6</v>
      </c>
      <c r="E325" s="18" t="s">
        <v>982</v>
      </c>
      <c r="F325" s="18" t="s">
        <v>556</v>
      </c>
      <c r="G325" s="18" t="s">
        <v>824</v>
      </c>
      <c r="H325" s="18" t="s">
        <v>544</v>
      </c>
      <c r="I325" s="18" t="s">
        <v>614</v>
      </c>
      <c r="J325" s="189" t="s">
        <v>984</v>
      </c>
      <c r="K325" s="190">
        <v>2400.0</v>
      </c>
      <c r="L325" s="18" t="s">
        <v>21</v>
      </c>
    </row>
    <row r="326" ht="15.75" customHeight="1">
      <c r="A326" s="18" t="s">
        <v>26</v>
      </c>
      <c r="B326" s="18" t="s">
        <v>403</v>
      </c>
      <c r="C326" s="18" t="s">
        <v>582</v>
      </c>
      <c r="D326" s="18" t="s">
        <v>6</v>
      </c>
      <c r="E326" s="18" t="s">
        <v>982</v>
      </c>
      <c r="F326" s="18" t="s">
        <v>556</v>
      </c>
      <c r="G326" s="18" t="s">
        <v>824</v>
      </c>
      <c r="H326" s="18" t="s">
        <v>544</v>
      </c>
      <c r="I326" s="18" t="s">
        <v>614</v>
      </c>
      <c r="J326" s="189" t="s">
        <v>985</v>
      </c>
      <c r="K326" s="190">
        <v>2117.0</v>
      </c>
      <c r="L326" s="18" t="s">
        <v>21</v>
      </c>
    </row>
    <row r="327" ht="15.75" customHeight="1">
      <c r="A327" s="18" t="s">
        <v>26</v>
      </c>
      <c r="B327" s="18" t="s">
        <v>403</v>
      </c>
      <c r="C327" s="18" t="s">
        <v>582</v>
      </c>
      <c r="D327" s="18" t="s">
        <v>6</v>
      </c>
      <c r="E327" s="18" t="s">
        <v>986</v>
      </c>
      <c r="F327" s="18" t="s">
        <v>556</v>
      </c>
      <c r="G327" s="18" t="s">
        <v>556</v>
      </c>
      <c r="H327" s="18" t="s">
        <v>613</v>
      </c>
      <c r="I327" s="18" t="s">
        <v>614</v>
      </c>
      <c r="J327" s="189" t="s">
        <v>987</v>
      </c>
      <c r="K327" s="190">
        <v>31000.0</v>
      </c>
      <c r="L327" s="18" t="s">
        <v>21</v>
      </c>
    </row>
    <row r="328" ht="15.75" customHeight="1">
      <c r="A328" s="18" t="s">
        <v>26</v>
      </c>
      <c r="B328" s="18" t="s">
        <v>403</v>
      </c>
      <c r="C328" s="18" t="s">
        <v>582</v>
      </c>
      <c r="D328" s="18" t="s">
        <v>6</v>
      </c>
      <c r="E328" s="18" t="s">
        <v>986</v>
      </c>
      <c r="F328" s="18" t="s">
        <v>556</v>
      </c>
      <c r="G328" s="18" t="s">
        <v>556</v>
      </c>
      <c r="H328" s="18" t="s">
        <v>613</v>
      </c>
      <c r="I328" s="18" t="s">
        <v>614</v>
      </c>
      <c r="J328" s="189" t="s">
        <v>988</v>
      </c>
      <c r="K328" s="190">
        <v>6200.0</v>
      </c>
      <c r="L328" s="18" t="s">
        <v>21</v>
      </c>
    </row>
    <row r="329" ht="15.75" customHeight="1">
      <c r="A329" s="18" t="s">
        <v>26</v>
      </c>
      <c r="B329" s="18" t="s">
        <v>403</v>
      </c>
      <c r="C329" s="18" t="s">
        <v>582</v>
      </c>
      <c r="D329" s="18" t="s">
        <v>6</v>
      </c>
      <c r="E329" s="18" t="s">
        <v>986</v>
      </c>
      <c r="F329" s="18" t="s">
        <v>556</v>
      </c>
      <c r="G329" s="18" t="s">
        <v>556</v>
      </c>
      <c r="H329" s="18" t="s">
        <v>613</v>
      </c>
      <c r="I329" s="18" t="s">
        <v>614</v>
      </c>
      <c r="J329" s="189" t="s">
        <v>989</v>
      </c>
      <c r="K329" s="190">
        <v>6200.0</v>
      </c>
      <c r="L329" s="18" t="s">
        <v>21</v>
      </c>
    </row>
    <row r="330" ht="15.75" customHeight="1">
      <c r="A330" s="18" t="s">
        <v>26</v>
      </c>
      <c r="B330" s="18" t="s">
        <v>403</v>
      </c>
      <c r="C330" s="18" t="s">
        <v>582</v>
      </c>
      <c r="D330" s="18" t="s">
        <v>6</v>
      </c>
      <c r="E330" s="18" t="s">
        <v>962</v>
      </c>
      <c r="F330" s="18" t="s">
        <v>848</v>
      </c>
      <c r="G330" s="18" t="s">
        <v>990</v>
      </c>
      <c r="H330" s="18" t="s">
        <v>513</v>
      </c>
      <c r="I330" s="18" t="s">
        <v>991</v>
      </c>
      <c r="J330" s="189" t="s">
        <v>992</v>
      </c>
      <c r="K330" s="190">
        <v>315.0</v>
      </c>
      <c r="L330" s="18" t="s">
        <v>21</v>
      </c>
    </row>
    <row r="331" ht="15.75" customHeight="1">
      <c r="A331" s="18" t="s">
        <v>26</v>
      </c>
      <c r="B331" s="18" t="s">
        <v>403</v>
      </c>
      <c r="C331" s="18" t="s">
        <v>582</v>
      </c>
      <c r="D331" s="18" t="s">
        <v>6</v>
      </c>
      <c r="E331" s="18" t="s">
        <v>993</v>
      </c>
      <c r="F331" s="18" t="s">
        <v>994</v>
      </c>
      <c r="G331" s="18" t="s">
        <v>995</v>
      </c>
      <c r="H331" s="18" t="s">
        <v>613</v>
      </c>
      <c r="I331" s="18" t="s">
        <v>614</v>
      </c>
      <c r="J331" s="189" t="s">
        <v>996</v>
      </c>
      <c r="K331" s="190">
        <v>2400.0</v>
      </c>
      <c r="L331" s="18" t="s">
        <v>21</v>
      </c>
    </row>
    <row r="332" ht="15.75" customHeight="1">
      <c r="A332" s="18" t="s">
        <v>26</v>
      </c>
      <c r="B332" s="18" t="s">
        <v>403</v>
      </c>
      <c r="C332" s="18" t="s">
        <v>582</v>
      </c>
      <c r="D332" s="18" t="s">
        <v>6</v>
      </c>
      <c r="E332" s="18" t="s">
        <v>993</v>
      </c>
      <c r="F332" s="18" t="s">
        <v>994</v>
      </c>
      <c r="G332" s="18" t="s">
        <v>995</v>
      </c>
      <c r="H332" s="18" t="s">
        <v>613</v>
      </c>
      <c r="I332" s="18" t="s">
        <v>614</v>
      </c>
      <c r="J332" s="189" t="s">
        <v>997</v>
      </c>
      <c r="K332" s="190">
        <v>2400.0</v>
      </c>
      <c r="L332" s="18" t="s">
        <v>21</v>
      </c>
    </row>
    <row r="333" ht="15.75" customHeight="1">
      <c r="A333" s="18" t="s">
        <v>26</v>
      </c>
      <c r="B333" s="18" t="s">
        <v>403</v>
      </c>
      <c r="C333" s="18" t="s">
        <v>582</v>
      </c>
      <c r="D333" s="18" t="s">
        <v>6</v>
      </c>
      <c r="E333" s="18" t="s">
        <v>993</v>
      </c>
      <c r="F333" s="18" t="s">
        <v>994</v>
      </c>
      <c r="G333" s="18" t="s">
        <v>995</v>
      </c>
      <c r="H333" s="18" t="s">
        <v>613</v>
      </c>
      <c r="I333" s="18" t="s">
        <v>614</v>
      </c>
      <c r="J333" s="189" t="s">
        <v>998</v>
      </c>
      <c r="K333" s="190">
        <v>6000.0</v>
      </c>
      <c r="L333" s="18" t="s">
        <v>21</v>
      </c>
    </row>
    <row r="334" ht="15.75" customHeight="1">
      <c r="A334" s="18" t="s">
        <v>26</v>
      </c>
      <c r="B334" s="18" t="s">
        <v>403</v>
      </c>
      <c r="C334" s="18" t="s">
        <v>582</v>
      </c>
      <c r="D334" s="18" t="s">
        <v>6</v>
      </c>
      <c r="E334" s="18" t="s">
        <v>993</v>
      </c>
      <c r="F334" s="18" t="s">
        <v>994</v>
      </c>
      <c r="G334" s="18" t="s">
        <v>995</v>
      </c>
      <c r="H334" s="18" t="s">
        <v>613</v>
      </c>
      <c r="I334" s="18" t="s">
        <v>614</v>
      </c>
      <c r="J334" s="189" t="s">
        <v>999</v>
      </c>
      <c r="K334" s="190">
        <v>6000.0</v>
      </c>
      <c r="L334" s="18" t="s">
        <v>21</v>
      </c>
    </row>
    <row r="335" ht="15.75" customHeight="1">
      <c r="A335" s="18" t="s">
        <v>26</v>
      </c>
      <c r="B335" s="18" t="s">
        <v>403</v>
      </c>
      <c r="C335" s="18" t="s">
        <v>582</v>
      </c>
      <c r="D335" s="18" t="s">
        <v>6</v>
      </c>
      <c r="E335" s="18" t="s">
        <v>993</v>
      </c>
      <c r="F335" s="18" t="s">
        <v>994</v>
      </c>
      <c r="G335" s="18" t="s">
        <v>995</v>
      </c>
      <c r="H335" s="18" t="s">
        <v>613</v>
      </c>
      <c r="I335" s="18" t="s">
        <v>614</v>
      </c>
      <c r="J335" s="189" t="s">
        <v>1000</v>
      </c>
      <c r="K335" s="190">
        <v>6200.0</v>
      </c>
      <c r="L335" s="18" t="s">
        <v>21</v>
      </c>
    </row>
    <row r="336" ht="15.75" customHeight="1">
      <c r="A336" s="18" t="s">
        <v>26</v>
      </c>
      <c r="B336" s="18" t="s">
        <v>403</v>
      </c>
      <c r="C336" s="18" t="s">
        <v>582</v>
      </c>
      <c r="D336" s="18" t="s">
        <v>6</v>
      </c>
      <c r="E336" s="18" t="s">
        <v>993</v>
      </c>
      <c r="F336" s="18" t="s">
        <v>994</v>
      </c>
      <c r="G336" s="18" t="s">
        <v>995</v>
      </c>
      <c r="H336" s="18" t="s">
        <v>613</v>
      </c>
      <c r="I336" s="18" t="s">
        <v>614</v>
      </c>
      <c r="J336" s="189" t="s">
        <v>1001</v>
      </c>
      <c r="K336" s="190">
        <v>6200.0</v>
      </c>
      <c r="L336" s="18" t="s">
        <v>21</v>
      </c>
    </row>
    <row r="337" ht="15.75" customHeight="1">
      <c r="A337" s="18" t="s">
        <v>26</v>
      </c>
      <c r="B337" s="18" t="s">
        <v>403</v>
      </c>
      <c r="C337" s="18" t="s">
        <v>582</v>
      </c>
      <c r="D337" s="18" t="s">
        <v>6</v>
      </c>
      <c r="E337" s="18" t="s">
        <v>993</v>
      </c>
      <c r="F337" s="18" t="s">
        <v>994</v>
      </c>
      <c r="G337" s="18" t="s">
        <v>995</v>
      </c>
      <c r="H337" s="18" t="s">
        <v>613</v>
      </c>
      <c r="I337" s="18" t="s">
        <v>614</v>
      </c>
      <c r="J337" s="189" t="s">
        <v>615</v>
      </c>
      <c r="K337" s="190">
        <v>809.0</v>
      </c>
      <c r="L337" s="18" t="s">
        <v>21</v>
      </c>
    </row>
    <row r="338" ht="15.75" customHeight="1">
      <c r="A338" s="18" t="s">
        <v>26</v>
      </c>
      <c r="B338" s="18" t="s">
        <v>403</v>
      </c>
      <c r="C338" s="18" t="s">
        <v>582</v>
      </c>
      <c r="D338" s="18" t="s">
        <v>6</v>
      </c>
      <c r="E338" s="18" t="s">
        <v>993</v>
      </c>
      <c r="F338" s="18" t="s">
        <v>994</v>
      </c>
      <c r="G338" s="18" t="s">
        <v>995</v>
      </c>
      <c r="H338" s="18" t="s">
        <v>613</v>
      </c>
      <c r="I338" s="18" t="s">
        <v>614</v>
      </c>
      <c r="J338" s="189" t="s">
        <v>615</v>
      </c>
      <c r="K338" s="190">
        <v>948.0</v>
      </c>
      <c r="L338" s="18" t="s">
        <v>21</v>
      </c>
    </row>
    <row r="339" ht="15.75" customHeight="1">
      <c r="A339" s="18" t="s">
        <v>26</v>
      </c>
      <c r="B339" s="18" t="s">
        <v>403</v>
      </c>
      <c r="C339" s="18" t="s">
        <v>582</v>
      </c>
      <c r="D339" s="18" t="s">
        <v>6</v>
      </c>
      <c r="E339" s="18" t="s">
        <v>993</v>
      </c>
      <c r="F339" s="18" t="s">
        <v>994</v>
      </c>
      <c r="G339" s="18" t="s">
        <v>995</v>
      </c>
      <c r="H339" s="18" t="s">
        <v>613</v>
      </c>
      <c r="I339" s="18" t="s">
        <v>614</v>
      </c>
      <c r="J339" s="189" t="s">
        <v>615</v>
      </c>
      <c r="K339" s="190">
        <v>903.0</v>
      </c>
      <c r="L339" s="18" t="s">
        <v>21</v>
      </c>
    </row>
    <row r="340" ht="15.75" customHeight="1">
      <c r="A340" s="18" t="s">
        <v>26</v>
      </c>
      <c r="B340" s="18" t="s">
        <v>403</v>
      </c>
      <c r="C340" s="18" t="s">
        <v>582</v>
      </c>
      <c r="D340" s="18" t="s">
        <v>6</v>
      </c>
      <c r="E340" s="18" t="s">
        <v>993</v>
      </c>
      <c r="F340" s="18" t="s">
        <v>994</v>
      </c>
      <c r="G340" s="18" t="s">
        <v>995</v>
      </c>
      <c r="H340" s="18" t="s">
        <v>613</v>
      </c>
      <c r="I340" s="18" t="s">
        <v>614</v>
      </c>
      <c r="J340" s="189" t="s">
        <v>615</v>
      </c>
      <c r="K340" s="190">
        <v>948.0</v>
      </c>
      <c r="L340" s="18" t="s">
        <v>21</v>
      </c>
    </row>
    <row r="341" ht="15.75" customHeight="1">
      <c r="A341" s="18" t="s">
        <v>26</v>
      </c>
      <c r="B341" s="18" t="s">
        <v>403</v>
      </c>
      <c r="C341" s="18" t="s">
        <v>582</v>
      </c>
      <c r="D341" s="18" t="s">
        <v>6</v>
      </c>
      <c r="E341" s="18" t="s">
        <v>993</v>
      </c>
      <c r="F341" s="18" t="s">
        <v>994</v>
      </c>
      <c r="G341" s="18" t="s">
        <v>995</v>
      </c>
      <c r="H341" s="18" t="s">
        <v>613</v>
      </c>
      <c r="I341" s="18" t="s">
        <v>614</v>
      </c>
      <c r="J341" s="189" t="s">
        <v>615</v>
      </c>
      <c r="K341" s="190">
        <v>948.0</v>
      </c>
      <c r="L341" s="18" t="s">
        <v>21</v>
      </c>
    </row>
    <row r="342" ht="15.75" customHeight="1">
      <c r="A342" s="18" t="s">
        <v>26</v>
      </c>
      <c r="B342" s="18" t="s">
        <v>403</v>
      </c>
      <c r="C342" s="18" t="s">
        <v>582</v>
      </c>
      <c r="D342" s="18" t="s">
        <v>6</v>
      </c>
      <c r="E342" s="18" t="s">
        <v>993</v>
      </c>
      <c r="F342" s="18" t="s">
        <v>994</v>
      </c>
      <c r="G342" s="18" t="s">
        <v>995</v>
      </c>
      <c r="H342" s="18" t="s">
        <v>613</v>
      </c>
      <c r="I342" s="18" t="s">
        <v>614</v>
      </c>
      <c r="J342" s="189" t="s">
        <v>615</v>
      </c>
      <c r="K342" s="190">
        <v>948.0</v>
      </c>
      <c r="L342" s="18" t="s">
        <v>21</v>
      </c>
    </row>
    <row r="343" ht="15.75" customHeight="1">
      <c r="A343" s="18" t="s">
        <v>26</v>
      </c>
      <c r="B343" s="18" t="s">
        <v>403</v>
      </c>
      <c r="C343" s="18" t="s">
        <v>582</v>
      </c>
      <c r="D343" s="18" t="s">
        <v>6</v>
      </c>
      <c r="E343" s="18" t="s">
        <v>993</v>
      </c>
      <c r="F343" s="18" t="s">
        <v>994</v>
      </c>
      <c r="G343" s="18" t="s">
        <v>995</v>
      </c>
      <c r="H343" s="18" t="s">
        <v>613</v>
      </c>
      <c r="I343" s="18" t="s">
        <v>614</v>
      </c>
      <c r="J343" s="189" t="s">
        <v>615</v>
      </c>
      <c r="K343" s="190">
        <v>809.0</v>
      </c>
      <c r="L343" s="18" t="s">
        <v>21</v>
      </c>
    </row>
    <row r="344" ht="15.75" customHeight="1">
      <c r="A344" s="18" t="s">
        <v>26</v>
      </c>
      <c r="B344" s="18" t="s">
        <v>403</v>
      </c>
      <c r="C344" s="18" t="s">
        <v>582</v>
      </c>
      <c r="D344" s="18" t="s">
        <v>6</v>
      </c>
      <c r="E344" s="18" t="s">
        <v>993</v>
      </c>
      <c r="F344" s="18" t="s">
        <v>994</v>
      </c>
      <c r="G344" s="18" t="s">
        <v>995</v>
      </c>
      <c r="H344" s="18" t="s">
        <v>613</v>
      </c>
      <c r="I344" s="18" t="s">
        <v>614</v>
      </c>
      <c r="J344" s="189" t="s">
        <v>615</v>
      </c>
      <c r="K344" s="190">
        <v>903.0</v>
      </c>
      <c r="L344" s="18" t="s">
        <v>21</v>
      </c>
    </row>
    <row r="345" ht="15.75" customHeight="1">
      <c r="A345" s="18" t="s">
        <v>26</v>
      </c>
      <c r="B345" s="18" t="s">
        <v>403</v>
      </c>
      <c r="C345" s="18" t="s">
        <v>582</v>
      </c>
      <c r="D345" s="18" t="s">
        <v>6</v>
      </c>
      <c r="E345" s="18" t="s">
        <v>993</v>
      </c>
      <c r="F345" s="18" t="s">
        <v>994</v>
      </c>
      <c r="G345" s="18" t="s">
        <v>995</v>
      </c>
      <c r="H345" s="18" t="s">
        <v>613</v>
      </c>
      <c r="I345" s="18" t="s">
        <v>614</v>
      </c>
      <c r="J345" s="189" t="s">
        <v>615</v>
      </c>
      <c r="K345" s="190">
        <v>959.0</v>
      </c>
      <c r="L345" s="18" t="s">
        <v>21</v>
      </c>
    </row>
    <row r="346" ht="15.75" customHeight="1">
      <c r="A346" s="18" t="s">
        <v>26</v>
      </c>
      <c r="B346" s="18" t="s">
        <v>403</v>
      </c>
      <c r="C346" s="18" t="s">
        <v>582</v>
      </c>
      <c r="D346" s="18" t="s">
        <v>6</v>
      </c>
      <c r="E346" s="18" t="s">
        <v>993</v>
      </c>
      <c r="F346" s="18" t="s">
        <v>994</v>
      </c>
      <c r="G346" s="18" t="s">
        <v>995</v>
      </c>
      <c r="H346" s="18" t="s">
        <v>613</v>
      </c>
      <c r="I346" s="18" t="s">
        <v>614</v>
      </c>
      <c r="J346" s="189" t="s">
        <v>615</v>
      </c>
      <c r="K346" s="190">
        <v>853.0</v>
      </c>
      <c r="L346" s="18" t="s">
        <v>21</v>
      </c>
    </row>
    <row r="347" ht="15.75" customHeight="1">
      <c r="A347" s="18" t="s">
        <v>26</v>
      </c>
      <c r="B347" s="18" t="s">
        <v>403</v>
      </c>
      <c r="C347" s="18" t="s">
        <v>582</v>
      </c>
      <c r="D347" s="18" t="s">
        <v>6</v>
      </c>
      <c r="E347" s="18" t="s">
        <v>993</v>
      </c>
      <c r="F347" s="18" t="s">
        <v>994</v>
      </c>
      <c r="G347" s="18" t="s">
        <v>995</v>
      </c>
      <c r="H347" s="18" t="s">
        <v>613</v>
      </c>
      <c r="I347" s="18" t="s">
        <v>614</v>
      </c>
      <c r="J347" s="189" t="s">
        <v>615</v>
      </c>
      <c r="K347" s="190">
        <v>903.0</v>
      </c>
      <c r="L347" s="18" t="s">
        <v>21</v>
      </c>
    </row>
    <row r="348" ht="15.75" customHeight="1">
      <c r="A348" s="18" t="s">
        <v>26</v>
      </c>
      <c r="B348" s="18" t="s">
        <v>403</v>
      </c>
      <c r="C348" s="18" t="s">
        <v>582</v>
      </c>
      <c r="D348" s="18" t="s">
        <v>6</v>
      </c>
      <c r="E348" s="18" t="s">
        <v>993</v>
      </c>
      <c r="F348" s="18" t="s">
        <v>994</v>
      </c>
      <c r="G348" s="18" t="s">
        <v>995</v>
      </c>
      <c r="H348" s="18" t="s">
        <v>613</v>
      </c>
      <c r="I348" s="18" t="s">
        <v>614</v>
      </c>
      <c r="J348" s="189" t="s">
        <v>1002</v>
      </c>
      <c r="K348" s="190">
        <v>583.0</v>
      </c>
      <c r="L348" s="18" t="s">
        <v>21</v>
      </c>
    </row>
    <row r="349" ht="15.75" customHeight="1">
      <c r="A349" s="18" t="s">
        <v>26</v>
      </c>
      <c r="B349" s="18" t="s">
        <v>403</v>
      </c>
      <c r="C349" s="18" t="s">
        <v>582</v>
      </c>
      <c r="D349" s="18" t="s">
        <v>6</v>
      </c>
      <c r="E349" s="18" t="s">
        <v>1003</v>
      </c>
      <c r="F349" s="18" t="s">
        <v>886</v>
      </c>
      <c r="G349" s="18" t="s">
        <v>1004</v>
      </c>
      <c r="H349" s="18" t="s">
        <v>1005</v>
      </c>
      <c r="I349" s="18" t="s">
        <v>614</v>
      </c>
      <c r="J349" s="189" t="s">
        <v>1006</v>
      </c>
      <c r="K349" s="190">
        <v>10000.0</v>
      </c>
      <c r="L349" s="18" t="s">
        <v>21</v>
      </c>
    </row>
    <row r="350" ht="15.75" customHeight="1">
      <c r="A350" s="18" t="s">
        <v>26</v>
      </c>
      <c r="B350" s="18" t="s">
        <v>403</v>
      </c>
      <c r="C350" s="18" t="s">
        <v>582</v>
      </c>
      <c r="D350" s="18" t="s">
        <v>6</v>
      </c>
      <c r="E350" s="18" t="s">
        <v>1003</v>
      </c>
      <c r="F350" s="18" t="s">
        <v>886</v>
      </c>
      <c r="G350" s="18" t="s">
        <v>1004</v>
      </c>
      <c r="H350" s="18" t="s">
        <v>1005</v>
      </c>
      <c r="I350" s="18" t="s">
        <v>614</v>
      </c>
      <c r="J350" s="189" t="s">
        <v>1007</v>
      </c>
      <c r="K350" s="190">
        <v>10000.0</v>
      </c>
      <c r="L350" s="18" t="s">
        <v>21</v>
      </c>
    </row>
    <row r="351" ht="15.75" customHeight="1">
      <c r="A351" s="18" t="s">
        <v>26</v>
      </c>
      <c r="B351" s="18" t="s">
        <v>403</v>
      </c>
      <c r="C351" s="18" t="s">
        <v>582</v>
      </c>
      <c r="D351" s="18" t="s">
        <v>6</v>
      </c>
      <c r="E351" s="18" t="s">
        <v>1003</v>
      </c>
      <c r="F351" s="18" t="s">
        <v>886</v>
      </c>
      <c r="G351" s="18" t="s">
        <v>1004</v>
      </c>
      <c r="H351" s="18" t="s">
        <v>1005</v>
      </c>
      <c r="I351" s="18" t="s">
        <v>614</v>
      </c>
      <c r="J351" s="189" t="s">
        <v>1008</v>
      </c>
      <c r="K351" s="190">
        <v>50000.0</v>
      </c>
      <c r="L351" s="18" t="s">
        <v>21</v>
      </c>
    </row>
    <row r="352" ht="15.75" customHeight="1">
      <c r="A352" s="21" t="s">
        <v>27</v>
      </c>
      <c r="B352" s="21" t="s">
        <v>75</v>
      </c>
      <c r="C352" s="21" t="s">
        <v>515</v>
      </c>
      <c r="D352" s="21" t="s">
        <v>6</v>
      </c>
      <c r="E352" s="21" t="s">
        <v>864</v>
      </c>
      <c r="F352" s="21" t="s">
        <v>865</v>
      </c>
      <c r="G352" s="21" t="s">
        <v>865</v>
      </c>
      <c r="H352" s="21" t="s">
        <v>513</v>
      </c>
      <c r="I352" s="21" t="s">
        <v>1009</v>
      </c>
      <c r="J352" s="191" t="s">
        <v>1010</v>
      </c>
      <c r="K352" s="192">
        <v>8280.0</v>
      </c>
      <c r="L352" s="66" t="s">
        <v>148</v>
      </c>
    </row>
    <row r="353" ht="15.75" customHeight="1">
      <c r="A353" s="21" t="s">
        <v>27</v>
      </c>
      <c r="B353" s="21" t="s">
        <v>75</v>
      </c>
      <c r="C353" s="21" t="s">
        <v>515</v>
      </c>
      <c r="D353" s="21" t="s">
        <v>6</v>
      </c>
      <c r="E353" s="21" t="s">
        <v>864</v>
      </c>
      <c r="F353" s="21" t="s">
        <v>865</v>
      </c>
      <c r="G353" s="21" t="s">
        <v>865</v>
      </c>
      <c r="H353" s="21" t="s">
        <v>513</v>
      </c>
      <c r="I353" s="21" t="s">
        <v>904</v>
      </c>
      <c r="J353" s="191" t="s">
        <v>1011</v>
      </c>
      <c r="K353" s="192">
        <v>140.0</v>
      </c>
      <c r="L353" s="66" t="s">
        <v>148</v>
      </c>
    </row>
    <row r="354" ht="15.75" customHeight="1">
      <c r="A354" s="21" t="s">
        <v>27</v>
      </c>
      <c r="B354" s="21" t="s">
        <v>75</v>
      </c>
      <c r="C354" s="21" t="s">
        <v>444</v>
      </c>
      <c r="D354" s="21" t="s">
        <v>6</v>
      </c>
      <c r="E354" s="21" t="s">
        <v>1012</v>
      </c>
      <c r="F354" s="21" t="s">
        <v>994</v>
      </c>
      <c r="G354" s="21" t="s">
        <v>959</v>
      </c>
      <c r="H354" s="21" t="s">
        <v>1013</v>
      </c>
      <c r="I354" s="21" t="s">
        <v>1013</v>
      </c>
      <c r="J354" s="191" t="s">
        <v>1014</v>
      </c>
      <c r="K354" s="192">
        <v>17254.0</v>
      </c>
      <c r="L354" s="21" t="s">
        <v>21</v>
      </c>
    </row>
    <row r="355" ht="15.75" customHeight="1">
      <c r="A355" s="21" t="s">
        <v>27</v>
      </c>
      <c r="B355" s="21" t="s">
        <v>75</v>
      </c>
      <c r="C355" s="21" t="s">
        <v>459</v>
      </c>
      <c r="D355" s="21" t="s">
        <v>6</v>
      </c>
      <c r="E355" s="21" t="s">
        <v>1012</v>
      </c>
      <c r="F355" s="21" t="s">
        <v>994</v>
      </c>
      <c r="G355" s="21" t="s">
        <v>959</v>
      </c>
      <c r="H355" s="21" t="s">
        <v>1013</v>
      </c>
      <c r="I355" s="21" t="s">
        <v>1013</v>
      </c>
      <c r="J355" s="191" t="s">
        <v>1015</v>
      </c>
      <c r="K355" s="192">
        <v>518616.0</v>
      </c>
      <c r="L355" s="21" t="s">
        <v>21</v>
      </c>
    </row>
    <row r="356" ht="15.75" customHeight="1">
      <c r="A356" s="21" t="s">
        <v>27</v>
      </c>
      <c r="B356" s="21" t="s">
        <v>75</v>
      </c>
      <c r="C356" s="21" t="s">
        <v>459</v>
      </c>
      <c r="D356" s="21" t="s">
        <v>6</v>
      </c>
      <c r="E356" s="21" t="s">
        <v>1012</v>
      </c>
      <c r="F356" s="21" t="s">
        <v>994</v>
      </c>
      <c r="G356" s="21" t="s">
        <v>959</v>
      </c>
      <c r="H356" s="21" t="s">
        <v>1013</v>
      </c>
      <c r="I356" s="21" t="s">
        <v>1013</v>
      </c>
      <c r="J356" s="191" t="s">
        <v>1016</v>
      </c>
      <c r="K356" s="192">
        <v>50400.0</v>
      </c>
      <c r="L356" s="21" t="s">
        <v>21</v>
      </c>
    </row>
    <row r="357" ht="15.75" customHeight="1">
      <c r="A357" s="21" t="s">
        <v>27</v>
      </c>
      <c r="B357" s="21" t="s">
        <v>75</v>
      </c>
      <c r="C357" s="21" t="s">
        <v>444</v>
      </c>
      <c r="D357" s="21" t="s">
        <v>6</v>
      </c>
      <c r="E357" s="21" t="s">
        <v>1012</v>
      </c>
      <c r="F357" s="21" t="s">
        <v>994</v>
      </c>
      <c r="G357" s="21" t="s">
        <v>959</v>
      </c>
      <c r="H357" s="21" t="s">
        <v>1013</v>
      </c>
      <c r="I357" s="21" t="s">
        <v>1013</v>
      </c>
      <c r="J357" s="191" t="s">
        <v>1017</v>
      </c>
      <c r="K357" s="192">
        <v>40320.0</v>
      </c>
      <c r="L357" s="21" t="s">
        <v>21</v>
      </c>
    </row>
    <row r="358" ht="15.75" customHeight="1">
      <c r="A358" s="21" t="s">
        <v>27</v>
      </c>
      <c r="B358" s="21" t="s">
        <v>77</v>
      </c>
      <c r="C358" s="21" t="s">
        <v>515</v>
      </c>
      <c r="D358" s="21" t="s">
        <v>6</v>
      </c>
      <c r="E358" s="21" t="s">
        <v>1018</v>
      </c>
      <c r="F358" s="21" t="s">
        <v>858</v>
      </c>
      <c r="G358" s="21" t="s">
        <v>878</v>
      </c>
      <c r="H358" s="21" t="s">
        <v>871</v>
      </c>
      <c r="I358" s="21" t="s">
        <v>879</v>
      </c>
      <c r="J358" s="191" t="s">
        <v>1019</v>
      </c>
      <c r="K358" s="192">
        <v>3000.0</v>
      </c>
      <c r="L358" s="66" t="s">
        <v>148</v>
      </c>
    </row>
    <row r="359" ht="15.75" customHeight="1">
      <c r="A359" s="21" t="s">
        <v>27</v>
      </c>
      <c r="B359" s="21" t="s">
        <v>77</v>
      </c>
      <c r="C359" s="21" t="s">
        <v>515</v>
      </c>
      <c r="D359" s="21" t="s">
        <v>6</v>
      </c>
      <c r="E359" s="21" t="s">
        <v>1020</v>
      </c>
      <c r="F359" s="21" t="s">
        <v>858</v>
      </c>
      <c r="G359" s="21" t="s">
        <v>858</v>
      </c>
      <c r="H359" s="21" t="s">
        <v>683</v>
      </c>
      <c r="I359" s="21" t="s">
        <v>1021</v>
      </c>
      <c r="J359" s="191" t="s">
        <v>1022</v>
      </c>
      <c r="K359" s="192">
        <v>23196.0</v>
      </c>
      <c r="L359" s="66" t="s">
        <v>148</v>
      </c>
    </row>
    <row r="360" ht="15.75" customHeight="1">
      <c r="A360" s="21" t="s">
        <v>27</v>
      </c>
      <c r="B360" s="21" t="s">
        <v>77</v>
      </c>
      <c r="C360" s="21" t="s">
        <v>515</v>
      </c>
      <c r="D360" s="21" t="s">
        <v>6</v>
      </c>
      <c r="E360" s="21" t="s">
        <v>1023</v>
      </c>
      <c r="F360" s="21" t="s">
        <v>942</v>
      </c>
      <c r="G360" s="21" t="s">
        <v>942</v>
      </c>
      <c r="H360" s="21" t="s">
        <v>617</v>
      </c>
      <c r="I360" s="21" t="s">
        <v>1024</v>
      </c>
      <c r="J360" s="191" t="s">
        <v>1025</v>
      </c>
      <c r="K360" s="192">
        <v>59203.0</v>
      </c>
      <c r="L360" s="66" t="s">
        <v>148</v>
      </c>
    </row>
    <row r="361" ht="15.75" customHeight="1">
      <c r="A361" s="21" t="s">
        <v>27</v>
      </c>
      <c r="B361" s="21" t="s">
        <v>77</v>
      </c>
      <c r="C361" s="21" t="s">
        <v>466</v>
      </c>
      <c r="D361" s="21" t="s">
        <v>6</v>
      </c>
      <c r="E361" s="21" t="s">
        <v>1026</v>
      </c>
      <c r="F361" s="21" t="s">
        <v>856</v>
      </c>
      <c r="G361" s="21" t="s">
        <v>1027</v>
      </c>
      <c r="H361" s="21" t="s">
        <v>661</v>
      </c>
      <c r="I361" s="21" t="s">
        <v>904</v>
      </c>
      <c r="J361" s="191" t="s">
        <v>1028</v>
      </c>
      <c r="K361" s="192">
        <v>3440.0</v>
      </c>
      <c r="L361" s="21" t="s">
        <v>21</v>
      </c>
    </row>
    <row r="362" ht="15.75" customHeight="1">
      <c r="A362" s="21" t="s">
        <v>27</v>
      </c>
      <c r="B362" s="21" t="s">
        <v>77</v>
      </c>
      <c r="C362" s="21" t="s">
        <v>466</v>
      </c>
      <c r="D362" s="21" t="s">
        <v>6</v>
      </c>
      <c r="E362" s="21" t="s">
        <v>1026</v>
      </c>
      <c r="F362" s="21" t="s">
        <v>856</v>
      </c>
      <c r="G362" s="21" t="s">
        <v>1029</v>
      </c>
      <c r="H362" s="21" t="s">
        <v>661</v>
      </c>
      <c r="I362" s="21" t="s">
        <v>904</v>
      </c>
      <c r="J362" s="191" t="s">
        <v>1030</v>
      </c>
      <c r="K362" s="192">
        <v>436.0</v>
      </c>
      <c r="L362" s="21" t="s">
        <v>21</v>
      </c>
    </row>
    <row r="363" ht="15.75" customHeight="1">
      <c r="A363" s="21" t="s">
        <v>27</v>
      </c>
      <c r="B363" s="21" t="s">
        <v>77</v>
      </c>
      <c r="C363" s="21" t="s">
        <v>515</v>
      </c>
      <c r="D363" s="21" t="s">
        <v>6</v>
      </c>
      <c r="E363" s="21" t="s">
        <v>1031</v>
      </c>
      <c r="F363" s="21" t="s">
        <v>848</v>
      </c>
      <c r="G363" s="21" t="s">
        <v>870</v>
      </c>
      <c r="H363" s="21" t="s">
        <v>617</v>
      </c>
      <c r="I363" s="21" t="s">
        <v>622</v>
      </c>
      <c r="J363" s="191" t="s">
        <v>1032</v>
      </c>
      <c r="K363" s="192">
        <v>19100.0</v>
      </c>
      <c r="L363" s="66" t="s">
        <v>148</v>
      </c>
    </row>
    <row r="364" ht="15.75" customHeight="1">
      <c r="A364" s="21" t="s">
        <v>27</v>
      </c>
      <c r="B364" s="21" t="s">
        <v>77</v>
      </c>
      <c r="C364" s="21" t="s">
        <v>515</v>
      </c>
      <c r="D364" s="21" t="s">
        <v>6</v>
      </c>
      <c r="E364" s="21" t="s">
        <v>1031</v>
      </c>
      <c r="F364" s="21" t="s">
        <v>848</v>
      </c>
      <c r="G364" s="21" t="s">
        <v>870</v>
      </c>
      <c r="H364" s="21" t="s">
        <v>617</v>
      </c>
      <c r="I364" s="21" t="s">
        <v>622</v>
      </c>
      <c r="J364" s="191" t="s">
        <v>1032</v>
      </c>
      <c r="K364" s="192">
        <v>34656.0</v>
      </c>
      <c r="L364" s="66" t="s">
        <v>148</v>
      </c>
    </row>
    <row r="365" ht="15.75" customHeight="1">
      <c r="A365" s="21" t="s">
        <v>27</v>
      </c>
      <c r="B365" s="21" t="s">
        <v>77</v>
      </c>
      <c r="C365" s="21" t="s">
        <v>515</v>
      </c>
      <c r="D365" s="21" t="s">
        <v>6</v>
      </c>
      <c r="E365" s="21" t="s">
        <v>1033</v>
      </c>
      <c r="F365" s="21" t="s">
        <v>848</v>
      </c>
      <c r="G365" s="21" t="s">
        <v>1034</v>
      </c>
      <c r="H365" s="21" t="s">
        <v>613</v>
      </c>
      <c r="I365" s="21" t="s">
        <v>1035</v>
      </c>
      <c r="J365" s="191" t="s">
        <v>1036</v>
      </c>
      <c r="K365" s="192">
        <v>31167.0</v>
      </c>
      <c r="L365" s="66" t="s">
        <v>148</v>
      </c>
    </row>
    <row r="366" ht="15.75" customHeight="1">
      <c r="A366" s="21" t="s">
        <v>27</v>
      </c>
      <c r="B366" s="21" t="s">
        <v>77</v>
      </c>
      <c r="C366" s="21" t="s">
        <v>515</v>
      </c>
      <c r="D366" s="21" t="s">
        <v>6</v>
      </c>
      <c r="E366" s="21" t="s">
        <v>1033</v>
      </c>
      <c r="F366" s="21" t="s">
        <v>848</v>
      </c>
      <c r="G366" s="21" t="s">
        <v>1034</v>
      </c>
      <c r="H366" s="21" t="s">
        <v>613</v>
      </c>
      <c r="I366" s="21" t="s">
        <v>1037</v>
      </c>
      <c r="J366" s="191" t="s">
        <v>1038</v>
      </c>
      <c r="K366" s="192">
        <v>20000.0</v>
      </c>
      <c r="L366" s="66" t="s">
        <v>148</v>
      </c>
    </row>
    <row r="367" ht="15.75" customHeight="1">
      <c r="A367" s="21" t="s">
        <v>27</v>
      </c>
      <c r="B367" s="21" t="s">
        <v>77</v>
      </c>
      <c r="C367" s="21" t="s">
        <v>459</v>
      </c>
      <c r="D367" s="21" t="s">
        <v>6</v>
      </c>
      <c r="E367" s="21" t="s">
        <v>847</v>
      </c>
      <c r="F367" s="21" t="s">
        <v>848</v>
      </c>
      <c r="G367" s="21" t="s">
        <v>853</v>
      </c>
      <c r="H367" s="21" t="s">
        <v>451</v>
      </c>
      <c r="I367" s="21" t="s">
        <v>852</v>
      </c>
      <c r="J367" s="191" t="s">
        <v>670</v>
      </c>
      <c r="K367" s="192">
        <v>199.0</v>
      </c>
      <c r="L367" s="21" t="s">
        <v>21</v>
      </c>
    </row>
    <row r="368" ht="15.75" customHeight="1">
      <c r="A368" s="21" t="s">
        <v>27</v>
      </c>
      <c r="B368" s="21" t="s">
        <v>77</v>
      </c>
      <c r="C368" s="21" t="s">
        <v>466</v>
      </c>
      <c r="D368" s="21" t="s">
        <v>6</v>
      </c>
      <c r="E368" s="21" t="s">
        <v>978</v>
      </c>
      <c r="F368" s="21" t="s">
        <v>886</v>
      </c>
      <c r="G368" s="21" t="s">
        <v>979</v>
      </c>
      <c r="H368" s="21" t="s">
        <v>661</v>
      </c>
      <c r="I368" s="21" t="s">
        <v>661</v>
      </c>
      <c r="J368" s="191" t="s">
        <v>1039</v>
      </c>
      <c r="K368" s="192">
        <v>5000.0</v>
      </c>
      <c r="L368" s="21" t="s">
        <v>21</v>
      </c>
    </row>
    <row r="369" ht="15.75" customHeight="1">
      <c r="A369" s="21" t="s">
        <v>27</v>
      </c>
      <c r="B369" s="21" t="s">
        <v>210</v>
      </c>
      <c r="C369" s="21" t="s">
        <v>437</v>
      </c>
      <c r="D369" s="21" t="s">
        <v>6</v>
      </c>
      <c r="E369" s="21" t="s">
        <v>1040</v>
      </c>
      <c r="F369" s="21" t="s">
        <v>853</v>
      </c>
      <c r="G369" s="21" t="s">
        <v>853</v>
      </c>
      <c r="H369" s="21" t="s">
        <v>676</v>
      </c>
      <c r="I369" s="21" t="s">
        <v>676</v>
      </c>
      <c r="J369" s="191" t="s">
        <v>677</v>
      </c>
      <c r="K369" s="192">
        <v>6925.0</v>
      </c>
      <c r="L369" s="21" t="s">
        <v>21</v>
      </c>
    </row>
    <row r="370" ht="15.75" customHeight="1">
      <c r="A370" s="21" t="s">
        <v>27</v>
      </c>
      <c r="B370" s="21" t="s">
        <v>210</v>
      </c>
      <c r="C370" s="21" t="s">
        <v>437</v>
      </c>
      <c r="D370" s="21" t="s">
        <v>6</v>
      </c>
      <c r="E370" s="21" t="s">
        <v>1041</v>
      </c>
      <c r="F370" s="21" t="s">
        <v>994</v>
      </c>
      <c r="G370" s="21" t="s">
        <v>994</v>
      </c>
      <c r="H370" s="21" t="s">
        <v>680</v>
      </c>
      <c r="I370" s="21" t="s">
        <v>454</v>
      </c>
      <c r="J370" s="191" t="s">
        <v>1042</v>
      </c>
      <c r="K370" s="192">
        <v>247.0</v>
      </c>
      <c r="L370" s="21" t="s">
        <v>21</v>
      </c>
    </row>
    <row r="371" ht="15.75" customHeight="1">
      <c r="A371" s="24" t="s">
        <v>28</v>
      </c>
      <c r="B371" s="24" t="s">
        <v>28</v>
      </c>
      <c r="C371" s="24" t="s">
        <v>459</v>
      </c>
      <c r="D371" s="24" t="s">
        <v>6</v>
      </c>
      <c r="E371" s="24" t="s">
        <v>1043</v>
      </c>
      <c r="F371" s="24" t="s">
        <v>823</v>
      </c>
      <c r="G371" s="24" t="s">
        <v>660</v>
      </c>
      <c r="H371" s="24" t="s">
        <v>617</v>
      </c>
      <c r="I371" s="24" t="s">
        <v>1044</v>
      </c>
      <c r="J371" s="193" t="s">
        <v>1045</v>
      </c>
      <c r="K371" s="194">
        <v>99.0</v>
      </c>
      <c r="L371" s="24" t="s">
        <v>21</v>
      </c>
    </row>
    <row r="372" ht="15.75" customHeight="1">
      <c r="A372" s="24" t="s">
        <v>28</v>
      </c>
      <c r="B372" s="24" t="s">
        <v>28</v>
      </c>
      <c r="C372" s="24" t="s">
        <v>459</v>
      </c>
      <c r="D372" s="24" t="s">
        <v>6</v>
      </c>
      <c r="E372" s="24" t="s">
        <v>1043</v>
      </c>
      <c r="F372" s="24" t="s">
        <v>823</v>
      </c>
      <c r="G372" s="24" t="s">
        <v>480</v>
      </c>
      <c r="H372" s="24" t="s">
        <v>617</v>
      </c>
      <c r="I372" s="24" t="s">
        <v>1044</v>
      </c>
      <c r="J372" s="193" t="s">
        <v>1046</v>
      </c>
      <c r="K372" s="194">
        <v>99.0</v>
      </c>
      <c r="L372" s="24" t="s">
        <v>21</v>
      </c>
    </row>
    <row r="373" ht="15.75" customHeight="1">
      <c r="A373" s="24" t="s">
        <v>28</v>
      </c>
      <c r="B373" s="24" t="s">
        <v>28</v>
      </c>
      <c r="C373" s="24" t="s">
        <v>459</v>
      </c>
      <c r="D373" s="24" t="s">
        <v>6</v>
      </c>
      <c r="E373" s="24" t="s">
        <v>1043</v>
      </c>
      <c r="F373" s="24" t="s">
        <v>823</v>
      </c>
      <c r="G373" s="24" t="s">
        <v>479</v>
      </c>
      <c r="H373" s="24" t="s">
        <v>617</v>
      </c>
      <c r="I373" s="24" t="s">
        <v>1044</v>
      </c>
      <c r="J373" s="193" t="s">
        <v>1047</v>
      </c>
      <c r="K373" s="194">
        <v>99.0</v>
      </c>
      <c r="L373" s="24" t="s">
        <v>21</v>
      </c>
    </row>
    <row r="374" ht="15.75" customHeight="1">
      <c r="A374" s="24" t="s">
        <v>28</v>
      </c>
      <c r="B374" s="24" t="s">
        <v>28</v>
      </c>
      <c r="C374" s="24" t="s">
        <v>459</v>
      </c>
      <c r="D374" s="24" t="s">
        <v>6</v>
      </c>
      <c r="E374" s="24" t="s">
        <v>1043</v>
      </c>
      <c r="F374" s="24" t="s">
        <v>823</v>
      </c>
      <c r="G374" s="24" t="s">
        <v>898</v>
      </c>
      <c r="H374" s="24" t="s">
        <v>617</v>
      </c>
      <c r="I374" s="24" t="s">
        <v>1044</v>
      </c>
      <c r="J374" s="193" t="s">
        <v>1048</v>
      </c>
      <c r="K374" s="194">
        <v>749.0</v>
      </c>
      <c r="L374" s="24" t="s">
        <v>21</v>
      </c>
    </row>
    <row r="375" ht="15.75" customHeight="1">
      <c r="A375" s="24" t="s">
        <v>28</v>
      </c>
      <c r="B375" s="24" t="s">
        <v>28</v>
      </c>
      <c r="C375" s="24" t="s">
        <v>466</v>
      </c>
      <c r="D375" s="24" t="s">
        <v>6</v>
      </c>
      <c r="E375" s="24" t="s">
        <v>1043</v>
      </c>
      <c r="F375" s="24" t="s">
        <v>823</v>
      </c>
      <c r="G375" s="24" t="s">
        <v>951</v>
      </c>
      <c r="H375" s="24" t="s">
        <v>617</v>
      </c>
      <c r="I375" s="24" t="s">
        <v>866</v>
      </c>
      <c r="J375" s="193" t="s">
        <v>1049</v>
      </c>
      <c r="K375" s="194">
        <v>599.0</v>
      </c>
      <c r="L375" s="24" t="s">
        <v>21</v>
      </c>
    </row>
    <row r="376" ht="15.75" customHeight="1">
      <c r="A376" s="24" t="s">
        <v>28</v>
      </c>
      <c r="B376" s="24" t="s">
        <v>28</v>
      </c>
      <c r="C376" s="24" t="s">
        <v>466</v>
      </c>
      <c r="D376" s="24" t="s">
        <v>6</v>
      </c>
      <c r="E376" s="24" t="s">
        <v>1043</v>
      </c>
      <c r="F376" s="24" t="s">
        <v>823</v>
      </c>
      <c r="G376" s="24" t="s">
        <v>951</v>
      </c>
      <c r="H376" s="24" t="s">
        <v>617</v>
      </c>
      <c r="I376" s="24" t="s">
        <v>866</v>
      </c>
      <c r="J376" s="193" t="s">
        <v>1050</v>
      </c>
      <c r="K376" s="194">
        <v>209.0</v>
      </c>
      <c r="L376" s="24" t="s">
        <v>21</v>
      </c>
    </row>
    <row r="377" ht="15.75" customHeight="1">
      <c r="A377" s="24" t="s">
        <v>28</v>
      </c>
      <c r="B377" s="24" t="s">
        <v>28</v>
      </c>
      <c r="C377" s="24" t="s">
        <v>685</v>
      </c>
      <c r="D377" s="24" t="s">
        <v>6</v>
      </c>
      <c r="E377" s="24" t="s">
        <v>827</v>
      </c>
      <c r="F377" s="24" t="s">
        <v>828</v>
      </c>
      <c r="G377" s="24" t="s">
        <v>1051</v>
      </c>
      <c r="H377" s="24" t="s">
        <v>613</v>
      </c>
      <c r="I377" s="24" t="s">
        <v>38</v>
      </c>
      <c r="J377" s="193" t="s">
        <v>1052</v>
      </c>
      <c r="K377" s="194">
        <v>5946.0</v>
      </c>
      <c r="L377" s="24" t="s">
        <v>21</v>
      </c>
    </row>
    <row r="378" ht="15.75" customHeight="1">
      <c r="A378" s="24" t="s">
        <v>28</v>
      </c>
      <c r="B378" s="24" t="s">
        <v>28</v>
      </c>
      <c r="C378" s="24" t="s">
        <v>685</v>
      </c>
      <c r="D378" s="24" t="s">
        <v>6</v>
      </c>
      <c r="E378" s="24" t="s">
        <v>827</v>
      </c>
      <c r="F378" s="24" t="s">
        <v>828</v>
      </c>
      <c r="G378" s="24" t="s">
        <v>1053</v>
      </c>
      <c r="H378" s="24" t="s">
        <v>613</v>
      </c>
      <c r="I378" s="24" t="s">
        <v>1054</v>
      </c>
      <c r="J378" s="193" t="s">
        <v>1055</v>
      </c>
      <c r="K378" s="194">
        <v>3624.0</v>
      </c>
      <c r="L378" s="24" t="s">
        <v>21</v>
      </c>
    </row>
    <row r="379" ht="15.75" customHeight="1">
      <c r="A379" s="24" t="s">
        <v>28</v>
      </c>
      <c r="B379" s="24" t="s">
        <v>28</v>
      </c>
      <c r="C379" s="24" t="s">
        <v>459</v>
      </c>
      <c r="D379" s="24" t="s">
        <v>6</v>
      </c>
      <c r="E379" s="24" t="s">
        <v>1056</v>
      </c>
      <c r="F379" s="24" t="s">
        <v>1057</v>
      </c>
      <c r="G379" s="24" t="s">
        <v>1058</v>
      </c>
      <c r="H379" s="24" t="s">
        <v>661</v>
      </c>
      <c r="I379" s="24" t="s">
        <v>1059</v>
      </c>
      <c r="J379" s="193" t="s">
        <v>1060</v>
      </c>
      <c r="K379" s="194">
        <v>152.0</v>
      </c>
      <c r="L379" s="24" t="s">
        <v>21</v>
      </c>
    </row>
    <row r="380" ht="15.75" customHeight="1">
      <c r="A380" s="24" t="s">
        <v>28</v>
      </c>
      <c r="B380" s="24" t="s">
        <v>28</v>
      </c>
      <c r="C380" s="24" t="s">
        <v>459</v>
      </c>
      <c r="D380" s="24" t="s">
        <v>6</v>
      </c>
      <c r="E380" s="24" t="s">
        <v>1056</v>
      </c>
      <c r="F380" s="24" t="s">
        <v>1057</v>
      </c>
      <c r="G380" s="24" t="s">
        <v>1061</v>
      </c>
      <c r="H380" s="24" t="s">
        <v>661</v>
      </c>
      <c r="I380" s="24" t="s">
        <v>1059</v>
      </c>
      <c r="J380" s="193" t="s">
        <v>1062</v>
      </c>
      <c r="K380" s="194">
        <v>152.0</v>
      </c>
      <c r="L380" s="24" t="s">
        <v>21</v>
      </c>
    </row>
    <row r="381" ht="15.75" customHeight="1">
      <c r="A381" s="24" t="s">
        <v>28</v>
      </c>
      <c r="B381" s="24" t="s">
        <v>28</v>
      </c>
      <c r="C381" s="24" t="s">
        <v>459</v>
      </c>
      <c r="D381" s="24" t="s">
        <v>6</v>
      </c>
      <c r="E381" s="24" t="s">
        <v>1056</v>
      </c>
      <c r="F381" s="24" t="s">
        <v>1057</v>
      </c>
      <c r="G381" s="24" t="s">
        <v>1063</v>
      </c>
      <c r="H381" s="24" t="s">
        <v>661</v>
      </c>
      <c r="I381" s="24" t="s">
        <v>1059</v>
      </c>
      <c r="J381" s="193" t="s">
        <v>1064</v>
      </c>
      <c r="K381" s="194">
        <v>252.0</v>
      </c>
      <c r="L381" s="24" t="s">
        <v>21</v>
      </c>
    </row>
    <row r="382" ht="15.75" customHeight="1">
      <c r="A382" s="24" t="s">
        <v>28</v>
      </c>
      <c r="B382" s="24" t="s">
        <v>28</v>
      </c>
      <c r="C382" s="24" t="s">
        <v>459</v>
      </c>
      <c r="D382" s="24" t="s">
        <v>6</v>
      </c>
      <c r="E382" s="24" t="s">
        <v>1056</v>
      </c>
      <c r="F382" s="24" t="s">
        <v>1057</v>
      </c>
      <c r="G382" s="24" t="s">
        <v>1065</v>
      </c>
      <c r="H382" s="24" t="s">
        <v>661</v>
      </c>
      <c r="I382" s="24" t="s">
        <v>1059</v>
      </c>
      <c r="J382" s="193" t="s">
        <v>1066</v>
      </c>
      <c r="K382" s="194">
        <v>352.0</v>
      </c>
      <c r="L382" s="24" t="s">
        <v>21</v>
      </c>
    </row>
    <row r="383" ht="15.75" customHeight="1">
      <c r="A383" s="24" t="s">
        <v>28</v>
      </c>
      <c r="B383" s="24" t="s">
        <v>28</v>
      </c>
      <c r="C383" s="24" t="s">
        <v>459</v>
      </c>
      <c r="D383" s="24" t="s">
        <v>6</v>
      </c>
      <c r="E383" s="24" t="s">
        <v>1056</v>
      </c>
      <c r="F383" s="24" t="s">
        <v>1057</v>
      </c>
      <c r="G383" s="24" t="s">
        <v>1067</v>
      </c>
      <c r="H383" s="24" t="s">
        <v>661</v>
      </c>
      <c r="I383" s="24" t="s">
        <v>1059</v>
      </c>
      <c r="J383" s="193" t="s">
        <v>1068</v>
      </c>
      <c r="K383" s="194">
        <v>252.0</v>
      </c>
      <c r="L383" s="24" t="s">
        <v>21</v>
      </c>
    </row>
    <row r="384" ht="15.75" customHeight="1">
      <c r="A384" s="24" t="s">
        <v>28</v>
      </c>
      <c r="B384" s="24" t="s">
        <v>28</v>
      </c>
      <c r="C384" s="24" t="s">
        <v>466</v>
      </c>
      <c r="D384" s="24" t="s">
        <v>6</v>
      </c>
      <c r="E384" s="24" t="s">
        <v>1026</v>
      </c>
      <c r="F384" s="24" t="s">
        <v>856</v>
      </c>
      <c r="G384" s="24" t="s">
        <v>1069</v>
      </c>
      <c r="H384" s="24" t="s">
        <v>661</v>
      </c>
      <c r="I384" s="24" t="s">
        <v>904</v>
      </c>
      <c r="J384" s="193" t="s">
        <v>1070</v>
      </c>
      <c r="K384" s="194">
        <v>1000.0</v>
      </c>
      <c r="L384" s="24" t="s">
        <v>21</v>
      </c>
    </row>
    <row r="385" ht="15.75" customHeight="1">
      <c r="A385" s="24" t="s">
        <v>28</v>
      </c>
      <c r="B385" s="24" t="s">
        <v>28</v>
      </c>
      <c r="C385" s="24" t="s">
        <v>466</v>
      </c>
      <c r="D385" s="24" t="s">
        <v>6</v>
      </c>
      <c r="E385" s="24" t="s">
        <v>1026</v>
      </c>
      <c r="F385" s="24" t="s">
        <v>856</v>
      </c>
      <c r="G385" s="24" t="s">
        <v>1063</v>
      </c>
      <c r="H385" s="24" t="s">
        <v>661</v>
      </c>
      <c r="I385" s="24" t="s">
        <v>904</v>
      </c>
      <c r="J385" s="193" t="s">
        <v>1071</v>
      </c>
      <c r="K385" s="194">
        <v>100.0</v>
      </c>
      <c r="L385" s="24" t="s">
        <v>21</v>
      </c>
    </row>
    <row r="386" ht="15.75" customHeight="1">
      <c r="A386" s="24" t="s">
        <v>28</v>
      </c>
      <c r="B386" s="24" t="s">
        <v>28</v>
      </c>
      <c r="C386" s="24" t="s">
        <v>444</v>
      </c>
      <c r="D386" s="24" t="s">
        <v>6</v>
      </c>
      <c r="E386" s="24" t="s">
        <v>1026</v>
      </c>
      <c r="F386" s="24" t="s">
        <v>856</v>
      </c>
      <c r="G386" s="24" t="s">
        <v>1067</v>
      </c>
      <c r="H386" s="24" t="s">
        <v>661</v>
      </c>
      <c r="I386" s="24" t="s">
        <v>1072</v>
      </c>
      <c r="J386" s="193" t="s">
        <v>1073</v>
      </c>
      <c r="K386" s="194">
        <v>175.0</v>
      </c>
      <c r="L386" s="24" t="s">
        <v>21</v>
      </c>
    </row>
    <row r="387" ht="15.75" customHeight="1">
      <c r="A387" s="24" t="s">
        <v>28</v>
      </c>
      <c r="B387" s="24" t="s">
        <v>28</v>
      </c>
      <c r="C387" s="24" t="s">
        <v>466</v>
      </c>
      <c r="D387" s="24" t="s">
        <v>6</v>
      </c>
      <c r="E387" s="24" t="s">
        <v>1026</v>
      </c>
      <c r="F387" s="24" t="s">
        <v>856</v>
      </c>
      <c r="G387" s="24" t="s">
        <v>1029</v>
      </c>
      <c r="H387" s="24" t="s">
        <v>661</v>
      </c>
      <c r="I387" s="24" t="s">
        <v>1074</v>
      </c>
      <c r="J387" s="193" t="s">
        <v>1075</v>
      </c>
      <c r="K387" s="194">
        <v>45.0</v>
      </c>
      <c r="L387" s="24" t="s">
        <v>21</v>
      </c>
    </row>
    <row r="388" ht="15.75" customHeight="1">
      <c r="A388" s="24" t="s">
        <v>28</v>
      </c>
      <c r="B388" s="24" t="s">
        <v>28</v>
      </c>
      <c r="C388" s="24" t="s">
        <v>466</v>
      </c>
      <c r="D388" s="24" t="s">
        <v>6</v>
      </c>
      <c r="E388" s="24" t="s">
        <v>1026</v>
      </c>
      <c r="F388" s="24" t="s">
        <v>856</v>
      </c>
      <c r="G388" s="24" t="s">
        <v>887</v>
      </c>
      <c r="H388" s="24" t="s">
        <v>661</v>
      </c>
      <c r="I388" s="24" t="s">
        <v>904</v>
      </c>
      <c r="J388" s="193" t="s">
        <v>1076</v>
      </c>
      <c r="K388" s="194">
        <v>400.0</v>
      </c>
      <c r="L388" s="24" t="s">
        <v>21</v>
      </c>
    </row>
    <row r="389" ht="15.75" customHeight="1">
      <c r="A389" s="24" t="s">
        <v>28</v>
      </c>
      <c r="B389" s="24" t="s">
        <v>28</v>
      </c>
      <c r="C389" s="24" t="s">
        <v>444</v>
      </c>
      <c r="D389" s="24" t="s">
        <v>6</v>
      </c>
      <c r="E389" s="24" t="s">
        <v>1031</v>
      </c>
      <c r="F389" s="24" t="s">
        <v>848</v>
      </c>
      <c r="G389" s="24" t="s">
        <v>848</v>
      </c>
      <c r="H389" s="24" t="s">
        <v>617</v>
      </c>
      <c r="I389" s="24" t="s">
        <v>1077</v>
      </c>
      <c r="J389" s="193" t="s">
        <v>1078</v>
      </c>
      <c r="K389" s="194">
        <v>10.0</v>
      </c>
      <c r="L389" s="24" t="s">
        <v>21</v>
      </c>
    </row>
    <row r="390" ht="15.75" customHeight="1">
      <c r="A390" s="27" t="s">
        <v>29</v>
      </c>
      <c r="B390" s="27" t="s">
        <v>29</v>
      </c>
      <c r="C390" s="27" t="s">
        <v>459</v>
      </c>
      <c r="D390" s="27" t="s">
        <v>6</v>
      </c>
      <c r="E390" s="27" t="s">
        <v>986</v>
      </c>
      <c r="F390" s="27" t="s">
        <v>994</v>
      </c>
      <c r="G390" s="27" t="s">
        <v>995</v>
      </c>
      <c r="H390" s="27" t="s">
        <v>688</v>
      </c>
      <c r="I390" s="27" t="s">
        <v>724</v>
      </c>
      <c r="J390" s="195" t="s">
        <v>1079</v>
      </c>
      <c r="K390" s="196">
        <v>15680.0</v>
      </c>
      <c r="L390" s="27" t="s">
        <v>21</v>
      </c>
    </row>
    <row r="391" ht="15.75" customHeight="1">
      <c r="A391" s="27" t="s">
        <v>29</v>
      </c>
      <c r="B391" s="27" t="s">
        <v>29</v>
      </c>
      <c r="C391" s="27" t="s">
        <v>459</v>
      </c>
      <c r="D391" s="27" t="s">
        <v>6</v>
      </c>
      <c r="E391" s="27" t="s">
        <v>986</v>
      </c>
      <c r="F391" s="27" t="s">
        <v>994</v>
      </c>
      <c r="G391" s="27" t="s">
        <v>995</v>
      </c>
      <c r="H391" s="27" t="s">
        <v>688</v>
      </c>
      <c r="I391" s="27" t="s">
        <v>726</v>
      </c>
      <c r="J391" s="195" t="s">
        <v>1080</v>
      </c>
      <c r="K391" s="196">
        <v>4000.0</v>
      </c>
      <c r="L391" s="27" t="s">
        <v>21</v>
      </c>
    </row>
    <row r="392" ht="15.75" customHeight="1">
      <c r="A392" s="27" t="s">
        <v>29</v>
      </c>
      <c r="B392" s="27" t="s">
        <v>29</v>
      </c>
      <c r="C392" s="27" t="s">
        <v>466</v>
      </c>
      <c r="D392" s="27" t="s">
        <v>6</v>
      </c>
      <c r="E392" s="27" t="s">
        <v>986</v>
      </c>
      <c r="F392" s="27" t="s">
        <v>994</v>
      </c>
      <c r="G392" s="27" t="s">
        <v>995</v>
      </c>
      <c r="H392" s="27" t="s">
        <v>688</v>
      </c>
      <c r="I392" s="27" t="s">
        <v>793</v>
      </c>
      <c r="J392" s="195" t="s">
        <v>794</v>
      </c>
      <c r="K392" s="196">
        <v>3233.0</v>
      </c>
      <c r="L392" s="27" t="s">
        <v>21</v>
      </c>
    </row>
    <row r="393" ht="15.75" customHeight="1">
      <c r="A393" s="27" t="s">
        <v>29</v>
      </c>
      <c r="B393" s="27" t="s">
        <v>29</v>
      </c>
      <c r="C393" s="27" t="s">
        <v>466</v>
      </c>
      <c r="D393" s="27" t="s">
        <v>6</v>
      </c>
      <c r="E393" s="27" t="s">
        <v>986</v>
      </c>
      <c r="F393" s="27" t="s">
        <v>994</v>
      </c>
      <c r="G393" s="27" t="s">
        <v>995</v>
      </c>
      <c r="H393" s="27" t="s">
        <v>688</v>
      </c>
      <c r="I393" s="27" t="s">
        <v>793</v>
      </c>
      <c r="J393" s="195" t="s">
        <v>794</v>
      </c>
      <c r="K393" s="196">
        <v>6511.0</v>
      </c>
      <c r="L393" s="27" t="s">
        <v>21</v>
      </c>
    </row>
    <row r="394" ht="15.75" customHeight="1">
      <c r="A394" s="27" t="s">
        <v>29</v>
      </c>
      <c r="B394" s="27" t="s">
        <v>29</v>
      </c>
      <c r="C394" s="27" t="s">
        <v>466</v>
      </c>
      <c r="D394" s="27" t="s">
        <v>6</v>
      </c>
      <c r="E394" s="27" t="s">
        <v>993</v>
      </c>
      <c r="F394" s="27" t="s">
        <v>994</v>
      </c>
      <c r="G394" s="27" t="s">
        <v>995</v>
      </c>
      <c r="H394" s="27" t="s">
        <v>613</v>
      </c>
      <c r="I394" s="27" t="s">
        <v>793</v>
      </c>
      <c r="J394" s="195" t="s">
        <v>794</v>
      </c>
      <c r="K394" s="196">
        <v>3111.0</v>
      </c>
      <c r="L394" s="27" t="s">
        <v>21</v>
      </c>
    </row>
    <row r="395" ht="15.75" customHeight="1">
      <c r="A395" s="27" t="s">
        <v>29</v>
      </c>
      <c r="B395" s="27" t="s">
        <v>29</v>
      </c>
      <c r="C395" s="27" t="s">
        <v>466</v>
      </c>
      <c r="D395" s="27" t="s">
        <v>6</v>
      </c>
      <c r="E395" s="27" t="s">
        <v>993</v>
      </c>
      <c r="F395" s="27" t="s">
        <v>994</v>
      </c>
      <c r="G395" s="27" t="s">
        <v>995</v>
      </c>
      <c r="H395" s="27" t="s">
        <v>613</v>
      </c>
      <c r="I395" s="27" t="s">
        <v>793</v>
      </c>
      <c r="J395" s="195" t="s">
        <v>794</v>
      </c>
      <c r="K395" s="196">
        <v>664.0</v>
      </c>
      <c r="L395" s="27" t="s">
        <v>21</v>
      </c>
    </row>
    <row r="396" ht="15.75" customHeight="1">
      <c r="A396" s="30" t="s">
        <v>30</v>
      </c>
      <c r="B396" s="30" t="s">
        <v>30</v>
      </c>
      <c r="C396" s="30" t="s">
        <v>554</v>
      </c>
      <c r="D396" s="30" t="s">
        <v>6</v>
      </c>
      <c r="E396" s="30" t="s">
        <v>1081</v>
      </c>
      <c r="F396" s="30" t="s">
        <v>556</v>
      </c>
      <c r="G396" s="30" t="s">
        <v>556</v>
      </c>
      <c r="H396" s="30" t="s">
        <v>769</v>
      </c>
      <c r="I396" s="30" t="s">
        <v>769</v>
      </c>
      <c r="J396" s="197" t="s">
        <v>1082</v>
      </c>
      <c r="K396" s="198">
        <v>3442.0</v>
      </c>
      <c r="L396" s="30" t="s">
        <v>21</v>
      </c>
    </row>
    <row r="397" ht="15.75" customHeight="1">
      <c r="A397" s="30" t="s">
        <v>30</v>
      </c>
      <c r="B397" s="30" t="s">
        <v>30</v>
      </c>
      <c r="C397" s="30" t="s">
        <v>554</v>
      </c>
      <c r="D397" s="30" t="s">
        <v>6</v>
      </c>
      <c r="E397" s="30" t="s">
        <v>1081</v>
      </c>
      <c r="F397" s="30" t="s">
        <v>556</v>
      </c>
      <c r="G397" s="30" t="s">
        <v>556</v>
      </c>
      <c r="H397" s="30" t="s">
        <v>769</v>
      </c>
      <c r="I397" s="30" t="s">
        <v>769</v>
      </c>
      <c r="J397" s="197" t="s">
        <v>1083</v>
      </c>
      <c r="K397" s="198">
        <v>3442.0</v>
      </c>
      <c r="L397" s="30" t="s">
        <v>21</v>
      </c>
    </row>
    <row r="398" ht="15.75" customHeight="1">
      <c r="A398" s="30" t="s">
        <v>30</v>
      </c>
      <c r="B398" s="30" t="s">
        <v>30</v>
      </c>
      <c r="C398" s="30" t="s">
        <v>554</v>
      </c>
      <c r="D398" s="30" t="s">
        <v>6</v>
      </c>
      <c r="E398" s="30" t="s">
        <v>1081</v>
      </c>
      <c r="F398" s="30" t="s">
        <v>556</v>
      </c>
      <c r="G398" s="30" t="s">
        <v>556</v>
      </c>
      <c r="H398" s="30" t="s">
        <v>769</v>
      </c>
      <c r="I398" s="30" t="s">
        <v>769</v>
      </c>
      <c r="J398" s="197" t="s">
        <v>1084</v>
      </c>
      <c r="K398" s="198">
        <v>3442.0</v>
      </c>
      <c r="L398" s="30" t="s">
        <v>21</v>
      </c>
    </row>
    <row r="399" ht="15.75" customHeight="1">
      <c r="A399" s="30" t="s">
        <v>30</v>
      </c>
      <c r="B399" s="30" t="s">
        <v>30</v>
      </c>
      <c r="C399" s="30" t="s">
        <v>459</v>
      </c>
      <c r="D399" s="30" t="s">
        <v>6</v>
      </c>
      <c r="E399" s="30" t="s">
        <v>1085</v>
      </c>
      <c r="F399" s="30" t="s">
        <v>823</v>
      </c>
      <c r="G399" s="30" t="s">
        <v>823</v>
      </c>
      <c r="H399" s="30" t="s">
        <v>740</v>
      </c>
      <c r="I399" s="30" t="s">
        <v>1086</v>
      </c>
      <c r="J399" s="197" t="s">
        <v>1087</v>
      </c>
      <c r="K399" s="198">
        <v>14832.0</v>
      </c>
      <c r="L399" s="30" t="s">
        <v>21</v>
      </c>
    </row>
    <row r="400" ht="15.75" customHeight="1">
      <c r="A400" s="30" t="s">
        <v>30</v>
      </c>
      <c r="B400" s="30" t="s">
        <v>30</v>
      </c>
      <c r="C400" s="30" t="s">
        <v>459</v>
      </c>
      <c r="D400" s="30" t="s">
        <v>6</v>
      </c>
      <c r="E400" s="30" t="s">
        <v>1088</v>
      </c>
      <c r="F400" s="30" t="s">
        <v>823</v>
      </c>
      <c r="G400" s="30" t="s">
        <v>823</v>
      </c>
      <c r="H400" s="30" t="s">
        <v>740</v>
      </c>
      <c r="I400" s="30" t="s">
        <v>1089</v>
      </c>
      <c r="J400" s="197" t="s">
        <v>1090</v>
      </c>
      <c r="K400" s="198">
        <v>2499.0</v>
      </c>
      <c r="L400" s="30" t="s">
        <v>21</v>
      </c>
    </row>
    <row r="401" ht="15.75" customHeight="1">
      <c r="A401" s="30" t="s">
        <v>30</v>
      </c>
      <c r="B401" s="30" t="s">
        <v>30</v>
      </c>
      <c r="C401" s="30" t="s">
        <v>448</v>
      </c>
      <c r="D401" s="30" t="s">
        <v>6</v>
      </c>
      <c r="E401" s="30" t="s">
        <v>1091</v>
      </c>
      <c r="F401" s="30" t="s">
        <v>870</v>
      </c>
      <c r="G401" s="30" t="s">
        <v>870</v>
      </c>
      <c r="H401" s="30" t="s">
        <v>764</v>
      </c>
      <c r="I401" s="30" t="s">
        <v>764</v>
      </c>
      <c r="J401" s="197" t="s">
        <v>1092</v>
      </c>
      <c r="K401" s="198">
        <v>2707.0</v>
      </c>
      <c r="L401" s="30" t="s">
        <v>21</v>
      </c>
    </row>
    <row r="402" ht="15.75" customHeight="1">
      <c r="A402" s="30" t="s">
        <v>30</v>
      </c>
      <c r="B402" s="30" t="s">
        <v>30</v>
      </c>
      <c r="C402" s="30" t="s">
        <v>437</v>
      </c>
      <c r="D402" s="30" t="s">
        <v>6</v>
      </c>
      <c r="E402" s="30" t="s">
        <v>1040</v>
      </c>
      <c r="F402" s="30" t="s">
        <v>853</v>
      </c>
      <c r="G402" s="30" t="s">
        <v>853</v>
      </c>
      <c r="H402" s="30" t="s">
        <v>676</v>
      </c>
      <c r="I402" s="30" t="s">
        <v>676</v>
      </c>
      <c r="J402" s="197" t="s">
        <v>766</v>
      </c>
      <c r="K402" s="198">
        <v>15579.0</v>
      </c>
      <c r="L402" s="30" t="s">
        <v>21</v>
      </c>
    </row>
    <row r="403" ht="15.75" customHeight="1">
      <c r="A403" s="30" t="s">
        <v>30</v>
      </c>
      <c r="B403" s="30" t="s">
        <v>30</v>
      </c>
      <c r="C403" s="30" t="s">
        <v>437</v>
      </c>
      <c r="D403" s="30" t="s">
        <v>6</v>
      </c>
      <c r="E403" s="30" t="s">
        <v>1040</v>
      </c>
      <c r="F403" s="30" t="s">
        <v>853</v>
      </c>
      <c r="G403" s="30" t="s">
        <v>853</v>
      </c>
      <c r="H403" s="30" t="s">
        <v>676</v>
      </c>
      <c r="I403" s="30" t="s">
        <v>676</v>
      </c>
      <c r="J403" s="197" t="s">
        <v>767</v>
      </c>
      <c r="K403" s="198">
        <v>23095.0</v>
      </c>
      <c r="L403" s="30" t="s">
        <v>21</v>
      </c>
    </row>
    <row r="404" ht="15.75" customHeight="1">
      <c r="A404" s="30" t="s">
        <v>30</v>
      </c>
      <c r="B404" s="30" t="s">
        <v>30</v>
      </c>
      <c r="C404" s="30" t="s">
        <v>554</v>
      </c>
      <c r="D404" s="30" t="s">
        <v>6</v>
      </c>
      <c r="E404" s="30" t="s">
        <v>1093</v>
      </c>
      <c r="F404" s="30" t="s">
        <v>853</v>
      </c>
      <c r="G404" s="30" t="s">
        <v>1094</v>
      </c>
      <c r="H404" s="30" t="s">
        <v>759</v>
      </c>
      <c r="I404" s="30" t="s">
        <v>759</v>
      </c>
      <c r="J404" s="197" t="s">
        <v>1095</v>
      </c>
      <c r="K404" s="198">
        <v>144985.0</v>
      </c>
      <c r="L404" s="30" t="s">
        <v>21</v>
      </c>
    </row>
    <row r="405" ht="15.75" customHeight="1">
      <c r="A405" s="30" t="s">
        <v>30</v>
      </c>
      <c r="B405" s="30" t="s">
        <v>30</v>
      </c>
      <c r="C405" s="30" t="s">
        <v>558</v>
      </c>
      <c r="D405" s="30" t="s">
        <v>6</v>
      </c>
      <c r="E405" s="30" t="s">
        <v>1093</v>
      </c>
      <c r="F405" s="30" t="s">
        <v>853</v>
      </c>
      <c r="G405" s="30" t="s">
        <v>1094</v>
      </c>
      <c r="H405" s="30" t="s">
        <v>759</v>
      </c>
      <c r="I405" s="30" t="s">
        <v>759</v>
      </c>
      <c r="J405" s="197" t="s">
        <v>1096</v>
      </c>
      <c r="K405" s="198">
        <v>10000.0</v>
      </c>
      <c r="L405" s="30" t="s">
        <v>21</v>
      </c>
    </row>
    <row r="406" ht="15.75" customHeight="1">
      <c r="A406" s="30" t="s">
        <v>30</v>
      </c>
      <c r="B406" s="30" t="s">
        <v>30</v>
      </c>
      <c r="C406" s="30" t="s">
        <v>437</v>
      </c>
      <c r="D406" s="30" t="s">
        <v>6</v>
      </c>
      <c r="E406" s="30" t="s">
        <v>1093</v>
      </c>
      <c r="F406" s="30" t="s">
        <v>853</v>
      </c>
      <c r="G406" s="30" t="s">
        <v>1094</v>
      </c>
      <c r="H406" s="30" t="s">
        <v>759</v>
      </c>
      <c r="I406" s="30" t="s">
        <v>759</v>
      </c>
      <c r="J406" s="197" t="s">
        <v>1097</v>
      </c>
      <c r="K406" s="198">
        <v>866.0</v>
      </c>
      <c r="L406" s="30" t="s">
        <v>21</v>
      </c>
    </row>
    <row r="407" ht="15.75" customHeight="1">
      <c r="A407" s="6" t="s">
        <v>31</v>
      </c>
      <c r="B407" s="6" t="s">
        <v>31</v>
      </c>
      <c r="C407" s="6" t="s">
        <v>730</v>
      </c>
      <c r="D407" s="6" t="s">
        <v>6</v>
      </c>
      <c r="E407" s="6" t="s">
        <v>1098</v>
      </c>
      <c r="F407" s="6" t="s">
        <v>556</v>
      </c>
      <c r="G407" s="6" t="s">
        <v>556</v>
      </c>
      <c r="H407" s="6" t="s">
        <v>1099</v>
      </c>
      <c r="I407" s="6" t="s">
        <v>1100</v>
      </c>
      <c r="J407" s="185" t="s">
        <v>1101</v>
      </c>
      <c r="K407" s="186">
        <v>9263.0</v>
      </c>
      <c r="L407" s="6" t="s">
        <v>21</v>
      </c>
    </row>
    <row r="408" ht="15.75" customHeight="1">
      <c r="A408" s="6" t="s">
        <v>31</v>
      </c>
      <c r="B408" s="6" t="s">
        <v>31</v>
      </c>
      <c r="C408" s="6" t="s">
        <v>730</v>
      </c>
      <c r="D408" s="6" t="s">
        <v>6</v>
      </c>
      <c r="E408" s="6" t="s">
        <v>1098</v>
      </c>
      <c r="F408" s="6" t="s">
        <v>556</v>
      </c>
      <c r="G408" s="6" t="s">
        <v>556</v>
      </c>
      <c r="H408" s="6" t="s">
        <v>1099</v>
      </c>
      <c r="I408" s="6" t="s">
        <v>1100</v>
      </c>
      <c r="J408" s="185" t="s">
        <v>1102</v>
      </c>
      <c r="K408" s="186">
        <v>31760.0</v>
      </c>
      <c r="L408" s="6" t="s">
        <v>21</v>
      </c>
    </row>
    <row r="409" ht="15.75" customHeight="1">
      <c r="A409" s="6" t="s">
        <v>31</v>
      </c>
      <c r="B409" s="6" t="s">
        <v>31</v>
      </c>
      <c r="C409" s="6" t="s">
        <v>730</v>
      </c>
      <c r="D409" s="6" t="s">
        <v>6</v>
      </c>
      <c r="E409" s="6" t="s">
        <v>1098</v>
      </c>
      <c r="F409" s="6" t="s">
        <v>556</v>
      </c>
      <c r="G409" s="6" t="s">
        <v>556</v>
      </c>
      <c r="H409" s="6" t="s">
        <v>1099</v>
      </c>
      <c r="I409" s="6" t="s">
        <v>1100</v>
      </c>
      <c r="J409" s="185" t="s">
        <v>1103</v>
      </c>
      <c r="K409" s="186">
        <v>26467.0</v>
      </c>
      <c r="L409" s="6" t="s">
        <v>21</v>
      </c>
    </row>
    <row r="410" ht="15.75" customHeight="1">
      <c r="A410" s="33" t="s">
        <v>32</v>
      </c>
      <c r="B410" s="33" t="s">
        <v>140</v>
      </c>
      <c r="C410" s="33" t="s">
        <v>444</v>
      </c>
      <c r="D410" s="33" t="s">
        <v>6</v>
      </c>
      <c r="E410" s="33" t="s">
        <v>982</v>
      </c>
      <c r="F410" s="33" t="s">
        <v>556</v>
      </c>
      <c r="G410" s="33" t="s">
        <v>824</v>
      </c>
      <c r="H410" s="33" t="s">
        <v>544</v>
      </c>
      <c r="I410" s="33" t="s">
        <v>779</v>
      </c>
      <c r="J410" s="200" t="s">
        <v>1104</v>
      </c>
      <c r="K410" s="201">
        <v>450.0</v>
      </c>
      <c r="L410" s="33" t="s">
        <v>21</v>
      </c>
    </row>
    <row r="411" ht="15.75" customHeight="1">
      <c r="A411" s="33" t="s">
        <v>32</v>
      </c>
      <c r="B411" s="33" t="s">
        <v>140</v>
      </c>
      <c r="C411" s="33" t="s">
        <v>730</v>
      </c>
      <c r="D411" s="33" t="s">
        <v>6</v>
      </c>
      <c r="E411" s="33" t="s">
        <v>1105</v>
      </c>
      <c r="F411" s="33" t="s">
        <v>823</v>
      </c>
      <c r="G411" s="33" t="s">
        <v>824</v>
      </c>
      <c r="H411" s="33" t="s">
        <v>1106</v>
      </c>
      <c r="I411" s="33" t="s">
        <v>1106</v>
      </c>
      <c r="J411" s="200" t="s">
        <v>1107</v>
      </c>
      <c r="K411" s="201">
        <v>71593.0</v>
      </c>
      <c r="L411" s="33" t="s">
        <v>21</v>
      </c>
    </row>
    <row r="412" ht="15.75" customHeight="1">
      <c r="A412" s="33" t="s">
        <v>32</v>
      </c>
      <c r="B412" s="33" t="s">
        <v>140</v>
      </c>
      <c r="C412" s="33" t="s">
        <v>444</v>
      </c>
      <c r="D412" s="33" t="s">
        <v>6</v>
      </c>
      <c r="E412" s="33" t="s">
        <v>1105</v>
      </c>
      <c r="F412" s="33" t="s">
        <v>828</v>
      </c>
      <c r="G412" s="33" t="s">
        <v>828</v>
      </c>
      <c r="H412" s="33" t="s">
        <v>544</v>
      </c>
      <c r="I412" s="33" t="s">
        <v>544</v>
      </c>
      <c r="J412" s="200" t="s">
        <v>1108</v>
      </c>
      <c r="K412" s="201">
        <v>3632.0</v>
      </c>
      <c r="L412" s="33" t="s">
        <v>21</v>
      </c>
    </row>
    <row r="413" ht="15.75" customHeight="1">
      <c r="A413" s="33" t="s">
        <v>32</v>
      </c>
      <c r="B413" s="33" t="s">
        <v>140</v>
      </c>
      <c r="C413" s="33" t="s">
        <v>466</v>
      </c>
      <c r="D413" s="33" t="s">
        <v>6</v>
      </c>
      <c r="E413" s="33" t="s">
        <v>881</v>
      </c>
      <c r="F413" s="33" t="s">
        <v>828</v>
      </c>
      <c r="G413" s="33" t="s">
        <v>882</v>
      </c>
      <c r="H413" s="33" t="s">
        <v>544</v>
      </c>
      <c r="I413" s="33" t="s">
        <v>797</v>
      </c>
      <c r="J413" s="200" t="s">
        <v>1109</v>
      </c>
      <c r="K413" s="201">
        <v>2000.0</v>
      </c>
      <c r="L413" s="33" t="s">
        <v>21</v>
      </c>
    </row>
    <row r="414" ht="15.75" customHeight="1">
      <c r="A414" s="33" t="s">
        <v>32</v>
      </c>
      <c r="B414" s="33" t="s">
        <v>140</v>
      </c>
      <c r="C414" s="33" t="s">
        <v>730</v>
      </c>
      <c r="D414" s="33" t="s">
        <v>6</v>
      </c>
      <c r="E414" s="33" t="s">
        <v>1110</v>
      </c>
      <c r="F414" s="33" t="s">
        <v>843</v>
      </c>
      <c r="G414" s="33" t="s">
        <v>951</v>
      </c>
      <c r="H414" s="33" t="s">
        <v>782</v>
      </c>
      <c r="I414" s="33" t="s">
        <v>782</v>
      </c>
      <c r="J414" s="200" t="s">
        <v>783</v>
      </c>
      <c r="K414" s="201">
        <v>6600.0</v>
      </c>
      <c r="L414" s="33" t="s">
        <v>21</v>
      </c>
    </row>
    <row r="415" ht="15.75" customHeight="1">
      <c r="A415" s="33" t="s">
        <v>32</v>
      </c>
      <c r="B415" s="33" t="s">
        <v>140</v>
      </c>
      <c r="C415" s="33" t="s">
        <v>784</v>
      </c>
      <c r="D415" s="33" t="s">
        <v>6</v>
      </c>
      <c r="E415" s="33" t="s">
        <v>1111</v>
      </c>
      <c r="F415" s="33" t="s">
        <v>994</v>
      </c>
      <c r="G415" s="33" t="s">
        <v>995</v>
      </c>
      <c r="H415" s="33" t="s">
        <v>786</v>
      </c>
      <c r="I415" s="33" t="s">
        <v>786</v>
      </c>
      <c r="J415" s="200" t="s">
        <v>1112</v>
      </c>
      <c r="K415" s="201">
        <v>31500.0</v>
      </c>
      <c r="L415" s="33" t="s">
        <v>21</v>
      </c>
    </row>
    <row r="416" ht="15.75" customHeight="1">
      <c r="A416" s="33" t="s">
        <v>32</v>
      </c>
      <c r="B416" s="33" t="s">
        <v>140</v>
      </c>
      <c r="C416" s="33" t="s">
        <v>784</v>
      </c>
      <c r="D416" s="33" t="s">
        <v>6</v>
      </c>
      <c r="E416" s="33" t="s">
        <v>1111</v>
      </c>
      <c r="F416" s="33" t="s">
        <v>994</v>
      </c>
      <c r="G416" s="33" t="s">
        <v>995</v>
      </c>
      <c r="H416" s="33" t="s">
        <v>786</v>
      </c>
      <c r="I416" s="33" t="s">
        <v>786</v>
      </c>
      <c r="J416" s="200" t="s">
        <v>709</v>
      </c>
      <c r="K416" s="201">
        <v>3780.0</v>
      </c>
      <c r="L416" s="33" t="s">
        <v>21</v>
      </c>
    </row>
    <row r="417" ht="15.75" customHeight="1">
      <c r="A417" s="33" t="s">
        <v>32</v>
      </c>
      <c r="B417" s="33" t="s">
        <v>140</v>
      </c>
      <c r="C417" s="33" t="s">
        <v>444</v>
      </c>
      <c r="D417" s="33" t="s">
        <v>6</v>
      </c>
      <c r="E417" s="33" t="s">
        <v>1113</v>
      </c>
      <c r="F417" s="33" t="s">
        <v>886</v>
      </c>
      <c r="G417" s="33" t="s">
        <v>995</v>
      </c>
      <c r="H417" s="33" t="s">
        <v>1114</v>
      </c>
      <c r="I417" s="33" t="s">
        <v>1115</v>
      </c>
      <c r="J417" s="200" t="s">
        <v>1116</v>
      </c>
      <c r="K417" s="201">
        <v>2550.0</v>
      </c>
      <c r="L417" s="33" t="s">
        <v>21</v>
      </c>
    </row>
    <row r="418" ht="15.75" customHeight="1">
      <c r="A418" s="33" t="s">
        <v>32</v>
      </c>
      <c r="B418" s="33" t="s">
        <v>140</v>
      </c>
      <c r="C418" s="33" t="s">
        <v>444</v>
      </c>
      <c r="D418" s="33" t="s">
        <v>6</v>
      </c>
      <c r="E418" s="33" t="s">
        <v>1113</v>
      </c>
      <c r="F418" s="33" t="s">
        <v>886</v>
      </c>
      <c r="G418" s="33" t="s">
        <v>995</v>
      </c>
      <c r="H418" s="33" t="s">
        <v>1114</v>
      </c>
      <c r="I418" s="33" t="s">
        <v>1117</v>
      </c>
      <c r="J418" s="200" t="s">
        <v>709</v>
      </c>
      <c r="K418" s="201">
        <v>13200.0</v>
      </c>
      <c r="L418" s="33" t="s">
        <v>21</v>
      </c>
    </row>
    <row r="419" ht="15.75" customHeight="1">
      <c r="A419" s="33" t="s">
        <v>32</v>
      </c>
      <c r="B419" s="33" t="s">
        <v>140</v>
      </c>
      <c r="C419" s="33" t="s">
        <v>466</v>
      </c>
      <c r="D419" s="33" t="s">
        <v>6</v>
      </c>
      <c r="E419" s="33" t="s">
        <v>885</v>
      </c>
      <c r="F419" s="33" t="s">
        <v>886</v>
      </c>
      <c r="G419" s="33" t="s">
        <v>887</v>
      </c>
      <c r="H419" s="33" t="s">
        <v>544</v>
      </c>
      <c r="I419" s="33" t="s">
        <v>866</v>
      </c>
      <c r="J419" s="200" t="s">
        <v>1118</v>
      </c>
      <c r="K419" s="201">
        <v>157.0</v>
      </c>
      <c r="L419" s="33" t="s">
        <v>21</v>
      </c>
    </row>
    <row r="420" ht="15.75" customHeight="1">
      <c r="A420" s="33" t="s">
        <v>32</v>
      </c>
      <c r="B420" s="33" t="s">
        <v>140</v>
      </c>
      <c r="C420" s="33" t="s">
        <v>466</v>
      </c>
      <c r="D420" s="33" t="s">
        <v>6</v>
      </c>
      <c r="E420" s="33" t="s">
        <v>885</v>
      </c>
      <c r="F420" s="33" t="s">
        <v>886</v>
      </c>
      <c r="G420" s="33" t="s">
        <v>887</v>
      </c>
      <c r="H420" s="33" t="s">
        <v>544</v>
      </c>
      <c r="I420" s="33" t="s">
        <v>866</v>
      </c>
      <c r="J420" s="200" t="s">
        <v>1119</v>
      </c>
      <c r="K420" s="201">
        <v>152.0</v>
      </c>
      <c r="L420" s="33" t="s">
        <v>21</v>
      </c>
    </row>
    <row r="421" ht="15.75" customHeight="1">
      <c r="A421" s="33" t="s">
        <v>32</v>
      </c>
      <c r="B421" s="33" t="s">
        <v>140</v>
      </c>
      <c r="C421" s="33" t="s">
        <v>466</v>
      </c>
      <c r="D421" s="33" t="s">
        <v>6</v>
      </c>
      <c r="E421" s="33" t="s">
        <v>885</v>
      </c>
      <c r="F421" s="33" t="s">
        <v>886</v>
      </c>
      <c r="G421" s="33" t="s">
        <v>894</v>
      </c>
      <c r="H421" s="33" t="s">
        <v>544</v>
      </c>
      <c r="I421" s="33" t="s">
        <v>866</v>
      </c>
      <c r="J421" s="200" t="s">
        <v>1118</v>
      </c>
      <c r="K421" s="201">
        <v>157.0</v>
      </c>
      <c r="L421" s="33" t="s">
        <v>21</v>
      </c>
    </row>
    <row r="422" ht="15.75" customHeight="1">
      <c r="A422" s="33" t="s">
        <v>32</v>
      </c>
      <c r="B422" s="33" t="s">
        <v>140</v>
      </c>
      <c r="C422" s="33" t="s">
        <v>466</v>
      </c>
      <c r="D422" s="33" t="s">
        <v>6</v>
      </c>
      <c r="E422" s="33" t="s">
        <v>885</v>
      </c>
      <c r="F422" s="33" t="s">
        <v>886</v>
      </c>
      <c r="G422" s="33" t="s">
        <v>894</v>
      </c>
      <c r="H422" s="33" t="s">
        <v>544</v>
      </c>
      <c r="I422" s="33" t="s">
        <v>866</v>
      </c>
      <c r="J422" s="200" t="s">
        <v>1119</v>
      </c>
      <c r="K422" s="201">
        <v>144.0</v>
      </c>
      <c r="L422" s="33" t="s">
        <v>21</v>
      </c>
    </row>
    <row r="423" ht="15.75" customHeight="1">
      <c r="A423" s="33" t="s">
        <v>32</v>
      </c>
      <c r="B423" s="33" t="s">
        <v>140</v>
      </c>
      <c r="C423" s="33" t="s">
        <v>784</v>
      </c>
      <c r="D423" s="33" t="s">
        <v>6</v>
      </c>
      <c r="E423" s="33" t="s">
        <v>885</v>
      </c>
      <c r="F423" s="33" t="s">
        <v>886</v>
      </c>
      <c r="G423" s="33" t="s">
        <v>894</v>
      </c>
      <c r="H423" s="33" t="s">
        <v>544</v>
      </c>
      <c r="I423" s="33" t="s">
        <v>1120</v>
      </c>
      <c r="J423" s="200" t="s">
        <v>1121</v>
      </c>
      <c r="K423" s="201">
        <v>56.0</v>
      </c>
      <c r="L423" s="33" t="s">
        <v>21</v>
      </c>
    </row>
    <row r="424" ht="15.75" customHeight="1">
      <c r="A424" s="33" t="s">
        <v>32</v>
      </c>
      <c r="B424" s="33" t="s">
        <v>140</v>
      </c>
      <c r="C424" s="33" t="s">
        <v>784</v>
      </c>
      <c r="D424" s="33" t="s">
        <v>6</v>
      </c>
      <c r="E424" s="33" t="s">
        <v>885</v>
      </c>
      <c r="F424" s="33" t="s">
        <v>886</v>
      </c>
      <c r="G424" s="33" t="s">
        <v>894</v>
      </c>
      <c r="H424" s="33" t="s">
        <v>544</v>
      </c>
      <c r="I424" s="33" t="s">
        <v>1120</v>
      </c>
      <c r="J424" s="200" t="s">
        <v>1121</v>
      </c>
      <c r="K424" s="201">
        <v>56.0</v>
      </c>
      <c r="L424" s="33" t="s">
        <v>21</v>
      </c>
    </row>
    <row r="425" ht="15.75" customHeight="1">
      <c r="A425" s="33" t="s">
        <v>32</v>
      </c>
      <c r="B425" s="33" t="s">
        <v>138</v>
      </c>
      <c r="C425" s="33" t="s">
        <v>582</v>
      </c>
      <c r="D425" s="33" t="s">
        <v>6</v>
      </c>
      <c r="E425" s="33" t="s">
        <v>982</v>
      </c>
      <c r="F425" s="33" t="s">
        <v>556</v>
      </c>
      <c r="G425" s="33" t="s">
        <v>824</v>
      </c>
      <c r="H425" s="33" t="s">
        <v>544</v>
      </c>
      <c r="I425" s="33" t="s">
        <v>1122</v>
      </c>
      <c r="J425" s="200" t="s">
        <v>1123</v>
      </c>
      <c r="K425" s="201">
        <v>100.0</v>
      </c>
      <c r="L425" s="33" t="s">
        <v>21</v>
      </c>
    </row>
    <row r="426" ht="15.75" customHeight="1">
      <c r="A426" s="33" t="s">
        <v>32</v>
      </c>
      <c r="B426" s="33" t="s">
        <v>138</v>
      </c>
      <c r="C426" s="33" t="s">
        <v>582</v>
      </c>
      <c r="D426" s="33" t="s">
        <v>6</v>
      </c>
      <c r="E426" s="33" t="s">
        <v>982</v>
      </c>
      <c r="F426" s="33" t="s">
        <v>556</v>
      </c>
      <c r="G426" s="33" t="s">
        <v>824</v>
      </c>
      <c r="H426" s="33" t="s">
        <v>544</v>
      </c>
      <c r="I426" s="33" t="s">
        <v>1124</v>
      </c>
      <c r="J426" s="200" t="s">
        <v>1125</v>
      </c>
      <c r="K426" s="201">
        <v>11576.0</v>
      </c>
      <c r="L426" s="33" t="s">
        <v>21</v>
      </c>
    </row>
    <row r="427" ht="15.75" customHeight="1">
      <c r="A427" s="33" t="s">
        <v>32</v>
      </c>
      <c r="B427" s="33" t="s">
        <v>138</v>
      </c>
      <c r="C427" s="33" t="s">
        <v>582</v>
      </c>
      <c r="D427" s="33" t="s">
        <v>6</v>
      </c>
      <c r="E427" s="33" t="s">
        <v>982</v>
      </c>
      <c r="F427" s="33" t="s">
        <v>556</v>
      </c>
      <c r="G427" s="33" t="s">
        <v>824</v>
      </c>
      <c r="H427" s="33" t="s">
        <v>544</v>
      </c>
      <c r="I427" s="33" t="s">
        <v>1124</v>
      </c>
      <c r="J427" s="200" t="s">
        <v>1126</v>
      </c>
      <c r="K427" s="201">
        <v>1994.0</v>
      </c>
      <c r="L427" s="33" t="s">
        <v>21</v>
      </c>
    </row>
    <row r="428" ht="15.75" customHeight="1">
      <c r="A428" s="33" t="s">
        <v>32</v>
      </c>
      <c r="B428" s="33" t="s">
        <v>138</v>
      </c>
      <c r="C428" s="33" t="s">
        <v>637</v>
      </c>
      <c r="D428" s="33" t="s">
        <v>6</v>
      </c>
      <c r="E428" s="33" t="s">
        <v>1127</v>
      </c>
      <c r="F428" s="33" t="s">
        <v>828</v>
      </c>
      <c r="G428" s="33" t="s">
        <v>1128</v>
      </c>
      <c r="H428" s="33" t="s">
        <v>613</v>
      </c>
      <c r="I428" s="33" t="s">
        <v>840</v>
      </c>
      <c r="J428" s="200" t="s">
        <v>1129</v>
      </c>
      <c r="K428" s="201">
        <v>3800.0</v>
      </c>
      <c r="L428" s="205" t="s">
        <v>148</v>
      </c>
    </row>
    <row r="429" ht="15.75" customHeight="1">
      <c r="A429" s="33" t="s">
        <v>32</v>
      </c>
      <c r="B429" s="33" t="s">
        <v>138</v>
      </c>
      <c r="C429" s="33" t="s">
        <v>582</v>
      </c>
      <c r="D429" s="33" t="s">
        <v>6</v>
      </c>
      <c r="E429" s="33" t="s">
        <v>993</v>
      </c>
      <c r="F429" s="33" t="s">
        <v>994</v>
      </c>
      <c r="G429" s="33" t="s">
        <v>995</v>
      </c>
      <c r="H429" s="33" t="s">
        <v>613</v>
      </c>
      <c r="I429" s="33" t="s">
        <v>1130</v>
      </c>
      <c r="J429" s="200" t="s">
        <v>1131</v>
      </c>
      <c r="K429" s="201">
        <v>5410.0</v>
      </c>
      <c r="L429" s="33" t="s">
        <v>21</v>
      </c>
    </row>
    <row r="430" ht="15.75" customHeight="1">
      <c r="A430" s="33" t="s">
        <v>32</v>
      </c>
      <c r="B430" s="33" t="s">
        <v>138</v>
      </c>
      <c r="C430" s="33" t="s">
        <v>582</v>
      </c>
      <c r="D430" s="33" t="s">
        <v>6</v>
      </c>
      <c r="E430" s="33" t="s">
        <v>1113</v>
      </c>
      <c r="F430" s="33" t="s">
        <v>886</v>
      </c>
      <c r="G430" s="33" t="s">
        <v>995</v>
      </c>
      <c r="H430" s="33" t="s">
        <v>1114</v>
      </c>
      <c r="I430" s="33" t="s">
        <v>1117</v>
      </c>
      <c r="J430" s="200" t="s">
        <v>1132</v>
      </c>
      <c r="K430" s="201">
        <v>110000.0</v>
      </c>
      <c r="L430" s="33" t="s">
        <v>21</v>
      </c>
    </row>
    <row r="431" ht="15.75" customHeight="1">
      <c r="A431" s="33" t="s">
        <v>32</v>
      </c>
      <c r="B431" s="33" t="s">
        <v>138</v>
      </c>
      <c r="C431" s="33" t="s">
        <v>582</v>
      </c>
      <c r="D431" s="33" t="s">
        <v>6</v>
      </c>
      <c r="E431" s="33" t="s">
        <v>1113</v>
      </c>
      <c r="F431" s="33" t="s">
        <v>886</v>
      </c>
      <c r="G431" s="33" t="s">
        <v>995</v>
      </c>
      <c r="H431" s="33" t="s">
        <v>1114</v>
      </c>
      <c r="I431" s="33" t="s">
        <v>1115</v>
      </c>
      <c r="J431" s="200" t="s">
        <v>1133</v>
      </c>
      <c r="K431" s="201">
        <v>2550.0</v>
      </c>
      <c r="L431" s="33" t="s">
        <v>21</v>
      </c>
    </row>
    <row r="432" ht="15.75" customHeight="1">
      <c r="A432" s="33" t="s">
        <v>32</v>
      </c>
      <c r="B432" s="33" t="s">
        <v>138</v>
      </c>
      <c r="C432" s="33" t="s">
        <v>582</v>
      </c>
      <c r="D432" s="33" t="s">
        <v>6</v>
      </c>
      <c r="E432" s="33" t="s">
        <v>1003</v>
      </c>
      <c r="F432" s="33" t="s">
        <v>886</v>
      </c>
      <c r="G432" s="33" t="s">
        <v>1004</v>
      </c>
      <c r="H432" s="33" t="s">
        <v>1005</v>
      </c>
      <c r="I432" s="33" t="s">
        <v>1130</v>
      </c>
      <c r="J432" s="200" t="s">
        <v>1134</v>
      </c>
      <c r="K432" s="201">
        <v>32400.0</v>
      </c>
      <c r="L432" s="33" t="s">
        <v>21</v>
      </c>
    </row>
    <row r="433" ht="15.75" customHeight="1">
      <c r="A433" s="6" t="s">
        <v>19</v>
      </c>
      <c r="B433" s="6" t="s">
        <v>35</v>
      </c>
      <c r="C433" s="6" t="s">
        <v>427</v>
      </c>
      <c r="D433" s="6" t="s">
        <v>7</v>
      </c>
      <c r="E433" s="6" t="s">
        <v>1135</v>
      </c>
      <c r="F433" s="6" t="s">
        <v>1136</v>
      </c>
      <c r="G433" s="6" t="s">
        <v>1137</v>
      </c>
      <c r="H433" s="6" t="s">
        <v>613</v>
      </c>
      <c r="I433" s="6" t="s">
        <v>1138</v>
      </c>
      <c r="J433" s="185" t="s">
        <v>1139</v>
      </c>
      <c r="K433" s="186">
        <v>2888.0</v>
      </c>
      <c r="L433" s="6" t="s">
        <v>21</v>
      </c>
    </row>
    <row r="434" ht="15.75" customHeight="1">
      <c r="A434" s="6" t="s">
        <v>19</v>
      </c>
      <c r="B434" s="6" t="s">
        <v>35</v>
      </c>
      <c r="C434" s="6" t="s">
        <v>437</v>
      </c>
      <c r="D434" s="6" t="s">
        <v>7</v>
      </c>
      <c r="E434" s="6" t="s">
        <v>1140</v>
      </c>
      <c r="F434" s="6" t="s">
        <v>1141</v>
      </c>
      <c r="G434" s="6" t="s">
        <v>1142</v>
      </c>
      <c r="H434" s="6" t="s">
        <v>451</v>
      </c>
      <c r="I434" s="6" t="s">
        <v>1143</v>
      </c>
      <c r="J434" s="185" t="s">
        <v>1144</v>
      </c>
      <c r="K434" s="186">
        <v>150.0</v>
      </c>
      <c r="L434" s="6" t="s">
        <v>21</v>
      </c>
    </row>
    <row r="435" ht="15.75" customHeight="1">
      <c r="A435" s="6" t="s">
        <v>19</v>
      </c>
      <c r="B435" s="6" t="s">
        <v>35</v>
      </c>
      <c r="C435" s="6" t="s">
        <v>448</v>
      </c>
      <c r="D435" s="6" t="s">
        <v>7</v>
      </c>
      <c r="E435" s="6" t="s">
        <v>1140</v>
      </c>
      <c r="F435" s="6" t="s">
        <v>1141</v>
      </c>
      <c r="G435" s="6" t="s">
        <v>1145</v>
      </c>
      <c r="H435" s="6" t="s">
        <v>451</v>
      </c>
      <c r="I435" s="6" t="s">
        <v>825</v>
      </c>
      <c r="J435" s="185" t="s">
        <v>826</v>
      </c>
      <c r="K435" s="186">
        <v>179.0</v>
      </c>
      <c r="L435" s="6" t="s">
        <v>21</v>
      </c>
    </row>
    <row r="436" ht="15.75" customHeight="1">
      <c r="A436" s="6" t="s">
        <v>19</v>
      </c>
      <c r="B436" s="6" t="s">
        <v>35</v>
      </c>
      <c r="C436" s="6" t="s">
        <v>448</v>
      </c>
      <c r="D436" s="6" t="s">
        <v>7</v>
      </c>
      <c r="E436" s="6" t="s">
        <v>1140</v>
      </c>
      <c r="F436" s="6" t="s">
        <v>1141</v>
      </c>
      <c r="G436" s="6" t="s">
        <v>1145</v>
      </c>
      <c r="H436" s="6" t="s">
        <v>451</v>
      </c>
      <c r="I436" s="6" t="s">
        <v>825</v>
      </c>
      <c r="J436" s="185" t="s">
        <v>826</v>
      </c>
      <c r="K436" s="186">
        <v>720.0</v>
      </c>
      <c r="L436" s="6" t="s">
        <v>21</v>
      </c>
    </row>
    <row r="437" ht="15.75" customHeight="1">
      <c r="A437" s="6" t="s">
        <v>19</v>
      </c>
      <c r="B437" s="6" t="s">
        <v>35</v>
      </c>
      <c r="C437" s="6" t="s">
        <v>459</v>
      </c>
      <c r="D437" s="6" t="s">
        <v>7</v>
      </c>
      <c r="E437" s="6" t="s">
        <v>1140</v>
      </c>
      <c r="F437" s="6" t="s">
        <v>1141</v>
      </c>
      <c r="G437" s="6" t="s">
        <v>1141</v>
      </c>
      <c r="H437" s="6" t="s">
        <v>451</v>
      </c>
      <c r="I437" s="6" t="s">
        <v>461</v>
      </c>
      <c r="J437" s="185" t="s">
        <v>462</v>
      </c>
      <c r="K437" s="186">
        <v>2198.0</v>
      </c>
      <c r="L437" s="6" t="s">
        <v>21</v>
      </c>
    </row>
    <row r="438" ht="15.75" customHeight="1">
      <c r="A438" s="6" t="s">
        <v>19</v>
      </c>
      <c r="B438" s="6" t="s">
        <v>35</v>
      </c>
      <c r="C438" s="6" t="s">
        <v>637</v>
      </c>
      <c r="D438" s="6" t="s">
        <v>7</v>
      </c>
      <c r="E438" s="6" t="s">
        <v>1146</v>
      </c>
      <c r="F438" s="6" t="s">
        <v>1141</v>
      </c>
      <c r="G438" s="6" t="s">
        <v>1147</v>
      </c>
      <c r="H438" s="6" t="s">
        <v>840</v>
      </c>
      <c r="I438" s="6" t="s">
        <v>840</v>
      </c>
      <c r="J438" s="185" t="s">
        <v>1148</v>
      </c>
      <c r="K438" s="186">
        <v>19000.0</v>
      </c>
      <c r="L438" s="202" t="s">
        <v>148</v>
      </c>
    </row>
    <row r="439" ht="15.75" customHeight="1">
      <c r="A439" s="6" t="s">
        <v>19</v>
      </c>
      <c r="B439" s="6" t="s">
        <v>35</v>
      </c>
      <c r="C439" s="6" t="s">
        <v>459</v>
      </c>
      <c r="D439" s="6" t="s">
        <v>7</v>
      </c>
      <c r="E439" s="6" t="s">
        <v>1149</v>
      </c>
      <c r="F439" s="6" t="s">
        <v>1150</v>
      </c>
      <c r="G439" s="6" t="s">
        <v>1151</v>
      </c>
      <c r="H439" s="6" t="s">
        <v>451</v>
      </c>
      <c r="I439" s="6" t="s">
        <v>1152</v>
      </c>
      <c r="J439" s="185" t="s">
        <v>485</v>
      </c>
      <c r="K439" s="186">
        <v>299.0</v>
      </c>
      <c r="L439" s="6" t="s">
        <v>21</v>
      </c>
    </row>
    <row r="440" ht="15.75" customHeight="1">
      <c r="A440" s="6" t="s">
        <v>19</v>
      </c>
      <c r="B440" s="6" t="s">
        <v>35</v>
      </c>
      <c r="C440" s="6" t="s">
        <v>444</v>
      </c>
      <c r="D440" s="6" t="s">
        <v>7</v>
      </c>
      <c r="E440" s="6" t="s">
        <v>1149</v>
      </c>
      <c r="F440" s="6" t="s">
        <v>1150</v>
      </c>
      <c r="G440" s="6" t="s">
        <v>1153</v>
      </c>
      <c r="H440" s="6" t="s">
        <v>451</v>
      </c>
      <c r="I440" s="6" t="s">
        <v>1154</v>
      </c>
      <c r="J440" s="185" t="s">
        <v>1155</v>
      </c>
      <c r="K440" s="186">
        <v>70.0</v>
      </c>
      <c r="L440" s="6" t="s">
        <v>21</v>
      </c>
    </row>
    <row r="441" ht="15.75" customHeight="1">
      <c r="A441" s="6" t="s">
        <v>19</v>
      </c>
      <c r="B441" s="6" t="s">
        <v>35</v>
      </c>
      <c r="C441" s="6" t="s">
        <v>444</v>
      </c>
      <c r="D441" s="6" t="s">
        <v>7</v>
      </c>
      <c r="E441" s="6" t="s">
        <v>1149</v>
      </c>
      <c r="F441" s="6" t="s">
        <v>1150</v>
      </c>
      <c r="G441" s="6" t="s">
        <v>1153</v>
      </c>
      <c r="H441" s="6" t="s">
        <v>451</v>
      </c>
      <c r="I441" s="6" t="s">
        <v>1154</v>
      </c>
      <c r="J441" s="185" t="s">
        <v>1156</v>
      </c>
      <c r="K441" s="186">
        <v>140.0</v>
      </c>
      <c r="L441" s="6" t="s">
        <v>21</v>
      </c>
    </row>
    <row r="442" ht="15.75" customHeight="1">
      <c r="A442" s="6" t="s">
        <v>19</v>
      </c>
      <c r="B442" s="6" t="s">
        <v>35</v>
      </c>
      <c r="C442" s="6" t="s">
        <v>448</v>
      </c>
      <c r="D442" s="6" t="s">
        <v>7</v>
      </c>
      <c r="E442" s="6" t="s">
        <v>1149</v>
      </c>
      <c r="F442" s="6" t="s">
        <v>1150</v>
      </c>
      <c r="G442" s="6" t="s">
        <v>1153</v>
      </c>
      <c r="H442" s="6" t="s">
        <v>451</v>
      </c>
      <c r="I442" s="6" t="s">
        <v>1157</v>
      </c>
      <c r="J442" s="185" t="s">
        <v>453</v>
      </c>
      <c r="K442" s="186">
        <v>225.0</v>
      </c>
      <c r="L442" s="6" t="s">
        <v>21</v>
      </c>
    </row>
    <row r="443" ht="15.75" customHeight="1">
      <c r="A443" s="6" t="s">
        <v>19</v>
      </c>
      <c r="B443" s="6" t="s">
        <v>35</v>
      </c>
      <c r="C443" s="6" t="s">
        <v>459</v>
      </c>
      <c r="D443" s="6" t="s">
        <v>7</v>
      </c>
      <c r="E443" s="6" t="s">
        <v>1149</v>
      </c>
      <c r="F443" s="6" t="s">
        <v>1150</v>
      </c>
      <c r="G443" s="6" t="s">
        <v>1158</v>
      </c>
      <c r="H443" s="6" t="s">
        <v>451</v>
      </c>
      <c r="I443" s="6" t="s">
        <v>1152</v>
      </c>
      <c r="J443" s="185" t="s">
        <v>465</v>
      </c>
      <c r="K443" s="186">
        <v>299.0</v>
      </c>
      <c r="L443" s="6" t="s">
        <v>21</v>
      </c>
    </row>
    <row r="444" ht="15.75" customHeight="1">
      <c r="A444" s="6" t="s">
        <v>19</v>
      </c>
      <c r="B444" s="6" t="s">
        <v>35</v>
      </c>
      <c r="C444" s="6" t="s">
        <v>459</v>
      </c>
      <c r="D444" s="6" t="s">
        <v>7</v>
      </c>
      <c r="E444" s="6" t="s">
        <v>1149</v>
      </c>
      <c r="F444" s="6" t="s">
        <v>1150</v>
      </c>
      <c r="G444" s="6" t="s">
        <v>1159</v>
      </c>
      <c r="H444" s="6" t="s">
        <v>451</v>
      </c>
      <c r="I444" s="6" t="s">
        <v>1152</v>
      </c>
      <c r="J444" s="185" t="s">
        <v>486</v>
      </c>
      <c r="K444" s="186">
        <v>299.0</v>
      </c>
      <c r="L444" s="6" t="s">
        <v>21</v>
      </c>
    </row>
    <row r="445" ht="15.75" customHeight="1">
      <c r="A445" s="6" t="s">
        <v>19</v>
      </c>
      <c r="B445" s="6" t="s">
        <v>35</v>
      </c>
      <c r="C445" s="6" t="s">
        <v>437</v>
      </c>
      <c r="D445" s="6" t="s">
        <v>7</v>
      </c>
      <c r="E445" s="6" t="s">
        <v>1149</v>
      </c>
      <c r="F445" s="6" t="s">
        <v>1150</v>
      </c>
      <c r="G445" s="6" t="s">
        <v>1160</v>
      </c>
      <c r="H445" s="6" t="s">
        <v>451</v>
      </c>
      <c r="I445" s="6" t="s">
        <v>1161</v>
      </c>
      <c r="J445" s="185" t="s">
        <v>1162</v>
      </c>
      <c r="K445" s="186">
        <v>150.0</v>
      </c>
      <c r="L445" s="6" t="s">
        <v>21</v>
      </c>
    </row>
    <row r="446" ht="15.75" customHeight="1">
      <c r="A446" s="6" t="s">
        <v>19</v>
      </c>
      <c r="B446" s="6" t="s">
        <v>35</v>
      </c>
      <c r="C446" s="6" t="s">
        <v>444</v>
      </c>
      <c r="D446" s="6" t="s">
        <v>7</v>
      </c>
      <c r="E446" s="6" t="s">
        <v>1149</v>
      </c>
      <c r="F446" s="6" t="s">
        <v>1150</v>
      </c>
      <c r="G446" s="6" t="s">
        <v>1163</v>
      </c>
      <c r="H446" s="6" t="s">
        <v>451</v>
      </c>
      <c r="I446" s="6" t="s">
        <v>1154</v>
      </c>
      <c r="J446" s="185" t="s">
        <v>1164</v>
      </c>
      <c r="K446" s="186">
        <v>130.0</v>
      </c>
      <c r="L446" s="6" t="s">
        <v>21</v>
      </c>
    </row>
    <row r="447" ht="15.75" customHeight="1">
      <c r="A447" s="6" t="s">
        <v>19</v>
      </c>
      <c r="B447" s="6" t="s">
        <v>35</v>
      </c>
      <c r="C447" s="6" t="s">
        <v>444</v>
      </c>
      <c r="D447" s="6" t="s">
        <v>7</v>
      </c>
      <c r="E447" s="6" t="s">
        <v>1149</v>
      </c>
      <c r="F447" s="6" t="s">
        <v>1150</v>
      </c>
      <c r="G447" s="6" t="s">
        <v>1163</v>
      </c>
      <c r="H447" s="6" t="s">
        <v>451</v>
      </c>
      <c r="I447" s="6" t="s">
        <v>1154</v>
      </c>
      <c r="J447" s="185" t="s">
        <v>1156</v>
      </c>
      <c r="K447" s="186">
        <v>300.0</v>
      </c>
      <c r="L447" s="6" t="s">
        <v>21</v>
      </c>
    </row>
    <row r="448" ht="15.75" customHeight="1">
      <c r="A448" s="6" t="s">
        <v>19</v>
      </c>
      <c r="B448" s="6" t="s">
        <v>35</v>
      </c>
      <c r="C448" s="6" t="s">
        <v>459</v>
      </c>
      <c r="D448" s="6" t="s">
        <v>7</v>
      </c>
      <c r="E448" s="6" t="s">
        <v>1149</v>
      </c>
      <c r="F448" s="6" t="s">
        <v>1150</v>
      </c>
      <c r="G448" s="6" t="s">
        <v>1165</v>
      </c>
      <c r="H448" s="6" t="s">
        <v>451</v>
      </c>
      <c r="I448" s="6" t="s">
        <v>1152</v>
      </c>
      <c r="J448" s="185" t="s">
        <v>484</v>
      </c>
      <c r="K448" s="186">
        <v>299.0</v>
      </c>
      <c r="L448" s="6" t="s">
        <v>21</v>
      </c>
    </row>
    <row r="449" ht="15.75" customHeight="1">
      <c r="A449" s="6" t="s">
        <v>19</v>
      </c>
      <c r="B449" s="6" t="s">
        <v>35</v>
      </c>
      <c r="C449" s="6" t="s">
        <v>433</v>
      </c>
      <c r="D449" s="6" t="s">
        <v>7</v>
      </c>
      <c r="E449" s="6" t="s">
        <v>1166</v>
      </c>
      <c r="F449" s="6" t="s">
        <v>1167</v>
      </c>
      <c r="G449" s="6" t="s">
        <v>1165</v>
      </c>
      <c r="H449" s="6" t="s">
        <v>513</v>
      </c>
      <c r="I449" s="6" t="s">
        <v>475</v>
      </c>
      <c r="J449" s="185" t="s">
        <v>1168</v>
      </c>
      <c r="K449" s="186">
        <v>1775.0</v>
      </c>
      <c r="L449" s="6" t="s">
        <v>21</v>
      </c>
    </row>
    <row r="450" ht="15.75" customHeight="1">
      <c r="A450" s="12" t="s">
        <v>23</v>
      </c>
      <c r="B450" s="12" t="s">
        <v>57</v>
      </c>
      <c r="C450" s="12" t="s">
        <v>517</v>
      </c>
      <c r="D450" s="12" t="s">
        <v>7</v>
      </c>
      <c r="E450" s="12" t="s">
        <v>1169</v>
      </c>
      <c r="F450" s="12" t="s">
        <v>1170</v>
      </c>
      <c r="G450" s="12" t="s">
        <v>1160</v>
      </c>
      <c r="H450" s="12" t="s">
        <v>617</v>
      </c>
      <c r="I450" s="12" t="s">
        <v>1171</v>
      </c>
      <c r="J450" s="187" t="s">
        <v>1172</v>
      </c>
      <c r="K450" s="188">
        <v>70.0</v>
      </c>
      <c r="L450" s="62" t="s">
        <v>148</v>
      </c>
    </row>
    <row r="451" ht="15.75" customHeight="1">
      <c r="A451" s="12" t="s">
        <v>23</v>
      </c>
      <c r="B451" s="12" t="s">
        <v>57</v>
      </c>
      <c r="C451" s="12" t="s">
        <v>517</v>
      </c>
      <c r="D451" s="12" t="s">
        <v>7</v>
      </c>
      <c r="E451" s="12" t="s">
        <v>1173</v>
      </c>
      <c r="F451" s="12" t="s">
        <v>1170</v>
      </c>
      <c r="G451" s="12" t="s">
        <v>1160</v>
      </c>
      <c r="H451" s="12" t="s">
        <v>683</v>
      </c>
      <c r="I451" s="12" t="s">
        <v>1171</v>
      </c>
      <c r="J451" s="187" t="s">
        <v>1172</v>
      </c>
      <c r="K451" s="188">
        <v>70.0</v>
      </c>
      <c r="L451" s="62" t="s">
        <v>148</v>
      </c>
    </row>
    <row r="452" ht="15.75" customHeight="1">
      <c r="A452" s="12" t="s">
        <v>23</v>
      </c>
      <c r="B452" s="12" t="s">
        <v>64</v>
      </c>
      <c r="C452" s="12" t="s">
        <v>437</v>
      </c>
      <c r="D452" s="12" t="s">
        <v>7</v>
      </c>
      <c r="E452" s="12" t="s">
        <v>1174</v>
      </c>
      <c r="F452" s="12" t="s">
        <v>1136</v>
      </c>
      <c r="G452" s="12" t="s">
        <v>979</v>
      </c>
      <c r="H452" s="12" t="s">
        <v>533</v>
      </c>
      <c r="I452" s="12" t="s">
        <v>492</v>
      </c>
      <c r="J452" s="187" t="s">
        <v>1175</v>
      </c>
      <c r="K452" s="188">
        <v>102.0</v>
      </c>
      <c r="L452" s="12" t="s">
        <v>21</v>
      </c>
    </row>
    <row r="453" ht="15.75" customHeight="1">
      <c r="A453" s="12" t="s">
        <v>23</v>
      </c>
      <c r="B453" s="12" t="s">
        <v>64</v>
      </c>
      <c r="C453" s="12" t="s">
        <v>466</v>
      </c>
      <c r="D453" s="12" t="s">
        <v>7</v>
      </c>
      <c r="E453" s="12" t="s">
        <v>1174</v>
      </c>
      <c r="F453" s="12" t="s">
        <v>1136</v>
      </c>
      <c r="G453" s="12" t="s">
        <v>979</v>
      </c>
      <c r="H453" s="12" t="s">
        <v>533</v>
      </c>
      <c r="I453" s="12" t="s">
        <v>1176</v>
      </c>
      <c r="J453" s="187" t="s">
        <v>1177</v>
      </c>
      <c r="K453" s="188">
        <v>80.0</v>
      </c>
      <c r="L453" s="12" t="s">
        <v>21</v>
      </c>
    </row>
    <row r="454" ht="15.75" customHeight="1">
      <c r="A454" s="12" t="s">
        <v>23</v>
      </c>
      <c r="B454" s="12" t="s">
        <v>64</v>
      </c>
      <c r="C454" s="12" t="s">
        <v>466</v>
      </c>
      <c r="D454" s="12" t="s">
        <v>7</v>
      </c>
      <c r="E454" s="12" t="s">
        <v>1174</v>
      </c>
      <c r="F454" s="12" t="s">
        <v>1136</v>
      </c>
      <c r="G454" s="12" t="s">
        <v>979</v>
      </c>
      <c r="H454" s="12" t="s">
        <v>533</v>
      </c>
      <c r="I454" s="12" t="s">
        <v>1176</v>
      </c>
      <c r="J454" s="187" t="s">
        <v>1178</v>
      </c>
      <c r="K454" s="188">
        <v>83.0</v>
      </c>
      <c r="L454" s="12" t="s">
        <v>21</v>
      </c>
    </row>
    <row r="455" ht="15.75" customHeight="1">
      <c r="A455" s="12" t="s">
        <v>23</v>
      </c>
      <c r="B455" s="12" t="s">
        <v>64</v>
      </c>
      <c r="C455" s="12" t="s">
        <v>466</v>
      </c>
      <c r="D455" s="12" t="s">
        <v>7</v>
      </c>
      <c r="E455" s="12" t="s">
        <v>1174</v>
      </c>
      <c r="F455" s="12" t="s">
        <v>1136</v>
      </c>
      <c r="G455" s="12" t="s">
        <v>979</v>
      </c>
      <c r="H455" s="12" t="s">
        <v>533</v>
      </c>
      <c r="I455" s="12" t="s">
        <v>492</v>
      </c>
      <c r="J455" s="187" t="s">
        <v>1179</v>
      </c>
      <c r="K455" s="188">
        <v>102.0</v>
      </c>
      <c r="L455" s="12" t="s">
        <v>21</v>
      </c>
    </row>
    <row r="456" ht="15.75" customHeight="1">
      <c r="A456" s="12" t="s">
        <v>23</v>
      </c>
      <c r="B456" s="12" t="s">
        <v>64</v>
      </c>
      <c r="C456" s="12" t="s">
        <v>582</v>
      </c>
      <c r="D456" s="12" t="s">
        <v>7</v>
      </c>
      <c r="E456" s="12" t="s">
        <v>1180</v>
      </c>
      <c r="F456" s="12" t="s">
        <v>1181</v>
      </c>
      <c r="G456" s="12"/>
      <c r="H456" s="12" t="s">
        <v>613</v>
      </c>
      <c r="I456" s="12" t="s">
        <v>1182</v>
      </c>
      <c r="J456" s="187" t="s">
        <v>1183</v>
      </c>
      <c r="K456" s="188">
        <v>16649.0</v>
      </c>
      <c r="L456" s="12" t="s">
        <v>21</v>
      </c>
    </row>
    <row r="457" ht="15.75" customHeight="1">
      <c r="A457" s="12" t="s">
        <v>23</v>
      </c>
      <c r="B457" s="12" t="s">
        <v>64</v>
      </c>
      <c r="C457" s="12" t="s">
        <v>582</v>
      </c>
      <c r="D457" s="12" t="s">
        <v>7</v>
      </c>
      <c r="E457" s="12" t="s">
        <v>1184</v>
      </c>
      <c r="F457" s="12" t="s">
        <v>1185</v>
      </c>
      <c r="G457" s="12" t="s">
        <v>1186</v>
      </c>
      <c r="H457" s="12" t="s">
        <v>544</v>
      </c>
      <c r="I457" s="12" t="s">
        <v>879</v>
      </c>
      <c r="J457" s="187" t="s">
        <v>1187</v>
      </c>
      <c r="K457" s="188">
        <v>1050.0</v>
      </c>
      <c r="L457" s="12" t="s">
        <v>21</v>
      </c>
    </row>
    <row r="458" ht="15.75" customHeight="1">
      <c r="A458" s="12" t="s">
        <v>23</v>
      </c>
      <c r="B458" s="12" t="s">
        <v>64</v>
      </c>
      <c r="C458" s="12" t="s">
        <v>466</v>
      </c>
      <c r="D458" s="12" t="s">
        <v>7</v>
      </c>
      <c r="E458" s="12" t="s">
        <v>1184</v>
      </c>
      <c r="F458" s="12" t="s">
        <v>1185</v>
      </c>
      <c r="G458" s="12" t="s">
        <v>1186</v>
      </c>
      <c r="H458" s="12" t="s">
        <v>544</v>
      </c>
      <c r="I458" s="12" t="s">
        <v>1176</v>
      </c>
      <c r="J458" s="187" t="s">
        <v>1188</v>
      </c>
      <c r="K458" s="188">
        <v>50.0</v>
      </c>
      <c r="L458" s="12" t="s">
        <v>21</v>
      </c>
    </row>
    <row r="459" ht="15.75" customHeight="1">
      <c r="A459" s="12" t="s">
        <v>23</v>
      </c>
      <c r="B459" s="12" t="s">
        <v>64</v>
      </c>
      <c r="C459" s="12" t="s">
        <v>466</v>
      </c>
      <c r="D459" s="12" t="s">
        <v>7</v>
      </c>
      <c r="E459" s="12" t="s">
        <v>1184</v>
      </c>
      <c r="F459" s="12" t="s">
        <v>1185</v>
      </c>
      <c r="G459" s="12" t="s">
        <v>1186</v>
      </c>
      <c r="H459" s="12" t="s">
        <v>544</v>
      </c>
      <c r="I459" s="12" t="s">
        <v>1176</v>
      </c>
      <c r="J459" s="187" t="s">
        <v>1189</v>
      </c>
      <c r="K459" s="188">
        <v>57.0</v>
      </c>
      <c r="L459" s="12" t="s">
        <v>21</v>
      </c>
    </row>
    <row r="460" ht="15.75" customHeight="1">
      <c r="A460" s="12" t="s">
        <v>23</v>
      </c>
      <c r="B460" s="12" t="s">
        <v>64</v>
      </c>
      <c r="C460" s="12" t="s">
        <v>466</v>
      </c>
      <c r="D460" s="12" t="s">
        <v>7</v>
      </c>
      <c r="E460" s="12" t="s">
        <v>1184</v>
      </c>
      <c r="F460" s="12" t="s">
        <v>1185</v>
      </c>
      <c r="G460" s="12" t="s">
        <v>1186</v>
      </c>
      <c r="H460" s="12" t="s">
        <v>544</v>
      </c>
      <c r="I460" s="12" t="s">
        <v>1176</v>
      </c>
      <c r="J460" s="187" t="s">
        <v>1190</v>
      </c>
      <c r="K460" s="188">
        <v>57.0</v>
      </c>
      <c r="L460" s="12" t="s">
        <v>21</v>
      </c>
    </row>
    <row r="461" ht="15.75" customHeight="1">
      <c r="A461" s="12" t="s">
        <v>23</v>
      </c>
      <c r="B461" s="12" t="s">
        <v>64</v>
      </c>
      <c r="C461" s="12" t="s">
        <v>437</v>
      </c>
      <c r="D461" s="12" t="s">
        <v>7</v>
      </c>
      <c r="E461" s="12" t="s">
        <v>1184</v>
      </c>
      <c r="F461" s="12" t="s">
        <v>1185</v>
      </c>
      <c r="G461" s="12" t="s">
        <v>1186</v>
      </c>
      <c r="H461" s="12" t="s">
        <v>544</v>
      </c>
      <c r="I461" s="12" t="s">
        <v>492</v>
      </c>
      <c r="J461" s="187" t="s">
        <v>1191</v>
      </c>
      <c r="K461" s="188">
        <v>102.0</v>
      </c>
      <c r="L461" s="12" t="s">
        <v>21</v>
      </c>
    </row>
    <row r="462" ht="15.75" customHeight="1">
      <c r="A462" s="12" t="s">
        <v>23</v>
      </c>
      <c r="B462" s="12" t="s">
        <v>64</v>
      </c>
      <c r="C462" s="12" t="s">
        <v>437</v>
      </c>
      <c r="D462" s="12" t="s">
        <v>7</v>
      </c>
      <c r="E462" s="12" t="s">
        <v>1184</v>
      </c>
      <c r="F462" s="12" t="s">
        <v>1185</v>
      </c>
      <c r="G462" s="12" t="s">
        <v>1186</v>
      </c>
      <c r="H462" s="12" t="s">
        <v>544</v>
      </c>
      <c r="I462" s="12" t="s">
        <v>492</v>
      </c>
      <c r="J462" s="187" t="s">
        <v>1192</v>
      </c>
      <c r="K462" s="188">
        <v>102.0</v>
      </c>
      <c r="L462" s="12" t="s">
        <v>21</v>
      </c>
    </row>
    <row r="463" ht="15.75" customHeight="1">
      <c r="A463" s="12" t="s">
        <v>23</v>
      </c>
      <c r="B463" s="12" t="s">
        <v>64</v>
      </c>
      <c r="C463" s="12" t="s">
        <v>466</v>
      </c>
      <c r="D463" s="12" t="s">
        <v>7</v>
      </c>
      <c r="E463" s="12" t="s">
        <v>1193</v>
      </c>
      <c r="F463" s="12" t="s">
        <v>1194</v>
      </c>
      <c r="G463" s="12" t="s">
        <v>1195</v>
      </c>
      <c r="H463" s="12" t="s">
        <v>871</v>
      </c>
      <c r="I463" s="12" t="s">
        <v>1196</v>
      </c>
      <c r="J463" s="187" t="s">
        <v>1197</v>
      </c>
      <c r="K463" s="188">
        <v>3150.0</v>
      </c>
      <c r="L463" s="12" t="s">
        <v>21</v>
      </c>
    </row>
    <row r="464" ht="15.75" customHeight="1">
      <c r="A464" s="12" t="s">
        <v>23</v>
      </c>
      <c r="B464" s="12" t="s">
        <v>64</v>
      </c>
      <c r="C464" s="12" t="s">
        <v>466</v>
      </c>
      <c r="D464" s="12" t="s">
        <v>7</v>
      </c>
      <c r="E464" s="12" t="s">
        <v>1169</v>
      </c>
      <c r="F464" s="12" t="s">
        <v>1170</v>
      </c>
      <c r="G464" s="12" t="s">
        <v>1163</v>
      </c>
      <c r="H464" s="12" t="s">
        <v>617</v>
      </c>
      <c r="I464" s="12" t="s">
        <v>1198</v>
      </c>
      <c r="J464" s="187" t="s">
        <v>1199</v>
      </c>
      <c r="K464" s="188">
        <v>1490.0</v>
      </c>
      <c r="L464" s="12" t="s">
        <v>21</v>
      </c>
    </row>
    <row r="465" ht="15.75" customHeight="1">
      <c r="A465" s="12" t="s">
        <v>23</v>
      </c>
      <c r="B465" s="12" t="s">
        <v>24</v>
      </c>
      <c r="C465" s="12" t="s">
        <v>437</v>
      </c>
      <c r="D465" s="12" t="s">
        <v>7</v>
      </c>
      <c r="E465" s="12" t="s">
        <v>1200</v>
      </c>
      <c r="F465" s="12" t="s">
        <v>1201</v>
      </c>
      <c r="G465" s="12" t="s">
        <v>1202</v>
      </c>
      <c r="H465" s="12" t="s">
        <v>551</v>
      </c>
      <c r="I465" s="12" t="s">
        <v>552</v>
      </c>
      <c r="J465" s="187" t="s">
        <v>1203</v>
      </c>
      <c r="K465" s="188">
        <v>13973.0</v>
      </c>
      <c r="L465" s="12" t="s">
        <v>21</v>
      </c>
    </row>
    <row r="466" ht="15.75" customHeight="1">
      <c r="A466" s="12" t="s">
        <v>23</v>
      </c>
      <c r="B466" s="12" t="s">
        <v>24</v>
      </c>
      <c r="C466" s="12" t="s">
        <v>466</v>
      </c>
      <c r="D466" s="12" t="s">
        <v>7</v>
      </c>
      <c r="E466" s="12" t="s">
        <v>1174</v>
      </c>
      <c r="F466" s="12" t="s">
        <v>1136</v>
      </c>
      <c r="G466" s="12" t="s">
        <v>979</v>
      </c>
      <c r="H466" s="12" t="s">
        <v>533</v>
      </c>
      <c r="I466" s="12" t="s">
        <v>1176</v>
      </c>
      <c r="J466" s="187" t="s">
        <v>1204</v>
      </c>
      <c r="K466" s="188">
        <v>148.0</v>
      </c>
      <c r="L466" s="12" t="s">
        <v>21</v>
      </c>
    </row>
    <row r="467" ht="15.75" customHeight="1">
      <c r="A467" s="12" t="s">
        <v>23</v>
      </c>
      <c r="B467" s="12" t="s">
        <v>24</v>
      </c>
      <c r="C467" s="12" t="s">
        <v>466</v>
      </c>
      <c r="D467" s="12" t="s">
        <v>7</v>
      </c>
      <c r="E467" s="12" t="s">
        <v>1174</v>
      </c>
      <c r="F467" s="12" t="s">
        <v>1136</v>
      </c>
      <c r="G467" s="12" t="s">
        <v>979</v>
      </c>
      <c r="H467" s="12" t="s">
        <v>533</v>
      </c>
      <c r="I467" s="12" t="s">
        <v>1176</v>
      </c>
      <c r="J467" s="187" t="s">
        <v>1205</v>
      </c>
      <c r="K467" s="188">
        <v>613.0</v>
      </c>
      <c r="L467" s="12" t="s">
        <v>21</v>
      </c>
    </row>
    <row r="468" ht="15.75" customHeight="1">
      <c r="A468" s="12" t="s">
        <v>23</v>
      </c>
      <c r="B468" s="12" t="s">
        <v>24</v>
      </c>
      <c r="C468" s="12" t="s">
        <v>466</v>
      </c>
      <c r="D468" s="12" t="s">
        <v>7</v>
      </c>
      <c r="E468" s="12" t="s">
        <v>1174</v>
      </c>
      <c r="F468" s="12" t="s">
        <v>1136</v>
      </c>
      <c r="G468" s="12" t="s">
        <v>979</v>
      </c>
      <c r="H468" s="12" t="s">
        <v>533</v>
      </c>
      <c r="I468" s="12" t="s">
        <v>1176</v>
      </c>
      <c r="J468" s="187" t="s">
        <v>1206</v>
      </c>
      <c r="K468" s="188">
        <v>609.0</v>
      </c>
      <c r="L468" s="12" t="s">
        <v>21</v>
      </c>
    </row>
    <row r="469" ht="15.75" customHeight="1">
      <c r="A469" s="12" t="s">
        <v>23</v>
      </c>
      <c r="B469" s="12" t="s">
        <v>24</v>
      </c>
      <c r="C469" s="12" t="s">
        <v>466</v>
      </c>
      <c r="D469" s="12" t="s">
        <v>7</v>
      </c>
      <c r="E469" s="12" t="s">
        <v>1174</v>
      </c>
      <c r="F469" s="12" t="s">
        <v>1136</v>
      </c>
      <c r="G469" s="12" t="s">
        <v>979</v>
      </c>
      <c r="H469" s="12" t="s">
        <v>533</v>
      </c>
      <c r="I469" s="12" t="s">
        <v>1176</v>
      </c>
      <c r="J469" s="187" t="s">
        <v>1207</v>
      </c>
      <c r="K469" s="188">
        <v>272.0</v>
      </c>
      <c r="L469" s="12" t="s">
        <v>21</v>
      </c>
    </row>
    <row r="470" ht="15.75" customHeight="1">
      <c r="A470" s="12" t="s">
        <v>23</v>
      </c>
      <c r="B470" s="12" t="s">
        <v>24</v>
      </c>
      <c r="C470" s="12" t="s">
        <v>466</v>
      </c>
      <c r="D470" s="12" t="s">
        <v>7</v>
      </c>
      <c r="E470" s="12" t="s">
        <v>1174</v>
      </c>
      <c r="F470" s="12" t="s">
        <v>1136</v>
      </c>
      <c r="G470" s="12" t="s">
        <v>979</v>
      </c>
      <c r="H470" s="12" t="s">
        <v>533</v>
      </c>
      <c r="I470" s="12" t="s">
        <v>1176</v>
      </c>
      <c r="J470" s="187" t="s">
        <v>1208</v>
      </c>
      <c r="K470" s="188">
        <v>82.0</v>
      </c>
      <c r="L470" s="12" t="s">
        <v>21</v>
      </c>
    </row>
    <row r="471" ht="15.75" customHeight="1">
      <c r="A471" s="12" t="s">
        <v>23</v>
      </c>
      <c r="B471" s="12" t="s">
        <v>24</v>
      </c>
      <c r="C471" s="12" t="s">
        <v>466</v>
      </c>
      <c r="D471" s="12" t="s">
        <v>7</v>
      </c>
      <c r="E471" s="12" t="s">
        <v>1174</v>
      </c>
      <c r="F471" s="12" t="s">
        <v>1136</v>
      </c>
      <c r="G471" s="12" t="s">
        <v>979</v>
      </c>
      <c r="H471" s="12" t="s">
        <v>533</v>
      </c>
      <c r="I471" s="12" t="s">
        <v>1176</v>
      </c>
      <c r="J471" s="187" t="s">
        <v>1209</v>
      </c>
      <c r="K471" s="188">
        <v>124.0</v>
      </c>
      <c r="L471" s="12" t="s">
        <v>21</v>
      </c>
    </row>
    <row r="472" ht="15.75" customHeight="1">
      <c r="A472" s="12" t="s">
        <v>23</v>
      </c>
      <c r="B472" s="12" t="s">
        <v>24</v>
      </c>
      <c r="C472" s="12" t="s">
        <v>466</v>
      </c>
      <c r="D472" s="12" t="s">
        <v>7</v>
      </c>
      <c r="E472" s="12" t="s">
        <v>1174</v>
      </c>
      <c r="F472" s="12" t="s">
        <v>1136</v>
      </c>
      <c r="G472" s="12" t="s">
        <v>979</v>
      </c>
      <c r="H472" s="12" t="s">
        <v>533</v>
      </c>
      <c r="I472" s="12" t="s">
        <v>879</v>
      </c>
      <c r="J472" s="187" t="s">
        <v>1210</v>
      </c>
      <c r="K472" s="188">
        <v>1050.0</v>
      </c>
      <c r="L472" s="12" t="s">
        <v>21</v>
      </c>
    </row>
    <row r="473" ht="15.75" customHeight="1">
      <c r="A473" s="12" t="s">
        <v>23</v>
      </c>
      <c r="B473" s="12" t="s">
        <v>24</v>
      </c>
      <c r="C473" s="12" t="s">
        <v>437</v>
      </c>
      <c r="D473" s="12" t="s">
        <v>7</v>
      </c>
      <c r="E473" s="12" t="s">
        <v>1211</v>
      </c>
      <c r="F473" s="12" t="s">
        <v>1212</v>
      </c>
      <c r="G473" s="12" t="s">
        <v>1213</v>
      </c>
      <c r="H473" s="12" t="s">
        <v>513</v>
      </c>
      <c r="I473" s="12" t="s">
        <v>1214</v>
      </c>
      <c r="J473" s="187" t="s">
        <v>1215</v>
      </c>
      <c r="K473" s="188">
        <v>1142.0</v>
      </c>
      <c r="L473" s="12" t="s">
        <v>21</v>
      </c>
    </row>
    <row r="474" ht="15.75" customHeight="1">
      <c r="A474" s="12" t="s">
        <v>23</v>
      </c>
      <c r="B474" s="12" t="s">
        <v>24</v>
      </c>
      <c r="C474" s="12" t="s">
        <v>433</v>
      </c>
      <c r="D474" s="12" t="s">
        <v>7</v>
      </c>
      <c r="E474" s="12" t="s">
        <v>1211</v>
      </c>
      <c r="F474" s="12" t="s">
        <v>1212</v>
      </c>
      <c r="G474" s="12" t="s">
        <v>1216</v>
      </c>
      <c r="H474" s="12" t="s">
        <v>513</v>
      </c>
      <c r="I474" s="12" t="s">
        <v>475</v>
      </c>
      <c r="J474" s="187" t="s">
        <v>1217</v>
      </c>
      <c r="K474" s="188">
        <v>2332.0</v>
      </c>
      <c r="L474" s="12" t="s">
        <v>21</v>
      </c>
    </row>
    <row r="475" ht="15.75" customHeight="1">
      <c r="A475" s="12" t="s">
        <v>23</v>
      </c>
      <c r="B475" s="12" t="s">
        <v>24</v>
      </c>
      <c r="C475" s="12" t="s">
        <v>459</v>
      </c>
      <c r="D475" s="12" t="s">
        <v>7</v>
      </c>
      <c r="E475" s="12" t="s">
        <v>1211</v>
      </c>
      <c r="F475" s="12" t="s">
        <v>1212</v>
      </c>
      <c r="G475" s="12" t="s">
        <v>1218</v>
      </c>
      <c r="H475" s="12" t="s">
        <v>513</v>
      </c>
      <c r="I475" s="12" t="s">
        <v>1219</v>
      </c>
      <c r="J475" s="187" t="s">
        <v>1220</v>
      </c>
      <c r="K475" s="188">
        <v>9731.0</v>
      </c>
      <c r="L475" s="12" t="s">
        <v>21</v>
      </c>
    </row>
    <row r="476" ht="15.75" customHeight="1">
      <c r="A476" s="12" t="s">
        <v>23</v>
      </c>
      <c r="B476" s="12" t="s">
        <v>24</v>
      </c>
      <c r="C476" s="12" t="s">
        <v>427</v>
      </c>
      <c r="D476" s="12" t="s">
        <v>7</v>
      </c>
      <c r="E476" s="12" t="s">
        <v>1211</v>
      </c>
      <c r="F476" s="12" t="s">
        <v>1212</v>
      </c>
      <c r="G476" s="12" t="s">
        <v>1221</v>
      </c>
      <c r="H476" s="12" t="s">
        <v>513</v>
      </c>
      <c r="I476" s="12" t="s">
        <v>1222</v>
      </c>
      <c r="J476" s="187" t="s">
        <v>1223</v>
      </c>
      <c r="K476" s="188">
        <v>1000.0</v>
      </c>
      <c r="L476" s="12" t="s">
        <v>21</v>
      </c>
    </row>
    <row r="477" ht="15.75" customHeight="1">
      <c r="A477" s="12" t="s">
        <v>23</v>
      </c>
      <c r="B477" s="12" t="s">
        <v>24</v>
      </c>
      <c r="C477" s="12" t="s">
        <v>558</v>
      </c>
      <c r="D477" s="12" t="s">
        <v>7</v>
      </c>
      <c r="E477" s="12" t="s">
        <v>1211</v>
      </c>
      <c r="F477" s="12" t="s">
        <v>1212</v>
      </c>
      <c r="G477" s="12" t="s">
        <v>1224</v>
      </c>
      <c r="H477" s="12" t="s">
        <v>513</v>
      </c>
      <c r="I477" s="12" t="s">
        <v>917</v>
      </c>
      <c r="J477" s="187" t="s">
        <v>1225</v>
      </c>
      <c r="K477" s="188">
        <v>89.0</v>
      </c>
      <c r="L477" s="12" t="s">
        <v>21</v>
      </c>
    </row>
    <row r="478" ht="15.75" customHeight="1">
      <c r="A478" s="12" t="s">
        <v>23</v>
      </c>
      <c r="B478" s="12" t="s">
        <v>24</v>
      </c>
      <c r="C478" s="12" t="s">
        <v>466</v>
      </c>
      <c r="D478" s="12" t="s">
        <v>7</v>
      </c>
      <c r="E478" s="12" t="s">
        <v>1211</v>
      </c>
      <c r="F478" s="12" t="s">
        <v>1212</v>
      </c>
      <c r="G478" s="12" t="s">
        <v>1221</v>
      </c>
      <c r="H478" s="12" t="s">
        <v>513</v>
      </c>
      <c r="I478" s="12" t="s">
        <v>904</v>
      </c>
      <c r="J478" s="187" t="s">
        <v>1226</v>
      </c>
      <c r="K478" s="188">
        <v>325.0</v>
      </c>
      <c r="L478" s="12" t="s">
        <v>21</v>
      </c>
    </row>
    <row r="479" ht="15.75" customHeight="1">
      <c r="A479" s="12" t="s">
        <v>23</v>
      </c>
      <c r="B479" s="12" t="s">
        <v>24</v>
      </c>
      <c r="C479" s="12" t="s">
        <v>466</v>
      </c>
      <c r="D479" s="12" t="s">
        <v>7</v>
      </c>
      <c r="E479" s="12" t="s">
        <v>1211</v>
      </c>
      <c r="F479" s="12" t="s">
        <v>1212</v>
      </c>
      <c r="G479" s="12" t="s">
        <v>1224</v>
      </c>
      <c r="H479" s="12" t="s">
        <v>513</v>
      </c>
      <c r="I479" s="12" t="s">
        <v>908</v>
      </c>
      <c r="J479" s="187" t="s">
        <v>1227</v>
      </c>
      <c r="K479" s="188">
        <v>165.0</v>
      </c>
      <c r="L479" s="12" t="s">
        <v>21</v>
      </c>
    </row>
    <row r="480" ht="15.75" customHeight="1">
      <c r="A480" s="12" t="s">
        <v>23</v>
      </c>
      <c r="B480" s="12" t="s">
        <v>24</v>
      </c>
      <c r="C480" s="12" t="s">
        <v>582</v>
      </c>
      <c r="D480" s="12" t="s">
        <v>7</v>
      </c>
      <c r="E480" s="12" t="s">
        <v>1211</v>
      </c>
      <c r="F480" s="12" t="s">
        <v>1212</v>
      </c>
      <c r="G480" s="12" t="s">
        <v>1228</v>
      </c>
      <c r="H480" s="12" t="s">
        <v>513</v>
      </c>
      <c r="I480" s="12" t="s">
        <v>1229</v>
      </c>
      <c r="J480" s="187" t="s">
        <v>1230</v>
      </c>
      <c r="K480" s="188">
        <v>992.0</v>
      </c>
      <c r="L480" s="12" t="s">
        <v>21</v>
      </c>
    </row>
    <row r="481" ht="15.75" customHeight="1">
      <c r="A481" s="12" t="s">
        <v>23</v>
      </c>
      <c r="B481" s="12" t="s">
        <v>24</v>
      </c>
      <c r="C481" s="12" t="s">
        <v>466</v>
      </c>
      <c r="D481" s="12" t="s">
        <v>7</v>
      </c>
      <c r="E481" s="12" t="s">
        <v>1231</v>
      </c>
      <c r="F481" s="12" t="s">
        <v>1212</v>
      </c>
      <c r="G481" s="12" t="s">
        <v>887</v>
      </c>
      <c r="H481" s="12" t="s">
        <v>871</v>
      </c>
      <c r="I481" s="12" t="s">
        <v>1232</v>
      </c>
      <c r="J481" s="187" t="s">
        <v>1233</v>
      </c>
      <c r="K481" s="188">
        <v>9261.0</v>
      </c>
      <c r="L481" s="12" t="s">
        <v>21</v>
      </c>
    </row>
    <row r="482" ht="15.75" customHeight="1">
      <c r="A482" s="12" t="s">
        <v>23</v>
      </c>
      <c r="B482" s="12" t="s">
        <v>24</v>
      </c>
      <c r="C482" s="12" t="s">
        <v>444</v>
      </c>
      <c r="D482" s="12" t="s">
        <v>7</v>
      </c>
      <c r="E482" s="12" t="s">
        <v>1231</v>
      </c>
      <c r="F482" s="12" t="s">
        <v>1212</v>
      </c>
      <c r="G482" s="12" t="s">
        <v>894</v>
      </c>
      <c r="H482" s="12" t="s">
        <v>871</v>
      </c>
      <c r="I482" s="12" t="s">
        <v>1234</v>
      </c>
      <c r="J482" s="187" t="s">
        <v>1235</v>
      </c>
      <c r="K482" s="188">
        <v>3190.0</v>
      </c>
      <c r="L482" s="12" t="s">
        <v>21</v>
      </c>
    </row>
    <row r="483" ht="15.75" customHeight="1">
      <c r="A483" s="12" t="s">
        <v>23</v>
      </c>
      <c r="B483" s="12" t="s">
        <v>24</v>
      </c>
      <c r="C483" s="12" t="s">
        <v>554</v>
      </c>
      <c r="D483" s="12" t="s">
        <v>7</v>
      </c>
      <c r="E483" s="12" t="s">
        <v>1236</v>
      </c>
      <c r="F483" s="12" t="s">
        <v>1237</v>
      </c>
      <c r="G483" s="12" t="s">
        <v>1238</v>
      </c>
      <c r="H483" s="12" t="s">
        <v>551</v>
      </c>
      <c r="I483" s="12" t="s">
        <v>552</v>
      </c>
      <c r="J483" s="187" t="s">
        <v>1239</v>
      </c>
      <c r="K483" s="188">
        <v>208650.0</v>
      </c>
      <c r="L483" s="12" t="s">
        <v>21</v>
      </c>
    </row>
    <row r="484" ht="15.75" customHeight="1">
      <c r="A484" s="12" t="s">
        <v>23</v>
      </c>
      <c r="B484" s="12" t="s">
        <v>24</v>
      </c>
      <c r="C484" s="12" t="s">
        <v>444</v>
      </c>
      <c r="D484" s="12" t="s">
        <v>7</v>
      </c>
      <c r="E484" s="12" t="s">
        <v>1240</v>
      </c>
      <c r="F484" s="12" t="s">
        <v>1241</v>
      </c>
      <c r="G484" s="12" t="s">
        <v>1242</v>
      </c>
      <c r="H484" s="12" t="s">
        <v>946</v>
      </c>
      <c r="I484" s="12" t="s">
        <v>1243</v>
      </c>
      <c r="J484" s="187" t="s">
        <v>1244</v>
      </c>
      <c r="K484" s="188">
        <v>75893.0</v>
      </c>
      <c r="L484" s="12" t="s">
        <v>21</v>
      </c>
    </row>
    <row r="485" ht="15.75" customHeight="1">
      <c r="A485" s="12" t="s">
        <v>23</v>
      </c>
      <c r="B485" s="12" t="s">
        <v>24</v>
      </c>
      <c r="C485" s="12" t="s">
        <v>582</v>
      </c>
      <c r="D485" s="12" t="s">
        <v>7</v>
      </c>
      <c r="E485" s="12" t="s">
        <v>1240</v>
      </c>
      <c r="F485" s="12" t="s">
        <v>1241</v>
      </c>
      <c r="G485" s="12" t="s">
        <v>1242</v>
      </c>
      <c r="H485" s="12" t="s">
        <v>946</v>
      </c>
      <c r="I485" s="12" t="s">
        <v>1243</v>
      </c>
      <c r="J485" s="187" t="s">
        <v>949</v>
      </c>
      <c r="K485" s="188">
        <v>9107.0</v>
      </c>
      <c r="L485" s="12" t="s">
        <v>21</v>
      </c>
    </row>
    <row r="486" ht="15.75" customHeight="1">
      <c r="A486" s="12" t="s">
        <v>23</v>
      </c>
      <c r="B486" s="12" t="s">
        <v>24</v>
      </c>
      <c r="C486" s="12" t="s">
        <v>637</v>
      </c>
      <c r="D486" s="12" t="s">
        <v>7</v>
      </c>
      <c r="E486" s="12" t="s">
        <v>1245</v>
      </c>
      <c r="F486" s="12" t="s">
        <v>1246</v>
      </c>
      <c r="G486" s="12" t="s">
        <v>1247</v>
      </c>
      <c r="H486" s="12" t="s">
        <v>871</v>
      </c>
      <c r="I486" s="12" t="s">
        <v>1248</v>
      </c>
      <c r="J486" s="187" t="s">
        <v>1249</v>
      </c>
      <c r="K486" s="188">
        <v>1331.0</v>
      </c>
      <c r="L486" s="62" t="s">
        <v>148</v>
      </c>
    </row>
    <row r="487" ht="15.75" customHeight="1">
      <c r="A487" s="12" t="s">
        <v>23</v>
      </c>
      <c r="B487" s="12" t="s">
        <v>24</v>
      </c>
      <c r="C487" s="12" t="s">
        <v>444</v>
      </c>
      <c r="D487" s="12" t="s">
        <v>7</v>
      </c>
      <c r="E487" s="12" t="s">
        <v>1250</v>
      </c>
      <c r="F487" s="12" t="s">
        <v>1194</v>
      </c>
      <c r="G487" s="12" t="s">
        <v>1247</v>
      </c>
      <c r="H487" s="12" t="s">
        <v>871</v>
      </c>
      <c r="I487" s="12" t="s">
        <v>1234</v>
      </c>
      <c r="J487" s="187" t="s">
        <v>1251</v>
      </c>
      <c r="K487" s="188">
        <v>2755.0</v>
      </c>
      <c r="L487" s="12" t="s">
        <v>21</v>
      </c>
    </row>
    <row r="488" ht="15.75" customHeight="1">
      <c r="A488" s="12" t="s">
        <v>23</v>
      </c>
      <c r="B488" s="12" t="s">
        <v>24</v>
      </c>
      <c r="C488" s="12" t="s">
        <v>444</v>
      </c>
      <c r="D488" s="12" t="s">
        <v>7</v>
      </c>
      <c r="E488" s="12" t="s">
        <v>1250</v>
      </c>
      <c r="F488" s="12" t="s">
        <v>1194</v>
      </c>
      <c r="G488" s="12" t="s">
        <v>1247</v>
      </c>
      <c r="H488" s="12" t="s">
        <v>871</v>
      </c>
      <c r="I488" s="12" t="s">
        <v>1234</v>
      </c>
      <c r="J488" s="187" t="s">
        <v>1251</v>
      </c>
      <c r="K488" s="188">
        <v>2760.0</v>
      </c>
      <c r="L488" s="12" t="s">
        <v>21</v>
      </c>
    </row>
    <row r="489" ht="15.75" customHeight="1">
      <c r="A489" s="12" t="s">
        <v>23</v>
      </c>
      <c r="B489" s="12" t="s">
        <v>24</v>
      </c>
      <c r="C489" s="12" t="s">
        <v>444</v>
      </c>
      <c r="D489" s="12" t="s">
        <v>7</v>
      </c>
      <c r="E489" s="12" t="s">
        <v>1250</v>
      </c>
      <c r="F489" s="12" t="s">
        <v>1194</v>
      </c>
      <c r="G489" s="12" t="s">
        <v>1247</v>
      </c>
      <c r="H489" s="12" t="s">
        <v>871</v>
      </c>
      <c r="I489" s="12" t="s">
        <v>1234</v>
      </c>
      <c r="J489" s="187" t="s">
        <v>1251</v>
      </c>
      <c r="K489" s="188">
        <v>2595.0</v>
      </c>
      <c r="L489" s="12" t="s">
        <v>21</v>
      </c>
    </row>
    <row r="490" ht="15.75" customHeight="1">
      <c r="A490" s="12" t="s">
        <v>23</v>
      </c>
      <c r="B490" s="12" t="s">
        <v>24</v>
      </c>
      <c r="C490" s="12" t="s">
        <v>444</v>
      </c>
      <c r="D490" s="12" t="s">
        <v>7</v>
      </c>
      <c r="E490" s="12" t="s">
        <v>1250</v>
      </c>
      <c r="F490" s="12" t="s">
        <v>1194</v>
      </c>
      <c r="G490" s="12" t="s">
        <v>1247</v>
      </c>
      <c r="H490" s="12" t="s">
        <v>871</v>
      </c>
      <c r="I490" s="12" t="s">
        <v>1234</v>
      </c>
      <c r="J490" s="187" t="s">
        <v>1251</v>
      </c>
      <c r="K490" s="188">
        <v>3203.0</v>
      </c>
      <c r="L490" s="12" t="s">
        <v>21</v>
      </c>
    </row>
    <row r="491" ht="15.75" customHeight="1">
      <c r="A491" s="12" t="s">
        <v>23</v>
      </c>
      <c r="B491" s="12" t="s">
        <v>24</v>
      </c>
      <c r="C491" s="12" t="s">
        <v>444</v>
      </c>
      <c r="D491" s="12" t="s">
        <v>7</v>
      </c>
      <c r="E491" s="12" t="s">
        <v>1250</v>
      </c>
      <c r="F491" s="12" t="s">
        <v>1194</v>
      </c>
      <c r="G491" s="12" t="s">
        <v>1247</v>
      </c>
      <c r="H491" s="12" t="s">
        <v>871</v>
      </c>
      <c r="I491" s="12" t="s">
        <v>1234</v>
      </c>
      <c r="J491" s="187" t="s">
        <v>1251</v>
      </c>
      <c r="K491" s="188">
        <v>2574.0</v>
      </c>
      <c r="L491" s="12" t="s">
        <v>21</v>
      </c>
    </row>
    <row r="492" ht="15.75" customHeight="1">
      <c r="A492" s="12" t="s">
        <v>23</v>
      </c>
      <c r="B492" s="12" t="s">
        <v>24</v>
      </c>
      <c r="C492" s="12" t="s">
        <v>730</v>
      </c>
      <c r="D492" s="12" t="s">
        <v>7</v>
      </c>
      <c r="E492" s="12" t="s">
        <v>1166</v>
      </c>
      <c r="F492" s="12" t="s">
        <v>1167</v>
      </c>
      <c r="G492" s="12" t="s">
        <v>1252</v>
      </c>
      <c r="H492" s="12" t="s">
        <v>513</v>
      </c>
      <c r="I492" s="12" t="s">
        <v>1253</v>
      </c>
      <c r="J492" s="187" t="s">
        <v>1254</v>
      </c>
      <c r="K492" s="188">
        <v>850.0</v>
      </c>
      <c r="L492" s="12" t="s">
        <v>21</v>
      </c>
    </row>
    <row r="493" ht="15.75" customHeight="1">
      <c r="A493" s="12" t="s">
        <v>23</v>
      </c>
      <c r="B493" s="12" t="s">
        <v>24</v>
      </c>
      <c r="C493" s="12" t="s">
        <v>437</v>
      </c>
      <c r="D493" s="12" t="s">
        <v>7</v>
      </c>
      <c r="E493" s="12" t="s">
        <v>1166</v>
      </c>
      <c r="F493" s="12" t="s">
        <v>1167</v>
      </c>
      <c r="G493" s="12" t="s">
        <v>1160</v>
      </c>
      <c r="H493" s="12" t="s">
        <v>513</v>
      </c>
      <c r="I493" s="12" t="s">
        <v>1255</v>
      </c>
      <c r="J493" s="187" t="s">
        <v>1256</v>
      </c>
      <c r="K493" s="188">
        <v>300.0</v>
      </c>
      <c r="L493" s="12" t="s">
        <v>21</v>
      </c>
    </row>
    <row r="494" ht="15.75" customHeight="1">
      <c r="A494" s="12" t="s">
        <v>23</v>
      </c>
      <c r="B494" s="12" t="s">
        <v>24</v>
      </c>
      <c r="C494" s="12" t="s">
        <v>558</v>
      </c>
      <c r="D494" s="12" t="s">
        <v>7</v>
      </c>
      <c r="E494" s="12" t="s">
        <v>1166</v>
      </c>
      <c r="F494" s="12" t="s">
        <v>1167</v>
      </c>
      <c r="G494" s="12" t="s">
        <v>1158</v>
      </c>
      <c r="H494" s="12" t="s">
        <v>513</v>
      </c>
      <c r="I494" s="12" t="s">
        <v>1257</v>
      </c>
      <c r="J494" s="187" t="s">
        <v>1258</v>
      </c>
      <c r="K494" s="188">
        <v>4595.0</v>
      </c>
      <c r="L494" s="12" t="s">
        <v>21</v>
      </c>
    </row>
    <row r="495" ht="15.75" customHeight="1">
      <c r="A495" s="12" t="s">
        <v>23</v>
      </c>
      <c r="B495" s="12" t="s">
        <v>24</v>
      </c>
      <c r="C495" s="12" t="s">
        <v>466</v>
      </c>
      <c r="D495" s="12" t="s">
        <v>7</v>
      </c>
      <c r="E495" s="12" t="s">
        <v>1166</v>
      </c>
      <c r="F495" s="12" t="s">
        <v>1167</v>
      </c>
      <c r="G495" s="12" t="s">
        <v>1165</v>
      </c>
      <c r="H495" s="12" t="s">
        <v>513</v>
      </c>
      <c r="I495" s="12" t="s">
        <v>1259</v>
      </c>
      <c r="J495" s="187" t="s">
        <v>1260</v>
      </c>
      <c r="K495" s="188">
        <v>2600.0</v>
      </c>
      <c r="L495" s="12" t="s">
        <v>21</v>
      </c>
    </row>
    <row r="496" ht="15.75" customHeight="1">
      <c r="A496" s="12" t="s">
        <v>23</v>
      </c>
      <c r="B496" s="12" t="s">
        <v>24</v>
      </c>
      <c r="C496" s="12" t="s">
        <v>437</v>
      </c>
      <c r="D496" s="12" t="s">
        <v>7</v>
      </c>
      <c r="E496" s="12" t="s">
        <v>1166</v>
      </c>
      <c r="F496" s="12" t="s">
        <v>1167</v>
      </c>
      <c r="G496" s="12" t="s">
        <v>1160</v>
      </c>
      <c r="H496" s="12" t="s">
        <v>513</v>
      </c>
      <c r="I496" s="12" t="s">
        <v>1214</v>
      </c>
      <c r="J496" s="187" t="s">
        <v>1261</v>
      </c>
      <c r="K496" s="188">
        <v>526.0</v>
      </c>
      <c r="L496" s="12" t="s">
        <v>21</v>
      </c>
    </row>
    <row r="497" ht="15.75" customHeight="1">
      <c r="A497" s="12" t="s">
        <v>23</v>
      </c>
      <c r="B497" s="12" t="s">
        <v>24</v>
      </c>
      <c r="C497" s="12" t="s">
        <v>582</v>
      </c>
      <c r="D497" s="12" t="s">
        <v>7</v>
      </c>
      <c r="E497" s="12" t="s">
        <v>1166</v>
      </c>
      <c r="F497" s="12" t="s">
        <v>1167</v>
      </c>
      <c r="G497" s="12" t="s">
        <v>1163</v>
      </c>
      <c r="H497" s="12" t="s">
        <v>513</v>
      </c>
      <c r="I497" s="12" t="s">
        <v>1262</v>
      </c>
      <c r="J497" s="187" t="s">
        <v>1263</v>
      </c>
      <c r="K497" s="188">
        <v>710.0</v>
      </c>
      <c r="L497" s="12" t="s">
        <v>21</v>
      </c>
    </row>
    <row r="498" ht="15.75" customHeight="1">
      <c r="A498" s="12" t="s">
        <v>23</v>
      </c>
      <c r="B498" s="12" t="s">
        <v>24</v>
      </c>
      <c r="C498" s="12" t="s">
        <v>448</v>
      </c>
      <c r="D498" s="12" t="s">
        <v>7</v>
      </c>
      <c r="E498" s="12" t="s">
        <v>1166</v>
      </c>
      <c r="F498" s="12" t="s">
        <v>1167</v>
      </c>
      <c r="G498" s="12" t="s">
        <v>1264</v>
      </c>
      <c r="H498" s="12" t="s">
        <v>513</v>
      </c>
      <c r="I498" s="12" t="s">
        <v>1265</v>
      </c>
      <c r="J498" s="187" t="s">
        <v>1266</v>
      </c>
      <c r="K498" s="188">
        <v>4653.0</v>
      </c>
      <c r="L498" s="12" t="s">
        <v>21</v>
      </c>
    </row>
    <row r="499" ht="15.75" customHeight="1">
      <c r="A499" s="12" t="s">
        <v>23</v>
      </c>
      <c r="B499" s="12" t="s">
        <v>24</v>
      </c>
      <c r="C499" s="12" t="s">
        <v>466</v>
      </c>
      <c r="D499" s="12" t="s">
        <v>7</v>
      </c>
      <c r="E499" s="12" t="s">
        <v>1166</v>
      </c>
      <c r="F499" s="12" t="s">
        <v>1167</v>
      </c>
      <c r="G499" s="12" t="s">
        <v>1264</v>
      </c>
      <c r="H499" s="12" t="s">
        <v>513</v>
      </c>
      <c r="I499" s="12" t="s">
        <v>1267</v>
      </c>
      <c r="J499" s="187" t="s">
        <v>1268</v>
      </c>
      <c r="K499" s="188">
        <v>80.0</v>
      </c>
      <c r="L499" s="12" t="s">
        <v>21</v>
      </c>
    </row>
    <row r="500" ht="15.75" customHeight="1">
      <c r="A500" s="12" t="s">
        <v>23</v>
      </c>
      <c r="B500" s="12" t="s">
        <v>24</v>
      </c>
      <c r="C500" s="12" t="s">
        <v>466</v>
      </c>
      <c r="D500" s="12" t="s">
        <v>7</v>
      </c>
      <c r="E500" s="12" t="s">
        <v>1269</v>
      </c>
      <c r="F500" s="12" t="s">
        <v>1270</v>
      </c>
      <c r="G500" s="12" t="s">
        <v>1264</v>
      </c>
      <c r="H500" s="12" t="s">
        <v>871</v>
      </c>
      <c r="I500" s="12" t="s">
        <v>1271</v>
      </c>
      <c r="J500" s="187" t="s">
        <v>1272</v>
      </c>
      <c r="K500" s="188">
        <v>990.0</v>
      </c>
      <c r="L500" s="12" t="s">
        <v>21</v>
      </c>
    </row>
    <row r="501" ht="15.75" customHeight="1">
      <c r="A501" s="12" t="s">
        <v>23</v>
      </c>
      <c r="B501" s="12" t="s">
        <v>24</v>
      </c>
      <c r="C501" s="12" t="s">
        <v>466</v>
      </c>
      <c r="D501" s="12" t="s">
        <v>7</v>
      </c>
      <c r="E501" s="12" t="s">
        <v>1269</v>
      </c>
      <c r="F501" s="12" t="s">
        <v>1270</v>
      </c>
      <c r="G501" s="12" t="s">
        <v>1264</v>
      </c>
      <c r="H501" s="12" t="s">
        <v>871</v>
      </c>
      <c r="I501" s="12" t="s">
        <v>1271</v>
      </c>
      <c r="J501" s="187" t="s">
        <v>1272</v>
      </c>
      <c r="K501" s="188">
        <v>3465.0</v>
      </c>
      <c r="L501" s="12" t="s">
        <v>21</v>
      </c>
    </row>
    <row r="502" ht="15.75" customHeight="1">
      <c r="A502" s="12" t="s">
        <v>23</v>
      </c>
      <c r="B502" s="12" t="s">
        <v>24</v>
      </c>
      <c r="C502" s="12" t="s">
        <v>444</v>
      </c>
      <c r="D502" s="12" t="s">
        <v>7</v>
      </c>
      <c r="E502" s="12" t="s">
        <v>1269</v>
      </c>
      <c r="F502" s="12" t="s">
        <v>1270</v>
      </c>
      <c r="G502" s="12" t="s">
        <v>1160</v>
      </c>
      <c r="H502" s="12" t="s">
        <v>871</v>
      </c>
      <c r="I502" s="12" t="s">
        <v>1273</v>
      </c>
      <c r="J502" s="187" t="s">
        <v>1274</v>
      </c>
      <c r="K502" s="188">
        <v>1499.0</v>
      </c>
      <c r="L502" s="12" t="s">
        <v>21</v>
      </c>
    </row>
    <row r="503" ht="15.75" customHeight="1">
      <c r="A503" s="12" t="s">
        <v>23</v>
      </c>
      <c r="B503" s="12" t="s">
        <v>24</v>
      </c>
      <c r="C503" s="12" t="s">
        <v>437</v>
      </c>
      <c r="D503" s="12" t="s">
        <v>7</v>
      </c>
      <c r="E503" s="12" t="s">
        <v>1275</v>
      </c>
      <c r="F503" s="12" t="s">
        <v>1276</v>
      </c>
      <c r="G503" s="12" t="s">
        <v>1277</v>
      </c>
      <c r="H503" s="12" t="s">
        <v>551</v>
      </c>
      <c r="I503" s="12" t="s">
        <v>1278</v>
      </c>
      <c r="J503" s="187" t="s">
        <v>1279</v>
      </c>
      <c r="K503" s="188">
        <v>16751.0</v>
      </c>
      <c r="L503" s="12" t="s">
        <v>21</v>
      </c>
    </row>
    <row r="504" ht="15.75" customHeight="1">
      <c r="A504" s="18" t="s">
        <v>26</v>
      </c>
      <c r="B504" s="18" t="s">
        <v>403</v>
      </c>
      <c r="C504" s="18" t="s">
        <v>582</v>
      </c>
      <c r="D504" s="18" t="s">
        <v>7</v>
      </c>
      <c r="E504" s="18" t="s">
        <v>1280</v>
      </c>
      <c r="F504" s="18" t="s">
        <v>1281</v>
      </c>
      <c r="G504" s="18" t="s">
        <v>1238</v>
      </c>
      <c r="H504" s="18" t="s">
        <v>613</v>
      </c>
      <c r="I504" s="18" t="s">
        <v>1282</v>
      </c>
      <c r="J504" s="189" t="s">
        <v>615</v>
      </c>
      <c r="K504" s="190">
        <v>809.0</v>
      </c>
      <c r="L504" s="18" t="s">
        <v>21</v>
      </c>
    </row>
    <row r="505" ht="15.75" customHeight="1">
      <c r="A505" s="18" t="s">
        <v>26</v>
      </c>
      <c r="B505" s="18" t="s">
        <v>403</v>
      </c>
      <c r="C505" s="18" t="s">
        <v>582</v>
      </c>
      <c r="D505" s="18" t="s">
        <v>7</v>
      </c>
      <c r="E505" s="18" t="s">
        <v>1280</v>
      </c>
      <c r="F505" s="18" t="s">
        <v>1281</v>
      </c>
      <c r="G505" s="18" t="s">
        <v>1238</v>
      </c>
      <c r="H505" s="18" t="s">
        <v>613</v>
      </c>
      <c r="I505" s="18" t="s">
        <v>1282</v>
      </c>
      <c r="J505" s="189" t="s">
        <v>615</v>
      </c>
      <c r="K505" s="190">
        <v>809.0</v>
      </c>
      <c r="L505" s="18" t="s">
        <v>21</v>
      </c>
    </row>
    <row r="506" ht="15.75" customHeight="1">
      <c r="A506" s="18" t="s">
        <v>26</v>
      </c>
      <c r="B506" s="18" t="s">
        <v>403</v>
      </c>
      <c r="C506" s="18" t="s">
        <v>582</v>
      </c>
      <c r="D506" s="18" t="s">
        <v>7</v>
      </c>
      <c r="E506" s="18" t="s">
        <v>1280</v>
      </c>
      <c r="F506" s="18" t="s">
        <v>1281</v>
      </c>
      <c r="G506" s="18" t="s">
        <v>1238</v>
      </c>
      <c r="H506" s="18" t="s">
        <v>613</v>
      </c>
      <c r="I506" s="18" t="s">
        <v>1282</v>
      </c>
      <c r="J506" s="189" t="s">
        <v>615</v>
      </c>
      <c r="K506" s="190">
        <v>809.0</v>
      </c>
      <c r="L506" s="18" t="s">
        <v>21</v>
      </c>
    </row>
    <row r="507" ht="15.75" customHeight="1">
      <c r="A507" s="18" t="s">
        <v>26</v>
      </c>
      <c r="B507" s="18" t="s">
        <v>403</v>
      </c>
      <c r="C507" s="18" t="s">
        <v>582</v>
      </c>
      <c r="D507" s="18" t="s">
        <v>7</v>
      </c>
      <c r="E507" s="18" t="s">
        <v>1280</v>
      </c>
      <c r="F507" s="18" t="s">
        <v>1281</v>
      </c>
      <c r="G507" s="18" t="s">
        <v>1238</v>
      </c>
      <c r="H507" s="18" t="s">
        <v>613</v>
      </c>
      <c r="I507" s="18" t="s">
        <v>1282</v>
      </c>
      <c r="J507" s="189" t="s">
        <v>615</v>
      </c>
      <c r="K507" s="190">
        <v>809.0</v>
      </c>
      <c r="L507" s="18" t="s">
        <v>21</v>
      </c>
    </row>
    <row r="508" ht="15.75" customHeight="1">
      <c r="A508" s="18" t="s">
        <v>26</v>
      </c>
      <c r="B508" s="18" t="s">
        <v>403</v>
      </c>
      <c r="C508" s="18" t="s">
        <v>582</v>
      </c>
      <c r="D508" s="18" t="s">
        <v>7</v>
      </c>
      <c r="E508" s="18" t="s">
        <v>1280</v>
      </c>
      <c r="F508" s="18" t="s">
        <v>1281</v>
      </c>
      <c r="G508" s="18" t="s">
        <v>1238</v>
      </c>
      <c r="H508" s="18" t="s">
        <v>613</v>
      </c>
      <c r="I508" s="18" t="s">
        <v>1282</v>
      </c>
      <c r="J508" s="189" t="s">
        <v>615</v>
      </c>
      <c r="K508" s="190">
        <v>809.0</v>
      </c>
      <c r="L508" s="18" t="s">
        <v>21</v>
      </c>
    </row>
    <row r="509" ht="15.75" customHeight="1">
      <c r="A509" s="18" t="s">
        <v>26</v>
      </c>
      <c r="B509" s="18" t="s">
        <v>403</v>
      </c>
      <c r="C509" s="18" t="s">
        <v>582</v>
      </c>
      <c r="D509" s="18" t="s">
        <v>7</v>
      </c>
      <c r="E509" s="18" t="s">
        <v>1280</v>
      </c>
      <c r="F509" s="18" t="s">
        <v>1281</v>
      </c>
      <c r="G509" s="18" t="s">
        <v>1238</v>
      </c>
      <c r="H509" s="18" t="s">
        <v>613</v>
      </c>
      <c r="I509" s="18" t="s">
        <v>1282</v>
      </c>
      <c r="J509" s="189" t="s">
        <v>615</v>
      </c>
      <c r="K509" s="190">
        <v>809.0</v>
      </c>
      <c r="L509" s="18" t="s">
        <v>21</v>
      </c>
    </row>
    <row r="510" ht="15.75" customHeight="1">
      <c r="A510" s="18" t="s">
        <v>26</v>
      </c>
      <c r="B510" s="18" t="s">
        <v>403</v>
      </c>
      <c r="C510" s="18" t="s">
        <v>582</v>
      </c>
      <c r="D510" s="18" t="s">
        <v>7</v>
      </c>
      <c r="E510" s="18" t="s">
        <v>1280</v>
      </c>
      <c r="F510" s="18" t="s">
        <v>1281</v>
      </c>
      <c r="G510" s="18" t="s">
        <v>1238</v>
      </c>
      <c r="H510" s="18" t="s">
        <v>613</v>
      </c>
      <c r="I510" s="18" t="s">
        <v>1282</v>
      </c>
      <c r="J510" s="189" t="s">
        <v>615</v>
      </c>
      <c r="K510" s="190">
        <v>809.0</v>
      </c>
      <c r="L510" s="18" t="s">
        <v>21</v>
      </c>
    </row>
    <row r="511" ht="15.75" customHeight="1">
      <c r="A511" s="18" t="s">
        <v>26</v>
      </c>
      <c r="B511" s="18" t="s">
        <v>403</v>
      </c>
      <c r="C511" s="18" t="s">
        <v>582</v>
      </c>
      <c r="D511" s="18" t="s">
        <v>7</v>
      </c>
      <c r="E511" s="18" t="s">
        <v>1280</v>
      </c>
      <c r="F511" s="18" t="s">
        <v>1281</v>
      </c>
      <c r="G511" s="18" t="s">
        <v>1238</v>
      </c>
      <c r="H511" s="18" t="s">
        <v>613</v>
      </c>
      <c r="I511" s="18" t="s">
        <v>1282</v>
      </c>
      <c r="J511" s="189" t="s">
        <v>615</v>
      </c>
      <c r="K511" s="190">
        <v>809.0</v>
      </c>
      <c r="L511" s="18" t="s">
        <v>21</v>
      </c>
    </row>
    <row r="512" ht="15.75" customHeight="1">
      <c r="A512" s="18" t="s">
        <v>26</v>
      </c>
      <c r="B512" s="18" t="s">
        <v>403</v>
      </c>
      <c r="C512" s="18" t="s">
        <v>582</v>
      </c>
      <c r="D512" s="18" t="s">
        <v>7</v>
      </c>
      <c r="E512" s="18" t="s">
        <v>1280</v>
      </c>
      <c r="F512" s="18" t="s">
        <v>1281</v>
      </c>
      <c r="G512" s="18" t="s">
        <v>1238</v>
      </c>
      <c r="H512" s="18" t="s">
        <v>613</v>
      </c>
      <c r="I512" s="18" t="s">
        <v>1282</v>
      </c>
      <c r="J512" s="189" t="s">
        <v>615</v>
      </c>
      <c r="K512" s="190">
        <v>809.0</v>
      </c>
      <c r="L512" s="18" t="s">
        <v>21</v>
      </c>
    </row>
    <row r="513" ht="15.75" customHeight="1">
      <c r="A513" s="18" t="s">
        <v>26</v>
      </c>
      <c r="B513" s="18" t="s">
        <v>403</v>
      </c>
      <c r="C513" s="18" t="s">
        <v>582</v>
      </c>
      <c r="D513" s="18" t="s">
        <v>7</v>
      </c>
      <c r="E513" s="18" t="s">
        <v>1280</v>
      </c>
      <c r="F513" s="18" t="s">
        <v>1281</v>
      </c>
      <c r="G513" s="18" t="s">
        <v>1238</v>
      </c>
      <c r="H513" s="18" t="s">
        <v>613</v>
      </c>
      <c r="I513" s="18" t="s">
        <v>1282</v>
      </c>
      <c r="J513" s="189" t="s">
        <v>615</v>
      </c>
      <c r="K513" s="190">
        <v>853.0</v>
      </c>
      <c r="L513" s="18" t="s">
        <v>21</v>
      </c>
    </row>
    <row r="514" ht="15.75" customHeight="1">
      <c r="A514" s="18" t="s">
        <v>26</v>
      </c>
      <c r="B514" s="18" t="s">
        <v>403</v>
      </c>
      <c r="C514" s="18" t="s">
        <v>582</v>
      </c>
      <c r="D514" s="18" t="s">
        <v>7</v>
      </c>
      <c r="E514" s="18" t="s">
        <v>1280</v>
      </c>
      <c r="F514" s="18" t="s">
        <v>1281</v>
      </c>
      <c r="G514" s="18" t="s">
        <v>1238</v>
      </c>
      <c r="H514" s="18" t="s">
        <v>613</v>
      </c>
      <c r="I514" s="18" t="s">
        <v>1282</v>
      </c>
      <c r="J514" s="189" t="s">
        <v>615</v>
      </c>
      <c r="K514" s="190">
        <v>853.0</v>
      </c>
      <c r="L514" s="18" t="s">
        <v>21</v>
      </c>
    </row>
    <row r="515" ht="15.75" customHeight="1">
      <c r="A515" s="18" t="s">
        <v>26</v>
      </c>
      <c r="B515" s="18" t="s">
        <v>403</v>
      </c>
      <c r="C515" s="18" t="s">
        <v>582</v>
      </c>
      <c r="D515" s="18" t="s">
        <v>7</v>
      </c>
      <c r="E515" s="18" t="s">
        <v>1280</v>
      </c>
      <c r="F515" s="18" t="s">
        <v>1281</v>
      </c>
      <c r="G515" s="18" t="s">
        <v>1238</v>
      </c>
      <c r="H515" s="18" t="s">
        <v>613</v>
      </c>
      <c r="I515" s="18" t="s">
        <v>1282</v>
      </c>
      <c r="J515" s="189" t="s">
        <v>615</v>
      </c>
      <c r="K515" s="190">
        <v>853.0</v>
      </c>
      <c r="L515" s="18" t="s">
        <v>21</v>
      </c>
    </row>
    <row r="516" ht="15.75" customHeight="1">
      <c r="A516" s="18" t="s">
        <v>26</v>
      </c>
      <c r="B516" s="18" t="s">
        <v>403</v>
      </c>
      <c r="C516" s="18" t="s">
        <v>582</v>
      </c>
      <c r="D516" s="18" t="s">
        <v>7</v>
      </c>
      <c r="E516" s="18" t="s">
        <v>1280</v>
      </c>
      <c r="F516" s="18" t="s">
        <v>1281</v>
      </c>
      <c r="G516" s="18" t="s">
        <v>1238</v>
      </c>
      <c r="H516" s="18" t="s">
        <v>613</v>
      </c>
      <c r="I516" s="18" t="s">
        <v>1282</v>
      </c>
      <c r="J516" s="189" t="s">
        <v>615</v>
      </c>
      <c r="K516" s="190">
        <v>853.0</v>
      </c>
      <c r="L516" s="18" t="s">
        <v>21</v>
      </c>
    </row>
    <row r="517" ht="15.75" customHeight="1">
      <c r="A517" s="18" t="s">
        <v>26</v>
      </c>
      <c r="B517" s="18" t="s">
        <v>403</v>
      </c>
      <c r="C517" s="18" t="s">
        <v>582</v>
      </c>
      <c r="D517" s="18" t="s">
        <v>7</v>
      </c>
      <c r="E517" s="18" t="s">
        <v>1280</v>
      </c>
      <c r="F517" s="18" t="s">
        <v>1281</v>
      </c>
      <c r="G517" s="18" t="s">
        <v>1238</v>
      </c>
      <c r="H517" s="18" t="s">
        <v>613</v>
      </c>
      <c r="I517" s="18" t="s">
        <v>1282</v>
      </c>
      <c r="J517" s="189" t="s">
        <v>615</v>
      </c>
      <c r="K517" s="190">
        <v>853.0</v>
      </c>
      <c r="L517" s="18" t="s">
        <v>21</v>
      </c>
    </row>
    <row r="518" ht="15.75" customHeight="1">
      <c r="A518" s="18" t="s">
        <v>26</v>
      </c>
      <c r="B518" s="18" t="s">
        <v>403</v>
      </c>
      <c r="C518" s="18" t="s">
        <v>582</v>
      </c>
      <c r="D518" s="18" t="s">
        <v>7</v>
      </c>
      <c r="E518" s="18" t="s">
        <v>1280</v>
      </c>
      <c r="F518" s="18" t="s">
        <v>1281</v>
      </c>
      <c r="G518" s="18" t="s">
        <v>1238</v>
      </c>
      <c r="H518" s="18" t="s">
        <v>613</v>
      </c>
      <c r="I518" s="18" t="s">
        <v>1282</v>
      </c>
      <c r="J518" s="189" t="s">
        <v>615</v>
      </c>
      <c r="K518" s="190">
        <v>853.0</v>
      </c>
      <c r="L518" s="18" t="s">
        <v>21</v>
      </c>
    </row>
    <row r="519" ht="15.75" customHeight="1">
      <c r="A519" s="18" t="s">
        <v>26</v>
      </c>
      <c r="B519" s="18" t="s">
        <v>403</v>
      </c>
      <c r="C519" s="18" t="s">
        <v>582</v>
      </c>
      <c r="D519" s="18" t="s">
        <v>7</v>
      </c>
      <c r="E519" s="18" t="s">
        <v>1280</v>
      </c>
      <c r="F519" s="18" t="s">
        <v>1281</v>
      </c>
      <c r="G519" s="18" t="s">
        <v>1238</v>
      </c>
      <c r="H519" s="18" t="s">
        <v>613</v>
      </c>
      <c r="I519" s="18" t="s">
        <v>1282</v>
      </c>
      <c r="J519" s="189" t="s">
        <v>615</v>
      </c>
      <c r="K519" s="190">
        <v>853.0</v>
      </c>
      <c r="L519" s="18" t="s">
        <v>21</v>
      </c>
    </row>
    <row r="520" ht="15.75" customHeight="1">
      <c r="A520" s="18" t="s">
        <v>26</v>
      </c>
      <c r="B520" s="18" t="s">
        <v>403</v>
      </c>
      <c r="C520" s="18" t="s">
        <v>582</v>
      </c>
      <c r="D520" s="18" t="s">
        <v>7</v>
      </c>
      <c r="E520" s="18" t="s">
        <v>1280</v>
      </c>
      <c r="F520" s="18" t="s">
        <v>1281</v>
      </c>
      <c r="G520" s="18" t="s">
        <v>1238</v>
      </c>
      <c r="H520" s="18" t="s">
        <v>613</v>
      </c>
      <c r="I520" s="18" t="s">
        <v>1282</v>
      </c>
      <c r="J520" s="189" t="s">
        <v>615</v>
      </c>
      <c r="K520" s="190">
        <v>853.0</v>
      </c>
      <c r="L520" s="18" t="s">
        <v>21</v>
      </c>
    </row>
    <row r="521" ht="15.75" customHeight="1">
      <c r="A521" s="18" t="s">
        <v>26</v>
      </c>
      <c r="B521" s="18" t="s">
        <v>403</v>
      </c>
      <c r="C521" s="18" t="s">
        <v>582</v>
      </c>
      <c r="D521" s="18" t="s">
        <v>7</v>
      </c>
      <c r="E521" s="18" t="s">
        <v>1280</v>
      </c>
      <c r="F521" s="18" t="s">
        <v>1281</v>
      </c>
      <c r="G521" s="18" t="s">
        <v>1238</v>
      </c>
      <c r="H521" s="18" t="s">
        <v>613</v>
      </c>
      <c r="I521" s="18" t="s">
        <v>1282</v>
      </c>
      <c r="J521" s="189" t="s">
        <v>615</v>
      </c>
      <c r="K521" s="190">
        <v>853.0</v>
      </c>
      <c r="L521" s="18" t="s">
        <v>21</v>
      </c>
    </row>
    <row r="522" ht="15.75" customHeight="1">
      <c r="A522" s="18" t="s">
        <v>26</v>
      </c>
      <c r="B522" s="18" t="s">
        <v>403</v>
      </c>
      <c r="C522" s="18" t="s">
        <v>582</v>
      </c>
      <c r="D522" s="18" t="s">
        <v>7</v>
      </c>
      <c r="E522" s="18" t="s">
        <v>1280</v>
      </c>
      <c r="F522" s="18" t="s">
        <v>1281</v>
      </c>
      <c r="G522" s="18" t="s">
        <v>1238</v>
      </c>
      <c r="H522" s="18" t="s">
        <v>613</v>
      </c>
      <c r="I522" s="18" t="s">
        <v>1282</v>
      </c>
      <c r="J522" s="189" t="s">
        <v>615</v>
      </c>
      <c r="K522" s="190">
        <v>853.0</v>
      </c>
      <c r="L522" s="18" t="s">
        <v>21</v>
      </c>
    </row>
    <row r="523" ht="15.75" customHeight="1">
      <c r="A523" s="18" t="s">
        <v>26</v>
      </c>
      <c r="B523" s="18" t="s">
        <v>403</v>
      </c>
      <c r="C523" s="18" t="s">
        <v>582</v>
      </c>
      <c r="D523" s="18" t="s">
        <v>7</v>
      </c>
      <c r="E523" s="18" t="s">
        <v>1280</v>
      </c>
      <c r="F523" s="18" t="s">
        <v>1281</v>
      </c>
      <c r="G523" s="18" t="s">
        <v>1238</v>
      </c>
      <c r="H523" s="18" t="s">
        <v>613</v>
      </c>
      <c r="I523" s="18" t="s">
        <v>1282</v>
      </c>
      <c r="J523" s="189" t="s">
        <v>615</v>
      </c>
      <c r="K523" s="190">
        <v>902.0</v>
      </c>
      <c r="L523" s="18" t="s">
        <v>21</v>
      </c>
    </row>
    <row r="524" ht="15.75" customHeight="1">
      <c r="A524" s="18" t="s">
        <v>26</v>
      </c>
      <c r="B524" s="18" t="s">
        <v>403</v>
      </c>
      <c r="C524" s="18" t="s">
        <v>582</v>
      </c>
      <c r="D524" s="18" t="s">
        <v>7</v>
      </c>
      <c r="E524" s="18" t="s">
        <v>1280</v>
      </c>
      <c r="F524" s="18" t="s">
        <v>1281</v>
      </c>
      <c r="G524" s="18" t="s">
        <v>1238</v>
      </c>
      <c r="H524" s="18" t="s">
        <v>613</v>
      </c>
      <c r="I524" s="18" t="s">
        <v>1282</v>
      </c>
      <c r="J524" s="189" t="s">
        <v>615</v>
      </c>
      <c r="K524" s="190">
        <v>903.0</v>
      </c>
      <c r="L524" s="18" t="s">
        <v>21</v>
      </c>
    </row>
    <row r="525" ht="15.75" customHeight="1">
      <c r="A525" s="18" t="s">
        <v>26</v>
      </c>
      <c r="B525" s="18" t="s">
        <v>403</v>
      </c>
      <c r="C525" s="18" t="s">
        <v>582</v>
      </c>
      <c r="D525" s="18" t="s">
        <v>7</v>
      </c>
      <c r="E525" s="18" t="s">
        <v>1280</v>
      </c>
      <c r="F525" s="18" t="s">
        <v>1281</v>
      </c>
      <c r="G525" s="18" t="s">
        <v>1238</v>
      </c>
      <c r="H525" s="18" t="s">
        <v>613</v>
      </c>
      <c r="I525" s="18" t="s">
        <v>1282</v>
      </c>
      <c r="J525" s="189" t="s">
        <v>615</v>
      </c>
      <c r="K525" s="190">
        <v>903.0</v>
      </c>
      <c r="L525" s="18" t="s">
        <v>21</v>
      </c>
    </row>
    <row r="526" ht="15.75" customHeight="1">
      <c r="A526" s="18" t="s">
        <v>26</v>
      </c>
      <c r="B526" s="18" t="s">
        <v>403</v>
      </c>
      <c r="C526" s="18" t="s">
        <v>582</v>
      </c>
      <c r="D526" s="18" t="s">
        <v>7</v>
      </c>
      <c r="E526" s="18" t="s">
        <v>1280</v>
      </c>
      <c r="F526" s="18" t="s">
        <v>1281</v>
      </c>
      <c r="G526" s="18" t="s">
        <v>1238</v>
      </c>
      <c r="H526" s="18" t="s">
        <v>613</v>
      </c>
      <c r="I526" s="18" t="s">
        <v>1282</v>
      </c>
      <c r="J526" s="189" t="s">
        <v>615</v>
      </c>
      <c r="K526" s="190">
        <v>903.0</v>
      </c>
      <c r="L526" s="18" t="s">
        <v>21</v>
      </c>
    </row>
    <row r="527" ht="15.75" customHeight="1">
      <c r="A527" s="18" t="s">
        <v>26</v>
      </c>
      <c r="B527" s="18" t="s">
        <v>403</v>
      </c>
      <c r="C527" s="18" t="s">
        <v>582</v>
      </c>
      <c r="D527" s="18" t="s">
        <v>7</v>
      </c>
      <c r="E527" s="18" t="s">
        <v>1280</v>
      </c>
      <c r="F527" s="18" t="s">
        <v>1281</v>
      </c>
      <c r="G527" s="18" t="s">
        <v>1238</v>
      </c>
      <c r="H527" s="18" t="s">
        <v>613</v>
      </c>
      <c r="I527" s="18" t="s">
        <v>1282</v>
      </c>
      <c r="J527" s="189" t="s">
        <v>615</v>
      </c>
      <c r="K527" s="190">
        <v>903.0</v>
      </c>
      <c r="L527" s="18" t="s">
        <v>21</v>
      </c>
    </row>
    <row r="528" ht="15.75" customHeight="1">
      <c r="A528" s="18" t="s">
        <v>26</v>
      </c>
      <c r="B528" s="18" t="s">
        <v>403</v>
      </c>
      <c r="C528" s="18" t="s">
        <v>582</v>
      </c>
      <c r="D528" s="18" t="s">
        <v>7</v>
      </c>
      <c r="E528" s="18" t="s">
        <v>1280</v>
      </c>
      <c r="F528" s="18" t="s">
        <v>1281</v>
      </c>
      <c r="G528" s="18" t="s">
        <v>1238</v>
      </c>
      <c r="H528" s="18" t="s">
        <v>613</v>
      </c>
      <c r="I528" s="18" t="s">
        <v>1282</v>
      </c>
      <c r="J528" s="189" t="s">
        <v>615</v>
      </c>
      <c r="K528" s="190">
        <v>903.0</v>
      </c>
      <c r="L528" s="18" t="s">
        <v>21</v>
      </c>
    </row>
    <row r="529" ht="15.75" customHeight="1">
      <c r="A529" s="18" t="s">
        <v>26</v>
      </c>
      <c r="B529" s="18" t="s">
        <v>403</v>
      </c>
      <c r="C529" s="18" t="s">
        <v>582</v>
      </c>
      <c r="D529" s="18" t="s">
        <v>7</v>
      </c>
      <c r="E529" s="18" t="s">
        <v>1280</v>
      </c>
      <c r="F529" s="18" t="s">
        <v>1281</v>
      </c>
      <c r="G529" s="18" t="s">
        <v>1238</v>
      </c>
      <c r="H529" s="18" t="s">
        <v>613</v>
      </c>
      <c r="I529" s="18" t="s">
        <v>1282</v>
      </c>
      <c r="J529" s="189" t="s">
        <v>615</v>
      </c>
      <c r="K529" s="190">
        <v>903.0</v>
      </c>
      <c r="L529" s="18" t="s">
        <v>21</v>
      </c>
    </row>
    <row r="530" ht="15.75" customHeight="1">
      <c r="A530" s="18" t="s">
        <v>26</v>
      </c>
      <c r="B530" s="18" t="s">
        <v>403</v>
      </c>
      <c r="C530" s="18" t="s">
        <v>582</v>
      </c>
      <c r="D530" s="18" t="s">
        <v>7</v>
      </c>
      <c r="E530" s="18" t="s">
        <v>1280</v>
      </c>
      <c r="F530" s="18" t="s">
        <v>1281</v>
      </c>
      <c r="G530" s="18" t="s">
        <v>1238</v>
      </c>
      <c r="H530" s="18" t="s">
        <v>613</v>
      </c>
      <c r="I530" s="18" t="s">
        <v>1282</v>
      </c>
      <c r="J530" s="189" t="s">
        <v>615</v>
      </c>
      <c r="K530" s="190">
        <v>903.0</v>
      </c>
      <c r="L530" s="18" t="s">
        <v>21</v>
      </c>
    </row>
    <row r="531" ht="15.75" customHeight="1">
      <c r="A531" s="18" t="s">
        <v>26</v>
      </c>
      <c r="B531" s="18" t="s">
        <v>403</v>
      </c>
      <c r="C531" s="18" t="s">
        <v>582</v>
      </c>
      <c r="D531" s="18" t="s">
        <v>7</v>
      </c>
      <c r="E531" s="18" t="s">
        <v>1280</v>
      </c>
      <c r="F531" s="18" t="s">
        <v>1281</v>
      </c>
      <c r="G531" s="18" t="s">
        <v>1238</v>
      </c>
      <c r="H531" s="18" t="s">
        <v>613</v>
      </c>
      <c r="I531" s="18" t="s">
        <v>1282</v>
      </c>
      <c r="J531" s="189" t="s">
        <v>615</v>
      </c>
      <c r="K531" s="190">
        <v>903.0</v>
      </c>
      <c r="L531" s="18" t="s">
        <v>21</v>
      </c>
    </row>
    <row r="532" ht="15.75" customHeight="1">
      <c r="A532" s="18" t="s">
        <v>26</v>
      </c>
      <c r="B532" s="18" t="s">
        <v>403</v>
      </c>
      <c r="C532" s="18" t="s">
        <v>582</v>
      </c>
      <c r="D532" s="18" t="s">
        <v>7</v>
      </c>
      <c r="E532" s="18" t="s">
        <v>1280</v>
      </c>
      <c r="F532" s="18" t="s">
        <v>1281</v>
      </c>
      <c r="G532" s="18" t="s">
        <v>1238</v>
      </c>
      <c r="H532" s="18" t="s">
        <v>613</v>
      </c>
      <c r="I532" s="18" t="s">
        <v>1282</v>
      </c>
      <c r="J532" s="189" t="s">
        <v>615</v>
      </c>
      <c r="K532" s="190">
        <v>903.0</v>
      </c>
      <c r="L532" s="18" t="s">
        <v>21</v>
      </c>
    </row>
    <row r="533" ht="15.75" customHeight="1">
      <c r="A533" s="18" t="s">
        <v>26</v>
      </c>
      <c r="B533" s="18" t="s">
        <v>403</v>
      </c>
      <c r="C533" s="18" t="s">
        <v>582</v>
      </c>
      <c r="D533" s="18" t="s">
        <v>7</v>
      </c>
      <c r="E533" s="18" t="s">
        <v>1280</v>
      </c>
      <c r="F533" s="18" t="s">
        <v>1281</v>
      </c>
      <c r="G533" s="18" t="s">
        <v>1238</v>
      </c>
      <c r="H533" s="18" t="s">
        <v>613</v>
      </c>
      <c r="I533" s="18" t="s">
        <v>1282</v>
      </c>
      <c r="J533" s="189" t="s">
        <v>615</v>
      </c>
      <c r="K533" s="190">
        <v>903.0</v>
      </c>
      <c r="L533" s="18" t="s">
        <v>21</v>
      </c>
    </row>
    <row r="534" ht="15.75" customHeight="1">
      <c r="A534" s="18" t="s">
        <v>26</v>
      </c>
      <c r="B534" s="18" t="s">
        <v>403</v>
      </c>
      <c r="C534" s="18" t="s">
        <v>582</v>
      </c>
      <c r="D534" s="18" t="s">
        <v>7</v>
      </c>
      <c r="E534" s="18" t="s">
        <v>1280</v>
      </c>
      <c r="F534" s="18" t="s">
        <v>1281</v>
      </c>
      <c r="G534" s="18" t="s">
        <v>1238</v>
      </c>
      <c r="H534" s="18" t="s">
        <v>613</v>
      </c>
      <c r="I534" s="18" t="s">
        <v>1282</v>
      </c>
      <c r="J534" s="189" t="s">
        <v>615</v>
      </c>
      <c r="K534" s="190">
        <v>903.0</v>
      </c>
      <c r="L534" s="18" t="s">
        <v>21</v>
      </c>
    </row>
    <row r="535" ht="15.75" customHeight="1">
      <c r="A535" s="18" t="s">
        <v>26</v>
      </c>
      <c r="B535" s="18" t="s">
        <v>403</v>
      </c>
      <c r="C535" s="18" t="s">
        <v>582</v>
      </c>
      <c r="D535" s="18" t="s">
        <v>7</v>
      </c>
      <c r="E535" s="18" t="s">
        <v>1280</v>
      </c>
      <c r="F535" s="18" t="s">
        <v>1281</v>
      </c>
      <c r="G535" s="18" t="s">
        <v>1238</v>
      </c>
      <c r="H535" s="18" t="s">
        <v>613</v>
      </c>
      <c r="I535" s="18" t="s">
        <v>1282</v>
      </c>
      <c r="J535" s="189" t="s">
        <v>615</v>
      </c>
      <c r="K535" s="190">
        <v>903.0</v>
      </c>
      <c r="L535" s="18" t="s">
        <v>21</v>
      </c>
    </row>
    <row r="536" ht="15.75" customHeight="1">
      <c r="A536" s="18" t="s">
        <v>26</v>
      </c>
      <c r="B536" s="18" t="s">
        <v>403</v>
      </c>
      <c r="C536" s="18" t="s">
        <v>582</v>
      </c>
      <c r="D536" s="18" t="s">
        <v>7</v>
      </c>
      <c r="E536" s="18" t="s">
        <v>1280</v>
      </c>
      <c r="F536" s="18" t="s">
        <v>1281</v>
      </c>
      <c r="G536" s="18" t="s">
        <v>1238</v>
      </c>
      <c r="H536" s="18" t="s">
        <v>613</v>
      </c>
      <c r="I536" s="18" t="s">
        <v>1282</v>
      </c>
      <c r="J536" s="189" t="s">
        <v>615</v>
      </c>
      <c r="K536" s="190">
        <v>903.0</v>
      </c>
      <c r="L536" s="18" t="s">
        <v>21</v>
      </c>
    </row>
    <row r="537" ht="15.75" customHeight="1">
      <c r="A537" s="18" t="s">
        <v>26</v>
      </c>
      <c r="B537" s="18" t="s">
        <v>403</v>
      </c>
      <c r="C537" s="18" t="s">
        <v>582</v>
      </c>
      <c r="D537" s="18" t="s">
        <v>7</v>
      </c>
      <c r="E537" s="18" t="s">
        <v>1280</v>
      </c>
      <c r="F537" s="18" t="s">
        <v>1281</v>
      </c>
      <c r="G537" s="18" t="s">
        <v>1238</v>
      </c>
      <c r="H537" s="18" t="s">
        <v>613</v>
      </c>
      <c r="I537" s="18" t="s">
        <v>1282</v>
      </c>
      <c r="J537" s="189" t="s">
        <v>615</v>
      </c>
      <c r="K537" s="190">
        <v>903.0</v>
      </c>
      <c r="L537" s="18" t="s">
        <v>21</v>
      </c>
    </row>
    <row r="538" ht="15.75" customHeight="1">
      <c r="A538" s="18" t="s">
        <v>26</v>
      </c>
      <c r="B538" s="18" t="s">
        <v>403</v>
      </c>
      <c r="C538" s="18" t="s">
        <v>582</v>
      </c>
      <c r="D538" s="18" t="s">
        <v>7</v>
      </c>
      <c r="E538" s="18" t="s">
        <v>1280</v>
      </c>
      <c r="F538" s="18" t="s">
        <v>1281</v>
      </c>
      <c r="G538" s="18" t="s">
        <v>1238</v>
      </c>
      <c r="H538" s="18" t="s">
        <v>613</v>
      </c>
      <c r="I538" s="18" t="s">
        <v>1282</v>
      </c>
      <c r="J538" s="189" t="s">
        <v>615</v>
      </c>
      <c r="K538" s="190">
        <v>903.0</v>
      </c>
      <c r="L538" s="18" t="s">
        <v>21</v>
      </c>
    </row>
    <row r="539" ht="15.75" customHeight="1">
      <c r="A539" s="18" t="s">
        <v>26</v>
      </c>
      <c r="B539" s="18" t="s">
        <v>403</v>
      </c>
      <c r="C539" s="18" t="s">
        <v>582</v>
      </c>
      <c r="D539" s="18" t="s">
        <v>7</v>
      </c>
      <c r="E539" s="18" t="s">
        <v>1280</v>
      </c>
      <c r="F539" s="18" t="s">
        <v>1281</v>
      </c>
      <c r="G539" s="18" t="s">
        <v>1238</v>
      </c>
      <c r="H539" s="18" t="s">
        <v>613</v>
      </c>
      <c r="I539" s="18" t="s">
        <v>1282</v>
      </c>
      <c r="J539" s="189" t="s">
        <v>615</v>
      </c>
      <c r="K539" s="190">
        <v>947.0</v>
      </c>
      <c r="L539" s="18" t="s">
        <v>21</v>
      </c>
    </row>
    <row r="540" ht="15.75" customHeight="1">
      <c r="A540" s="18" t="s">
        <v>26</v>
      </c>
      <c r="B540" s="18" t="s">
        <v>403</v>
      </c>
      <c r="C540" s="18" t="s">
        <v>582</v>
      </c>
      <c r="D540" s="18" t="s">
        <v>7</v>
      </c>
      <c r="E540" s="18" t="s">
        <v>1280</v>
      </c>
      <c r="F540" s="18" t="s">
        <v>1281</v>
      </c>
      <c r="G540" s="18" t="s">
        <v>1238</v>
      </c>
      <c r="H540" s="18" t="s">
        <v>613</v>
      </c>
      <c r="I540" s="18" t="s">
        <v>1282</v>
      </c>
      <c r="J540" s="189" t="s">
        <v>615</v>
      </c>
      <c r="K540" s="190">
        <v>948.0</v>
      </c>
      <c r="L540" s="18" t="s">
        <v>21</v>
      </c>
    </row>
    <row r="541" ht="15.75" customHeight="1">
      <c r="A541" s="18" t="s">
        <v>26</v>
      </c>
      <c r="B541" s="18" t="s">
        <v>403</v>
      </c>
      <c r="C541" s="18" t="s">
        <v>582</v>
      </c>
      <c r="D541" s="18" t="s">
        <v>7</v>
      </c>
      <c r="E541" s="18" t="s">
        <v>1280</v>
      </c>
      <c r="F541" s="18" t="s">
        <v>1281</v>
      </c>
      <c r="G541" s="18" t="s">
        <v>1238</v>
      </c>
      <c r="H541" s="18" t="s">
        <v>613</v>
      </c>
      <c r="I541" s="18" t="s">
        <v>1282</v>
      </c>
      <c r="J541" s="189" t="s">
        <v>615</v>
      </c>
      <c r="K541" s="190">
        <v>948.0</v>
      </c>
      <c r="L541" s="18" t="s">
        <v>21</v>
      </c>
    </row>
    <row r="542" ht="15.75" customHeight="1">
      <c r="A542" s="18" t="s">
        <v>26</v>
      </c>
      <c r="B542" s="18" t="s">
        <v>403</v>
      </c>
      <c r="C542" s="18" t="s">
        <v>582</v>
      </c>
      <c r="D542" s="18" t="s">
        <v>7</v>
      </c>
      <c r="E542" s="18" t="s">
        <v>1280</v>
      </c>
      <c r="F542" s="18" t="s">
        <v>1281</v>
      </c>
      <c r="G542" s="18" t="s">
        <v>1238</v>
      </c>
      <c r="H542" s="18" t="s">
        <v>613</v>
      </c>
      <c r="I542" s="18" t="s">
        <v>1282</v>
      </c>
      <c r="J542" s="189" t="s">
        <v>615</v>
      </c>
      <c r="K542" s="190">
        <v>948.0</v>
      </c>
      <c r="L542" s="18" t="s">
        <v>21</v>
      </c>
    </row>
    <row r="543" ht="15.75" customHeight="1">
      <c r="A543" s="18" t="s">
        <v>26</v>
      </c>
      <c r="B543" s="18" t="s">
        <v>403</v>
      </c>
      <c r="C543" s="18" t="s">
        <v>582</v>
      </c>
      <c r="D543" s="18" t="s">
        <v>7</v>
      </c>
      <c r="E543" s="18" t="s">
        <v>1280</v>
      </c>
      <c r="F543" s="18" t="s">
        <v>1281</v>
      </c>
      <c r="G543" s="18" t="s">
        <v>1238</v>
      </c>
      <c r="H543" s="18" t="s">
        <v>613</v>
      </c>
      <c r="I543" s="18" t="s">
        <v>1282</v>
      </c>
      <c r="J543" s="189" t="s">
        <v>615</v>
      </c>
      <c r="K543" s="190">
        <v>948.0</v>
      </c>
      <c r="L543" s="18" t="s">
        <v>21</v>
      </c>
    </row>
    <row r="544" ht="15.75" customHeight="1">
      <c r="A544" s="18" t="s">
        <v>26</v>
      </c>
      <c r="B544" s="18" t="s">
        <v>403</v>
      </c>
      <c r="C544" s="18" t="s">
        <v>582</v>
      </c>
      <c r="D544" s="18" t="s">
        <v>7</v>
      </c>
      <c r="E544" s="18" t="s">
        <v>1280</v>
      </c>
      <c r="F544" s="18" t="s">
        <v>1281</v>
      </c>
      <c r="G544" s="18" t="s">
        <v>1238</v>
      </c>
      <c r="H544" s="18" t="s">
        <v>613</v>
      </c>
      <c r="I544" s="18" t="s">
        <v>1282</v>
      </c>
      <c r="J544" s="189" t="s">
        <v>615</v>
      </c>
      <c r="K544" s="190">
        <v>948.0</v>
      </c>
      <c r="L544" s="18" t="s">
        <v>21</v>
      </c>
    </row>
    <row r="545" ht="15.75" customHeight="1">
      <c r="A545" s="18" t="s">
        <v>26</v>
      </c>
      <c r="B545" s="18" t="s">
        <v>403</v>
      </c>
      <c r="C545" s="18" t="s">
        <v>582</v>
      </c>
      <c r="D545" s="18" t="s">
        <v>7</v>
      </c>
      <c r="E545" s="18" t="s">
        <v>1280</v>
      </c>
      <c r="F545" s="18" t="s">
        <v>1281</v>
      </c>
      <c r="G545" s="18" t="s">
        <v>1238</v>
      </c>
      <c r="H545" s="18" t="s">
        <v>613</v>
      </c>
      <c r="I545" s="18" t="s">
        <v>1282</v>
      </c>
      <c r="J545" s="189" t="s">
        <v>615</v>
      </c>
      <c r="K545" s="190">
        <v>948.0</v>
      </c>
      <c r="L545" s="18" t="s">
        <v>21</v>
      </c>
    </row>
    <row r="546" ht="15.75" customHeight="1">
      <c r="A546" s="18" t="s">
        <v>26</v>
      </c>
      <c r="B546" s="18" t="s">
        <v>403</v>
      </c>
      <c r="C546" s="18" t="s">
        <v>582</v>
      </c>
      <c r="D546" s="18" t="s">
        <v>7</v>
      </c>
      <c r="E546" s="18" t="s">
        <v>1280</v>
      </c>
      <c r="F546" s="18" t="s">
        <v>1281</v>
      </c>
      <c r="G546" s="18" t="s">
        <v>1238</v>
      </c>
      <c r="H546" s="18" t="s">
        <v>613</v>
      </c>
      <c r="I546" s="18" t="s">
        <v>1282</v>
      </c>
      <c r="J546" s="189" t="s">
        <v>615</v>
      </c>
      <c r="K546" s="190">
        <v>948.0</v>
      </c>
      <c r="L546" s="18" t="s">
        <v>21</v>
      </c>
    </row>
    <row r="547" ht="15.75" customHeight="1">
      <c r="A547" s="18" t="s">
        <v>26</v>
      </c>
      <c r="B547" s="18" t="s">
        <v>403</v>
      </c>
      <c r="C547" s="18" t="s">
        <v>582</v>
      </c>
      <c r="D547" s="18" t="s">
        <v>7</v>
      </c>
      <c r="E547" s="18" t="s">
        <v>1280</v>
      </c>
      <c r="F547" s="18" t="s">
        <v>1281</v>
      </c>
      <c r="G547" s="18" t="s">
        <v>1238</v>
      </c>
      <c r="H547" s="18" t="s">
        <v>613</v>
      </c>
      <c r="I547" s="18" t="s">
        <v>1282</v>
      </c>
      <c r="J547" s="189" t="s">
        <v>615</v>
      </c>
      <c r="K547" s="190">
        <v>948.0</v>
      </c>
      <c r="L547" s="18" t="s">
        <v>21</v>
      </c>
    </row>
    <row r="548" ht="15.75" customHeight="1">
      <c r="A548" s="18" t="s">
        <v>26</v>
      </c>
      <c r="B548" s="18" t="s">
        <v>403</v>
      </c>
      <c r="C548" s="18" t="s">
        <v>582</v>
      </c>
      <c r="D548" s="18" t="s">
        <v>7</v>
      </c>
      <c r="E548" s="18" t="s">
        <v>1280</v>
      </c>
      <c r="F548" s="18" t="s">
        <v>1281</v>
      </c>
      <c r="G548" s="18" t="s">
        <v>1238</v>
      </c>
      <c r="H548" s="18" t="s">
        <v>613</v>
      </c>
      <c r="I548" s="18" t="s">
        <v>1282</v>
      </c>
      <c r="J548" s="189" t="s">
        <v>615</v>
      </c>
      <c r="K548" s="190">
        <v>948.0</v>
      </c>
      <c r="L548" s="18" t="s">
        <v>21</v>
      </c>
    </row>
    <row r="549" ht="15.75" customHeight="1">
      <c r="A549" s="18" t="s">
        <v>26</v>
      </c>
      <c r="B549" s="18" t="s">
        <v>403</v>
      </c>
      <c r="C549" s="18" t="s">
        <v>582</v>
      </c>
      <c r="D549" s="18" t="s">
        <v>7</v>
      </c>
      <c r="E549" s="18" t="s">
        <v>1280</v>
      </c>
      <c r="F549" s="18" t="s">
        <v>1281</v>
      </c>
      <c r="G549" s="18" t="s">
        <v>1238</v>
      </c>
      <c r="H549" s="18" t="s">
        <v>613</v>
      </c>
      <c r="I549" s="18" t="s">
        <v>1282</v>
      </c>
      <c r="J549" s="189" t="s">
        <v>615</v>
      </c>
      <c r="K549" s="190">
        <v>948.0</v>
      </c>
      <c r="L549" s="18" t="s">
        <v>21</v>
      </c>
    </row>
    <row r="550" ht="15.75" customHeight="1">
      <c r="A550" s="18" t="s">
        <v>26</v>
      </c>
      <c r="B550" s="18" t="s">
        <v>403</v>
      </c>
      <c r="C550" s="18" t="s">
        <v>582</v>
      </c>
      <c r="D550" s="18" t="s">
        <v>7</v>
      </c>
      <c r="E550" s="18" t="s">
        <v>1280</v>
      </c>
      <c r="F550" s="18" t="s">
        <v>1281</v>
      </c>
      <c r="G550" s="18" t="s">
        <v>1238</v>
      </c>
      <c r="H550" s="18" t="s">
        <v>613</v>
      </c>
      <c r="I550" s="18" t="s">
        <v>1282</v>
      </c>
      <c r="J550" s="189" t="s">
        <v>615</v>
      </c>
      <c r="K550" s="190">
        <v>948.0</v>
      </c>
      <c r="L550" s="18" t="s">
        <v>21</v>
      </c>
    </row>
    <row r="551" ht="15.75" customHeight="1">
      <c r="A551" s="18" t="s">
        <v>26</v>
      </c>
      <c r="B551" s="18" t="s">
        <v>403</v>
      </c>
      <c r="C551" s="18" t="s">
        <v>582</v>
      </c>
      <c r="D551" s="18" t="s">
        <v>7</v>
      </c>
      <c r="E551" s="18" t="s">
        <v>1280</v>
      </c>
      <c r="F551" s="18" t="s">
        <v>1281</v>
      </c>
      <c r="G551" s="18" t="s">
        <v>1238</v>
      </c>
      <c r="H551" s="18" t="s">
        <v>613</v>
      </c>
      <c r="I551" s="18" t="s">
        <v>1282</v>
      </c>
      <c r="J551" s="189" t="s">
        <v>615</v>
      </c>
      <c r="K551" s="190">
        <v>948.0</v>
      </c>
      <c r="L551" s="18" t="s">
        <v>21</v>
      </c>
    </row>
    <row r="552" ht="15.75" customHeight="1">
      <c r="A552" s="18" t="s">
        <v>26</v>
      </c>
      <c r="B552" s="18" t="s">
        <v>403</v>
      </c>
      <c r="C552" s="18" t="s">
        <v>582</v>
      </c>
      <c r="D552" s="18" t="s">
        <v>7</v>
      </c>
      <c r="E552" s="18" t="s">
        <v>1280</v>
      </c>
      <c r="F552" s="18" t="s">
        <v>1281</v>
      </c>
      <c r="G552" s="18" t="s">
        <v>1238</v>
      </c>
      <c r="H552" s="18" t="s">
        <v>613</v>
      </c>
      <c r="I552" s="18" t="s">
        <v>1282</v>
      </c>
      <c r="J552" s="189" t="s">
        <v>615</v>
      </c>
      <c r="K552" s="190">
        <v>948.0</v>
      </c>
      <c r="L552" s="18" t="s">
        <v>21</v>
      </c>
    </row>
    <row r="553" ht="15.75" customHeight="1">
      <c r="A553" s="18" t="s">
        <v>26</v>
      </c>
      <c r="B553" s="18" t="s">
        <v>403</v>
      </c>
      <c r="C553" s="18" t="s">
        <v>582</v>
      </c>
      <c r="D553" s="18" t="s">
        <v>7</v>
      </c>
      <c r="E553" s="18" t="s">
        <v>1280</v>
      </c>
      <c r="F553" s="18" t="s">
        <v>1281</v>
      </c>
      <c r="G553" s="18" t="s">
        <v>1238</v>
      </c>
      <c r="H553" s="18" t="s">
        <v>613</v>
      </c>
      <c r="I553" s="18" t="s">
        <v>1282</v>
      </c>
      <c r="J553" s="189" t="s">
        <v>615</v>
      </c>
      <c r="K553" s="190">
        <v>997.0</v>
      </c>
      <c r="L553" s="18" t="s">
        <v>21</v>
      </c>
    </row>
    <row r="554" ht="15.75" customHeight="1">
      <c r="A554" s="18" t="s">
        <v>26</v>
      </c>
      <c r="B554" s="18" t="s">
        <v>403</v>
      </c>
      <c r="C554" s="18" t="s">
        <v>582</v>
      </c>
      <c r="D554" s="18" t="s">
        <v>7</v>
      </c>
      <c r="E554" s="18" t="s">
        <v>1280</v>
      </c>
      <c r="F554" s="18" t="s">
        <v>1281</v>
      </c>
      <c r="G554" s="18" t="s">
        <v>1238</v>
      </c>
      <c r="H554" s="18" t="s">
        <v>613</v>
      </c>
      <c r="I554" s="18" t="s">
        <v>1282</v>
      </c>
      <c r="J554" s="189" t="s">
        <v>615</v>
      </c>
      <c r="K554" s="190">
        <v>948.0</v>
      </c>
      <c r="L554" s="18" t="s">
        <v>21</v>
      </c>
    </row>
    <row r="555" ht="15.75" customHeight="1">
      <c r="A555" s="21" t="s">
        <v>27</v>
      </c>
      <c r="B555" s="21" t="s">
        <v>75</v>
      </c>
      <c r="C555" s="21" t="s">
        <v>515</v>
      </c>
      <c r="D555" s="21" t="s">
        <v>7</v>
      </c>
      <c r="E555" s="21" t="s">
        <v>1283</v>
      </c>
      <c r="F555" s="21" t="s">
        <v>1170</v>
      </c>
      <c r="G555" s="21" t="s">
        <v>1165</v>
      </c>
      <c r="H555" s="21" t="s">
        <v>1284</v>
      </c>
      <c r="I555" s="21" t="s">
        <v>1285</v>
      </c>
      <c r="J555" s="191" t="s">
        <v>1286</v>
      </c>
      <c r="K555" s="192">
        <v>14000.0</v>
      </c>
      <c r="L555" s="66" t="s">
        <v>148</v>
      </c>
    </row>
    <row r="556" ht="15.75" customHeight="1">
      <c r="A556" s="21" t="s">
        <v>27</v>
      </c>
      <c r="B556" s="21" t="s">
        <v>77</v>
      </c>
      <c r="C556" s="21" t="s">
        <v>515</v>
      </c>
      <c r="D556" s="21" t="s">
        <v>7</v>
      </c>
      <c r="E556" s="21" t="s">
        <v>1287</v>
      </c>
      <c r="F556" s="21" t="s">
        <v>1185</v>
      </c>
      <c r="G556" s="21" t="s">
        <v>1288</v>
      </c>
      <c r="H556" s="21" t="s">
        <v>683</v>
      </c>
      <c r="I556" s="21" t="s">
        <v>1021</v>
      </c>
      <c r="J556" s="191" t="s">
        <v>1289</v>
      </c>
      <c r="K556" s="192">
        <v>24975.0</v>
      </c>
      <c r="L556" s="66" t="s">
        <v>148</v>
      </c>
    </row>
    <row r="557" ht="15.75" customHeight="1">
      <c r="A557" s="21" t="s">
        <v>27</v>
      </c>
      <c r="B557" s="21" t="s">
        <v>77</v>
      </c>
      <c r="C557" s="21" t="s">
        <v>1290</v>
      </c>
      <c r="D557" s="21" t="s">
        <v>7</v>
      </c>
      <c r="E557" s="21" t="s">
        <v>1291</v>
      </c>
      <c r="F557" s="21" t="s">
        <v>1185</v>
      </c>
      <c r="G557" s="21" t="s">
        <v>1288</v>
      </c>
      <c r="H557" s="21" t="s">
        <v>645</v>
      </c>
      <c r="I557" s="21" t="s">
        <v>1292</v>
      </c>
      <c r="J557" s="191" t="s">
        <v>1293</v>
      </c>
      <c r="K557" s="192">
        <v>433983.0</v>
      </c>
      <c r="L557" s="66" t="s">
        <v>148</v>
      </c>
    </row>
    <row r="558" ht="15.75" customHeight="1">
      <c r="A558" s="21" t="s">
        <v>27</v>
      </c>
      <c r="B558" s="21" t="s">
        <v>77</v>
      </c>
      <c r="C558" s="21" t="s">
        <v>637</v>
      </c>
      <c r="D558" s="21" t="s">
        <v>7</v>
      </c>
      <c r="E558" s="21" t="s">
        <v>1291</v>
      </c>
      <c r="F558" s="21" t="s">
        <v>1185</v>
      </c>
      <c r="G558" s="21" t="s">
        <v>1288</v>
      </c>
      <c r="H558" s="21" t="s">
        <v>645</v>
      </c>
      <c r="I558" s="21" t="s">
        <v>1292</v>
      </c>
      <c r="J558" s="191" t="s">
        <v>510</v>
      </c>
      <c r="K558" s="192">
        <v>52078.0</v>
      </c>
      <c r="L558" s="66" t="s">
        <v>148</v>
      </c>
    </row>
    <row r="559" ht="15.75" customHeight="1">
      <c r="A559" s="21" t="s">
        <v>27</v>
      </c>
      <c r="B559" s="21" t="s">
        <v>77</v>
      </c>
      <c r="C559" s="21" t="s">
        <v>444</v>
      </c>
      <c r="D559" s="21" t="s">
        <v>7</v>
      </c>
      <c r="E559" s="21" t="s">
        <v>1245</v>
      </c>
      <c r="F559" s="21" t="s">
        <v>1246</v>
      </c>
      <c r="G559" s="21" t="s">
        <v>1247</v>
      </c>
      <c r="H559" s="21" t="s">
        <v>871</v>
      </c>
      <c r="I559" s="21" t="s">
        <v>917</v>
      </c>
      <c r="J559" s="191" t="s">
        <v>1294</v>
      </c>
      <c r="K559" s="192">
        <v>229.0</v>
      </c>
      <c r="L559" s="21" t="s">
        <v>21</v>
      </c>
    </row>
    <row r="560" ht="15.75" customHeight="1">
      <c r="A560" s="21" t="s">
        <v>27</v>
      </c>
      <c r="B560" s="21" t="s">
        <v>77</v>
      </c>
      <c r="C560" s="21" t="s">
        <v>515</v>
      </c>
      <c r="D560" s="21" t="s">
        <v>7</v>
      </c>
      <c r="E560" s="21" t="s">
        <v>1295</v>
      </c>
      <c r="F560" s="21" t="s">
        <v>1150</v>
      </c>
      <c r="G560" s="21" t="s">
        <v>1163</v>
      </c>
      <c r="H560" s="21" t="s">
        <v>301</v>
      </c>
      <c r="I560" s="21" t="s">
        <v>301</v>
      </c>
      <c r="J560" s="191" t="s">
        <v>1296</v>
      </c>
      <c r="K560" s="192">
        <v>9821.0</v>
      </c>
      <c r="L560" s="66" t="s">
        <v>148</v>
      </c>
    </row>
    <row r="561" ht="15.75" customHeight="1">
      <c r="A561" s="21" t="s">
        <v>27</v>
      </c>
      <c r="B561" s="21" t="s">
        <v>77</v>
      </c>
      <c r="C561" s="21" t="s">
        <v>459</v>
      </c>
      <c r="D561" s="21" t="s">
        <v>7</v>
      </c>
      <c r="E561" s="21" t="s">
        <v>1149</v>
      </c>
      <c r="F561" s="21" t="s">
        <v>1150</v>
      </c>
      <c r="G561" s="21" t="s">
        <v>1159</v>
      </c>
      <c r="H561" s="21" t="s">
        <v>451</v>
      </c>
      <c r="I561" s="21" t="s">
        <v>1152</v>
      </c>
      <c r="J561" s="191" t="s">
        <v>670</v>
      </c>
      <c r="K561" s="192">
        <v>199.0</v>
      </c>
      <c r="L561" s="21" t="s">
        <v>21</v>
      </c>
    </row>
    <row r="562" ht="15.75" customHeight="1">
      <c r="A562" s="24" t="s">
        <v>28</v>
      </c>
      <c r="B562" s="24" t="s">
        <v>28</v>
      </c>
      <c r="C562" s="24" t="s">
        <v>685</v>
      </c>
      <c r="D562" s="24" t="s">
        <v>7</v>
      </c>
      <c r="E562" s="24" t="s">
        <v>1297</v>
      </c>
      <c r="F562" s="24" t="s">
        <v>1201</v>
      </c>
      <c r="G562" s="24" t="s">
        <v>1298</v>
      </c>
      <c r="H562" s="24" t="s">
        <v>688</v>
      </c>
      <c r="I562" s="24" t="s">
        <v>689</v>
      </c>
      <c r="J562" s="193" t="s">
        <v>1299</v>
      </c>
      <c r="K562" s="194">
        <v>7193.0</v>
      </c>
      <c r="L562" s="24" t="s">
        <v>21</v>
      </c>
    </row>
    <row r="563" ht="15.75" customHeight="1">
      <c r="A563" s="24" t="s">
        <v>28</v>
      </c>
      <c r="B563" s="24" t="s">
        <v>28</v>
      </c>
      <c r="C563" s="24" t="s">
        <v>444</v>
      </c>
      <c r="D563" s="24" t="s">
        <v>7</v>
      </c>
      <c r="E563" s="24" t="s">
        <v>1297</v>
      </c>
      <c r="F563" s="24" t="s">
        <v>1201</v>
      </c>
      <c r="G563" s="24" t="s">
        <v>1300</v>
      </c>
      <c r="H563" s="24" t="s">
        <v>688</v>
      </c>
      <c r="I563" s="24" t="s">
        <v>1301</v>
      </c>
      <c r="J563" s="193" t="s">
        <v>1301</v>
      </c>
      <c r="K563" s="194">
        <v>94399.0</v>
      </c>
      <c r="L563" s="24" t="s">
        <v>21</v>
      </c>
    </row>
    <row r="564" ht="15.75" customHeight="1">
      <c r="A564" s="24" t="s">
        <v>28</v>
      </c>
      <c r="B564" s="24" t="s">
        <v>28</v>
      </c>
      <c r="C564" s="24" t="s">
        <v>685</v>
      </c>
      <c r="D564" s="24" t="s">
        <v>7</v>
      </c>
      <c r="E564" s="24" t="s">
        <v>1297</v>
      </c>
      <c r="F564" s="24" t="s">
        <v>1201</v>
      </c>
      <c r="G564" s="24" t="s">
        <v>1302</v>
      </c>
      <c r="H564" s="24" t="s">
        <v>688</v>
      </c>
      <c r="I564" s="24" t="s">
        <v>693</v>
      </c>
      <c r="J564" s="193" t="s">
        <v>1303</v>
      </c>
      <c r="K564" s="194">
        <v>4077.0</v>
      </c>
      <c r="L564" s="24" t="s">
        <v>21</v>
      </c>
    </row>
    <row r="565" ht="15.75" customHeight="1">
      <c r="A565" s="24" t="s">
        <v>28</v>
      </c>
      <c r="B565" s="24" t="s">
        <v>28</v>
      </c>
      <c r="C565" s="24" t="s">
        <v>685</v>
      </c>
      <c r="D565" s="24" t="s">
        <v>7</v>
      </c>
      <c r="E565" s="24" t="s">
        <v>1297</v>
      </c>
      <c r="F565" s="24" t="s">
        <v>1201</v>
      </c>
      <c r="G565" s="24" t="s">
        <v>1304</v>
      </c>
      <c r="H565" s="24" t="s">
        <v>688</v>
      </c>
      <c r="I565" s="24" t="s">
        <v>693</v>
      </c>
      <c r="J565" s="193" t="s">
        <v>1305</v>
      </c>
      <c r="K565" s="194">
        <v>47615.0</v>
      </c>
      <c r="L565" s="24" t="s">
        <v>21</v>
      </c>
    </row>
    <row r="566" ht="15.75" customHeight="1">
      <c r="A566" s="24" t="s">
        <v>28</v>
      </c>
      <c r="B566" s="24" t="s">
        <v>28</v>
      </c>
      <c r="C566" s="24" t="s">
        <v>444</v>
      </c>
      <c r="D566" s="24" t="s">
        <v>7</v>
      </c>
      <c r="E566" s="24" t="s">
        <v>1297</v>
      </c>
      <c r="F566" s="24" t="s">
        <v>1201</v>
      </c>
      <c r="G566" s="24" t="s">
        <v>1306</v>
      </c>
      <c r="H566" s="24" t="s">
        <v>688</v>
      </c>
      <c r="I566" s="24" t="s">
        <v>1301</v>
      </c>
      <c r="J566" s="193" t="s">
        <v>1301</v>
      </c>
      <c r="K566" s="194">
        <v>101757.0</v>
      </c>
      <c r="L566" s="24" t="s">
        <v>21</v>
      </c>
    </row>
    <row r="567" ht="15.75" customHeight="1">
      <c r="A567" s="24" t="s">
        <v>28</v>
      </c>
      <c r="B567" s="24" t="s">
        <v>28</v>
      </c>
      <c r="C567" s="24" t="s">
        <v>685</v>
      </c>
      <c r="D567" s="24" t="s">
        <v>7</v>
      </c>
      <c r="E567" s="24" t="s">
        <v>1297</v>
      </c>
      <c r="F567" s="24" t="s">
        <v>1201</v>
      </c>
      <c r="G567" s="24" t="s">
        <v>959</v>
      </c>
      <c r="H567" s="24" t="s">
        <v>688</v>
      </c>
      <c r="I567" s="24" t="s">
        <v>693</v>
      </c>
      <c r="J567" s="193" t="s">
        <v>1307</v>
      </c>
      <c r="K567" s="194">
        <v>3565.0</v>
      </c>
      <c r="L567" s="24" t="s">
        <v>21</v>
      </c>
    </row>
    <row r="568" ht="15.75" customHeight="1">
      <c r="A568" s="24" t="s">
        <v>28</v>
      </c>
      <c r="B568" s="24" t="s">
        <v>28</v>
      </c>
      <c r="C568" s="24" t="s">
        <v>685</v>
      </c>
      <c r="D568" s="24" t="s">
        <v>7</v>
      </c>
      <c r="E568" s="24" t="s">
        <v>1297</v>
      </c>
      <c r="F568" s="24" t="s">
        <v>1201</v>
      </c>
      <c r="G568" s="24" t="s">
        <v>1308</v>
      </c>
      <c r="H568" s="24" t="s">
        <v>688</v>
      </c>
      <c r="I568" s="24" t="s">
        <v>693</v>
      </c>
      <c r="J568" s="193" t="s">
        <v>1309</v>
      </c>
      <c r="K568" s="194">
        <v>42619.0</v>
      </c>
      <c r="L568" s="24" t="s">
        <v>21</v>
      </c>
    </row>
    <row r="569" ht="15.75" customHeight="1">
      <c r="A569" s="24" t="s">
        <v>28</v>
      </c>
      <c r="B569" s="24" t="s">
        <v>28</v>
      </c>
      <c r="C569" s="24" t="s">
        <v>685</v>
      </c>
      <c r="D569" s="24" t="s">
        <v>7</v>
      </c>
      <c r="E569" s="24" t="s">
        <v>1297</v>
      </c>
      <c r="F569" s="24" t="s">
        <v>1201</v>
      </c>
      <c r="G569" s="24" t="s">
        <v>1310</v>
      </c>
      <c r="H569" s="24" t="s">
        <v>688</v>
      </c>
      <c r="I569" s="24" t="s">
        <v>697</v>
      </c>
      <c r="J569" s="193" t="s">
        <v>697</v>
      </c>
      <c r="K569" s="194">
        <v>1505.0</v>
      </c>
      <c r="L569" s="24" t="s">
        <v>21</v>
      </c>
    </row>
    <row r="570" ht="15.75" customHeight="1">
      <c r="A570" s="24" t="s">
        <v>28</v>
      </c>
      <c r="B570" s="24" t="s">
        <v>28</v>
      </c>
      <c r="C570" s="24" t="s">
        <v>459</v>
      </c>
      <c r="D570" s="24" t="s">
        <v>7</v>
      </c>
      <c r="E570" s="24" t="s">
        <v>1311</v>
      </c>
      <c r="F570" s="24" t="s">
        <v>1201</v>
      </c>
      <c r="G570" s="24" t="s">
        <v>1312</v>
      </c>
      <c r="H570" s="24" t="s">
        <v>617</v>
      </c>
      <c r="I570" s="24" t="s">
        <v>617</v>
      </c>
      <c r="J570" s="193" t="s">
        <v>1048</v>
      </c>
      <c r="K570" s="194">
        <v>749.0</v>
      </c>
      <c r="L570" s="24" t="s">
        <v>21</v>
      </c>
    </row>
    <row r="571" ht="15.75" customHeight="1">
      <c r="A571" s="24" t="s">
        <v>28</v>
      </c>
      <c r="B571" s="24" t="s">
        <v>28</v>
      </c>
      <c r="C571" s="24" t="s">
        <v>705</v>
      </c>
      <c r="D571" s="24" t="s">
        <v>7</v>
      </c>
      <c r="E571" s="24" t="s">
        <v>1313</v>
      </c>
      <c r="F571" s="24" t="s">
        <v>1241</v>
      </c>
      <c r="G571" s="24" t="s">
        <v>1314</v>
      </c>
      <c r="H571" s="24" t="s">
        <v>707</v>
      </c>
      <c r="I571" s="24" t="s">
        <v>707</v>
      </c>
      <c r="J571" s="193" t="s">
        <v>1315</v>
      </c>
      <c r="K571" s="194">
        <v>619920.0</v>
      </c>
      <c r="L571" s="67" t="s">
        <v>148</v>
      </c>
    </row>
    <row r="572" ht="15.75" customHeight="1">
      <c r="A572" s="24" t="s">
        <v>28</v>
      </c>
      <c r="B572" s="24" t="s">
        <v>28</v>
      </c>
      <c r="C572" s="24" t="s">
        <v>705</v>
      </c>
      <c r="D572" s="24" t="s">
        <v>7</v>
      </c>
      <c r="E572" s="24" t="s">
        <v>1313</v>
      </c>
      <c r="F572" s="24" t="s">
        <v>1241</v>
      </c>
      <c r="G572" s="24" t="s">
        <v>1316</v>
      </c>
      <c r="H572" s="24" t="s">
        <v>707</v>
      </c>
      <c r="I572" s="24" t="s">
        <v>707</v>
      </c>
      <c r="J572" s="193" t="s">
        <v>1317</v>
      </c>
      <c r="K572" s="194">
        <v>619920.0</v>
      </c>
      <c r="L572" s="67" t="s">
        <v>148</v>
      </c>
    </row>
    <row r="573" ht="15.75" customHeight="1">
      <c r="A573" s="24" t="s">
        <v>28</v>
      </c>
      <c r="B573" s="24" t="s">
        <v>28</v>
      </c>
      <c r="C573" s="24" t="s">
        <v>466</v>
      </c>
      <c r="D573" s="24" t="s">
        <v>7</v>
      </c>
      <c r="E573" s="24" t="s">
        <v>1169</v>
      </c>
      <c r="F573" s="24" t="s">
        <v>1170</v>
      </c>
      <c r="G573" s="24" t="s">
        <v>1160</v>
      </c>
      <c r="H573" s="24" t="s">
        <v>617</v>
      </c>
      <c r="I573" s="24" t="s">
        <v>1318</v>
      </c>
      <c r="J573" s="193" t="s">
        <v>1319</v>
      </c>
      <c r="K573" s="194">
        <v>700.0</v>
      </c>
      <c r="L573" s="24" t="s">
        <v>21</v>
      </c>
    </row>
    <row r="574" ht="15.75" customHeight="1">
      <c r="A574" s="24" t="s">
        <v>28</v>
      </c>
      <c r="B574" s="24" t="s">
        <v>28</v>
      </c>
      <c r="C574" s="24" t="s">
        <v>466</v>
      </c>
      <c r="D574" s="24" t="s">
        <v>7</v>
      </c>
      <c r="E574" s="24" t="s">
        <v>1169</v>
      </c>
      <c r="F574" s="24" t="s">
        <v>1170</v>
      </c>
      <c r="G574" s="24" t="s">
        <v>1163</v>
      </c>
      <c r="H574" s="24" t="s">
        <v>617</v>
      </c>
      <c r="I574" s="24" t="s">
        <v>1318</v>
      </c>
      <c r="J574" s="193" t="s">
        <v>1320</v>
      </c>
      <c r="K574" s="194">
        <v>700.0</v>
      </c>
      <c r="L574" s="24" t="s">
        <v>21</v>
      </c>
    </row>
    <row r="575" ht="15.75" customHeight="1">
      <c r="A575" s="24" t="s">
        <v>28</v>
      </c>
      <c r="B575" s="24" t="s">
        <v>28</v>
      </c>
      <c r="C575" s="24" t="s">
        <v>466</v>
      </c>
      <c r="D575" s="24" t="s">
        <v>7</v>
      </c>
      <c r="E575" s="24" t="s">
        <v>1173</v>
      </c>
      <c r="F575" s="24" t="s">
        <v>1170</v>
      </c>
      <c r="G575" s="24" t="s">
        <v>1160</v>
      </c>
      <c r="H575" s="24" t="s">
        <v>683</v>
      </c>
      <c r="I575" s="24" t="s">
        <v>1318</v>
      </c>
      <c r="J575" s="193" t="s">
        <v>1319</v>
      </c>
      <c r="K575" s="194">
        <v>700.0</v>
      </c>
      <c r="L575" s="24" t="s">
        <v>21</v>
      </c>
    </row>
    <row r="576" ht="15.75" customHeight="1">
      <c r="A576" s="24" t="s">
        <v>28</v>
      </c>
      <c r="B576" s="24" t="s">
        <v>28</v>
      </c>
      <c r="C576" s="24" t="s">
        <v>466</v>
      </c>
      <c r="D576" s="24" t="s">
        <v>7</v>
      </c>
      <c r="E576" s="24" t="s">
        <v>1173</v>
      </c>
      <c r="F576" s="24" t="s">
        <v>1170</v>
      </c>
      <c r="G576" s="24" t="s">
        <v>1163</v>
      </c>
      <c r="H576" s="24" t="s">
        <v>683</v>
      </c>
      <c r="I576" s="24" t="s">
        <v>1318</v>
      </c>
      <c r="J576" s="193" t="s">
        <v>1320</v>
      </c>
      <c r="K576" s="194">
        <v>700.0</v>
      </c>
      <c r="L576" s="24" t="s">
        <v>21</v>
      </c>
    </row>
    <row r="577" ht="15.75" customHeight="1">
      <c r="A577" s="27" t="s">
        <v>29</v>
      </c>
      <c r="B577" s="27" t="s">
        <v>29</v>
      </c>
      <c r="C577" s="27" t="s">
        <v>582</v>
      </c>
      <c r="D577" s="27" t="s">
        <v>7</v>
      </c>
      <c r="E577" s="27" t="s">
        <v>1321</v>
      </c>
      <c r="F577" s="27" t="s">
        <v>1201</v>
      </c>
      <c r="G577" s="27" t="s">
        <v>1322</v>
      </c>
      <c r="H577" s="27" t="s">
        <v>613</v>
      </c>
      <c r="I577" s="27" t="s">
        <v>1323</v>
      </c>
      <c r="J577" s="195" t="s">
        <v>1324</v>
      </c>
      <c r="K577" s="196">
        <v>1380.0</v>
      </c>
      <c r="L577" s="27" t="s">
        <v>21</v>
      </c>
    </row>
    <row r="578" ht="15.75" customHeight="1">
      <c r="A578" s="27" t="s">
        <v>29</v>
      </c>
      <c r="B578" s="27" t="s">
        <v>29</v>
      </c>
      <c r="C578" s="27" t="s">
        <v>444</v>
      </c>
      <c r="D578" s="27" t="s">
        <v>7</v>
      </c>
      <c r="E578" s="27" t="s">
        <v>1321</v>
      </c>
      <c r="F578" s="27" t="s">
        <v>1201</v>
      </c>
      <c r="G578" s="27" t="s">
        <v>1322</v>
      </c>
      <c r="H578" s="27" t="s">
        <v>613</v>
      </c>
      <c r="I578" s="27" t="s">
        <v>1325</v>
      </c>
      <c r="J578" s="195" t="s">
        <v>1326</v>
      </c>
      <c r="K578" s="196">
        <v>5980.0</v>
      </c>
      <c r="L578" s="27" t="s">
        <v>21</v>
      </c>
    </row>
    <row r="579" ht="15.75" customHeight="1">
      <c r="A579" s="27" t="s">
        <v>29</v>
      </c>
      <c r="B579" s="27" t="s">
        <v>29</v>
      </c>
      <c r="C579" s="27" t="s">
        <v>444</v>
      </c>
      <c r="D579" s="27" t="s">
        <v>7</v>
      </c>
      <c r="E579" s="27" t="s">
        <v>1321</v>
      </c>
      <c r="F579" s="27" t="s">
        <v>1201</v>
      </c>
      <c r="G579" s="27" t="s">
        <v>1327</v>
      </c>
      <c r="H579" s="27" t="s">
        <v>613</v>
      </c>
      <c r="I579" s="27" t="s">
        <v>1328</v>
      </c>
      <c r="J579" s="195" t="s">
        <v>1329</v>
      </c>
      <c r="K579" s="196">
        <v>44208.0</v>
      </c>
      <c r="L579" s="27" t="s">
        <v>21</v>
      </c>
    </row>
    <row r="580" ht="15.75" customHeight="1">
      <c r="A580" s="27" t="s">
        <v>29</v>
      </c>
      <c r="B580" s="27" t="s">
        <v>29</v>
      </c>
      <c r="C580" s="27" t="s">
        <v>554</v>
      </c>
      <c r="D580" s="27" t="s">
        <v>7</v>
      </c>
      <c r="E580" s="27" t="s">
        <v>1321</v>
      </c>
      <c r="F580" s="27" t="s">
        <v>1201</v>
      </c>
      <c r="G580" s="27" t="s">
        <v>1330</v>
      </c>
      <c r="H580" s="27" t="s">
        <v>613</v>
      </c>
      <c r="I580" s="27" t="s">
        <v>1331</v>
      </c>
      <c r="J580" s="195" t="s">
        <v>1332</v>
      </c>
      <c r="K580" s="196">
        <v>134200.0</v>
      </c>
      <c r="L580" s="27" t="s">
        <v>21</v>
      </c>
    </row>
    <row r="581" ht="15.75" customHeight="1">
      <c r="A581" s="27" t="s">
        <v>29</v>
      </c>
      <c r="B581" s="27" t="s">
        <v>29</v>
      </c>
      <c r="C581" s="27" t="s">
        <v>466</v>
      </c>
      <c r="D581" s="27" t="s">
        <v>7</v>
      </c>
      <c r="E581" s="27" t="s">
        <v>1321</v>
      </c>
      <c r="F581" s="27" t="s">
        <v>1201</v>
      </c>
      <c r="G581" s="27" t="s">
        <v>1333</v>
      </c>
      <c r="H581" s="27" t="s">
        <v>613</v>
      </c>
      <c r="I581" s="27" t="s">
        <v>793</v>
      </c>
      <c r="J581" s="195" t="s">
        <v>1334</v>
      </c>
      <c r="K581" s="196">
        <v>9050.0</v>
      </c>
      <c r="L581" s="27" t="s">
        <v>21</v>
      </c>
    </row>
    <row r="582" ht="15.75" customHeight="1">
      <c r="A582" s="27" t="s">
        <v>29</v>
      </c>
      <c r="B582" s="27" t="s">
        <v>29</v>
      </c>
      <c r="C582" s="27" t="s">
        <v>444</v>
      </c>
      <c r="D582" s="27" t="s">
        <v>7</v>
      </c>
      <c r="E582" s="27" t="s">
        <v>1321</v>
      </c>
      <c r="F582" s="27" t="s">
        <v>1201</v>
      </c>
      <c r="G582" s="27" t="s">
        <v>1335</v>
      </c>
      <c r="H582" s="27" t="s">
        <v>613</v>
      </c>
      <c r="I582" s="27" t="s">
        <v>1336</v>
      </c>
      <c r="J582" s="195" t="s">
        <v>1337</v>
      </c>
      <c r="K582" s="196">
        <v>5000.0</v>
      </c>
      <c r="L582" s="27" t="s">
        <v>21</v>
      </c>
    </row>
    <row r="583" ht="15.75" customHeight="1">
      <c r="A583" s="27" t="s">
        <v>29</v>
      </c>
      <c r="B583" s="27" t="s">
        <v>29</v>
      </c>
      <c r="C583" s="27" t="s">
        <v>466</v>
      </c>
      <c r="D583" s="27" t="s">
        <v>7</v>
      </c>
      <c r="E583" s="27" t="s">
        <v>1280</v>
      </c>
      <c r="F583" s="27" t="s">
        <v>1281</v>
      </c>
      <c r="G583" s="27" t="s">
        <v>1238</v>
      </c>
      <c r="H583" s="27" t="s">
        <v>613</v>
      </c>
      <c r="I583" s="27" t="s">
        <v>1282</v>
      </c>
      <c r="J583" s="195" t="s">
        <v>1338</v>
      </c>
      <c r="K583" s="196">
        <v>4971.0</v>
      </c>
      <c r="L583" s="27" t="s">
        <v>21</v>
      </c>
    </row>
    <row r="584" ht="15.75" customHeight="1">
      <c r="A584" s="27" t="s">
        <v>29</v>
      </c>
      <c r="B584" s="27" t="s">
        <v>29</v>
      </c>
      <c r="C584" s="27" t="s">
        <v>459</v>
      </c>
      <c r="D584" s="27" t="s">
        <v>7</v>
      </c>
      <c r="E584" s="27" t="s">
        <v>1339</v>
      </c>
      <c r="F584" s="27" t="s">
        <v>1194</v>
      </c>
      <c r="G584" s="27" t="s">
        <v>1340</v>
      </c>
      <c r="H584" s="27" t="s">
        <v>688</v>
      </c>
      <c r="I584" s="27" t="s">
        <v>726</v>
      </c>
      <c r="J584" s="195" t="s">
        <v>727</v>
      </c>
      <c r="K584" s="196">
        <v>4000.0</v>
      </c>
      <c r="L584" s="27" t="s">
        <v>21</v>
      </c>
    </row>
    <row r="585" ht="15.75" customHeight="1">
      <c r="A585" s="30" t="s">
        <v>30</v>
      </c>
      <c r="B585" s="30" t="s">
        <v>30</v>
      </c>
      <c r="C585" s="30" t="s">
        <v>554</v>
      </c>
      <c r="D585" s="30" t="s">
        <v>7</v>
      </c>
      <c r="E585" s="30" t="s">
        <v>1341</v>
      </c>
      <c r="F585" s="30" t="s">
        <v>1201</v>
      </c>
      <c r="G585" s="30" t="s">
        <v>1186</v>
      </c>
      <c r="H585" s="30" t="s">
        <v>769</v>
      </c>
      <c r="I585" s="30" t="s">
        <v>1342</v>
      </c>
      <c r="J585" s="197" t="s">
        <v>1239</v>
      </c>
      <c r="K585" s="198">
        <v>72283.0</v>
      </c>
      <c r="L585" s="30" t="s">
        <v>21</v>
      </c>
    </row>
    <row r="586" ht="15.75" customHeight="1">
      <c r="A586" s="30" t="s">
        <v>30</v>
      </c>
      <c r="B586" s="30" t="s">
        <v>30</v>
      </c>
      <c r="C586" s="30" t="s">
        <v>466</v>
      </c>
      <c r="D586" s="30" t="s">
        <v>7</v>
      </c>
      <c r="E586" s="30" t="s">
        <v>1341</v>
      </c>
      <c r="F586" s="30" t="s">
        <v>1201</v>
      </c>
      <c r="G586" s="30" t="s">
        <v>1186</v>
      </c>
      <c r="H586" s="30" t="s">
        <v>769</v>
      </c>
      <c r="I586" s="30" t="s">
        <v>1342</v>
      </c>
      <c r="J586" s="197" t="s">
        <v>1343</v>
      </c>
      <c r="K586" s="198">
        <v>10294.0</v>
      </c>
      <c r="L586" s="30" t="s">
        <v>21</v>
      </c>
    </row>
    <row r="587" ht="15.75" customHeight="1">
      <c r="A587" s="30" t="s">
        <v>30</v>
      </c>
      <c r="B587" s="30" t="s">
        <v>30</v>
      </c>
      <c r="C587" s="30" t="s">
        <v>459</v>
      </c>
      <c r="D587" s="30" t="s">
        <v>7</v>
      </c>
      <c r="E587" s="30" t="s">
        <v>1344</v>
      </c>
      <c r="F587" s="30" t="s">
        <v>1237</v>
      </c>
      <c r="G587" s="30" t="s">
        <v>1238</v>
      </c>
      <c r="H587" s="30" t="s">
        <v>740</v>
      </c>
      <c r="I587" s="30" t="s">
        <v>740</v>
      </c>
      <c r="J587" s="197" t="s">
        <v>1345</v>
      </c>
      <c r="K587" s="198">
        <v>999.0</v>
      </c>
      <c r="L587" s="30" t="s">
        <v>21</v>
      </c>
    </row>
    <row r="588" ht="15.75" customHeight="1">
      <c r="A588" s="30" t="s">
        <v>30</v>
      </c>
      <c r="B588" s="30" t="s">
        <v>30</v>
      </c>
      <c r="C588" s="30" t="s">
        <v>459</v>
      </c>
      <c r="D588" s="30" t="s">
        <v>7</v>
      </c>
      <c r="E588" s="30" t="s">
        <v>1344</v>
      </c>
      <c r="F588" s="30" t="s">
        <v>1237</v>
      </c>
      <c r="G588" s="30" t="s">
        <v>1238</v>
      </c>
      <c r="H588" s="30" t="s">
        <v>740</v>
      </c>
      <c r="I588" s="30" t="s">
        <v>740</v>
      </c>
      <c r="J588" s="197" t="s">
        <v>1346</v>
      </c>
      <c r="K588" s="198">
        <v>999.0</v>
      </c>
      <c r="L588" s="30" t="s">
        <v>21</v>
      </c>
    </row>
    <row r="589" ht="15.75" customHeight="1">
      <c r="A589" s="30" t="s">
        <v>30</v>
      </c>
      <c r="B589" s="30" t="s">
        <v>30</v>
      </c>
      <c r="C589" s="30" t="s">
        <v>459</v>
      </c>
      <c r="D589" s="30" t="s">
        <v>7</v>
      </c>
      <c r="E589" s="30" t="s">
        <v>1344</v>
      </c>
      <c r="F589" s="30" t="s">
        <v>1237</v>
      </c>
      <c r="G589" s="30" t="s">
        <v>1238</v>
      </c>
      <c r="H589" s="30" t="s">
        <v>740</v>
      </c>
      <c r="I589" s="30" t="s">
        <v>740</v>
      </c>
      <c r="J589" s="197" t="s">
        <v>1347</v>
      </c>
      <c r="K589" s="198">
        <v>999.0</v>
      </c>
      <c r="L589" s="30" t="s">
        <v>21</v>
      </c>
    </row>
    <row r="590" ht="15.75" customHeight="1">
      <c r="A590" s="30" t="s">
        <v>30</v>
      </c>
      <c r="B590" s="30" t="s">
        <v>30</v>
      </c>
      <c r="C590" s="30" t="s">
        <v>459</v>
      </c>
      <c r="D590" s="30" t="s">
        <v>7</v>
      </c>
      <c r="E590" s="30" t="s">
        <v>1344</v>
      </c>
      <c r="F590" s="30" t="s">
        <v>1237</v>
      </c>
      <c r="G590" s="30" t="s">
        <v>1238</v>
      </c>
      <c r="H590" s="30" t="s">
        <v>740</v>
      </c>
      <c r="I590" s="30" t="s">
        <v>740</v>
      </c>
      <c r="J590" s="197" t="s">
        <v>1348</v>
      </c>
      <c r="K590" s="198">
        <v>999.0</v>
      </c>
      <c r="L590" s="30" t="s">
        <v>21</v>
      </c>
    </row>
    <row r="591" ht="15.75" customHeight="1">
      <c r="A591" s="30" t="s">
        <v>30</v>
      </c>
      <c r="B591" s="30" t="s">
        <v>30</v>
      </c>
      <c r="C591" s="30" t="s">
        <v>459</v>
      </c>
      <c r="D591" s="30" t="s">
        <v>7</v>
      </c>
      <c r="E591" s="30" t="s">
        <v>1344</v>
      </c>
      <c r="F591" s="30" t="s">
        <v>1237</v>
      </c>
      <c r="G591" s="30" t="s">
        <v>1238</v>
      </c>
      <c r="H591" s="30" t="s">
        <v>740</v>
      </c>
      <c r="I591" s="30" t="s">
        <v>740</v>
      </c>
      <c r="J591" s="197" t="s">
        <v>1349</v>
      </c>
      <c r="K591" s="198">
        <v>799.0</v>
      </c>
      <c r="L591" s="30" t="s">
        <v>21</v>
      </c>
    </row>
    <row r="592" ht="15.75" customHeight="1">
      <c r="A592" s="30" t="s">
        <v>30</v>
      </c>
      <c r="B592" s="30" t="s">
        <v>30</v>
      </c>
      <c r="C592" s="30" t="s">
        <v>459</v>
      </c>
      <c r="D592" s="30" t="s">
        <v>7</v>
      </c>
      <c r="E592" s="30" t="s">
        <v>1344</v>
      </c>
      <c r="F592" s="30" t="s">
        <v>1237</v>
      </c>
      <c r="G592" s="30" t="s">
        <v>1238</v>
      </c>
      <c r="H592" s="30" t="s">
        <v>740</v>
      </c>
      <c r="I592" s="30" t="s">
        <v>740</v>
      </c>
      <c r="J592" s="197" t="s">
        <v>1350</v>
      </c>
      <c r="K592" s="198">
        <v>999.0</v>
      </c>
      <c r="L592" s="30" t="s">
        <v>21</v>
      </c>
    </row>
    <row r="593" ht="15.75" customHeight="1">
      <c r="A593" s="30" t="s">
        <v>30</v>
      </c>
      <c r="B593" s="30" t="s">
        <v>30</v>
      </c>
      <c r="C593" s="30" t="s">
        <v>459</v>
      </c>
      <c r="D593" s="30" t="s">
        <v>7</v>
      </c>
      <c r="E593" s="30" t="s">
        <v>1344</v>
      </c>
      <c r="F593" s="30" t="s">
        <v>1237</v>
      </c>
      <c r="G593" s="30" t="s">
        <v>1238</v>
      </c>
      <c r="H593" s="30" t="s">
        <v>740</v>
      </c>
      <c r="I593" s="30" t="s">
        <v>740</v>
      </c>
      <c r="J593" s="197" t="s">
        <v>1351</v>
      </c>
      <c r="K593" s="198">
        <v>999.0</v>
      </c>
      <c r="L593" s="30" t="s">
        <v>21</v>
      </c>
    </row>
    <row r="594" ht="15.75" customHeight="1">
      <c r="A594" s="30" t="s">
        <v>30</v>
      </c>
      <c r="B594" s="30" t="s">
        <v>30</v>
      </c>
      <c r="C594" s="30" t="s">
        <v>459</v>
      </c>
      <c r="D594" s="30" t="s">
        <v>7</v>
      </c>
      <c r="E594" s="30" t="s">
        <v>1344</v>
      </c>
      <c r="F594" s="30" t="s">
        <v>1237</v>
      </c>
      <c r="G594" s="30" t="s">
        <v>1238</v>
      </c>
      <c r="H594" s="30" t="s">
        <v>740</v>
      </c>
      <c r="I594" s="30" t="s">
        <v>740</v>
      </c>
      <c r="J594" s="197" t="s">
        <v>1352</v>
      </c>
      <c r="K594" s="198">
        <v>999.0</v>
      </c>
      <c r="L594" s="30" t="s">
        <v>21</v>
      </c>
    </row>
    <row r="595" ht="15.75" customHeight="1">
      <c r="A595" s="30" t="s">
        <v>30</v>
      </c>
      <c r="B595" s="30" t="s">
        <v>30</v>
      </c>
      <c r="C595" s="30" t="s">
        <v>459</v>
      </c>
      <c r="D595" s="30" t="s">
        <v>7</v>
      </c>
      <c r="E595" s="30" t="s">
        <v>1344</v>
      </c>
      <c r="F595" s="30" t="s">
        <v>1237</v>
      </c>
      <c r="G595" s="30" t="s">
        <v>1238</v>
      </c>
      <c r="H595" s="30" t="s">
        <v>740</v>
      </c>
      <c r="I595" s="30" t="s">
        <v>740</v>
      </c>
      <c r="J595" s="197" t="s">
        <v>1353</v>
      </c>
      <c r="K595" s="198">
        <v>799.0</v>
      </c>
      <c r="L595" s="30" t="s">
        <v>21</v>
      </c>
    </row>
    <row r="596" ht="15.75" customHeight="1">
      <c r="A596" s="30" t="s">
        <v>30</v>
      </c>
      <c r="B596" s="30" t="s">
        <v>30</v>
      </c>
      <c r="C596" s="30" t="s">
        <v>459</v>
      </c>
      <c r="D596" s="30" t="s">
        <v>7</v>
      </c>
      <c r="E596" s="30" t="s">
        <v>1344</v>
      </c>
      <c r="F596" s="30" t="s">
        <v>1237</v>
      </c>
      <c r="G596" s="30" t="s">
        <v>1238</v>
      </c>
      <c r="H596" s="30" t="s">
        <v>740</v>
      </c>
      <c r="I596" s="30" t="s">
        <v>740</v>
      </c>
      <c r="J596" s="197" t="s">
        <v>1354</v>
      </c>
      <c r="K596" s="198">
        <v>799.0</v>
      </c>
      <c r="L596" s="30" t="s">
        <v>21</v>
      </c>
    </row>
    <row r="597" ht="15.75" customHeight="1">
      <c r="A597" s="30" t="s">
        <v>30</v>
      </c>
      <c r="B597" s="30" t="s">
        <v>30</v>
      </c>
      <c r="C597" s="30" t="s">
        <v>459</v>
      </c>
      <c r="D597" s="30" t="s">
        <v>7</v>
      </c>
      <c r="E597" s="30" t="s">
        <v>1344</v>
      </c>
      <c r="F597" s="30" t="s">
        <v>1237</v>
      </c>
      <c r="G597" s="30" t="s">
        <v>1238</v>
      </c>
      <c r="H597" s="30" t="s">
        <v>740</v>
      </c>
      <c r="I597" s="30" t="s">
        <v>740</v>
      </c>
      <c r="J597" s="197" t="s">
        <v>1355</v>
      </c>
      <c r="K597" s="198">
        <v>799.0</v>
      </c>
      <c r="L597" s="30" t="s">
        <v>21</v>
      </c>
    </row>
    <row r="598" ht="15.75" customHeight="1">
      <c r="A598" s="30" t="s">
        <v>30</v>
      </c>
      <c r="B598" s="30" t="s">
        <v>30</v>
      </c>
      <c r="C598" s="30" t="s">
        <v>459</v>
      </c>
      <c r="D598" s="30" t="s">
        <v>7</v>
      </c>
      <c r="E598" s="30" t="s">
        <v>1344</v>
      </c>
      <c r="F598" s="30" t="s">
        <v>1237</v>
      </c>
      <c r="G598" s="30" t="s">
        <v>1238</v>
      </c>
      <c r="H598" s="30" t="s">
        <v>740</v>
      </c>
      <c r="I598" s="30" t="s">
        <v>740</v>
      </c>
      <c r="J598" s="197" t="s">
        <v>1356</v>
      </c>
      <c r="K598" s="198">
        <v>799.0</v>
      </c>
      <c r="L598" s="30" t="s">
        <v>21</v>
      </c>
    </row>
    <row r="599" ht="15.75" customHeight="1">
      <c r="A599" s="30" t="s">
        <v>30</v>
      </c>
      <c r="B599" s="30" t="s">
        <v>30</v>
      </c>
      <c r="C599" s="30" t="s">
        <v>459</v>
      </c>
      <c r="D599" s="30" t="s">
        <v>7</v>
      </c>
      <c r="E599" s="30" t="s">
        <v>1344</v>
      </c>
      <c r="F599" s="30" t="s">
        <v>1237</v>
      </c>
      <c r="G599" s="30" t="s">
        <v>1238</v>
      </c>
      <c r="H599" s="30" t="s">
        <v>740</v>
      </c>
      <c r="I599" s="30" t="s">
        <v>740</v>
      </c>
      <c r="J599" s="197" t="s">
        <v>1357</v>
      </c>
      <c r="K599" s="198">
        <v>2299.0</v>
      </c>
      <c r="L599" s="30" t="s">
        <v>21</v>
      </c>
    </row>
    <row r="600" ht="15.75" customHeight="1">
      <c r="A600" s="30" t="s">
        <v>30</v>
      </c>
      <c r="B600" s="30" t="s">
        <v>30</v>
      </c>
      <c r="C600" s="30" t="s">
        <v>459</v>
      </c>
      <c r="D600" s="30" t="s">
        <v>7</v>
      </c>
      <c r="E600" s="30" t="s">
        <v>1344</v>
      </c>
      <c r="F600" s="30" t="s">
        <v>1237</v>
      </c>
      <c r="G600" s="30" t="s">
        <v>1238</v>
      </c>
      <c r="H600" s="30" t="s">
        <v>740</v>
      </c>
      <c r="I600" s="30" t="s">
        <v>740</v>
      </c>
      <c r="J600" s="197" t="s">
        <v>1358</v>
      </c>
      <c r="K600" s="198">
        <v>999.0</v>
      </c>
      <c r="L600" s="30" t="s">
        <v>21</v>
      </c>
    </row>
    <row r="601" ht="15.75" customHeight="1">
      <c r="A601" s="30" t="s">
        <v>30</v>
      </c>
      <c r="B601" s="30" t="s">
        <v>30</v>
      </c>
      <c r="C601" s="30" t="s">
        <v>459</v>
      </c>
      <c r="D601" s="30" t="s">
        <v>7</v>
      </c>
      <c r="E601" s="30" t="s">
        <v>1344</v>
      </c>
      <c r="F601" s="30" t="s">
        <v>1237</v>
      </c>
      <c r="G601" s="30" t="s">
        <v>1238</v>
      </c>
      <c r="H601" s="30" t="s">
        <v>740</v>
      </c>
      <c r="I601" s="30" t="s">
        <v>740</v>
      </c>
      <c r="J601" s="197" t="s">
        <v>1359</v>
      </c>
      <c r="K601" s="198">
        <v>999.0</v>
      </c>
      <c r="L601" s="30" t="s">
        <v>21</v>
      </c>
    </row>
    <row r="602" ht="15.75" customHeight="1">
      <c r="A602" s="30" t="s">
        <v>30</v>
      </c>
      <c r="B602" s="30" t="s">
        <v>30</v>
      </c>
      <c r="C602" s="30" t="s">
        <v>459</v>
      </c>
      <c r="D602" s="30" t="s">
        <v>7</v>
      </c>
      <c r="E602" s="30" t="s">
        <v>1344</v>
      </c>
      <c r="F602" s="30" t="s">
        <v>1237</v>
      </c>
      <c r="G602" s="30" t="s">
        <v>1238</v>
      </c>
      <c r="H602" s="30" t="s">
        <v>740</v>
      </c>
      <c r="I602" s="30" t="s">
        <v>740</v>
      </c>
      <c r="J602" s="197" t="s">
        <v>1360</v>
      </c>
      <c r="K602" s="198">
        <v>0.0</v>
      </c>
      <c r="L602" s="30" t="s">
        <v>21</v>
      </c>
    </row>
    <row r="603" ht="15.75" customHeight="1">
      <c r="A603" s="30" t="s">
        <v>30</v>
      </c>
      <c r="B603" s="30" t="s">
        <v>30</v>
      </c>
      <c r="C603" s="30" t="s">
        <v>459</v>
      </c>
      <c r="D603" s="30" t="s">
        <v>7</v>
      </c>
      <c r="E603" s="30" t="s">
        <v>1344</v>
      </c>
      <c r="F603" s="30" t="s">
        <v>1237</v>
      </c>
      <c r="G603" s="30" t="s">
        <v>1238</v>
      </c>
      <c r="H603" s="30" t="s">
        <v>740</v>
      </c>
      <c r="I603" s="30" t="s">
        <v>740</v>
      </c>
      <c r="J603" s="197" t="s">
        <v>1361</v>
      </c>
      <c r="K603" s="198">
        <v>999.0</v>
      </c>
      <c r="L603" s="30" t="s">
        <v>21</v>
      </c>
    </row>
    <row r="604" ht="15.75" customHeight="1">
      <c r="A604" s="30" t="s">
        <v>30</v>
      </c>
      <c r="B604" s="30" t="s">
        <v>30</v>
      </c>
      <c r="C604" s="30" t="s">
        <v>459</v>
      </c>
      <c r="D604" s="30" t="s">
        <v>7</v>
      </c>
      <c r="E604" s="30" t="s">
        <v>1362</v>
      </c>
      <c r="F604" s="30" t="s">
        <v>1237</v>
      </c>
      <c r="G604" s="30" t="s">
        <v>1238</v>
      </c>
      <c r="H604" s="30" t="s">
        <v>740</v>
      </c>
      <c r="I604" s="30" t="s">
        <v>740</v>
      </c>
      <c r="J604" s="197" t="s">
        <v>1363</v>
      </c>
      <c r="K604" s="198">
        <v>2499.0</v>
      </c>
      <c r="L604" s="30" t="s">
        <v>21</v>
      </c>
    </row>
    <row r="605" ht="15.75" customHeight="1">
      <c r="A605" s="30" t="s">
        <v>30</v>
      </c>
      <c r="B605" s="30" t="s">
        <v>30</v>
      </c>
      <c r="C605" s="30" t="s">
        <v>554</v>
      </c>
      <c r="D605" s="30" t="s">
        <v>7</v>
      </c>
      <c r="E605" s="30" t="s">
        <v>1364</v>
      </c>
      <c r="F605" s="30" t="s">
        <v>1237</v>
      </c>
      <c r="G605" s="30" t="s">
        <v>1238</v>
      </c>
      <c r="H605" s="30" t="s">
        <v>759</v>
      </c>
      <c r="I605" s="30" t="s">
        <v>759</v>
      </c>
      <c r="J605" s="197" t="s">
        <v>1365</v>
      </c>
      <c r="K605" s="198">
        <v>144985.0</v>
      </c>
      <c r="L605" s="30" t="s">
        <v>21</v>
      </c>
    </row>
    <row r="606" ht="15.75" customHeight="1">
      <c r="A606" s="30" t="s">
        <v>30</v>
      </c>
      <c r="B606" s="30" t="s">
        <v>30</v>
      </c>
      <c r="C606" s="30" t="s">
        <v>558</v>
      </c>
      <c r="D606" s="30" t="s">
        <v>7</v>
      </c>
      <c r="E606" s="30" t="s">
        <v>1364</v>
      </c>
      <c r="F606" s="30" t="s">
        <v>1237</v>
      </c>
      <c r="G606" s="30" t="s">
        <v>1238</v>
      </c>
      <c r="H606" s="30" t="s">
        <v>759</v>
      </c>
      <c r="I606" s="30" t="s">
        <v>759</v>
      </c>
      <c r="J606" s="197" t="s">
        <v>1366</v>
      </c>
      <c r="K606" s="198">
        <v>10000.0</v>
      </c>
      <c r="L606" s="30" t="s">
        <v>21</v>
      </c>
    </row>
    <row r="607" ht="15.75" customHeight="1">
      <c r="A607" s="30" t="s">
        <v>30</v>
      </c>
      <c r="B607" s="30" t="s">
        <v>30</v>
      </c>
      <c r="C607" s="30" t="s">
        <v>437</v>
      </c>
      <c r="D607" s="30" t="s">
        <v>7</v>
      </c>
      <c r="E607" s="30" t="s">
        <v>1364</v>
      </c>
      <c r="F607" s="30" t="s">
        <v>1237</v>
      </c>
      <c r="G607" s="30" t="s">
        <v>1238</v>
      </c>
      <c r="H607" s="30" t="s">
        <v>759</v>
      </c>
      <c r="I607" s="30" t="s">
        <v>759</v>
      </c>
      <c r="J607" s="197" t="s">
        <v>1367</v>
      </c>
      <c r="K607" s="198">
        <v>895.0</v>
      </c>
      <c r="L607" s="30" t="s">
        <v>21</v>
      </c>
    </row>
    <row r="608" ht="15.75" customHeight="1">
      <c r="A608" s="30" t="s">
        <v>30</v>
      </c>
      <c r="B608" s="30" t="s">
        <v>30</v>
      </c>
      <c r="C608" s="30" t="s">
        <v>444</v>
      </c>
      <c r="D608" s="30" t="s">
        <v>7</v>
      </c>
      <c r="E608" s="30" t="s">
        <v>1368</v>
      </c>
      <c r="F608" s="30" t="s">
        <v>1281</v>
      </c>
      <c r="G608" s="30" t="s">
        <v>1369</v>
      </c>
      <c r="H608" s="30" t="s">
        <v>772</v>
      </c>
      <c r="I608" s="30" t="s">
        <v>772</v>
      </c>
      <c r="J608" s="197" t="s">
        <v>1370</v>
      </c>
      <c r="K608" s="198">
        <v>9996.0</v>
      </c>
      <c r="L608" s="30" t="s">
        <v>21</v>
      </c>
    </row>
    <row r="609" ht="15.75" customHeight="1">
      <c r="A609" s="30" t="s">
        <v>30</v>
      </c>
      <c r="B609" s="30" t="s">
        <v>30</v>
      </c>
      <c r="C609" s="30" t="s">
        <v>444</v>
      </c>
      <c r="D609" s="30" t="s">
        <v>7</v>
      </c>
      <c r="E609" s="30" t="s">
        <v>1371</v>
      </c>
      <c r="F609" s="30" t="s">
        <v>1281</v>
      </c>
      <c r="G609" s="30" t="s">
        <v>1369</v>
      </c>
      <c r="H609" s="30" t="s">
        <v>772</v>
      </c>
      <c r="I609" s="30" t="s">
        <v>772</v>
      </c>
      <c r="J609" s="197" t="s">
        <v>1372</v>
      </c>
      <c r="K609" s="198">
        <v>19424.0</v>
      </c>
      <c r="L609" s="30" t="s">
        <v>21</v>
      </c>
    </row>
    <row r="610" ht="15.75" customHeight="1">
      <c r="A610" s="30" t="s">
        <v>30</v>
      </c>
      <c r="B610" s="30" t="s">
        <v>30</v>
      </c>
      <c r="C610" s="30" t="s">
        <v>448</v>
      </c>
      <c r="D610" s="30" t="s">
        <v>7</v>
      </c>
      <c r="E610" s="30" t="s">
        <v>1373</v>
      </c>
      <c r="F610" s="30" t="s">
        <v>1241</v>
      </c>
      <c r="G610" s="30" t="s">
        <v>1374</v>
      </c>
      <c r="H610" s="30" t="s">
        <v>764</v>
      </c>
      <c r="I610" s="30" t="s">
        <v>1375</v>
      </c>
      <c r="J610" s="197" t="s">
        <v>1376</v>
      </c>
      <c r="K610" s="198">
        <v>3385.0</v>
      </c>
      <c r="L610" s="30" t="s">
        <v>21</v>
      </c>
    </row>
    <row r="611" ht="15.75" customHeight="1">
      <c r="A611" s="30" t="s">
        <v>30</v>
      </c>
      <c r="B611" s="30" t="s">
        <v>30</v>
      </c>
      <c r="C611" s="30" t="s">
        <v>437</v>
      </c>
      <c r="D611" s="30" t="s">
        <v>7</v>
      </c>
      <c r="E611" s="30" t="s">
        <v>1377</v>
      </c>
      <c r="F611" s="30" t="s">
        <v>1378</v>
      </c>
      <c r="G611" s="30" t="s">
        <v>1379</v>
      </c>
      <c r="H611" s="30" t="s">
        <v>676</v>
      </c>
      <c r="I611" s="30" t="s">
        <v>676</v>
      </c>
      <c r="J611" s="197" t="s">
        <v>1380</v>
      </c>
      <c r="K611" s="198">
        <v>18710.0</v>
      </c>
      <c r="L611" s="30" t="s">
        <v>21</v>
      </c>
    </row>
    <row r="612" ht="15.75" customHeight="1">
      <c r="A612" s="199" t="s">
        <v>31</v>
      </c>
      <c r="B612" s="199" t="s">
        <v>31</v>
      </c>
      <c r="C612" s="30" t="s">
        <v>437</v>
      </c>
      <c r="D612" s="30" t="s">
        <v>7</v>
      </c>
      <c r="E612" s="30" t="s">
        <v>1377</v>
      </c>
      <c r="F612" s="30" t="s">
        <v>1378</v>
      </c>
      <c r="G612" s="30" t="s">
        <v>1379</v>
      </c>
      <c r="H612" s="30" t="s">
        <v>676</v>
      </c>
      <c r="I612" s="30" t="s">
        <v>676</v>
      </c>
      <c r="J612" s="197" t="s">
        <v>1381</v>
      </c>
      <c r="K612" s="198">
        <v>8082.0</v>
      </c>
      <c r="L612" s="30" t="s">
        <v>21</v>
      </c>
    </row>
    <row r="613" ht="15.75" customHeight="1">
      <c r="A613" s="199" t="s">
        <v>31</v>
      </c>
      <c r="B613" s="199" t="s">
        <v>31</v>
      </c>
      <c r="C613" s="30" t="s">
        <v>437</v>
      </c>
      <c r="D613" s="30" t="s">
        <v>7</v>
      </c>
      <c r="E613" s="30" t="s">
        <v>1377</v>
      </c>
      <c r="F613" s="30" t="s">
        <v>1378</v>
      </c>
      <c r="G613" s="30" t="s">
        <v>1379</v>
      </c>
      <c r="H613" s="30" t="s">
        <v>676</v>
      </c>
      <c r="I613" s="30" t="s">
        <v>676</v>
      </c>
      <c r="J613" s="197" t="s">
        <v>1382</v>
      </c>
      <c r="K613" s="198">
        <v>26552.0</v>
      </c>
      <c r="L613" s="30" t="s">
        <v>21</v>
      </c>
    </row>
    <row r="614" ht="15.75" customHeight="1">
      <c r="A614" s="199" t="s">
        <v>31</v>
      </c>
      <c r="B614" s="199" t="s">
        <v>31</v>
      </c>
      <c r="C614" s="30" t="s">
        <v>444</v>
      </c>
      <c r="D614" s="30" t="s">
        <v>7</v>
      </c>
      <c r="E614" s="30" t="s">
        <v>1383</v>
      </c>
      <c r="F614" s="30" t="s">
        <v>1167</v>
      </c>
      <c r="G614" s="30" t="s">
        <v>1158</v>
      </c>
      <c r="H614" s="30" t="s">
        <v>1384</v>
      </c>
      <c r="I614" s="30" t="s">
        <v>1385</v>
      </c>
      <c r="J614" s="197" t="s">
        <v>1386</v>
      </c>
      <c r="K614" s="198">
        <v>20000.0</v>
      </c>
      <c r="L614" s="30" t="s">
        <v>21</v>
      </c>
    </row>
    <row r="615" ht="15.75" customHeight="1">
      <c r="A615" s="199" t="s">
        <v>31</v>
      </c>
      <c r="B615" s="199" t="s">
        <v>31</v>
      </c>
      <c r="C615" s="30" t="s">
        <v>444</v>
      </c>
      <c r="D615" s="30" t="s">
        <v>7</v>
      </c>
      <c r="E615" s="30" t="s">
        <v>1383</v>
      </c>
      <c r="F615" s="30" t="s">
        <v>1167</v>
      </c>
      <c r="G615" s="30" t="s">
        <v>1159</v>
      </c>
      <c r="H615" s="30" t="s">
        <v>1384</v>
      </c>
      <c r="I615" s="30" t="s">
        <v>1385</v>
      </c>
      <c r="J615" s="197" t="s">
        <v>1387</v>
      </c>
      <c r="K615" s="198">
        <v>13600.0</v>
      </c>
      <c r="L615" s="30" t="s">
        <v>21</v>
      </c>
    </row>
    <row r="616" ht="15.75" customHeight="1">
      <c r="A616" s="199" t="s">
        <v>31</v>
      </c>
      <c r="B616" s="199" t="s">
        <v>31</v>
      </c>
      <c r="C616" s="30" t="s">
        <v>444</v>
      </c>
      <c r="D616" s="30" t="s">
        <v>7</v>
      </c>
      <c r="E616" s="30" t="s">
        <v>1383</v>
      </c>
      <c r="F616" s="30" t="s">
        <v>1167</v>
      </c>
      <c r="G616" s="30" t="s">
        <v>1159</v>
      </c>
      <c r="H616" s="30" t="s">
        <v>1384</v>
      </c>
      <c r="I616" s="30" t="s">
        <v>1385</v>
      </c>
      <c r="J616" s="197" t="s">
        <v>1388</v>
      </c>
      <c r="K616" s="198">
        <v>8500.0</v>
      </c>
      <c r="L616" s="30" t="s">
        <v>21</v>
      </c>
    </row>
    <row r="617" ht="15.75" customHeight="1">
      <c r="A617" s="39" t="s">
        <v>31</v>
      </c>
      <c r="B617" s="39" t="s">
        <v>31</v>
      </c>
      <c r="C617" s="6" t="s">
        <v>730</v>
      </c>
      <c r="D617" s="6" t="s">
        <v>7</v>
      </c>
      <c r="E617" s="6" t="s">
        <v>1389</v>
      </c>
      <c r="F617" s="6" t="s">
        <v>1185</v>
      </c>
      <c r="G617" s="6" t="s">
        <v>1390</v>
      </c>
      <c r="H617" s="6" t="s">
        <v>1099</v>
      </c>
      <c r="I617" s="6" t="s">
        <v>1391</v>
      </c>
      <c r="J617" s="185" t="s">
        <v>1392</v>
      </c>
      <c r="K617" s="186">
        <v>18527.0</v>
      </c>
      <c r="L617" s="6" t="s">
        <v>21</v>
      </c>
    </row>
    <row r="618" ht="15.75" customHeight="1">
      <c r="A618" s="39" t="s">
        <v>31</v>
      </c>
      <c r="B618" s="39" t="s">
        <v>31</v>
      </c>
      <c r="C618" s="6" t="s">
        <v>730</v>
      </c>
      <c r="D618" s="6" t="s">
        <v>7</v>
      </c>
      <c r="E618" s="6" t="s">
        <v>1389</v>
      </c>
      <c r="F618" s="6" t="s">
        <v>1185</v>
      </c>
      <c r="G618" s="6" t="s">
        <v>1390</v>
      </c>
      <c r="H618" s="6" t="s">
        <v>1099</v>
      </c>
      <c r="I618" s="6" t="s">
        <v>1391</v>
      </c>
      <c r="J618" s="185" t="s">
        <v>1393</v>
      </c>
      <c r="K618" s="186">
        <v>15880.0</v>
      </c>
      <c r="L618" s="6" t="s">
        <v>21</v>
      </c>
    </row>
    <row r="619" ht="15.75" customHeight="1">
      <c r="A619" s="59" t="s">
        <v>31</v>
      </c>
      <c r="B619" s="59" t="s">
        <v>31</v>
      </c>
      <c r="C619" s="33" t="s">
        <v>444</v>
      </c>
      <c r="D619" s="33" t="s">
        <v>7</v>
      </c>
      <c r="E619" s="33" t="s">
        <v>1394</v>
      </c>
      <c r="F619" s="33" t="s">
        <v>1181</v>
      </c>
      <c r="G619" s="33" t="s">
        <v>1094</v>
      </c>
      <c r="H619" s="33" t="s">
        <v>544</v>
      </c>
      <c r="I619" s="33" t="s">
        <v>779</v>
      </c>
      <c r="J619" s="200" t="s">
        <v>1395</v>
      </c>
      <c r="K619" s="201">
        <v>500.0</v>
      </c>
      <c r="L619" s="33" t="s">
        <v>21</v>
      </c>
    </row>
    <row r="620" ht="15.75" customHeight="1">
      <c r="A620" s="59" t="s">
        <v>31</v>
      </c>
      <c r="B620" s="59" t="s">
        <v>31</v>
      </c>
      <c r="C620" s="33" t="s">
        <v>444</v>
      </c>
      <c r="D620" s="33" t="s">
        <v>7</v>
      </c>
      <c r="E620" s="33" t="s">
        <v>1394</v>
      </c>
      <c r="F620" s="33" t="s">
        <v>1181</v>
      </c>
      <c r="G620" s="33" t="s">
        <v>887</v>
      </c>
      <c r="H620" s="33" t="s">
        <v>544</v>
      </c>
      <c r="I620" s="33" t="s">
        <v>1396</v>
      </c>
      <c r="J620" s="200" t="s">
        <v>1397</v>
      </c>
      <c r="K620" s="201">
        <v>30.0</v>
      </c>
      <c r="L620" s="33" t="s">
        <v>21</v>
      </c>
    </row>
    <row r="621" ht="15.75" customHeight="1">
      <c r="A621" s="59" t="s">
        <v>31</v>
      </c>
      <c r="B621" s="59" t="s">
        <v>31</v>
      </c>
      <c r="C621" s="33" t="s">
        <v>444</v>
      </c>
      <c r="D621" s="33" t="s">
        <v>7</v>
      </c>
      <c r="E621" s="33" t="s">
        <v>1394</v>
      </c>
      <c r="F621" s="33" t="s">
        <v>1181</v>
      </c>
      <c r="G621" s="33" t="s">
        <v>894</v>
      </c>
      <c r="H621" s="33" t="s">
        <v>544</v>
      </c>
      <c r="I621" s="33" t="s">
        <v>779</v>
      </c>
      <c r="J621" s="200" t="s">
        <v>1398</v>
      </c>
      <c r="K621" s="201">
        <v>1400.0</v>
      </c>
      <c r="L621" s="33" t="s">
        <v>21</v>
      </c>
    </row>
    <row r="622" ht="15.75" customHeight="1">
      <c r="A622" s="59" t="s">
        <v>31</v>
      </c>
      <c r="B622" s="59" t="s">
        <v>31</v>
      </c>
      <c r="C622" s="33" t="s">
        <v>444</v>
      </c>
      <c r="D622" s="33" t="s">
        <v>7</v>
      </c>
      <c r="E622" s="33" t="s">
        <v>1394</v>
      </c>
      <c r="F622" s="33" t="s">
        <v>1181</v>
      </c>
      <c r="G622" s="33" t="s">
        <v>894</v>
      </c>
      <c r="H622" s="33" t="s">
        <v>544</v>
      </c>
      <c r="I622" s="33" t="s">
        <v>779</v>
      </c>
      <c r="J622" s="200" t="s">
        <v>1399</v>
      </c>
      <c r="K622" s="201">
        <v>300.0</v>
      </c>
      <c r="L622" s="33" t="s">
        <v>21</v>
      </c>
    </row>
    <row r="623" ht="15.75" customHeight="1">
      <c r="A623" s="59" t="s">
        <v>31</v>
      </c>
      <c r="B623" s="59" t="s">
        <v>31</v>
      </c>
      <c r="C623" s="33" t="s">
        <v>444</v>
      </c>
      <c r="D623" s="33" t="s">
        <v>7</v>
      </c>
      <c r="E623" s="33" t="s">
        <v>1394</v>
      </c>
      <c r="F623" s="33" t="s">
        <v>1181</v>
      </c>
      <c r="G623" s="33" t="s">
        <v>894</v>
      </c>
      <c r="H623" s="33" t="s">
        <v>544</v>
      </c>
      <c r="I623" s="33" t="s">
        <v>779</v>
      </c>
      <c r="J623" s="200" t="s">
        <v>1400</v>
      </c>
      <c r="K623" s="201">
        <v>300.0</v>
      </c>
      <c r="L623" s="33" t="s">
        <v>21</v>
      </c>
    </row>
    <row r="624" ht="15.75" customHeight="1">
      <c r="A624" s="59" t="s">
        <v>31</v>
      </c>
      <c r="B624" s="59" t="s">
        <v>31</v>
      </c>
      <c r="C624" s="33" t="s">
        <v>466</v>
      </c>
      <c r="D624" s="33" t="s">
        <v>7</v>
      </c>
      <c r="E624" s="33" t="s">
        <v>1184</v>
      </c>
      <c r="F624" s="33" t="s">
        <v>1185</v>
      </c>
      <c r="G624" s="33" t="s">
        <v>1186</v>
      </c>
      <c r="H624" s="33" t="s">
        <v>544</v>
      </c>
      <c r="I624" s="33" t="s">
        <v>1176</v>
      </c>
      <c r="J624" s="200" t="s">
        <v>1401</v>
      </c>
      <c r="K624" s="201">
        <v>144.0</v>
      </c>
      <c r="L624" s="33" t="s">
        <v>21</v>
      </c>
    </row>
    <row r="625" ht="15.75" customHeight="1">
      <c r="A625" s="59" t="s">
        <v>31</v>
      </c>
      <c r="B625" s="59" t="s">
        <v>31</v>
      </c>
      <c r="C625" s="33" t="s">
        <v>466</v>
      </c>
      <c r="D625" s="33" t="s">
        <v>7</v>
      </c>
      <c r="E625" s="33" t="s">
        <v>1184</v>
      </c>
      <c r="F625" s="33" t="s">
        <v>1185</v>
      </c>
      <c r="G625" s="33" t="s">
        <v>1186</v>
      </c>
      <c r="H625" s="33" t="s">
        <v>544</v>
      </c>
      <c r="I625" s="33" t="s">
        <v>1176</v>
      </c>
      <c r="J625" s="200" t="s">
        <v>1402</v>
      </c>
      <c r="K625" s="201">
        <v>123.0</v>
      </c>
      <c r="L625" s="33" t="s">
        <v>21</v>
      </c>
    </row>
    <row r="626" ht="15.75" customHeight="1">
      <c r="A626" s="59" t="s">
        <v>31</v>
      </c>
      <c r="B626" s="59" t="s">
        <v>31</v>
      </c>
      <c r="C626" s="33" t="s">
        <v>582</v>
      </c>
      <c r="D626" s="33" t="s">
        <v>7</v>
      </c>
      <c r="E626" s="33" t="s">
        <v>1184</v>
      </c>
      <c r="F626" s="33" t="s">
        <v>1185</v>
      </c>
      <c r="G626" s="33"/>
      <c r="H626" s="33" t="s">
        <v>544</v>
      </c>
      <c r="I626" s="33" t="s">
        <v>1396</v>
      </c>
      <c r="J626" s="200" t="s">
        <v>1403</v>
      </c>
      <c r="K626" s="201">
        <v>513.0</v>
      </c>
      <c r="L626" s="33" t="s">
        <v>21</v>
      </c>
    </row>
    <row r="627" ht="15.75" customHeight="1">
      <c r="A627" s="59" t="s">
        <v>31</v>
      </c>
      <c r="B627" s="59" t="s">
        <v>31</v>
      </c>
      <c r="C627" s="33" t="s">
        <v>444</v>
      </c>
      <c r="D627" s="33" t="s">
        <v>7</v>
      </c>
      <c r="E627" s="33" t="s">
        <v>1184</v>
      </c>
      <c r="F627" s="33" t="s">
        <v>1185</v>
      </c>
      <c r="G627" s="33"/>
      <c r="H627" s="33" t="s">
        <v>544</v>
      </c>
      <c r="I627" s="33" t="s">
        <v>779</v>
      </c>
      <c r="J627" s="200" t="s">
        <v>1404</v>
      </c>
      <c r="K627" s="201">
        <v>1000.0</v>
      </c>
      <c r="L627" s="33" t="s">
        <v>21</v>
      </c>
    </row>
    <row r="628" ht="15.75" customHeight="1">
      <c r="A628" s="59" t="s">
        <v>31</v>
      </c>
      <c r="B628" s="59" t="s">
        <v>31</v>
      </c>
      <c r="C628" s="33" t="s">
        <v>730</v>
      </c>
      <c r="D628" s="33" t="s">
        <v>7</v>
      </c>
      <c r="E628" s="33" t="s">
        <v>1405</v>
      </c>
      <c r="F628" s="33" t="s">
        <v>1281</v>
      </c>
      <c r="G628" s="33" t="s">
        <v>1212</v>
      </c>
      <c r="H628" s="33" t="s">
        <v>782</v>
      </c>
      <c r="I628" s="33" t="s">
        <v>1406</v>
      </c>
      <c r="J628" s="200" t="s">
        <v>783</v>
      </c>
      <c r="K628" s="201">
        <v>33550.0</v>
      </c>
      <c r="L628" s="33" t="s">
        <v>21</v>
      </c>
    </row>
    <row r="629" ht="15.75" customHeight="1">
      <c r="A629" s="59" t="s">
        <v>31</v>
      </c>
      <c r="B629" s="59" t="s">
        <v>31</v>
      </c>
      <c r="C629" s="33" t="s">
        <v>582</v>
      </c>
      <c r="D629" s="33" t="s">
        <v>7</v>
      </c>
      <c r="E629" s="33" t="s">
        <v>1321</v>
      </c>
      <c r="F629" s="33" t="s">
        <v>1201</v>
      </c>
      <c r="G629" s="33" t="s">
        <v>1407</v>
      </c>
      <c r="H629" s="33" t="s">
        <v>613</v>
      </c>
      <c r="I629" s="33" t="s">
        <v>1130</v>
      </c>
      <c r="J629" s="200" t="s">
        <v>1408</v>
      </c>
      <c r="K629" s="201">
        <v>3025.0</v>
      </c>
      <c r="L629" s="33" t="s">
        <v>21</v>
      </c>
    </row>
    <row r="630" ht="15.75" customHeight="1">
      <c r="A630" s="59" t="s">
        <v>31</v>
      </c>
      <c r="B630" s="59" t="s">
        <v>31</v>
      </c>
      <c r="C630" s="33" t="s">
        <v>582</v>
      </c>
      <c r="D630" s="33" t="s">
        <v>7</v>
      </c>
      <c r="E630" s="33" t="s">
        <v>1394</v>
      </c>
      <c r="F630" s="33" t="s">
        <v>1181</v>
      </c>
      <c r="G630" s="33" t="s">
        <v>887</v>
      </c>
      <c r="H630" s="33" t="s">
        <v>544</v>
      </c>
      <c r="I630" s="33" t="s">
        <v>797</v>
      </c>
      <c r="J630" s="200" t="s">
        <v>1409</v>
      </c>
      <c r="K630" s="201">
        <v>30.0</v>
      </c>
      <c r="L630" s="33" t="s">
        <v>21</v>
      </c>
    </row>
    <row r="631" ht="15.75" customHeight="1">
      <c r="A631" s="59" t="s">
        <v>31</v>
      </c>
      <c r="B631" s="59" t="s">
        <v>31</v>
      </c>
      <c r="C631" s="33" t="s">
        <v>582</v>
      </c>
      <c r="D631" s="33" t="s">
        <v>7</v>
      </c>
      <c r="E631" s="33" t="s">
        <v>1394</v>
      </c>
      <c r="F631" s="33" t="s">
        <v>1181</v>
      </c>
      <c r="G631" s="33" t="s">
        <v>887</v>
      </c>
      <c r="H631" s="33" t="s">
        <v>544</v>
      </c>
      <c r="I631" s="33" t="s">
        <v>1410</v>
      </c>
      <c r="J631" s="200" t="s">
        <v>1411</v>
      </c>
      <c r="K631" s="201">
        <v>9862.0</v>
      </c>
      <c r="L631" s="33" t="s">
        <v>21</v>
      </c>
    </row>
    <row r="632" ht="15.75" customHeight="1">
      <c r="A632" s="59" t="s">
        <v>31</v>
      </c>
      <c r="B632" s="59" t="s">
        <v>31</v>
      </c>
      <c r="C632" s="33" t="s">
        <v>582</v>
      </c>
      <c r="D632" s="33" t="s">
        <v>7</v>
      </c>
      <c r="E632" s="33" t="s">
        <v>1180</v>
      </c>
      <c r="F632" s="33" t="s">
        <v>1181</v>
      </c>
      <c r="G632" s="33"/>
      <c r="H632" s="33" t="s">
        <v>613</v>
      </c>
      <c r="I632" s="33" t="s">
        <v>1412</v>
      </c>
      <c r="J632" s="200" t="s">
        <v>1413</v>
      </c>
      <c r="K632" s="201">
        <v>2000.0</v>
      </c>
      <c r="L632" s="33" t="s">
        <v>21</v>
      </c>
    </row>
    <row r="633" ht="15.75" customHeight="1">
      <c r="A633" s="59" t="s">
        <v>31</v>
      </c>
      <c r="B633" s="59" t="s">
        <v>31</v>
      </c>
      <c r="C633" s="33" t="s">
        <v>582</v>
      </c>
      <c r="D633" s="33" t="s">
        <v>7</v>
      </c>
      <c r="E633" s="33" t="s">
        <v>1184</v>
      </c>
      <c r="F633" s="33" t="s">
        <v>1185</v>
      </c>
      <c r="G633" s="33" t="s">
        <v>979</v>
      </c>
      <c r="H633" s="33" t="s">
        <v>544</v>
      </c>
      <c r="I633" s="33" t="s">
        <v>1176</v>
      </c>
      <c r="J633" s="200" t="s">
        <v>1414</v>
      </c>
      <c r="K633" s="201">
        <v>50.0</v>
      </c>
      <c r="L633" s="33" t="s">
        <v>21</v>
      </c>
    </row>
    <row r="634" ht="15.75" customHeight="1">
      <c r="A634" s="59" t="s">
        <v>31</v>
      </c>
      <c r="B634" s="59" t="s">
        <v>31</v>
      </c>
      <c r="C634" s="33" t="s">
        <v>582</v>
      </c>
      <c r="D634" s="33" t="s">
        <v>7</v>
      </c>
      <c r="E634" s="33" t="s">
        <v>1184</v>
      </c>
      <c r="F634" s="33" t="s">
        <v>1185</v>
      </c>
      <c r="G634" s="33"/>
      <c r="H634" s="33" t="s">
        <v>544</v>
      </c>
      <c r="I634" s="33" t="s">
        <v>1415</v>
      </c>
      <c r="J634" s="200" t="s">
        <v>1416</v>
      </c>
      <c r="K634" s="201">
        <v>100.0</v>
      </c>
      <c r="L634" s="33" t="s">
        <v>21</v>
      </c>
    </row>
    <row r="635" ht="15.75" customHeight="1">
      <c r="A635" s="59" t="s">
        <v>31</v>
      </c>
      <c r="B635" s="59" t="s">
        <v>31</v>
      </c>
      <c r="C635" s="33" t="s">
        <v>582</v>
      </c>
      <c r="D635" s="33" t="s">
        <v>7</v>
      </c>
      <c r="E635" s="33" t="s">
        <v>1280</v>
      </c>
      <c r="F635" s="33" t="s">
        <v>1281</v>
      </c>
      <c r="G635" s="33" t="s">
        <v>1238</v>
      </c>
      <c r="H635" s="33" t="s">
        <v>613</v>
      </c>
      <c r="I635" s="33" t="s">
        <v>1282</v>
      </c>
      <c r="J635" s="200" t="s">
        <v>1417</v>
      </c>
      <c r="K635" s="201">
        <v>2117.0</v>
      </c>
      <c r="L635" s="33" t="s">
        <v>21</v>
      </c>
    </row>
    <row r="636" ht="15.75" customHeight="1">
      <c r="A636" s="39" t="s">
        <v>31</v>
      </c>
      <c r="B636" s="39" t="s">
        <v>31</v>
      </c>
      <c r="C636" s="6" t="s">
        <v>427</v>
      </c>
      <c r="D636" s="6" t="s">
        <v>8</v>
      </c>
      <c r="E636" s="6" t="s">
        <v>1418</v>
      </c>
      <c r="F636" s="6" t="s">
        <v>1419</v>
      </c>
      <c r="G636" s="6" t="s">
        <v>1163</v>
      </c>
      <c r="H636" s="6" t="s">
        <v>440</v>
      </c>
      <c r="I636" s="6" t="s">
        <v>441</v>
      </c>
      <c r="J636" s="185" t="s">
        <v>1420</v>
      </c>
      <c r="K636" s="186">
        <v>3150.0</v>
      </c>
      <c r="L636" s="6" t="s">
        <v>21</v>
      </c>
    </row>
    <row r="637" ht="15.75" customHeight="1">
      <c r="A637" s="39" t="s">
        <v>31</v>
      </c>
      <c r="B637" s="39" t="s">
        <v>31</v>
      </c>
      <c r="C637" s="6" t="s">
        <v>466</v>
      </c>
      <c r="D637" s="6" t="s">
        <v>8</v>
      </c>
      <c r="E637" s="6" t="s">
        <v>1421</v>
      </c>
      <c r="F637" s="6" t="s">
        <v>1422</v>
      </c>
      <c r="G637" s="6" t="s">
        <v>1264</v>
      </c>
      <c r="H637" s="6" t="s">
        <v>430</v>
      </c>
      <c r="I637" s="6" t="s">
        <v>1267</v>
      </c>
      <c r="J637" s="185" t="s">
        <v>1423</v>
      </c>
      <c r="K637" s="186">
        <v>236.0</v>
      </c>
      <c r="L637" s="6" t="s">
        <v>21</v>
      </c>
    </row>
    <row r="638" ht="15.75" customHeight="1">
      <c r="A638" s="39" t="s">
        <v>31</v>
      </c>
      <c r="B638" s="39" t="s">
        <v>31</v>
      </c>
      <c r="C638" s="6" t="s">
        <v>466</v>
      </c>
      <c r="D638" s="6" t="s">
        <v>8</v>
      </c>
      <c r="E638" s="6" t="s">
        <v>1421</v>
      </c>
      <c r="F638" s="6" t="s">
        <v>1422</v>
      </c>
      <c r="G638" s="6" t="s">
        <v>1165</v>
      </c>
      <c r="H638" s="6" t="s">
        <v>430</v>
      </c>
      <c r="I638" s="6" t="s">
        <v>1267</v>
      </c>
      <c r="J638" s="185" t="s">
        <v>1424</v>
      </c>
      <c r="K638" s="186">
        <v>160.0</v>
      </c>
      <c r="L638" s="6" t="s">
        <v>21</v>
      </c>
    </row>
    <row r="639" ht="15.75" customHeight="1">
      <c r="A639" s="39" t="s">
        <v>31</v>
      </c>
      <c r="B639" s="39" t="s">
        <v>31</v>
      </c>
      <c r="C639" s="6" t="s">
        <v>466</v>
      </c>
      <c r="D639" s="6" t="s">
        <v>8</v>
      </c>
      <c r="E639" s="6" t="s">
        <v>1421</v>
      </c>
      <c r="F639" s="6" t="s">
        <v>1422</v>
      </c>
      <c r="G639" s="6" t="s">
        <v>1165</v>
      </c>
      <c r="H639" s="6" t="s">
        <v>430</v>
      </c>
      <c r="I639" s="6" t="s">
        <v>1267</v>
      </c>
      <c r="J639" s="185" t="s">
        <v>1425</v>
      </c>
      <c r="K639" s="186">
        <v>144.0</v>
      </c>
      <c r="L639" s="6" t="s">
        <v>21</v>
      </c>
    </row>
    <row r="640" ht="15.75" customHeight="1">
      <c r="A640" s="39" t="s">
        <v>31</v>
      </c>
      <c r="B640" s="39" t="s">
        <v>31</v>
      </c>
      <c r="C640" s="6" t="s">
        <v>466</v>
      </c>
      <c r="D640" s="6" t="s">
        <v>8</v>
      </c>
      <c r="E640" s="6" t="s">
        <v>1421</v>
      </c>
      <c r="F640" s="6" t="s">
        <v>1422</v>
      </c>
      <c r="G640" s="6" t="s">
        <v>1264</v>
      </c>
      <c r="H640" s="6" t="s">
        <v>430</v>
      </c>
      <c r="I640" s="6" t="s">
        <v>1267</v>
      </c>
      <c r="J640" s="185" t="s">
        <v>1424</v>
      </c>
      <c r="K640" s="186">
        <v>81.0</v>
      </c>
      <c r="L640" s="6" t="s">
        <v>21</v>
      </c>
    </row>
    <row r="641" ht="15.75" customHeight="1">
      <c r="A641" s="39" t="s">
        <v>31</v>
      </c>
      <c r="B641" s="39" t="s">
        <v>31</v>
      </c>
      <c r="C641" s="6" t="s">
        <v>466</v>
      </c>
      <c r="D641" s="6" t="s">
        <v>8</v>
      </c>
      <c r="E641" s="6" t="s">
        <v>1421</v>
      </c>
      <c r="F641" s="6" t="s">
        <v>1422</v>
      </c>
      <c r="G641" s="6" t="s">
        <v>1165</v>
      </c>
      <c r="H641" s="6" t="s">
        <v>430</v>
      </c>
      <c r="I641" s="6" t="s">
        <v>1267</v>
      </c>
      <c r="J641" s="185" t="s">
        <v>1424</v>
      </c>
      <c r="K641" s="186">
        <v>146.0</v>
      </c>
      <c r="L641" s="6" t="s">
        <v>21</v>
      </c>
    </row>
    <row r="642" ht="15.75" customHeight="1">
      <c r="A642" s="39" t="s">
        <v>31</v>
      </c>
      <c r="B642" s="39" t="s">
        <v>31</v>
      </c>
      <c r="C642" s="6" t="s">
        <v>466</v>
      </c>
      <c r="D642" s="6" t="s">
        <v>8</v>
      </c>
      <c r="E642" s="6" t="s">
        <v>1421</v>
      </c>
      <c r="F642" s="6" t="s">
        <v>1422</v>
      </c>
      <c r="G642" s="6" t="s">
        <v>1264</v>
      </c>
      <c r="H642" s="6" t="s">
        <v>430</v>
      </c>
      <c r="I642" s="6" t="s">
        <v>1267</v>
      </c>
      <c r="J642" s="185" t="s">
        <v>1425</v>
      </c>
      <c r="K642" s="186">
        <v>50.0</v>
      </c>
      <c r="L642" s="6" t="s">
        <v>21</v>
      </c>
    </row>
    <row r="643" ht="15.75" customHeight="1">
      <c r="A643" s="39" t="s">
        <v>31</v>
      </c>
      <c r="B643" s="39" t="s">
        <v>31</v>
      </c>
      <c r="C643" s="6" t="s">
        <v>466</v>
      </c>
      <c r="D643" s="6" t="s">
        <v>8</v>
      </c>
      <c r="E643" s="6" t="s">
        <v>1421</v>
      </c>
      <c r="F643" s="6" t="s">
        <v>1422</v>
      </c>
      <c r="G643" s="6" t="s">
        <v>1426</v>
      </c>
      <c r="H643" s="6" t="s">
        <v>430</v>
      </c>
      <c r="I643" s="6" t="s">
        <v>1267</v>
      </c>
      <c r="J643" s="185" t="s">
        <v>1427</v>
      </c>
      <c r="K643" s="186">
        <v>416.0</v>
      </c>
      <c r="L643" s="6" t="s">
        <v>21</v>
      </c>
    </row>
    <row r="644" ht="15.75" customHeight="1">
      <c r="A644" s="6" t="s">
        <v>19</v>
      </c>
      <c r="B644" s="6" t="s">
        <v>35</v>
      </c>
      <c r="C644" s="6" t="s">
        <v>427</v>
      </c>
      <c r="D644" s="6" t="s">
        <v>8</v>
      </c>
      <c r="E644" s="6" t="s">
        <v>1428</v>
      </c>
      <c r="F644" s="6" t="s">
        <v>1422</v>
      </c>
      <c r="G644" s="6" t="s">
        <v>1429</v>
      </c>
      <c r="H644" s="6" t="s">
        <v>440</v>
      </c>
      <c r="I644" s="6" t="s">
        <v>441</v>
      </c>
      <c r="J644" s="185" t="s">
        <v>1430</v>
      </c>
      <c r="K644" s="186">
        <v>525.0</v>
      </c>
      <c r="L644" s="6" t="s">
        <v>21</v>
      </c>
    </row>
    <row r="645" ht="15.75" customHeight="1">
      <c r="A645" s="6" t="s">
        <v>19</v>
      </c>
      <c r="B645" s="6" t="s">
        <v>35</v>
      </c>
      <c r="C645" s="6" t="s">
        <v>437</v>
      </c>
      <c r="D645" s="6" t="s">
        <v>8</v>
      </c>
      <c r="E645" s="6" t="s">
        <v>1431</v>
      </c>
      <c r="F645" s="6" t="s">
        <v>1432</v>
      </c>
      <c r="G645" s="6" t="s">
        <v>1277</v>
      </c>
      <c r="H645" s="6" t="s">
        <v>1433</v>
      </c>
      <c r="I645" s="6" t="s">
        <v>454</v>
      </c>
      <c r="J645" s="185" t="s">
        <v>454</v>
      </c>
      <c r="K645" s="186">
        <v>257.0</v>
      </c>
      <c r="L645" s="6" t="s">
        <v>21</v>
      </c>
    </row>
    <row r="646" ht="15.75" customHeight="1">
      <c r="A646" s="6" t="s">
        <v>19</v>
      </c>
      <c r="B646" s="6" t="s">
        <v>35</v>
      </c>
      <c r="C646" s="6" t="s">
        <v>459</v>
      </c>
      <c r="D646" s="6" t="s">
        <v>8</v>
      </c>
      <c r="E646" s="6" t="s">
        <v>1431</v>
      </c>
      <c r="F646" s="6" t="s">
        <v>1432</v>
      </c>
      <c r="G646" s="6" t="s">
        <v>1429</v>
      </c>
      <c r="H646" s="6" t="s">
        <v>1433</v>
      </c>
      <c r="I646" s="6" t="s">
        <v>461</v>
      </c>
      <c r="J646" s="185" t="s">
        <v>462</v>
      </c>
      <c r="K646" s="186">
        <v>2200.0</v>
      </c>
      <c r="L646" s="6" t="s">
        <v>21</v>
      </c>
    </row>
    <row r="647" ht="15.75" customHeight="1">
      <c r="A647" s="6" t="s">
        <v>19</v>
      </c>
      <c r="B647" s="6" t="s">
        <v>35</v>
      </c>
      <c r="C647" s="6" t="s">
        <v>466</v>
      </c>
      <c r="D647" s="6" t="s">
        <v>8</v>
      </c>
      <c r="E647" s="6" t="s">
        <v>1434</v>
      </c>
      <c r="F647" s="6" t="s">
        <v>1435</v>
      </c>
      <c r="G647" s="6" t="s">
        <v>1436</v>
      </c>
      <c r="H647" s="6" t="s">
        <v>533</v>
      </c>
      <c r="I647" s="6" t="s">
        <v>1176</v>
      </c>
      <c r="J647" s="185" t="s">
        <v>1437</v>
      </c>
      <c r="K647" s="186">
        <v>179.0</v>
      </c>
      <c r="L647" s="6" t="s">
        <v>21</v>
      </c>
    </row>
    <row r="648" ht="15.75" customHeight="1">
      <c r="A648" s="6" t="s">
        <v>19</v>
      </c>
      <c r="B648" s="6" t="s">
        <v>35</v>
      </c>
      <c r="C648" s="6" t="s">
        <v>466</v>
      </c>
      <c r="D648" s="6" t="s">
        <v>8</v>
      </c>
      <c r="E648" s="6" t="s">
        <v>1434</v>
      </c>
      <c r="F648" s="6" t="s">
        <v>1435</v>
      </c>
      <c r="G648" s="6" t="s">
        <v>1436</v>
      </c>
      <c r="H648" s="6" t="s">
        <v>533</v>
      </c>
      <c r="I648" s="6" t="s">
        <v>1176</v>
      </c>
      <c r="J648" s="185" t="s">
        <v>1438</v>
      </c>
      <c r="K648" s="186">
        <v>114.0</v>
      </c>
      <c r="L648" s="6" t="s">
        <v>21</v>
      </c>
    </row>
    <row r="649" ht="15.75" customHeight="1">
      <c r="A649" s="6" t="s">
        <v>19</v>
      </c>
      <c r="B649" s="6" t="s">
        <v>35</v>
      </c>
      <c r="C649" s="6" t="s">
        <v>466</v>
      </c>
      <c r="D649" s="6" t="s">
        <v>8</v>
      </c>
      <c r="E649" s="6" t="s">
        <v>1439</v>
      </c>
      <c r="F649" s="6" t="s">
        <v>1435</v>
      </c>
      <c r="G649" s="6" t="s">
        <v>1440</v>
      </c>
      <c r="H649" s="6" t="s">
        <v>513</v>
      </c>
      <c r="I649" s="6" t="s">
        <v>1441</v>
      </c>
      <c r="J649" s="185" t="s">
        <v>1442</v>
      </c>
      <c r="K649" s="186">
        <v>1300.0</v>
      </c>
      <c r="L649" s="6" t="s">
        <v>21</v>
      </c>
    </row>
    <row r="650" ht="15.75" customHeight="1">
      <c r="A650" s="6" t="s">
        <v>19</v>
      </c>
      <c r="B650" s="6" t="s">
        <v>35</v>
      </c>
      <c r="C650" s="6" t="s">
        <v>437</v>
      </c>
      <c r="D650" s="6" t="s">
        <v>8</v>
      </c>
      <c r="E650" s="6" t="s">
        <v>1443</v>
      </c>
      <c r="F650" s="6" t="s">
        <v>1444</v>
      </c>
      <c r="G650" s="6" t="s">
        <v>1445</v>
      </c>
      <c r="H650" s="6" t="s">
        <v>1433</v>
      </c>
      <c r="I650" s="6" t="s">
        <v>272</v>
      </c>
      <c r="J650" s="185" t="s">
        <v>1446</v>
      </c>
      <c r="K650" s="186">
        <v>150.0</v>
      </c>
      <c r="L650" s="6" t="s">
        <v>21</v>
      </c>
    </row>
    <row r="651" ht="15.75" customHeight="1">
      <c r="A651" s="6" t="s">
        <v>19</v>
      </c>
      <c r="B651" s="6" t="s">
        <v>35</v>
      </c>
      <c r="C651" s="6" t="s">
        <v>459</v>
      </c>
      <c r="D651" s="6" t="s">
        <v>8</v>
      </c>
      <c r="E651" s="6" t="s">
        <v>1443</v>
      </c>
      <c r="F651" s="6" t="s">
        <v>1444</v>
      </c>
      <c r="G651" s="6" t="s">
        <v>1445</v>
      </c>
      <c r="H651" s="6" t="s">
        <v>1433</v>
      </c>
      <c r="I651" s="6" t="s">
        <v>852</v>
      </c>
      <c r="J651" s="185" t="s">
        <v>465</v>
      </c>
      <c r="K651" s="186">
        <v>299.0</v>
      </c>
      <c r="L651" s="6" t="s">
        <v>21</v>
      </c>
    </row>
    <row r="652" ht="15.75" customHeight="1">
      <c r="A652" s="6" t="s">
        <v>19</v>
      </c>
      <c r="B652" s="6" t="s">
        <v>35</v>
      </c>
      <c r="C652" s="6" t="s">
        <v>448</v>
      </c>
      <c r="D652" s="6" t="s">
        <v>8</v>
      </c>
      <c r="E652" s="6" t="s">
        <v>1443</v>
      </c>
      <c r="F652" s="6" t="s">
        <v>1444</v>
      </c>
      <c r="G652" s="6" t="s">
        <v>1447</v>
      </c>
      <c r="H652" s="6" t="s">
        <v>1433</v>
      </c>
      <c r="I652" s="6" t="s">
        <v>272</v>
      </c>
      <c r="J652" s="185" t="s">
        <v>453</v>
      </c>
      <c r="K652" s="186">
        <v>102.0</v>
      </c>
      <c r="L652" s="6" t="s">
        <v>21</v>
      </c>
    </row>
    <row r="653" ht="15.75" customHeight="1">
      <c r="A653" s="6" t="s">
        <v>19</v>
      </c>
      <c r="B653" s="6" t="s">
        <v>35</v>
      </c>
      <c r="C653" s="6" t="s">
        <v>459</v>
      </c>
      <c r="D653" s="6" t="s">
        <v>8</v>
      </c>
      <c r="E653" s="6" t="s">
        <v>1443</v>
      </c>
      <c r="F653" s="6" t="s">
        <v>1444</v>
      </c>
      <c r="G653" s="6" t="s">
        <v>1448</v>
      </c>
      <c r="H653" s="6" t="s">
        <v>1433</v>
      </c>
      <c r="I653" s="6" t="s">
        <v>852</v>
      </c>
      <c r="J653" s="185" t="s">
        <v>486</v>
      </c>
      <c r="K653" s="186">
        <v>299.0</v>
      </c>
      <c r="L653" s="6" t="s">
        <v>21</v>
      </c>
    </row>
    <row r="654" ht="15.75" customHeight="1">
      <c r="A654" s="6" t="s">
        <v>19</v>
      </c>
      <c r="B654" s="6" t="s">
        <v>35</v>
      </c>
      <c r="C654" s="6" t="s">
        <v>459</v>
      </c>
      <c r="D654" s="6" t="s">
        <v>8</v>
      </c>
      <c r="E654" s="6" t="s">
        <v>1443</v>
      </c>
      <c r="F654" s="6" t="s">
        <v>1444</v>
      </c>
      <c r="G654" s="6" t="s">
        <v>1448</v>
      </c>
      <c r="H654" s="6" t="s">
        <v>1433</v>
      </c>
      <c r="I654" s="6" t="s">
        <v>852</v>
      </c>
      <c r="J654" s="185" t="s">
        <v>487</v>
      </c>
      <c r="K654" s="186">
        <v>309.0</v>
      </c>
      <c r="L654" s="6" t="s">
        <v>21</v>
      </c>
    </row>
    <row r="655" ht="15.75" customHeight="1">
      <c r="A655" s="6" t="s">
        <v>19</v>
      </c>
      <c r="B655" s="6" t="s">
        <v>35</v>
      </c>
      <c r="C655" s="6" t="s">
        <v>459</v>
      </c>
      <c r="D655" s="6" t="s">
        <v>8</v>
      </c>
      <c r="E655" s="6" t="s">
        <v>1443</v>
      </c>
      <c r="F655" s="6" t="s">
        <v>1444</v>
      </c>
      <c r="G655" s="6" t="s">
        <v>1448</v>
      </c>
      <c r="H655" s="6" t="s">
        <v>1433</v>
      </c>
      <c r="I655" s="6" t="s">
        <v>852</v>
      </c>
      <c r="J655" s="185" t="s">
        <v>485</v>
      </c>
      <c r="K655" s="186">
        <v>299.0</v>
      </c>
      <c r="L655" s="6" t="s">
        <v>21</v>
      </c>
    </row>
    <row r="656" ht="15.75" customHeight="1">
      <c r="A656" s="6" t="s">
        <v>19</v>
      </c>
      <c r="B656" s="6" t="s">
        <v>35</v>
      </c>
      <c r="C656" s="6" t="s">
        <v>459</v>
      </c>
      <c r="D656" s="6" t="s">
        <v>8</v>
      </c>
      <c r="E656" s="6" t="s">
        <v>1443</v>
      </c>
      <c r="F656" s="6" t="s">
        <v>1444</v>
      </c>
      <c r="G656" s="6" t="s">
        <v>1449</v>
      </c>
      <c r="H656" s="6" t="s">
        <v>1433</v>
      </c>
      <c r="I656" s="6" t="s">
        <v>852</v>
      </c>
      <c r="J656" s="185" t="s">
        <v>484</v>
      </c>
      <c r="K656" s="186">
        <v>299.0</v>
      </c>
      <c r="L656" s="6" t="s">
        <v>21</v>
      </c>
    </row>
    <row r="657" ht="15.75" customHeight="1">
      <c r="A657" s="12" t="s">
        <v>23</v>
      </c>
      <c r="B657" s="12" t="s">
        <v>66</v>
      </c>
      <c r="C657" s="12" t="s">
        <v>433</v>
      </c>
      <c r="D657" s="12" t="s">
        <v>8</v>
      </c>
      <c r="E657" s="12" t="s">
        <v>1450</v>
      </c>
      <c r="F657" s="12" t="s">
        <v>1451</v>
      </c>
      <c r="G657" s="12" t="s">
        <v>1452</v>
      </c>
      <c r="H657" s="12" t="s">
        <v>509</v>
      </c>
      <c r="I657" s="12" t="s">
        <v>509</v>
      </c>
      <c r="J657" s="187" t="s">
        <v>1453</v>
      </c>
      <c r="K657" s="188">
        <v>19000.0</v>
      </c>
      <c r="L657" s="12" t="s">
        <v>21</v>
      </c>
    </row>
    <row r="658" ht="15.75" customHeight="1">
      <c r="A658" s="12" t="s">
        <v>23</v>
      </c>
      <c r="B658" s="12" t="s">
        <v>66</v>
      </c>
      <c r="C658" s="12" t="s">
        <v>444</v>
      </c>
      <c r="D658" s="12" t="s">
        <v>8</v>
      </c>
      <c r="E658" s="12" t="s">
        <v>1450</v>
      </c>
      <c r="F658" s="12" t="s">
        <v>1451</v>
      </c>
      <c r="G658" s="12" t="s">
        <v>1452</v>
      </c>
      <c r="H658" s="12" t="s">
        <v>509</v>
      </c>
      <c r="I658" s="12" t="s">
        <v>509</v>
      </c>
      <c r="J658" s="187" t="s">
        <v>510</v>
      </c>
      <c r="K658" s="188">
        <v>2280.0</v>
      </c>
      <c r="L658" s="12" t="s">
        <v>21</v>
      </c>
    </row>
    <row r="659" ht="15.75" customHeight="1">
      <c r="A659" s="12" t="s">
        <v>23</v>
      </c>
      <c r="B659" s="12" t="s">
        <v>66</v>
      </c>
      <c r="C659" s="12" t="s">
        <v>433</v>
      </c>
      <c r="D659" s="12" t="s">
        <v>8</v>
      </c>
      <c r="E659" s="12" t="s">
        <v>1454</v>
      </c>
      <c r="F659" s="12" t="s">
        <v>1435</v>
      </c>
      <c r="G659" s="12" t="s">
        <v>1455</v>
      </c>
      <c r="H659" s="12" t="s">
        <v>509</v>
      </c>
      <c r="I659" s="12" t="s">
        <v>509</v>
      </c>
      <c r="J659" s="187" t="s">
        <v>1456</v>
      </c>
      <c r="K659" s="188">
        <v>13800.0</v>
      </c>
      <c r="L659" s="12" t="s">
        <v>21</v>
      </c>
    </row>
    <row r="660" ht="15.75" customHeight="1">
      <c r="A660" s="12" t="s">
        <v>23</v>
      </c>
      <c r="B660" s="12" t="s">
        <v>66</v>
      </c>
      <c r="C660" s="12" t="s">
        <v>444</v>
      </c>
      <c r="D660" s="12" t="s">
        <v>8</v>
      </c>
      <c r="E660" s="12" t="s">
        <v>1454</v>
      </c>
      <c r="F660" s="12" t="s">
        <v>1435</v>
      </c>
      <c r="G660" s="12" t="s">
        <v>1455</v>
      </c>
      <c r="H660" s="12" t="s">
        <v>509</v>
      </c>
      <c r="I660" s="12" t="s">
        <v>509</v>
      </c>
      <c r="J660" s="187" t="s">
        <v>510</v>
      </c>
      <c r="K660" s="188">
        <v>1656.0</v>
      </c>
      <c r="L660" s="12" t="s">
        <v>21</v>
      </c>
    </row>
    <row r="661" ht="15.75" customHeight="1">
      <c r="A661" s="12" t="s">
        <v>23</v>
      </c>
      <c r="B661" s="12" t="s">
        <v>66</v>
      </c>
      <c r="C661" s="12" t="s">
        <v>433</v>
      </c>
      <c r="D661" s="12" t="s">
        <v>8</v>
      </c>
      <c r="E661" s="12" t="s">
        <v>1454</v>
      </c>
      <c r="F661" s="12" t="s">
        <v>1435</v>
      </c>
      <c r="G661" s="12" t="s">
        <v>1455</v>
      </c>
      <c r="H661" s="12" t="s">
        <v>509</v>
      </c>
      <c r="I661" s="12" t="s">
        <v>509</v>
      </c>
      <c r="J661" s="187" t="s">
        <v>1457</v>
      </c>
      <c r="K661" s="188">
        <v>14520.0</v>
      </c>
      <c r="L661" s="12" t="s">
        <v>21</v>
      </c>
    </row>
    <row r="662" ht="15.75" customHeight="1">
      <c r="A662" s="12" t="s">
        <v>23</v>
      </c>
      <c r="B662" s="12" t="s">
        <v>66</v>
      </c>
      <c r="C662" s="12" t="s">
        <v>444</v>
      </c>
      <c r="D662" s="12" t="s">
        <v>8</v>
      </c>
      <c r="E662" s="12" t="s">
        <v>1454</v>
      </c>
      <c r="F662" s="12" t="s">
        <v>1435</v>
      </c>
      <c r="G662" s="12" t="s">
        <v>1455</v>
      </c>
      <c r="H662" s="12" t="s">
        <v>509</v>
      </c>
      <c r="I662" s="12" t="s">
        <v>509</v>
      </c>
      <c r="J662" s="187" t="s">
        <v>510</v>
      </c>
      <c r="K662" s="188">
        <v>1742.0</v>
      </c>
      <c r="L662" s="12" t="s">
        <v>21</v>
      </c>
    </row>
    <row r="663" ht="15.75" customHeight="1">
      <c r="A663" s="12" t="s">
        <v>23</v>
      </c>
      <c r="B663" s="12" t="s">
        <v>57</v>
      </c>
      <c r="C663" s="12" t="s">
        <v>433</v>
      </c>
      <c r="D663" s="12" t="s">
        <v>8</v>
      </c>
      <c r="E663" s="12" t="s">
        <v>1458</v>
      </c>
      <c r="F663" s="12" t="s">
        <v>376</v>
      </c>
      <c r="G663" s="12" t="s">
        <v>1369</v>
      </c>
      <c r="H663" s="12" t="s">
        <v>661</v>
      </c>
      <c r="I663" s="12" t="s">
        <v>1459</v>
      </c>
      <c r="J663" s="187" t="s">
        <v>1460</v>
      </c>
      <c r="K663" s="188">
        <v>1000.0</v>
      </c>
      <c r="L663" s="12" t="s">
        <v>21</v>
      </c>
    </row>
    <row r="664" ht="15.75" customHeight="1">
      <c r="A664" s="12" t="s">
        <v>23</v>
      </c>
      <c r="B664" s="12" t="s">
        <v>57</v>
      </c>
      <c r="C664" s="12" t="s">
        <v>517</v>
      </c>
      <c r="D664" s="12" t="s">
        <v>8</v>
      </c>
      <c r="E664" s="12" t="s">
        <v>1461</v>
      </c>
      <c r="F664" s="12" t="s">
        <v>376</v>
      </c>
      <c r="G664" s="12" t="s">
        <v>293</v>
      </c>
      <c r="H664" s="12" t="s">
        <v>381</v>
      </c>
      <c r="I664" s="12" t="s">
        <v>381</v>
      </c>
      <c r="J664" s="187" t="s">
        <v>1462</v>
      </c>
      <c r="K664" s="188">
        <v>2012040.0</v>
      </c>
      <c r="L664" s="62" t="s">
        <v>148</v>
      </c>
    </row>
    <row r="665" ht="15.75" customHeight="1">
      <c r="A665" s="12" t="s">
        <v>23</v>
      </c>
      <c r="B665" s="12" t="s">
        <v>57</v>
      </c>
      <c r="C665" s="12" t="s">
        <v>517</v>
      </c>
      <c r="D665" s="12" t="s">
        <v>8</v>
      </c>
      <c r="E665" s="12" t="s">
        <v>1463</v>
      </c>
      <c r="F665" s="12" t="s">
        <v>376</v>
      </c>
      <c r="G665" s="12" t="s">
        <v>293</v>
      </c>
      <c r="H665" s="12" t="s">
        <v>381</v>
      </c>
      <c r="I665" s="12" t="s">
        <v>381</v>
      </c>
      <c r="J665" s="187" t="s">
        <v>1464</v>
      </c>
      <c r="K665" s="188">
        <v>299964.0</v>
      </c>
      <c r="L665" s="62" t="s">
        <v>148</v>
      </c>
    </row>
    <row r="666" ht="15.75" customHeight="1">
      <c r="A666" s="12" t="s">
        <v>23</v>
      </c>
      <c r="B666" s="12" t="s">
        <v>64</v>
      </c>
      <c r="C666" s="12" t="s">
        <v>466</v>
      </c>
      <c r="D666" s="12" t="s">
        <v>8</v>
      </c>
      <c r="E666" s="12" t="s">
        <v>1465</v>
      </c>
      <c r="F666" s="12" t="s">
        <v>1451</v>
      </c>
      <c r="G666" s="12" t="s">
        <v>1159</v>
      </c>
      <c r="H666" s="12" t="s">
        <v>1466</v>
      </c>
      <c r="I666" s="12" t="s">
        <v>1318</v>
      </c>
      <c r="J666" s="187" t="s">
        <v>1467</v>
      </c>
      <c r="K666" s="188">
        <v>1050.0</v>
      </c>
      <c r="L666" s="12" t="s">
        <v>21</v>
      </c>
    </row>
    <row r="667" ht="15.75" customHeight="1">
      <c r="A667" s="12" t="s">
        <v>23</v>
      </c>
      <c r="B667" s="12" t="s">
        <v>24</v>
      </c>
      <c r="C667" s="12" t="s">
        <v>466</v>
      </c>
      <c r="D667" s="12" t="s">
        <v>8</v>
      </c>
      <c r="E667" s="12" t="s">
        <v>1468</v>
      </c>
      <c r="F667" s="12" t="s">
        <v>1469</v>
      </c>
      <c r="G667" s="12" t="s">
        <v>1277</v>
      </c>
      <c r="H667" s="12" t="s">
        <v>871</v>
      </c>
      <c r="I667" s="12" t="s">
        <v>1318</v>
      </c>
      <c r="J667" s="187" t="s">
        <v>1470</v>
      </c>
      <c r="K667" s="188">
        <v>5250.0</v>
      </c>
      <c r="L667" s="12" t="s">
        <v>21</v>
      </c>
    </row>
    <row r="668" ht="15.75" customHeight="1">
      <c r="A668" s="12" t="s">
        <v>23</v>
      </c>
      <c r="B668" s="12" t="s">
        <v>24</v>
      </c>
      <c r="C668" s="12" t="s">
        <v>466</v>
      </c>
      <c r="D668" s="12" t="s">
        <v>8</v>
      </c>
      <c r="E668" s="12" t="s">
        <v>1468</v>
      </c>
      <c r="F668" s="12" t="s">
        <v>1469</v>
      </c>
      <c r="G668" s="12" t="s">
        <v>1277</v>
      </c>
      <c r="H668" s="12" t="s">
        <v>871</v>
      </c>
      <c r="I668" s="12" t="s">
        <v>1318</v>
      </c>
      <c r="J668" s="187" t="s">
        <v>1471</v>
      </c>
      <c r="K668" s="188">
        <v>5250.0</v>
      </c>
      <c r="L668" s="12" t="s">
        <v>21</v>
      </c>
    </row>
    <row r="669" ht="15.75" customHeight="1">
      <c r="A669" s="12" t="s">
        <v>23</v>
      </c>
      <c r="B669" s="12" t="s">
        <v>24</v>
      </c>
      <c r="C669" s="12" t="s">
        <v>466</v>
      </c>
      <c r="D669" s="12" t="s">
        <v>8</v>
      </c>
      <c r="E669" s="12" t="s">
        <v>1468</v>
      </c>
      <c r="F669" s="12" t="s">
        <v>1469</v>
      </c>
      <c r="G669" s="12" t="s">
        <v>1472</v>
      </c>
      <c r="H669" s="12" t="s">
        <v>871</v>
      </c>
      <c r="I669" s="12" t="s">
        <v>1473</v>
      </c>
      <c r="J669" s="187" t="s">
        <v>1474</v>
      </c>
      <c r="K669" s="188">
        <v>150.0</v>
      </c>
      <c r="L669" s="12" t="s">
        <v>21</v>
      </c>
    </row>
    <row r="670" ht="15.75" customHeight="1">
      <c r="A670" s="12" t="s">
        <v>23</v>
      </c>
      <c r="B670" s="12" t="s">
        <v>24</v>
      </c>
      <c r="C670" s="12" t="s">
        <v>466</v>
      </c>
      <c r="D670" s="12" t="s">
        <v>8</v>
      </c>
      <c r="E670" s="12" t="s">
        <v>1468</v>
      </c>
      <c r="F670" s="12" t="s">
        <v>1469</v>
      </c>
      <c r="G670" s="12" t="s">
        <v>1426</v>
      </c>
      <c r="H670" s="12" t="s">
        <v>871</v>
      </c>
      <c r="I670" s="12" t="s">
        <v>1473</v>
      </c>
      <c r="J670" s="187" t="s">
        <v>1474</v>
      </c>
      <c r="K670" s="188">
        <v>150.0</v>
      </c>
      <c r="L670" s="12" t="s">
        <v>21</v>
      </c>
    </row>
    <row r="671" ht="15.75" customHeight="1">
      <c r="A671" s="12" t="s">
        <v>23</v>
      </c>
      <c r="B671" s="12" t="s">
        <v>24</v>
      </c>
      <c r="C671" s="12" t="s">
        <v>466</v>
      </c>
      <c r="D671" s="12" t="s">
        <v>8</v>
      </c>
      <c r="E671" s="12" t="s">
        <v>1468</v>
      </c>
      <c r="F671" s="12" t="s">
        <v>1469</v>
      </c>
      <c r="G671" s="12" t="s">
        <v>1264</v>
      </c>
      <c r="H671" s="12" t="s">
        <v>871</v>
      </c>
      <c r="I671" s="12" t="s">
        <v>1475</v>
      </c>
      <c r="J671" s="187" t="s">
        <v>1476</v>
      </c>
      <c r="K671" s="188">
        <v>3746.0</v>
      </c>
      <c r="L671" s="12" t="s">
        <v>21</v>
      </c>
    </row>
    <row r="672" ht="15.75" customHeight="1">
      <c r="A672" s="12" t="s">
        <v>23</v>
      </c>
      <c r="B672" s="12" t="s">
        <v>24</v>
      </c>
      <c r="C672" s="12" t="s">
        <v>466</v>
      </c>
      <c r="D672" s="12" t="s">
        <v>8</v>
      </c>
      <c r="E672" s="12" t="s">
        <v>1468</v>
      </c>
      <c r="F672" s="12" t="s">
        <v>1469</v>
      </c>
      <c r="G672" s="12" t="s">
        <v>1426</v>
      </c>
      <c r="H672" s="12" t="s">
        <v>871</v>
      </c>
      <c r="I672" s="12" t="s">
        <v>1475</v>
      </c>
      <c r="J672" s="187" t="s">
        <v>1477</v>
      </c>
      <c r="K672" s="188">
        <v>3578.0</v>
      </c>
      <c r="L672" s="12" t="s">
        <v>21</v>
      </c>
    </row>
    <row r="673" ht="15.75" customHeight="1">
      <c r="A673" s="12" t="s">
        <v>23</v>
      </c>
      <c r="B673" s="12" t="s">
        <v>24</v>
      </c>
      <c r="C673" s="12" t="s">
        <v>466</v>
      </c>
      <c r="D673" s="12" t="s">
        <v>8</v>
      </c>
      <c r="E673" s="12" t="s">
        <v>1465</v>
      </c>
      <c r="F673" s="12" t="s">
        <v>1451</v>
      </c>
      <c r="G673" s="12" t="s">
        <v>1159</v>
      </c>
      <c r="H673" s="12" t="s">
        <v>1466</v>
      </c>
      <c r="I673" s="12" t="s">
        <v>1259</v>
      </c>
      <c r="J673" s="187" t="s">
        <v>1260</v>
      </c>
      <c r="K673" s="188">
        <v>100.0</v>
      </c>
      <c r="L673" s="12" t="s">
        <v>21</v>
      </c>
    </row>
    <row r="674" ht="15.75" customHeight="1">
      <c r="A674" s="12" t="s">
        <v>23</v>
      </c>
      <c r="B674" s="12" t="s">
        <v>24</v>
      </c>
      <c r="C674" s="12" t="s">
        <v>433</v>
      </c>
      <c r="D674" s="12" t="s">
        <v>8</v>
      </c>
      <c r="E674" s="12" t="s">
        <v>1478</v>
      </c>
      <c r="F674" s="12" t="s">
        <v>1451</v>
      </c>
      <c r="G674" s="12" t="s">
        <v>1479</v>
      </c>
      <c r="H674" s="12" t="s">
        <v>513</v>
      </c>
      <c r="I674" s="12" t="s">
        <v>475</v>
      </c>
      <c r="J674" s="187" t="s">
        <v>1480</v>
      </c>
      <c r="K674" s="188">
        <v>578.0</v>
      </c>
      <c r="L674" s="12" t="s">
        <v>21</v>
      </c>
    </row>
    <row r="675" ht="15.75" customHeight="1">
      <c r="A675" s="12" t="s">
        <v>23</v>
      </c>
      <c r="B675" s="12" t="s">
        <v>24</v>
      </c>
      <c r="C675" s="12" t="s">
        <v>459</v>
      </c>
      <c r="D675" s="12" t="s">
        <v>8</v>
      </c>
      <c r="E675" s="12" t="s">
        <v>1478</v>
      </c>
      <c r="F675" s="12" t="s">
        <v>1451</v>
      </c>
      <c r="G675" s="12" t="s">
        <v>1163</v>
      </c>
      <c r="H675" s="12" t="s">
        <v>513</v>
      </c>
      <c r="I675" s="12" t="s">
        <v>570</v>
      </c>
      <c r="J675" s="187" t="s">
        <v>1481</v>
      </c>
      <c r="K675" s="188">
        <v>129.0</v>
      </c>
      <c r="L675" s="12" t="s">
        <v>21</v>
      </c>
    </row>
    <row r="676" ht="15.75" customHeight="1">
      <c r="A676" s="12" t="s">
        <v>23</v>
      </c>
      <c r="B676" s="12" t="s">
        <v>24</v>
      </c>
      <c r="C676" s="12" t="s">
        <v>444</v>
      </c>
      <c r="D676" s="12" t="s">
        <v>8</v>
      </c>
      <c r="E676" s="12" t="s">
        <v>1478</v>
      </c>
      <c r="F676" s="12" t="s">
        <v>1451</v>
      </c>
      <c r="G676" s="12" t="s">
        <v>1264</v>
      </c>
      <c r="H676" s="12" t="s">
        <v>513</v>
      </c>
      <c r="I676" s="12" t="s">
        <v>1482</v>
      </c>
      <c r="J676" s="187" t="s">
        <v>1483</v>
      </c>
      <c r="K676" s="188">
        <v>3395.0</v>
      </c>
      <c r="L676" s="12" t="s">
        <v>21</v>
      </c>
    </row>
    <row r="677" ht="15.75" customHeight="1">
      <c r="A677" s="12" t="s">
        <v>23</v>
      </c>
      <c r="B677" s="12" t="s">
        <v>24</v>
      </c>
      <c r="C677" s="12" t="s">
        <v>437</v>
      </c>
      <c r="D677" s="12" t="s">
        <v>8</v>
      </c>
      <c r="E677" s="12" t="s">
        <v>1478</v>
      </c>
      <c r="F677" s="12" t="s">
        <v>1451</v>
      </c>
      <c r="G677" s="12" t="s">
        <v>1484</v>
      </c>
      <c r="H677" s="12" t="s">
        <v>513</v>
      </c>
      <c r="I677" s="12" t="s">
        <v>1255</v>
      </c>
      <c r="J677" s="187" t="s">
        <v>1485</v>
      </c>
      <c r="K677" s="188">
        <v>180.0</v>
      </c>
      <c r="L677" s="12" t="s">
        <v>21</v>
      </c>
    </row>
    <row r="678" ht="15.75" customHeight="1">
      <c r="A678" s="12" t="s">
        <v>23</v>
      </c>
      <c r="B678" s="12" t="s">
        <v>24</v>
      </c>
      <c r="C678" s="12" t="s">
        <v>444</v>
      </c>
      <c r="D678" s="12" t="s">
        <v>8</v>
      </c>
      <c r="E678" s="12" t="s">
        <v>1478</v>
      </c>
      <c r="F678" s="12" t="s">
        <v>1451</v>
      </c>
      <c r="G678" s="12" t="s">
        <v>1479</v>
      </c>
      <c r="H678" s="12" t="s">
        <v>513</v>
      </c>
      <c r="I678" s="12" t="s">
        <v>1486</v>
      </c>
      <c r="J678" s="187" t="s">
        <v>1487</v>
      </c>
      <c r="K678" s="188">
        <v>5992.0</v>
      </c>
      <c r="L678" s="12" t="s">
        <v>21</v>
      </c>
    </row>
    <row r="679" ht="15.75" customHeight="1">
      <c r="A679" s="12" t="s">
        <v>23</v>
      </c>
      <c r="B679" s="12" t="s">
        <v>24</v>
      </c>
      <c r="C679" s="12" t="s">
        <v>466</v>
      </c>
      <c r="D679" s="12" t="s">
        <v>8</v>
      </c>
      <c r="E679" s="12" t="s">
        <v>1478</v>
      </c>
      <c r="F679" s="12" t="s">
        <v>1451</v>
      </c>
      <c r="G679" s="12" t="s">
        <v>1277</v>
      </c>
      <c r="H679" s="12" t="s">
        <v>513</v>
      </c>
      <c r="I679" s="12" t="s">
        <v>1488</v>
      </c>
      <c r="J679" s="187" t="s">
        <v>1489</v>
      </c>
      <c r="K679" s="188">
        <v>530.0</v>
      </c>
      <c r="L679" s="12" t="s">
        <v>21</v>
      </c>
    </row>
    <row r="680" ht="15.75" customHeight="1">
      <c r="A680" s="12" t="s">
        <v>23</v>
      </c>
      <c r="B680" s="12" t="s">
        <v>24</v>
      </c>
      <c r="C680" s="12" t="s">
        <v>466</v>
      </c>
      <c r="D680" s="12" t="s">
        <v>8</v>
      </c>
      <c r="E680" s="12" t="s">
        <v>1478</v>
      </c>
      <c r="F680" s="12" t="s">
        <v>1451</v>
      </c>
      <c r="G680" s="12" t="s">
        <v>1490</v>
      </c>
      <c r="H680" s="12" t="s">
        <v>513</v>
      </c>
      <c r="I680" s="12" t="s">
        <v>1259</v>
      </c>
      <c r="J680" s="187" t="s">
        <v>1491</v>
      </c>
      <c r="K680" s="188">
        <v>1500.0</v>
      </c>
      <c r="L680" s="12" t="s">
        <v>21</v>
      </c>
    </row>
    <row r="681" ht="15.75" customHeight="1">
      <c r="A681" s="12" t="s">
        <v>23</v>
      </c>
      <c r="B681" s="12" t="s">
        <v>24</v>
      </c>
      <c r="C681" s="12" t="s">
        <v>554</v>
      </c>
      <c r="D681" s="12" t="s">
        <v>8</v>
      </c>
      <c r="E681" s="12" t="s">
        <v>1492</v>
      </c>
      <c r="F681" s="12" t="s">
        <v>1493</v>
      </c>
      <c r="G681" s="12" t="s">
        <v>1494</v>
      </c>
      <c r="H681" s="12" t="s">
        <v>551</v>
      </c>
      <c r="I681" s="12" t="s">
        <v>552</v>
      </c>
      <c r="J681" s="187" t="s">
        <v>1495</v>
      </c>
      <c r="K681" s="188">
        <v>208650.0</v>
      </c>
      <c r="L681" s="12" t="s">
        <v>21</v>
      </c>
    </row>
    <row r="682" ht="15.75" customHeight="1">
      <c r="A682" s="12" t="s">
        <v>23</v>
      </c>
      <c r="B682" s="12" t="s">
        <v>24</v>
      </c>
      <c r="C682" s="12" t="s">
        <v>728</v>
      </c>
      <c r="D682" s="12" t="s">
        <v>8</v>
      </c>
      <c r="E682" s="12" t="s">
        <v>1496</v>
      </c>
      <c r="F682" s="12" t="s">
        <v>1432</v>
      </c>
      <c r="G682" s="12" t="s">
        <v>1429</v>
      </c>
      <c r="H682" s="12" t="s">
        <v>871</v>
      </c>
      <c r="I682" s="12" t="s">
        <v>1497</v>
      </c>
      <c r="J682" s="187" t="s">
        <v>1498</v>
      </c>
      <c r="K682" s="188">
        <v>16000.0</v>
      </c>
      <c r="L682" s="12" t="s">
        <v>21</v>
      </c>
    </row>
    <row r="683" ht="15.75" customHeight="1">
      <c r="A683" s="12" t="s">
        <v>23</v>
      </c>
      <c r="B683" s="12" t="s">
        <v>24</v>
      </c>
      <c r="C683" s="12" t="s">
        <v>728</v>
      </c>
      <c r="D683" s="12" t="s">
        <v>8</v>
      </c>
      <c r="E683" s="12" t="s">
        <v>1496</v>
      </c>
      <c r="F683" s="12" t="s">
        <v>1432</v>
      </c>
      <c r="G683" s="12" t="s">
        <v>1429</v>
      </c>
      <c r="H683" s="12" t="s">
        <v>871</v>
      </c>
      <c r="I683" s="12" t="s">
        <v>1497</v>
      </c>
      <c r="J683" s="187" t="s">
        <v>1499</v>
      </c>
      <c r="K683" s="188">
        <v>16000.0</v>
      </c>
      <c r="L683" s="12" t="s">
        <v>21</v>
      </c>
    </row>
    <row r="684" ht="15.75" customHeight="1">
      <c r="A684" s="12" t="s">
        <v>23</v>
      </c>
      <c r="B684" s="12" t="s">
        <v>24</v>
      </c>
      <c r="C684" s="12" t="s">
        <v>466</v>
      </c>
      <c r="D684" s="12" t="s">
        <v>8</v>
      </c>
      <c r="E684" s="12" t="s">
        <v>1500</v>
      </c>
      <c r="F684" s="12" t="s">
        <v>1501</v>
      </c>
      <c r="G684" s="12" t="s">
        <v>1455</v>
      </c>
      <c r="H684" s="12" t="s">
        <v>871</v>
      </c>
      <c r="I684" s="12" t="s">
        <v>1502</v>
      </c>
      <c r="J684" s="187" t="s">
        <v>1503</v>
      </c>
      <c r="K684" s="188">
        <v>2100.0</v>
      </c>
      <c r="L684" s="12" t="s">
        <v>21</v>
      </c>
    </row>
    <row r="685" ht="15.75" customHeight="1">
      <c r="A685" s="12" t="s">
        <v>23</v>
      </c>
      <c r="B685" s="12" t="s">
        <v>24</v>
      </c>
      <c r="C685" s="12" t="s">
        <v>466</v>
      </c>
      <c r="D685" s="12" t="s">
        <v>8</v>
      </c>
      <c r="E685" s="12" t="s">
        <v>1500</v>
      </c>
      <c r="F685" s="12" t="s">
        <v>1501</v>
      </c>
      <c r="G685" s="12" t="s">
        <v>1455</v>
      </c>
      <c r="H685" s="12" t="s">
        <v>871</v>
      </c>
      <c r="I685" s="12" t="s">
        <v>1502</v>
      </c>
      <c r="J685" s="187" t="s">
        <v>1504</v>
      </c>
      <c r="K685" s="188">
        <v>750.0</v>
      </c>
      <c r="L685" s="12" t="s">
        <v>21</v>
      </c>
    </row>
    <row r="686" ht="15.75" customHeight="1">
      <c r="A686" s="12" t="s">
        <v>23</v>
      </c>
      <c r="B686" s="12" t="s">
        <v>24</v>
      </c>
      <c r="C686" s="12" t="s">
        <v>728</v>
      </c>
      <c r="D686" s="12" t="s">
        <v>8</v>
      </c>
      <c r="E686" s="12" t="s">
        <v>1505</v>
      </c>
      <c r="F686" s="12" t="s">
        <v>1501</v>
      </c>
      <c r="G686" s="12" t="s">
        <v>1455</v>
      </c>
      <c r="H686" s="12" t="s">
        <v>871</v>
      </c>
      <c r="I686" s="12" t="s">
        <v>1502</v>
      </c>
      <c r="J686" s="187" t="s">
        <v>1506</v>
      </c>
      <c r="K686" s="188">
        <v>4800.0</v>
      </c>
      <c r="L686" s="12" t="s">
        <v>21</v>
      </c>
    </row>
    <row r="687" ht="15.75" customHeight="1">
      <c r="A687" s="12" t="s">
        <v>23</v>
      </c>
      <c r="B687" s="12" t="s">
        <v>24</v>
      </c>
      <c r="C687" s="12" t="s">
        <v>728</v>
      </c>
      <c r="D687" s="12" t="s">
        <v>8</v>
      </c>
      <c r="E687" s="12" t="s">
        <v>1505</v>
      </c>
      <c r="F687" s="12" t="s">
        <v>1501</v>
      </c>
      <c r="G687" s="12" t="s">
        <v>1455</v>
      </c>
      <c r="H687" s="12" t="s">
        <v>871</v>
      </c>
      <c r="I687" s="12" t="s">
        <v>1502</v>
      </c>
      <c r="J687" s="187" t="s">
        <v>1507</v>
      </c>
      <c r="K687" s="188">
        <v>4800.0</v>
      </c>
      <c r="L687" s="12" t="s">
        <v>21</v>
      </c>
    </row>
    <row r="688" ht="15.75" customHeight="1">
      <c r="A688" s="12" t="s">
        <v>23</v>
      </c>
      <c r="B688" s="12" t="s">
        <v>24</v>
      </c>
      <c r="C688" s="12" t="s">
        <v>459</v>
      </c>
      <c r="D688" s="12" t="s">
        <v>8</v>
      </c>
      <c r="E688" s="12" t="s">
        <v>1439</v>
      </c>
      <c r="F688" s="12" t="s">
        <v>1435</v>
      </c>
      <c r="G688" s="12" t="s">
        <v>1508</v>
      </c>
      <c r="H688" s="12" t="s">
        <v>513</v>
      </c>
      <c r="I688" s="12" t="s">
        <v>1509</v>
      </c>
      <c r="J688" s="187" t="s">
        <v>571</v>
      </c>
      <c r="K688" s="188">
        <v>349.0</v>
      </c>
      <c r="L688" s="12" t="s">
        <v>21</v>
      </c>
    </row>
    <row r="689" ht="15.75" customHeight="1">
      <c r="A689" s="12" t="s">
        <v>23</v>
      </c>
      <c r="B689" s="12" t="s">
        <v>24</v>
      </c>
      <c r="C689" s="12" t="s">
        <v>444</v>
      </c>
      <c r="D689" s="12" t="s">
        <v>8</v>
      </c>
      <c r="E689" s="12" t="s">
        <v>1439</v>
      </c>
      <c r="F689" s="12" t="s">
        <v>1435</v>
      </c>
      <c r="G689" s="12" t="s">
        <v>1510</v>
      </c>
      <c r="H689" s="12" t="s">
        <v>513</v>
      </c>
      <c r="I689" s="12" t="s">
        <v>272</v>
      </c>
      <c r="J689" s="187" t="s">
        <v>1511</v>
      </c>
      <c r="K689" s="188">
        <v>2000.0</v>
      </c>
      <c r="L689" s="12" t="s">
        <v>21</v>
      </c>
    </row>
    <row r="690" ht="15.75" customHeight="1">
      <c r="A690" s="12" t="s">
        <v>23</v>
      </c>
      <c r="B690" s="12" t="s">
        <v>24</v>
      </c>
      <c r="C690" s="12" t="s">
        <v>448</v>
      </c>
      <c r="D690" s="12" t="s">
        <v>8</v>
      </c>
      <c r="E690" s="12" t="s">
        <v>1439</v>
      </c>
      <c r="F690" s="12" t="s">
        <v>1435</v>
      </c>
      <c r="G690" s="12" t="s">
        <v>1512</v>
      </c>
      <c r="H690" s="12" t="s">
        <v>513</v>
      </c>
      <c r="I690" s="12" t="s">
        <v>272</v>
      </c>
      <c r="J690" s="187" t="s">
        <v>567</v>
      </c>
      <c r="K690" s="188">
        <v>1601.0</v>
      </c>
      <c r="L690" s="12" t="s">
        <v>21</v>
      </c>
    </row>
    <row r="691" ht="15.75" customHeight="1">
      <c r="A691" s="12" t="s">
        <v>23</v>
      </c>
      <c r="B691" s="12" t="s">
        <v>24</v>
      </c>
      <c r="C691" s="12" t="s">
        <v>437</v>
      </c>
      <c r="D691" s="12" t="s">
        <v>8</v>
      </c>
      <c r="E691" s="12" t="s">
        <v>1439</v>
      </c>
      <c r="F691" s="12" t="s">
        <v>1435</v>
      </c>
      <c r="G691" s="12" t="s">
        <v>1512</v>
      </c>
      <c r="H691" s="12" t="s">
        <v>513</v>
      </c>
      <c r="I691" s="12" t="s">
        <v>272</v>
      </c>
      <c r="J691" s="187" t="s">
        <v>564</v>
      </c>
      <c r="K691" s="188">
        <v>300.0</v>
      </c>
      <c r="L691" s="12" t="s">
        <v>21</v>
      </c>
    </row>
    <row r="692" ht="15.75" customHeight="1">
      <c r="A692" s="12" t="s">
        <v>23</v>
      </c>
      <c r="B692" s="12" t="s">
        <v>24</v>
      </c>
      <c r="C692" s="12" t="s">
        <v>558</v>
      </c>
      <c r="D692" s="12" t="s">
        <v>8</v>
      </c>
      <c r="E692" s="12" t="s">
        <v>1439</v>
      </c>
      <c r="F692" s="12" t="s">
        <v>1435</v>
      </c>
      <c r="G692" s="12" t="s">
        <v>293</v>
      </c>
      <c r="H692" s="12" t="s">
        <v>513</v>
      </c>
      <c r="I692" s="12" t="s">
        <v>272</v>
      </c>
      <c r="J692" s="187" t="s">
        <v>1513</v>
      </c>
      <c r="K692" s="188">
        <v>1800.0</v>
      </c>
      <c r="L692" s="12" t="s">
        <v>21</v>
      </c>
    </row>
    <row r="693" ht="15.75" customHeight="1">
      <c r="A693" s="12" t="s">
        <v>23</v>
      </c>
      <c r="B693" s="12" t="s">
        <v>24</v>
      </c>
      <c r="C693" s="12" t="s">
        <v>466</v>
      </c>
      <c r="D693" s="12" t="s">
        <v>8</v>
      </c>
      <c r="E693" s="12" t="s">
        <v>1439</v>
      </c>
      <c r="F693" s="12" t="s">
        <v>1435</v>
      </c>
      <c r="G693" s="12" t="s">
        <v>1510</v>
      </c>
      <c r="H693" s="12" t="s">
        <v>513</v>
      </c>
      <c r="I693" s="12" t="s">
        <v>272</v>
      </c>
      <c r="J693" s="187" t="s">
        <v>1260</v>
      </c>
      <c r="K693" s="188">
        <v>1200.0</v>
      </c>
      <c r="L693" s="12" t="s">
        <v>21</v>
      </c>
    </row>
    <row r="694" ht="15.75" customHeight="1">
      <c r="A694" s="46" t="s">
        <v>31</v>
      </c>
      <c r="B694" s="46" t="s">
        <v>31</v>
      </c>
      <c r="C694" s="12" t="s">
        <v>466</v>
      </c>
      <c r="D694" s="12" t="s">
        <v>8</v>
      </c>
      <c r="E694" s="12" t="s">
        <v>1439</v>
      </c>
      <c r="F694" s="12" t="s">
        <v>1435</v>
      </c>
      <c r="G694" s="12" t="s">
        <v>1512</v>
      </c>
      <c r="H694" s="12" t="s">
        <v>513</v>
      </c>
      <c r="I694" s="12" t="s">
        <v>1514</v>
      </c>
      <c r="J694" s="187" t="s">
        <v>1515</v>
      </c>
      <c r="K694" s="188">
        <v>80.0</v>
      </c>
      <c r="L694" s="12" t="s">
        <v>21</v>
      </c>
    </row>
    <row r="695" ht="15.75" customHeight="1">
      <c r="A695" s="46" t="s">
        <v>31</v>
      </c>
      <c r="B695" s="46" t="s">
        <v>31</v>
      </c>
      <c r="C695" s="12" t="s">
        <v>433</v>
      </c>
      <c r="D695" s="12" t="s">
        <v>8</v>
      </c>
      <c r="E695" s="12" t="s">
        <v>1439</v>
      </c>
      <c r="F695" s="12" t="s">
        <v>1435</v>
      </c>
      <c r="G695" s="12" t="s">
        <v>1445</v>
      </c>
      <c r="H695" s="12" t="s">
        <v>513</v>
      </c>
      <c r="I695" s="12" t="s">
        <v>475</v>
      </c>
      <c r="J695" s="187" t="s">
        <v>1516</v>
      </c>
      <c r="K695" s="188">
        <v>807.0</v>
      </c>
      <c r="L695" s="12" t="s">
        <v>21</v>
      </c>
    </row>
    <row r="696" ht="15.75" customHeight="1">
      <c r="A696" s="46" t="s">
        <v>31</v>
      </c>
      <c r="B696" s="46" t="s">
        <v>31</v>
      </c>
      <c r="C696" s="12" t="s">
        <v>437</v>
      </c>
      <c r="D696" s="12" t="s">
        <v>8</v>
      </c>
      <c r="E696" s="12" t="s">
        <v>1439</v>
      </c>
      <c r="F696" s="12" t="s">
        <v>1435</v>
      </c>
      <c r="G696" s="12" t="s">
        <v>1447</v>
      </c>
      <c r="H696" s="12" t="s">
        <v>513</v>
      </c>
      <c r="I696" s="12" t="s">
        <v>1517</v>
      </c>
      <c r="J696" s="187" t="s">
        <v>1518</v>
      </c>
      <c r="K696" s="188">
        <v>847.0</v>
      </c>
      <c r="L696" s="12" t="s">
        <v>21</v>
      </c>
    </row>
    <row r="697" ht="15.75" customHeight="1">
      <c r="A697" s="46" t="s">
        <v>27</v>
      </c>
      <c r="B697" s="46" t="s">
        <v>77</v>
      </c>
      <c r="C697" s="12" t="s">
        <v>466</v>
      </c>
      <c r="D697" s="12" t="s">
        <v>8</v>
      </c>
      <c r="E697" s="12" t="s">
        <v>1439</v>
      </c>
      <c r="F697" s="12" t="s">
        <v>1435</v>
      </c>
      <c r="G697" s="12" t="s">
        <v>1448</v>
      </c>
      <c r="H697" s="12" t="s">
        <v>513</v>
      </c>
      <c r="I697" s="12" t="s">
        <v>272</v>
      </c>
      <c r="J697" s="187" t="s">
        <v>1519</v>
      </c>
      <c r="K697" s="188">
        <v>450.0</v>
      </c>
      <c r="L697" s="12" t="s">
        <v>21</v>
      </c>
    </row>
    <row r="698" ht="15.75" customHeight="1">
      <c r="A698" s="46" t="s">
        <v>27</v>
      </c>
      <c r="B698" s="46" t="s">
        <v>77</v>
      </c>
      <c r="C698" s="12" t="s">
        <v>437</v>
      </c>
      <c r="D698" s="12" t="s">
        <v>8</v>
      </c>
      <c r="E698" s="12" t="s">
        <v>1520</v>
      </c>
      <c r="F698" s="12" t="s">
        <v>1521</v>
      </c>
      <c r="G698" s="12" t="s">
        <v>1522</v>
      </c>
      <c r="H698" s="12" t="s">
        <v>551</v>
      </c>
      <c r="I698" s="12" t="s">
        <v>552</v>
      </c>
      <c r="J698" s="187" t="s">
        <v>1523</v>
      </c>
      <c r="K698" s="188">
        <v>21723.0</v>
      </c>
      <c r="L698" s="12" t="s">
        <v>21</v>
      </c>
    </row>
    <row r="699" ht="15.75" customHeight="1">
      <c r="A699" s="49" t="s">
        <v>27</v>
      </c>
      <c r="B699" s="49" t="s">
        <v>77</v>
      </c>
      <c r="C699" s="18" t="s">
        <v>582</v>
      </c>
      <c r="D699" s="18" t="s">
        <v>8</v>
      </c>
      <c r="E699" s="18" t="s">
        <v>1524</v>
      </c>
      <c r="F699" s="18" t="s">
        <v>1501</v>
      </c>
      <c r="G699" s="18" t="s">
        <v>1525</v>
      </c>
      <c r="H699" s="18" t="s">
        <v>544</v>
      </c>
      <c r="I699" s="18" t="s">
        <v>1176</v>
      </c>
      <c r="J699" s="189" t="s">
        <v>1526</v>
      </c>
      <c r="K699" s="190">
        <v>146.0</v>
      </c>
      <c r="L699" s="18" t="s">
        <v>21</v>
      </c>
    </row>
    <row r="700" ht="15.75" customHeight="1">
      <c r="A700" s="49" t="s">
        <v>27</v>
      </c>
      <c r="B700" s="49" t="s">
        <v>77</v>
      </c>
      <c r="C700" s="18" t="s">
        <v>582</v>
      </c>
      <c r="D700" s="18" t="s">
        <v>8</v>
      </c>
      <c r="E700" s="18" t="s">
        <v>1524</v>
      </c>
      <c r="F700" s="18" t="s">
        <v>1501</v>
      </c>
      <c r="G700" s="18" t="s">
        <v>1525</v>
      </c>
      <c r="H700" s="18" t="s">
        <v>544</v>
      </c>
      <c r="I700" s="18" t="s">
        <v>1176</v>
      </c>
      <c r="J700" s="189" t="s">
        <v>1527</v>
      </c>
      <c r="K700" s="190">
        <v>161.0</v>
      </c>
      <c r="L700" s="18" t="s">
        <v>21</v>
      </c>
    </row>
    <row r="701" ht="15.75" customHeight="1">
      <c r="A701" s="49" t="s">
        <v>27</v>
      </c>
      <c r="B701" s="49" t="s">
        <v>77</v>
      </c>
      <c r="C701" s="18" t="s">
        <v>582</v>
      </c>
      <c r="D701" s="18" t="s">
        <v>8</v>
      </c>
      <c r="E701" s="18" t="s">
        <v>1524</v>
      </c>
      <c r="F701" s="18" t="s">
        <v>1501</v>
      </c>
      <c r="G701" s="18" t="s">
        <v>1369</v>
      </c>
      <c r="H701" s="18" t="s">
        <v>544</v>
      </c>
      <c r="I701" s="18" t="s">
        <v>1176</v>
      </c>
      <c r="J701" s="189" t="s">
        <v>1528</v>
      </c>
      <c r="K701" s="190">
        <v>146.0</v>
      </c>
      <c r="L701" s="18" t="s">
        <v>21</v>
      </c>
    </row>
    <row r="702" ht="15.75" customHeight="1">
      <c r="A702" s="49" t="s">
        <v>31</v>
      </c>
      <c r="B702" s="49" t="s">
        <v>31</v>
      </c>
      <c r="C702" s="18" t="s">
        <v>582</v>
      </c>
      <c r="D702" s="18" t="s">
        <v>8</v>
      </c>
      <c r="E702" s="18" t="s">
        <v>1524</v>
      </c>
      <c r="F702" s="18" t="s">
        <v>1501</v>
      </c>
      <c r="G702" s="18" t="s">
        <v>1369</v>
      </c>
      <c r="H702" s="18" t="s">
        <v>544</v>
      </c>
      <c r="I702" s="18" t="s">
        <v>1176</v>
      </c>
      <c r="J702" s="189" t="s">
        <v>1527</v>
      </c>
      <c r="K702" s="190">
        <v>150.0</v>
      </c>
      <c r="L702" s="18" t="s">
        <v>21</v>
      </c>
    </row>
    <row r="703" ht="15.75" customHeight="1">
      <c r="A703" s="49" t="s">
        <v>31</v>
      </c>
      <c r="B703" s="49" t="s">
        <v>31</v>
      </c>
      <c r="C703" s="18" t="s">
        <v>582</v>
      </c>
      <c r="D703" s="18" t="s">
        <v>8</v>
      </c>
      <c r="E703" s="18" t="s">
        <v>1524</v>
      </c>
      <c r="F703" s="18" t="s">
        <v>1501</v>
      </c>
      <c r="G703" s="18" t="s">
        <v>1529</v>
      </c>
      <c r="H703" s="18" t="s">
        <v>544</v>
      </c>
      <c r="I703" s="18" t="s">
        <v>1176</v>
      </c>
      <c r="J703" s="189" t="s">
        <v>1530</v>
      </c>
      <c r="K703" s="190">
        <v>104.0</v>
      </c>
      <c r="L703" s="18" t="s">
        <v>21</v>
      </c>
    </row>
    <row r="704" ht="15.75" customHeight="1">
      <c r="A704" s="49" t="s">
        <v>31</v>
      </c>
      <c r="B704" s="49" t="s">
        <v>31</v>
      </c>
      <c r="C704" s="18" t="s">
        <v>582</v>
      </c>
      <c r="D704" s="18" t="s">
        <v>8</v>
      </c>
      <c r="E704" s="18" t="s">
        <v>1524</v>
      </c>
      <c r="F704" s="18" t="s">
        <v>1501</v>
      </c>
      <c r="G704" s="18" t="s">
        <v>1531</v>
      </c>
      <c r="H704" s="18" t="s">
        <v>544</v>
      </c>
      <c r="I704" s="18" t="s">
        <v>1176</v>
      </c>
      <c r="J704" s="189" t="s">
        <v>1532</v>
      </c>
      <c r="K704" s="190">
        <v>146.0</v>
      </c>
      <c r="L704" s="18" t="s">
        <v>21</v>
      </c>
    </row>
    <row r="705" ht="15.75" customHeight="1">
      <c r="A705" s="49" t="s">
        <v>31</v>
      </c>
      <c r="B705" s="49" t="s">
        <v>31</v>
      </c>
      <c r="C705" s="18" t="s">
        <v>582</v>
      </c>
      <c r="D705" s="18" t="s">
        <v>8</v>
      </c>
      <c r="E705" s="18" t="s">
        <v>1524</v>
      </c>
      <c r="F705" s="18" t="s">
        <v>1501</v>
      </c>
      <c r="G705" s="18" t="s">
        <v>1531</v>
      </c>
      <c r="H705" s="18" t="s">
        <v>544</v>
      </c>
      <c r="I705" s="18" t="s">
        <v>1176</v>
      </c>
      <c r="J705" s="189" t="s">
        <v>1533</v>
      </c>
      <c r="K705" s="190">
        <v>145.0</v>
      </c>
      <c r="L705" s="18" t="s">
        <v>21</v>
      </c>
    </row>
    <row r="706" ht="15.75" customHeight="1">
      <c r="A706" s="49" t="s">
        <v>31</v>
      </c>
      <c r="B706" s="49" t="s">
        <v>31</v>
      </c>
      <c r="C706" s="18" t="s">
        <v>582</v>
      </c>
      <c r="D706" s="18" t="s">
        <v>8</v>
      </c>
      <c r="E706" s="18" t="s">
        <v>1524</v>
      </c>
      <c r="F706" s="18" t="s">
        <v>1501</v>
      </c>
      <c r="G706" s="18" t="s">
        <v>293</v>
      </c>
      <c r="H706" s="18" t="s">
        <v>544</v>
      </c>
      <c r="I706" s="18" t="s">
        <v>614</v>
      </c>
      <c r="J706" s="189" t="s">
        <v>1534</v>
      </c>
      <c r="K706" s="190">
        <v>10.0</v>
      </c>
      <c r="L706" s="18" t="s">
        <v>21</v>
      </c>
    </row>
    <row r="707" ht="15.75" customHeight="1">
      <c r="A707" s="49" t="s">
        <v>31</v>
      </c>
      <c r="B707" s="49" t="s">
        <v>31</v>
      </c>
      <c r="C707" s="18" t="s">
        <v>582</v>
      </c>
      <c r="D707" s="18" t="s">
        <v>8</v>
      </c>
      <c r="E707" s="18" t="s">
        <v>1524</v>
      </c>
      <c r="F707" s="18" t="s">
        <v>1501</v>
      </c>
      <c r="G707" s="18" t="s">
        <v>293</v>
      </c>
      <c r="H707" s="18" t="s">
        <v>544</v>
      </c>
      <c r="I707" s="18" t="s">
        <v>1176</v>
      </c>
      <c r="J707" s="189" t="s">
        <v>1535</v>
      </c>
      <c r="K707" s="190">
        <v>181.0</v>
      </c>
      <c r="L707" s="18" t="s">
        <v>21</v>
      </c>
    </row>
    <row r="708" ht="15.75" customHeight="1">
      <c r="A708" s="49" t="s">
        <v>31</v>
      </c>
      <c r="B708" s="49" t="s">
        <v>31</v>
      </c>
      <c r="C708" s="18" t="s">
        <v>582</v>
      </c>
      <c r="D708" s="18" t="s">
        <v>8</v>
      </c>
      <c r="E708" s="18" t="s">
        <v>1536</v>
      </c>
      <c r="F708" s="18" t="s">
        <v>1521</v>
      </c>
      <c r="G708" s="18" t="s">
        <v>1537</v>
      </c>
      <c r="H708" s="18" t="s">
        <v>544</v>
      </c>
      <c r="I708" s="18" t="s">
        <v>1176</v>
      </c>
      <c r="J708" s="189" t="s">
        <v>1538</v>
      </c>
      <c r="K708" s="190">
        <v>146.0</v>
      </c>
      <c r="L708" s="18" t="s">
        <v>21</v>
      </c>
    </row>
    <row r="709" ht="15.75" customHeight="1">
      <c r="A709" s="49" t="s">
        <v>31</v>
      </c>
      <c r="B709" s="49" t="s">
        <v>31</v>
      </c>
      <c r="C709" s="18" t="s">
        <v>582</v>
      </c>
      <c r="D709" s="18" t="s">
        <v>8</v>
      </c>
      <c r="E709" s="18" t="s">
        <v>1536</v>
      </c>
      <c r="F709" s="18" t="s">
        <v>1521</v>
      </c>
      <c r="G709" s="18" t="s">
        <v>1537</v>
      </c>
      <c r="H709" s="18" t="s">
        <v>544</v>
      </c>
      <c r="I709" s="18" t="s">
        <v>1176</v>
      </c>
      <c r="J709" s="189" t="s">
        <v>1539</v>
      </c>
      <c r="K709" s="190">
        <v>145.0</v>
      </c>
      <c r="L709" s="18" t="s">
        <v>21</v>
      </c>
    </row>
    <row r="710" ht="15.75" customHeight="1">
      <c r="A710" s="49" t="s">
        <v>31</v>
      </c>
      <c r="B710" s="49" t="s">
        <v>31</v>
      </c>
      <c r="C710" s="18" t="s">
        <v>582</v>
      </c>
      <c r="D710" s="18" t="s">
        <v>8</v>
      </c>
      <c r="E710" s="18" t="s">
        <v>1536</v>
      </c>
      <c r="F710" s="18" t="s">
        <v>1521</v>
      </c>
      <c r="G710" s="18" t="s">
        <v>1449</v>
      </c>
      <c r="H710" s="18" t="s">
        <v>544</v>
      </c>
      <c r="I710" s="18" t="s">
        <v>1176</v>
      </c>
      <c r="J710" s="189" t="s">
        <v>1540</v>
      </c>
      <c r="K710" s="190">
        <v>484.0</v>
      </c>
      <c r="L710" s="18" t="s">
        <v>21</v>
      </c>
    </row>
    <row r="711" ht="15.75" customHeight="1">
      <c r="A711" s="52" t="s">
        <v>31</v>
      </c>
      <c r="B711" s="52" t="s">
        <v>31</v>
      </c>
      <c r="C711" s="21" t="s">
        <v>466</v>
      </c>
      <c r="D711" s="21" t="s">
        <v>8</v>
      </c>
      <c r="E711" s="21" t="s">
        <v>1458</v>
      </c>
      <c r="F711" s="21" t="s">
        <v>376</v>
      </c>
      <c r="G711" s="21" t="s">
        <v>1335</v>
      </c>
      <c r="H711" s="21" t="s">
        <v>661</v>
      </c>
      <c r="I711" s="21" t="s">
        <v>1459</v>
      </c>
      <c r="J711" s="191" t="s">
        <v>1541</v>
      </c>
      <c r="K711" s="192">
        <v>1500.0</v>
      </c>
      <c r="L711" s="21" t="s">
        <v>21</v>
      </c>
    </row>
    <row r="712" ht="15.75" customHeight="1">
      <c r="A712" s="52" t="s">
        <v>31</v>
      </c>
      <c r="B712" s="52" t="s">
        <v>31</v>
      </c>
      <c r="C712" s="21" t="s">
        <v>466</v>
      </c>
      <c r="D712" s="21" t="s">
        <v>8</v>
      </c>
      <c r="E712" s="21" t="s">
        <v>1458</v>
      </c>
      <c r="F712" s="21" t="s">
        <v>376</v>
      </c>
      <c r="G712" s="21" t="s">
        <v>979</v>
      </c>
      <c r="H712" s="21" t="s">
        <v>661</v>
      </c>
      <c r="I712" s="21" t="s">
        <v>1459</v>
      </c>
      <c r="J712" s="191" t="s">
        <v>1542</v>
      </c>
      <c r="K712" s="192">
        <v>1000.0</v>
      </c>
      <c r="L712" s="21" t="s">
        <v>21</v>
      </c>
    </row>
    <row r="713" ht="15.75" customHeight="1">
      <c r="A713" s="52" t="s">
        <v>31</v>
      </c>
      <c r="B713" s="52" t="s">
        <v>31</v>
      </c>
      <c r="C713" s="21" t="s">
        <v>466</v>
      </c>
      <c r="D713" s="21" t="s">
        <v>8</v>
      </c>
      <c r="E713" s="21" t="s">
        <v>1458</v>
      </c>
      <c r="F713" s="21" t="s">
        <v>376</v>
      </c>
      <c r="G713" s="21" t="s">
        <v>1186</v>
      </c>
      <c r="H713" s="21" t="s">
        <v>661</v>
      </c>
      <c r="I713" s="21" t="s">
        <v>1459</v>
      </c>
      <c r="J713" s="191" t="s">
        <v>1543</v>
      </c>
      <c r="K713" s="192">
        <v>1000.0</v>
      </c>
      <c r="L713" s="21" t="s">
        <v>21</v>
      </c>
    </row>
    <row r="714" ht="15.75" customHeight="1">
      <c r="A714" s="52" t="s">
        <v>31</v>
      </c>
      <c r="B714" s="52" t="s">
        <v>31</v>
      </c>
      <c r="C714" s="21" t="s">
        <v>515</v>
      </c>
      <c r="D714" s="21" t="s">
        <v>8</v>
      </c>
      <c r="E714" s="21" t="s">
        <v>1544</v>
      </c>
      <c r="F714" s="21" t="s">
        <v>376</v>
      </c>
      <c r="G714" s="21" t="s">
        <v>293</v>
      </c>
      <c r="H714" s="21" t="s">
        <v>313</v>
      </c>
      <c r="I714" s="21" t="s">
        <v>313</v>
      </c>
      <c r="J714" s="191" t="s">
        <v>1545</v>
      </c>
      <c r="K714" s="192">
        <v>1656000.0</v>
      </c>
      <c r="L714" s="66" t="s">
        <v>148</v>
      </c>
    </row>
    <row r="715" ht="15.75" customHeight="1">
      <c r="A715" s="52" t="s">
        <v>31</v>
      </c>
      <c r="B715" s="52" t="s">
        <v>31</v>
      </c>
      <c r="C715" s="21" t="s">
        <v>515</v>
      </c>
      <c r="D715" s="21" t="s">
        <v>8</v>
      </c>
      <c r="E715" s="21" t="s">
        <v>1546</v>
      </c>
      <c r="F715" s="21" t="s">
        <v>1547</v>
      </c>
      <c r="G715" s="21" t="s">
        <v>1455</v>
      </c>
      <c r="H715" s="21" t="s">
        <v>301</v>
      </c>
      <c r="I715" s="21" t="s">
        <v>301</v>
      </c>
      <c r="J715" s="191" t="s">
        <v>1548</v>
      </c>
      <c r="K715" s="192">
        <v>10000.0</v>
      </c>
      <c r="L715" s="66" t="s">
        <v>148</v>
      </c>
    </row>
    <row r="716" ht="15.75" customHeight="1">
      <c r="A716" s="52" t="s">
        <v>31</v>
      </c>
      <c r="B716" s="52" t="s">
        <v>31</v>
      </c>
      <c r="C716" s="21" t="s">
        <v>459</v>
      </c>
      <c r="D716" s="21" t="s">
        <v>8</v>
      </c>
      <c r="E716" s="21" t="s">
        <v>1443</v>
      </c>
      <c r="F716" s="21" t="s">
        <v>1444</v>
      </c>
      <c r="G716" s="21" t="s">
        <v>1549</v>
      </c>
      <c r="H716" s="21" t="s">
        <v>1433</v>
      </c>
      <c r="I716" s="21" t="s">
        <v>852</v>
      </c>
      <c r="J716" s="191" t="s">
        <v>670</v>
      </c>
      <c r="K716" s="192">
        <v>199.0</v>
      </c>
      <c r="L716" s="21" t="s">
        <v>21</v>
      </c>
    </row>
    <row r="717" ht="15.75" customHeight="1">
      <c r="A717" s="52" t="s">
        <v>31</v>
      </c>
      <c r="B717" s="52" t="s">
        <v>31</v>
      </c>
      <c r="C717" s="21" t="s">
        <v>515</v>
      </c>
      <c r="D717" s="21" t="s">
        <v>8</v>
      </c>
      <c r="E717" s="21" t="s">
        <v>1550</v>
      </c>
      <c r="F717" s="21" t="s">
        <v>1551</v>
      </c>
      <c r="G717" s="21" t="s">
        <v>286</v>
      </c>
      <c r="H717" s="21" t="s">
        <v>1552</v>
      </c>
      <c r="I717" s="21" t="s">
        <v>1552</v>
      </c>
      <c r="J717" s="191" t="s">
        <v>1553</v>
      </c>
      <c r="K717" s="192">
        <v>14100.0</v>
      </c>
      <c r="L717" s="66" t="s">
        <v>148</v>
      </c>
    </row>
    <row r="718" ht="15.75" customHeight="1">
      <c r="A718" s="52" t="s">
        <v>31</v>
      </c>
      <c r="B718" s="52" t="s">
        <v>31</v>
      </c>
      <c r="C718" s="21" t="s">
        <v>437</v>
      </c>
      <c r="D718" s="21" t="s">
        <v>8</v>
      </c>
      <c r="E718" s="21" t="s">
        <v>1554</v>
      </c>
      <c r="F718" s="21" t="s">
        <v>1555</v>
      </c>
      <c r="G718" s="21" t="s">
        <v>1447</v>
      </c>
      <c r="H718" s="21" t="s">
        <v>676</v>
      </c>
      <c r="I718" s="21" t="s">
        <v>676</v>
      </c>
      <c r="J718" s="191" t="s">
        <v>677</v>
      </c>
      <c r="K718" s="192">
        <v>10796.0</v>
      </c>
      <c r="L718" s="21" t="s">
        <v>21</v>
      </c>
    </row>
    <row r="719" ht="15.75" customHeight="1">
      <c r="A719" s="53" t="s">
        <v>31</v>
      </c>
      <c r="B719" s="53" t="s">
        <v>31</v>
      </c>
      <c r="C719" s="24" t="s">
        <v>705</v>
      </c>
      <c r="D719" s="24" t="s">
        <v>8</v>
      </c>
      <c r="E719" s="24" t="s">
        <v>1556</v>
      </c>
      <c r="F719" s="24" t="s">
        <v>1493</v>
      </c>
      <c r="G719" s="24" t="s">
        <v>1479</v>
      </c>
      <c r="H719" s="24" t="s">
        <v>707</v>
      </c>
      <c r="I719" s="24" t="s">
        <v>707</v>
      </c>
      <c r="J719" s="193" t="s">
        <v>1557</v>
      </c>
      <c r="K719" s="194">
        <v>650916.0</v>
      </c>
      <c r="L719" s="67" t="s">
        <v>148</v>
      </c>
    </row>
    <row r="720" ht="15.75" customHeight="1">
      <c r="A720" s="53" t="s">
        <v>31</v>
      </c>
      <c r="B720" s="53" t="s">
        <v>31</v>
      </c>
      <c r="C720" s="24" t="s">
        <v>685</v>
      </c>
      <c r="D720" s="24" t="s">
        <v>8</v>
      </c>
      <c r="E720" s="24" t="s">
        <v>1558</v>
      </c>
      <c r="F720" s="24" t="s">
        <v>1422</v>
      </c>
      <c r="G720" s="24" t="s">
        <v>1429</v>
      </c>
      <c r="H720" s="24" t="s">
        <v>430</v>
      </c>
      <c r="I720" s="24" t="s">
        <v>37</v>
      </c>
      <c r="J720" s="193" t="s">
        <v>1559</v>
      </c>
      <c r="K720" s="194">
        <v>2500.0</v>
      </c>
      <c r="L720" s="24" t="s">
        <v>21</v>
      </c>
    </row>
    <row r="721" ht="15.75" customHeight="1">
      <c r="A721" s="53" t="s">
        <v>31</v>
      </c>
      <c r="B721" s="53" t="s">
        <v>31</v>
      </c>
      <c r="C721" s="24" t="s">
        <v>685</v>
      </c>
      <c r="D721" s="24" t="s">
        <v>8</v>
      </c>
      <c r="E721" s="24" t="s">
        <v>1560</v>
      </c>
      <c r="F721" s="24" t="s">
        <v>376</v>
      </c>
      <c r="G721" s="24" t="s">
        <v>1561</v>
      </c>
      <c r="H721" s="24" t="s">
        <v>688</v>
      </c>
      <c r="I721" s="24" t="s">
        <v>697</v>
      </c>
      <c r="J721" s="193" t="s">
        <v>1562</v>
      </c>
      <c r="K721" s="194">
        <v>1465.0</v>
      </c>
      <c r="L721" s="24" t="s">
        <v>21</v>
      </c>
    </row>
    <row r="722" ht="15.75" customHeight="1">
      <c r="A722" s="53" t="s">
        <v>31</v>
      </c>
      <c r="B722" s="53" t="s">
        <v>31</v>
      </c>
      <c r="C722" s="24" t="s">
        <v>685</v>
      </c>
      <c r="D722" s="24" t="s">
        <v>8</v>
      </c>
      <c r="E722" s="24" t="s">
        <v>1560</v>
      </c>
      <c r="F722" s="24" t="s">
        <v>376</v>
      </c>
      <c r="G722" s="24" t="s">
        <v>1563</v>
      </c>
      <c r="H722" s="24" t="s">
        <v>688</v>
      </c>
      <c r="I722" s="24" t="s">
        <v>1564</v>
      </c>
      <c r="J722" s="193" t="s">
        <v>1565</v>
      </c>
      <c r="K722" s="194">
        <v>7086.0</v>
      </c>
      <c r="L722" s="24" t="s">
        <v>21</v>
      </c>
    </row>
    <row r="723" ht="15.75" customHeight="1">
      <c r="A723" s="53" t="s">
        <v>31</v>
      </c>
      <c r="B723" s="53" t="s">
        <v>31</v>
      </c>
      <c r="C723" s="24" t="s">
        <v>685</v>
      </c>
      <c r="D723" s="24" t="s">
        <v>8</v>
      </c>
      <c r="E723" s="24" t="s">
        <v>1560</v>
      </c>
      <c r="F723" s="24" t="s">
        <v>376</v>
      </c>
      <c r="G723" s="24" t="s">
        <v>1277</v>
      </c>
      <c r="H723" s="24" t="s">
        <v>688</v>
      </c>
      <c r="I723" s="24" t="s">
        <v>1566</v>
      </c>
      <c r="J723" s="193" t="s">
        <v>1567</v>
      </c>
      <c r="K723" s="194">
        <v>3996.0</v>
      </c>
      <c r="L723" s="24" t="s">
        <v>21</v>
      </c>
    </row>
    <row r="724" ht="15.75" customHeight="1">
      <c r="A724" s="53" t="s">
        <v>31</v>
      </c>
      <c r="B724" s="53" t="s">
        <v>31</v>
      </c>
      <c r="C724" s="24" t="s">
        <v>444</v>
      </c>
      <c r="D724" s="24" t="s">
        <v>8</v>
      </c>
      <c r="E724" s="24" t="s">
        <v>1560</v>
      </c>
      <c r="F724" s="24" t="s">
        <v>376</v>
      </c>
      <c r="G724" s="24" t="s">
        <v>1563</v>
      </c>
      <c r="H724" s="24" t="s">
        <v>688</v>
      </c>
      <c r="I724" s="24" t="s">
        <v>1568</v>
      </c>
      <c r="J724" s="193" t="s">
        <v>1569</v>
      </c>
      <c r="K724" s="194">
        <v>108420.0</v>
      </c>
      <c r="L724" s="24" t="s">
        <v>21</v>
      </c>
    </row>
    <row r="725" ht="15.75" customHeight="1">
      <c r="A725" s="53" t="s">
        <v>27</v>
      </c>
      <c r="B725" s="53" t="s">
        <v>77</v>
      </c>
      <c r="C725" s="24" t="s">
        <v>685</v>
      </c>
      <c r="D725" s="24" t="s">
        <v>8</v>
      </c>
      <c r="E725" s="24" t="s">
        <v>1560</v>
      </c>
      <c r="F725" s="24" t="s">
        <v>376</v>
      </c>
      <c r="G725" s="24" t="s">
        <v>1153</v>
      </c>
      <c r="H725" s="24" t="s">
        <v>688</v>
      </c>
      <c r="I725" s="24" t="s">
        <v>1570</v>
      </c>
      <c r="J725" s="193" t="s">
        <v>1571</v>
      </c>
      <c r="K725" s="194">
        <v>45677.0</v>
      </c>
      <c r="L725" s="24" t="s">
        <v>21</v>
      </c>
    </row>
    <row r="726" ht="15.75" customHeight="1">
      <c r="A726" s="53" t="s">
        <v>27</v>
      </c>
      <c r="B726" s="53" t="s">
        <v>77</v>
      </c>
      <c r="C726" s="24" t="s">
        <v>685</v>
      </c>
      <c r="D726" s="24" t="s">
        <v>8</v>
      </c>
      <c r="E726" s="24" t="s">
        <v>1560</v>
      </c>
      <c r="F726" s="24" t="s">
        <v>376</v>
      </c>
      <c r="G726" s="24" t="s">
        <v>1572</v>
      </c>
      <c r="H726" s="24" t="s">
        <v>688</v>
      </c>
      <c r="I726" s="24" t="s">
        <v>1570</v>
      </c>
      <c r="J726" s="193" t="s">
        <v>1573</v>
      </c>
      <c r="K726" s="194">
        <v>4171.0</v>
      </c>
      <c r="L726" s="24" t="s">
        <v>21</v>
      </c>
    </row>
    <row r="727" ht="15.75" customHeight="1">
      <c r="A727" s="53" t="s">
        <v>27</v>
      </c>
      <c r="B727" s="53" t="s">
        <v>77</v>
      </c>
      <c r="C727" s="24" t="s">
        <v>444</v>
      </c>
      <c r="D727" s="24" t="s">
        <v>8</v>
      </c>
      <c r="E727" s="24" t="s">
        <v>1574</v>
      </c>
      <c r="F727" s="24" t="s">
        <v>1435</v>
      </c>
      <c r="G727" s="24" t="s">
        <v>1575</v>
      </c>
      <c r="H727" s="24" t="s">
        <v>947</v>
      </c>
      <c r="I727" s="24" t="s">
        <v>947</v>
      </c>
      <c r="J727" s="193" t="s">
        <v>1576</v>
      </c>
      <c r="K727" s="194">
        <v>75893.0</v>
      </c>
      <c r="L727" s="24" t="s">
        <v>21</v>
      </c>
    </row>
    <row r="728" ht="15.75" customHeight="1">
      <c r="A728" s="53" t="s">
        <v>31</v>
      </c>
      <c r="B728" s="53" t="s">
        <v>31</v>
      </c>
      <c r="C728" s="24" t="s">
        <v>582</v>
      </c>
      <c r="D728" s="24" t="s">
        <v>8</v>
      </c>
      <c r="E728" s="24" t="s">
        <v>1574</v>
      </c>
      <c r="F728" s="24" t="s">
        <v>1435</v>
      </c>
      <c r="G728" s="24" t="s">
        <v>1575</v>
      </c>
      <c r="H728" s="24" t="s">
        <v>947</v>
      </c>
      <c r="I728" s="24" t="s">
        <v>947</v>
      </c>
      <c r="J728" s="193" t="s">
        <v>949</v>
      </c>
      <c r="K728" s="194">
        <v>9107.0</v>
      </c>
      <c r="L728" s="24" t="s">
        <v>21</v>
      </c>
    </row>
    <row r="729" ht="15.75" customHeight="1">
      <c r="A729" s="53" t="s">
        <v>31</v>
      </c>
      <c r="B729" s="53" t="s">
        <v>31</v>
      </c>
      <c r="C729" s="24" t="s">
        <v>466</v>
      </c>
      <c r="D729" s="24" t="s">
        <v>8</v>
      </c>
      <c r="E729" s="24" t="s">
        <v>1434</v>
      </c>
      <c r="F729" s="24" t="s">
        <v>1435</v>
      </c>
      <c r="G729" s="24" t="s">
        <v>1436</v>
      </c>
      <c r="H729" s="24" t="s">
        <v>533</v>
      </c>
      <c r="I729" s="24" t="s">
        <v>1176</v>
      </c>
      <c r="J729" s="193" t="s">
        <v>1577</v>
      </c>
      <c r="K729" s="194">
        <v>795.0</v>
      </c>
      <c r="L729" s="24" t="s">
        <v>21</v>
      </c>
    </row>
    <row r="730" ht="15.75" customHeight="1">
      <c r="A730" s="53" t="s">
        <v>31</v>
      </c>
      <c r="B730" s="53" t="s">
        <v>31</v>
      </c>
      <c r="C730" s="24" t="s">
        <v>466</v>
      </c>
      <c r="D730" s="24" t="s">
        <v>8</v>
      </c>
      <c r="E730" s="24" t="s">
        <v>1434</v>
      </c>
      <c r="F730" s="24" t="s">
        <v>1435</v>
      </c>
      <c r="G730" s="24" t="s">
        <v>1436</v>
      </c>
      <c r="H730" s="24" t="s">
        <v>533</v>
      </c>
      <c r="I730" s="24" t="s">
        <v>1176</v>
      </c>
      <c r="J730" s="193" t="s">
        <v>1578</v>
      </c>
      <c r="K730" s="194">
        <v>80.0</v>
      </c>
      <c r="L730" s="24" t="s">
        <v>21</v>
      </c>
    </row>
    <row r="731" ht="15.75" customHeight="1">
      <c r="A731" s="53" t="s">
        <v>31</v>
      </c>
      <c r="B731" s="53" t="s">
        <v>31</v>
      </c>
      <c r="C731" s="24" t="s">
        <v>466</v>
      </c>
      <c r="D731" s="24" t="s">
        <v>8</v>
      </c>
      <c r="E731" s="24" t="s">
        <v>1434</v>
      </c>
      <c r="F731" s="24" t="s">
        <v>1435</v>
      </c>
      <c r="G731" s="24" t="s">
        <v>1436</v>
      </c>
      <c r="H731" s="24" t="s">
        <v>533</v>
      </c>
      <c r="I731" s="24" t="s">
        <v>1176</v>
      </c>
      <c r="J731" s="193" t="s">
        <v>1579</v>
      </c>
      <c r="K731" s="194">
        <v>91.0</v>
      </c>
      <c r="L731" s="24" t="s">
        <v>21</v>
      </c>
    </row>
    <row r="732" ht="15.75" customHeight="1">
      <c r="A732" s="53" t="s">
        <v>31</v>
      </c>
      <c r="B732" s="53" t="s">
        <v>31</v>
      </c>
      <c r="C732" s="24" t="s">
        <v>466</v>
      </c>
      <c r="D732" s="24" t="s">
        <v>8</v>
      </c>
      <c r="E732" s="24" t="s">
        <v>1434</v>
      </c>
      <c r="F732" s="24" t="s">
        <v>1435</v>
      </c>
      <c r="G732" s="24" t="s">
        <v>1436</v>
      </c>
      <c r="H732" s="24" t="s">
        <v>533</v>
      </c>
      <c r="I732" s="24" t="s">
        <v>1176</v>
      </c>
      <c r="J732" s="193" t="s">
        <v>1580</v>
      </c>
      <c r="K732" s="194">
        <v>160.0</v>
      </c>
      <c r="L732" s="24" t="s">
        <v>21</v>
      </c>
    </row>
    <row r="733" ht="15.75" customHeight="1">
      <c r="A733" s="53" t="s">
        <v>31</v>
      </c>
      <c r="B733" s="53" t="s">
        <v>31</v>
      </c>
      <c r="C733" s="24" t="s">
        <v>466</v>
      </c>
      <c r="D733" s="24" t="s">
        <v>8</v>
      </c>
      <c r="E733" s="24" t="s">
        <v>1434</v>
      </c>
      <c r="F733" s="24" t="s">
        <v>1435</v>
      </c>
      <c r="G733" s="24" t="s">
        <v>1436</v>
      </c>
      <c r="H733" s="24" t="s">
        <v>533</v>
      </c>
      <c r="I733" s="24" t="s">
        <v>1176</v>
      </c>
      <c r="J733" s="193" t="s">
        <v>1581</v>
      </c>
      <c r="K733" s="194">
        <v>101.0</v>
      </c>
      <c r="L733" s="24" t="s">
        <v>21</v>
      </c>
    </row>
    <row r="734" ht="15.75" customHeight="1">
      <c r="A734" s="53" t="s">
        <v>31</v>
      </c>
      <c r="B734" s="53" t="s">
        <v>31</v>
      </c>
      <c r="C734" s="24" t="s">
        <v>685</v>
      </c>
      <c r="D734" s="24" t="s">
        <v>8</v>
      </c>
      <c r="E734" s="24" t="s">
        <v>1582</v>
      </c>
      <c r="F734" s="24" t="s">
        <v>1521</v>
      </c>
      <c r="G734" s="24" t="s">
        <v>1529</v>
      </c>
      <c r="H734" s="24" t="s">
        <v>701</v>
      </c>
      <c r="I734" s="24" t="s">
        <v>1583</v>
      </c>
      <c r="J734" s="193" t="s">
        <v>1584</v>
      </c>
      <c r="K734" s="194">
        <v>8697.0</v>
      </c>
      <c r="L734" s="24" t="s">
        <v>21</v>
      </c>
    </row>
    <row r="735" ht="15.75" customHeight="1">
      <c r="A735" s="24" t="s">
        <v>28</v>
      </c>
      <c r="B735" s="24" t="s">
        <v>28</v>
      </c>
      <c r="C735" s="24" t="s">
        <v>685</v>
      </c>
      <c r="D735" s="24" t="s">
        <v>8</v>
      </c>
      <c r="E735" s="24" t="s">
        <v>1582</v>
      </c>
      <c r="F735" s="24" t="s">
        <v>1521</v>
      </c>
      <c r="G735" s="24" t="s">
        <v>1585</v>
      </c>
      <c r="H735" s="24" t="s">
        <v>701</v>
      </c>
      <c r="I735" s="24" t="s">
        <v>1583</v>
      </c>
      <c r="J735" s="193" t="s">
        <v>1586</v>
      </c>
      <c r="K735" s="194">
        <v>1144.0</v>
      </c>
      <c r="L735" s="24" t="s">
        <v>21</v>
      </c>
    </row>
    <row r="736" ht="15.75" customHeight="1">
      <c r="A736" s="24" t="s">
        <v>28</v>
      </c>
      <c r="B736" s="24" t="s">
        <v>28</v>
      </c>
      <c r="C736" s="24" t="s">
        <v>685</v>
      </c>
      <c r="D736" s="24" t="s">
        <v>8</v>
      </c>
      <c r="E736" s="24" t="s">
        <v>1582</v>
      </c>
      <c r="F736" s="24" t="s">
        <v>1521</v>
      </c>
      <c r="G736" s="24" t="s">
        <v>1512</v>
      </c>
      <c r="H736" s="24" t="s">
        <v>701</v>
      </c>
      <c r="I736" s="24" t="s">
        <v>1583</v>
      </c>
      <c r="J736" s="193" t="s">
        <v>1587</v>
      </c>
      <c r="K736" s="194">
        <v>1372.0</v>
      </c>
      <c r="L736" s="24" t="s">
        <v>21</v>
      </c>
    </row>
    <row r="737" ht="15.75" customHeight="1">
      <c r="A737" s="24" t="s">
        <v>28</v>
      </c>
      <c r="B737" s="24" t="s">
        <v>28</v>
      </c>
      <c r="C737" s="24" t="s">
        <v>685</v>
      </c>
      <c r="D737" s="24" t="s">
        <v>8</v>
      </c>
      <c r="E737" s="24" t="s">
        <v>1582</v>
      </c>
      <c r="F737" s="24" t="s">
        <v>1521</v>
      </c>
      <c r="G737" s="24" t="s">
        <v>1455</v>
      </c>
      <c r="H737" s="24" t="s">
        <v>701</v>
      </c>
      <c r="I737" s="24" t="s">
        <v>1583</v>
      </c>
      <c r="J737" s="193" t="s">
        <v>1588</v>
      </c>
      <c r="K737" s="194">
        <v>908.0</v>
      </c>
      <c r="L737" s="24" t="s">
        <v>21</v>
      </c>
    </row>
    <row r="738" ht="15.75" customHeight="1">
      <c r="A738" s="24" t="s">
        <v>28</v>
      </c>
      <c r="B738" s="24" t="s">
        <v>28</v>
      </c>
      <c r="C738" s="24" t="s">
        <v>685</v>
      </c>
      <c r="D738" s="24" t="s">
        <v>8</v>
      </c>
      <c r="E738" s="24" t="s">
        <v>1582</v>
      </c>
      <c r="F738" s="24" t="s">
        <v>1521</v>
      </c>
      <c r="G738" s="24" t="s">
        <v>1589</v>
      </c>
      <c r="H738" s="24" t="s">
        <v>701</v>
      </c>
      <c r="I738" s="24" t="s">
        <v>1583</v>
      </c>
      <c r="J738" s="193" t="s">
        <v>1590</v>
      </c>
      <c r="K738" s="194">
        <v>118.0</v>
      </c>
      <c r="L738" s="24" t="s">
        <v>21</v>
      </c>
    </row>
    <row r="739" ht="15.75" customHeight="1">
      <c r="A739" s="27" t="s">
        <v>29</v>
      </c>
      <c r="B739" s="27" t="s">
        <v>29</v>
      </c>
      <c r="C739" s="27" t="s">
        <v>466</v>
      </c>
      <c r="D739" s="27" t="s">
        <v>8</v>
      </c>
      <c r="E739" s="27" t="s">
        <v>1591</v>
      </c>
      <c r="F739" s="27" t="s">
        <v>1592</v>
      </c>
      <c r="G739" s="27" t="s">
        <v>1508</v>
      </c>
      <c r="H739" s="27" t="s">
        <v>688</v>
      </c>
      <c r="I739" s="27" t="s">
        <v>1593</v>
      </c>
      <c r="J739" s="195" t="s">
        <v>1594</v>
      </c>
      <c r="K739" s="196">
        <v>15300.0</v>
      </c>
      <c r="L739" s="27" t="s">
        <v>21</v>
      </c>
    </row>
    <row r="740" ht="15.75" customHeight="1">
      <c r="A740" s="27" t="s">
        <v>29</v>
      </c>
      <c r="B740" s="27" t="s">
        <v>29</v>
      </c>
      <c r="C740" s="27" t="s">
        <v>466</v>
      </c>
      <c r="D740" s="27" t="s">
        <v>8</v>
      </c>
      <c r="E740" s="27" t="s">
        <v>1591</v>
      </c>
      <c r="F740" s="27" t="s">
        <v>1592</v>
      </c>
      <c r="G740" s="27" t="s">
        <v>1510</v>
      </c>
      <c r="H740" s="27" t="s">
        <v>688</v>
      </c>
      <c r="I740" s="27" t="s">
        <v>1593</v>
      </c>
      <c r="J740" s="195" t="s">
        <v>1594</v>
      </c>
      <c r="K740" s="196">
        <v>35718.0</v>
      </c>
      <c r="L740" s="27" t="s">
        <v>21</v>
      </c>
    </row>
    <row r="741" ht="15.75" customHeight="1">
      <c r="A741" s="27" t="s">
        <v>29</v>
      </c>
      <c r="B741" s="27" t="s">
        <v>29</v>
      </c>
      <c r="C741" s="27" t="s">
        <v>459</v>
      </c>
      <c r="D741" s="27" t="s">
        <v>8</v>
      </c>
      <c r="E741" s="27" t="s">
        <v>1595</v>
      </c>
      <c r="F741" s="27" t="s">
        <v>1596</v>
      </c>
      <c r="G741" s="27" t="s">
        <v>1436</v>
      </c>
      <c r="H741" s="27" t="s">
        <v>688</v>
      </c>
      <c r="I741" s="27" t="s">
        <v>726</v>
      </c>
      <c r="J741" s="195" t="s">
        <v>1080</v>
      </c>
      <c r="K741" s="196">
        <v>4000.0</v>
      </c>
      <c r="L741" s="27" t="s">
        <v>21</v>
      </c>
    </row>
    <row r="742" ht="15.75" customHeight="1">
      <c r="A742" s="27" t="s">
        <v>29</v>
      </c>
      <c r="B742" s="27" t="s">
        <v>29</v>
      </c>
      <c r="C742" s="27" t="s">
        <v>466</v>
      </c>
      <c r="D742" s="27" t="s">
        <v>8</v>
      </c>
      <c r="E742" s="27" t="s">
        <v>1595</v>
      </c>
      <c r="F742" s="27" t="s">
        <v>1596</v>
      </c>
      <c r="G742" s="27" t="s">
        <v>1597</v>
      </c>
      <c r="H742" s="27" t="s">
        <v>688</v>
      </c>
      <c r="I742" s="27" t="s">
        <v>794</v>
      </c>
      <c r="J742" s="195" t="s">
        <v>1598</v>
      </c>
      <c r="K742" s="196">
        <v>2401.0</v>
      </c>
      <c r="L742" s="27" t="s">
        <v>21</v>
      </c>
    </row>
    <row r="743" ht="15.75" customHeight="1">
      <c r="A743" s="30" t="s">
        <v>30</v>
      </c>
      <c r="B743" s="30" t="s">
        <v>30</v>
      </c>
      <c r="C743" s="30" t="s">
        <v>554</v>
      </c>
      <c r="D743" s="30" t="s">
        <v>8</v>
      </c>
      <c r="E743" s="30" t="s">
        <v>1599</v>
      </c>
      <c r="F743" s="30" t="s">
        <v>1493</v>
      </c>
      <c r="G743" s="30" t="s">
        <v>1494</v>
      </c>
      <c r="H743" s="30" t="s">
        <v>759</v>
      </c>
      <c r="I743" s="30" t="s">
        <v>759</v>
      </c>
      <c r="J743" s="197" t="s">
        <v>1600</v>
      </c>
      <c r="K743" s="198">
        <v>144985.0</v>
      </c>
      <c r="L743" s="30" t="s">
        <v>21</v>
      </c>
    </row>
    <row r="744" ht="15.75" customHeight="1">
      <c r="A744" s="30" t="s">
        <v>30</v>
      </c>
      <c r="B744" s="30" t="s">
        <v>30</v>
      </c>
      <c r="C744" s="30" t="s">
        <v>558</v>
      </c>
      <c r="D744" s="30" t="s">
        <v>8</v>
      </c>
      <c r="E744" s="30" t="s">
        <v>1599</v>
      </c>
      <c r="F744" s="30" t="s">
        <v>1493</v>
      </c>
      <c r="G744" s="30" t="s">
        <v>1494</v>
      </c>
      <c r="H744" s="30" t="s">
        <v>759</v>
      </c>
      <c r="I744" s="30" t="s">
        <v>759</v>
      </c>
      <c r="J744" s="197" t="s">
        <v>1601</v>
      </c>
      <c r="K744" s="198">
        <v>10000.0</v>
      </c>
      <c r="L744" s="30" t="s">
        <v>21</v>
      </c>
    </row>
    <row r="745" ht="15.75" customHeight="1">
      <c r="A745" s="30" t="s">
        <v>30</v>
      </c>
      <c r="B745" s="30" t="s">
        <v>30</v>
      </c>
      <c r="C745" s="30" t="s">
        <v>437</v>
      </c>
      <c r="D745" s="30" t="s">
        <v>8</v>
      </c>
      <c r="E745" s="30" t="s">
        <v>1599</v>
      </c>
      <c r="F745" s="30" t="s">
        <v>1493</v>
      </c>
      <c r="G745" s="30" t="s">
        <v>1494</v>
      </c>
      <c r="H745" s="30" t="s">
        <v>759</v>
      </c>
      <c r="I745" s="30" t="s">
        <v>759</v>
      </c>
      <c r="J745" s="197" t="s">
        <v>1602</v>
      </c>
      <c r="K745" s="198">
        <v>894.0</v>
      </c>
      <c r="L745" s="30" t="s">
        <v>21</v>
      </c>
    </row>
    <row r="746" ht="15.75" customHeight="1">
      <c r="A746" s="30" t="s">
        <v>30</v>
      </c>
      <c r="B746" s="30" t="s">
        <v>30</v>
      </c>
      <c r="C746" s="30" t="s">
        <v>554</v>
      </c>
      <c r="D746" s="30" t="s">
        <v>8</v>
      </c>
      <c r="E746" s="30" t="s">
        <v>1603</v>
      </c>
      <c r="F746" s="30" t="s">
        <v>1493</v>
      </c>
      <c r="G746" s="30" t="s">
        <v>1604</v>
      </c>
      <c r="H746" s="30" t="s">
        <v>1605</v>
      </c>
      <c r="I746" s="30" t="s">
        <v>1606</v>
      </c>
      <c r="J746" s="197" t="s">
        <v>1607</v>
      </c>
      <c r="K746" s="198">
        <v>16800.0</v>
      </c>
      <c r="L746" s="30" t="s">
        <v>21</v>
      </c>
    </row>
    <row r="747" ht="15.75" customHeight="1">
      <c r="A747" s="30" t="s">
        <v>30</v>
      </c>
      <c r="B747" s="30" t="s">
        <v>30</v>
      </c>
      <c r="C747" s="30" t="s">
        <v>582</v>
      </c>
      <c r="D747" s="30" t="s">
        <v>8</v>
      </c>
      <c r="E747" s="30" t="s">
        <v>1603</v>
      </c>
      <c r="F747" s="30" t="s">
        <v>1493</v>
      </c>
      <c r="G747" s="30" t="s">
        <v>1604</v>
      </c>
      <c r="H747" s="30" t="s">
        <v>1605</v>
      </c>
      <c r="I747" s="30" t="s">
        <v>1606</v>
      </c>
      <c r="J747" s="197" t="s">
        <v>1608</v>
      </c>
      <c r="K747" s="198">
        <v>45000.0</v>
      </c>
      <c r="L747" s="30" t="s">
        <v>21</v>
      </c>
    </row>
    <row r="748" ht="15.75" customHeight="1">
      <c r="A748" s="30" t="s">
        <v>30</v>
      </c>
      <c r="B748" s="30" t="s">
        <v>30</v>
      </c>
      <c r="C748" s="30" t="s">
        <v>554</v>
      </c>
      <c r="D748" s="30" t="s">
        <v>8</v>
      </c>
      <c r="E748" s="30" t="s">
        <v>1609</v>
      </c>
      <c r="F748" s="30" t="s">
        <v>1493</v>
      </c>
      <c r="G748" s="30" t="s">
        <v>1610</v>
      </c>
      <c r="H748" s="30" t="s">
        <v>1605</v>
      </c>
      <c r="I748" s="30" t="s">
        <v>1606</v>
      </c>
      <c r="J748" s="197" t="s">
        <v>1611</v>
      </c>
      <c r="K748" s="198">
        <v>33600.0</v>
      </c>
      <c r="L748" s="30" t="s">
        <v>21</v>
      </c>
    </row>
    <row r="749" ht="15.75" customHeight="1">
      <c r="A749" s="30" t="s">
        <v>30</v>
      </c>
      <c r="B749" s="30" t="s">
        <v>30</v>
      </c>
      <c r="C749" s="30" t="s">
        <v>582</v>
      </c>
      <c r="D749" s="30" t="s">
        <v>8</v>
      </c>
      <c r="E749" s="30" t="s">
        <v>1609</v>
      </c>
      <c r="F749" s="30" t="s">
        <v>1493</v>
      </c>
      <c r="G749" s="30" t="s">
        <v>1610</v>
      </c>
      <c r="H749" s="30" t="s">
        <v>1605</v>
      </c>
      <c r="I749" s="30" t="s">
        <v>1606</v>
      </c>
      <c r="J749" s="197" t="s">
        <v>1612</v>
      </c>
      <c r="K749" s="198">
        <v>90000.0</v>
      </c>
      <c r="L749" s="30" t="s">
        <v>21</v>
      </c>
    </row>
    <row r="750" ht="15.75" customHeight="1">
      <c r="A750" s="30" t="s">
        <v>30</v>
      </c>
      <c r="B750" s="30" t="s">
        <v>30</v>
      </c>
      <c r="C750" s="30" t="s">
        <v>444</v>
      </c>
      <c r="D750" s="30" t="s">
        <v>8</v>
      </c>
      <c r="E750" s="30" t="s">
        <v>1609</v>
      </c>
      <c r="F750" s="30" t="s">
        <v>1493</v>
      </c>
      <c r="G750" s="30" t="s">
        <v>1610</v>
      </c>
      <c r="H750" s="30" t="s">
        <v>1605</v>
      </c>
      <c r="I750" s="30" t="s">
        <v>1606</v>
      </c>
      <c r="J750" s="197" t="s">
        <v>1613</v>
      </c>
      <c r="K750" s="198">
        <v>1082.0</v>
      </c>
      <c r="L750" s="30" t="s">
        <v>21</v>
      </c>
    </row>
    <row r="751" ht="15.75" customHeight="1">
      <c r="A751" s="30" t="s">
        <v>30</v>
      </c>
      <c r="B751" s="30" t="s">
        <v>30</v>
      </c>
      <c r="C751" s="30" t="s">
        <v>554</v>
      </c>
      <c r="D751" s="30" t="s">
        <v>8</v>
      </c>
      <c r="E751" s="30" t="s">
        <v>1614</v>
      </c>
      <c r="F751" s="30" t="s">
        <v>376</v>
      </c>
      <c r="G751" s="30" t="s">
        <v>1163</v>
      </c>
      <c r="H751" s="30" t="s">
        <v>769</v>
      </c>
      <c r="I751" s="30" t="s">
        <v>1342</v>
      </c>
      <c r="J751" s="197" t="s">
        <v>1495</v>
      </c>
      <c r="K751" s="198">
        <v>72283.0</v>
      </c>
      <c r="L751" s="30" t="s">
        <v>21</v>
      </c>
    </row>
    <row r="752" ht="15.75" customHeight="1">
      <c r="A752" s="30" t="s">
        <v>30</v>
      </c>
      <c r="B752" s="30" t="s">
        <v>30</v>
      </c>
      <c r="C752" s="30" t="s">
        <v>466</v>
      </c>
      <c r="D752" s="30" t="s">
        <v>8</v>
      </c>
      <c r="E752" s="30" t="s">
        <v>1614</v>
      </c>
      <c r="F752" s="30" t="s">
        <v>376</v>
      </c>
      <c r="G752" s="30" t="s">
        <v>1163</v>
      </c>
      <c r="H752" s="30" t="s">
        <v>769</v>
      </c>
      <c r="I752" s="30" t="s">
        <v>1342</v>
      </c>
      <c r="J752" s="197" t="s">
        <v>1615</v>
      </c>
      <c r="K752" s="198">
        <v>10294.0</v>
      </c>
      <c r="L752" s="30" t="s">
        <v>21</v>
      </c>
    </row>
    <row r="753" ht="15.75" customHeight="1">
      <c r="A753" s="30" t="s">
        <v>30</v>
      </c>
      <c r="B753" s="30" t="s">
        <v>30</v>
      </c>
      <c r="C753" s="30" t="s">
        <v>554</v>
      </c>
      <c r="D753" s="30" t="s">
        <v>8</v>
      </c>
      <c r="E753" s="30" t="s">
        <v>1614</v>
      </c>
      <c r="F753" s="30" t="s">
        <v>376</v>
      </c>
      <c r="G753" s="30" t="s">
        <v>1429</v>
      </c>
      <c r="H753" s="30" t="s">
        <v>769</v>
      </c>
      <c r="I753" s="30" t="s">
        <v>1342</v>
      </c>
      <c r="J753" s="197" t="s">
        <v>1616</v>
      </c>
      <c r="K753" s="198">
        <v>72283.0</v>
      </c>
      <c r="L753" s="30" t="s">
        <v>21</v>
      </c>
    </row>
    <row r="754" ht="15.75" customHeight="1">
      <c r="A754" s="30" t="s">
        <v>30</v>
      </c>
      <c r="B754" s="30" t="s">
        <v>30</v>
      </c>
      <c r="C754" s="30" t="s">
        <v>466</v>
      </c>
      <c r="D754" s="30" t="s">
        <v>8</v>
      </c>
      <c r="E754" s="30" t="s">
        <v>1614</v>
      </c>
      <c r="F754" s="30" t="s">
        <v>376</v>
      </c>
      <c r="G754" s="30" t="s">
        <v>1429</v>
      </c>
      <c r="H754" s="30" t="s">
        <v>769</v>
      </c>
      <c r="I754" s="30" t="s">
        <v>1342</v>
      </c>
      <c r="J754" s="197" t="s">
        <v>1617</v>
      </c>
      <c r="K754" s="198">
        <v>10294.0</v>
      </c>
      <c r="L754" s="30" t="s">
        <v>21</v>
      </c>
    </row>
    <row r="755" ht="15.75" customHeight="1">
      <c r="A755" s="30" t="s">
        <v>30</v>
      </c>
      <c r="B755" s="30" t="s">
        <v>30</v>
      </c>
      <c r="C755" s="30" t="s">
        <v>459</v>
      </c>
      <c r="D755" s="30" t="s">
        <v>8</v>
      </c>
      <c r="E755" s="30" t="s">
        <v>1618</v>
      </c>
      <c r="F755" s="30" t="s">
        <v>376</v>
      </c>
      <c r="G755" s="30" t="s">
        <v>1619</v>
      </c>
      <c r="H755" s="30" t="s">
        <v>740</v>
      </c>
      <c r="I755" s="30" t="s">
        <v>740</v>
      </c>
      <c r="J755" s="197" t="s">
        <v>1620</v>
      </c>
      <c r="K755" s="198">
        <v>999.0</v>
      </c>
      <c r="L755" s="30" t="s">
        <v>21</v>
      </c>
    </row>
    <row r="756" ht="15.75" customHeight="1">
      <c r="A756" s="30" t="s">
        <v>30</v>
      </c>
      <c r="B756" s="30" t="s">
        <v>30</v>
      </c>
      <c r="C756" s="30" t="s">
        <v>459</v>
      </c>
      <c r="D756" s="30" t="s">
        <v>8</v>
      </c>
      <c r="E756" s="30" t="s">
        <v>1618</v>
      </c>
      <c r="F756" s="30" t="s">
        <v>376</v>
      </c>
      <c r="G756" s="30" t="s">
        <v>1619</v>
      </c>
      <c r="H756" s="30" t="s">
        <v>740</v>
      </c>
      <c r="I756" s="30" t="s">
        <v>740</v>
      </c>
      <c r="J756" s="197" t="s">
        <v>1621</v>
      </c>
      <c r="K756" s="198">
        <v>999.0</v>
      </c>
      <c r="L756" s="30" t="s">
        <v>21</v>
      </c>
    </row>
    <row r="757" ht="15.75" customHeight="1">
      <c r="A757" s="30" t="s">
        <v>30</v>
      </c>
      <c r="B757" s="30" t="s">
        <v>30</v>
      </c>
      <c r="C757" s="30" t="s">
        <v>459</v>
      </c>
      <c r="D757" s="30" t="s">
        <v>8</v>
      </c>
      <c r="E757" s="30" t="s">
        <v>1618</v>
      </c>
      <c r="F757" s="30" t="s">
        <v>376</v>
      </c>
      <c r="G757" s="30" t="s">
        <v>1619</v>
      </c>
      <c r="H757" s="30" t="s">
        <v>740</v>
      </c>
      <c r="I757" s="30" t="s">
        <v>740</v>
      </c>
      <c r="J757" s="197" t="s">
        <v>1622</v>
      </c>
      <c r="K757" s="198">
        <v>999.0</v>
      </c>
      <c r="L757" s="30" t="s">
        <v>21</v>
      </c>
    </row>
    <row r="758" ht="15.75" customHeight="1">
      <c r="A758" s="30" t="s">
        <v>30</v>
      </c>
      <c r="B758" s="30" t="s">
        <v>30</v>
      </c>
      <c r="C758" s="30" t="s">
        <v>459</v>
      </c>
      <c r="D758" s="30" t="s">
        <v>8</v>
      </c>
      <c r="E758" s="30" t="s">
        <v>1618</v>
      </c>
      <c r="F758" s="30" t="s">
        <v>376</v>
      </c>
      <c r="G758" s="30" t="s">
        <v>1619</v>
      </c>
      <c r="H758" s="30" t="s">
        <v>740</v>
      </c>
      <c r="I758" s="30" t="s">
        <v>740</v>
      </c>
      <c r="J758" s="197" t="s">
        <v>1623</v>
      </c>
      <c r="K758" s="198">
        <v>999.0</v>
      </c>
      <c r="L758" s="30" t="s">
        <v>21</v>
      </c>
    </row>
    <row r="759" ht="15.75" customHeight="1">
      <c r="A759" s="30" t="s">
        <v>30</v>
      </c>
      <c r="B759" s="30" t="s">
        <v>30</v>
      </c>
      <c r="C759" s="30" t="s">
        <v>459</v>
      </c>
      <c r="D759" s="30" t="s">
        <v>8</v>
      </c>
      <c r="E759" s="30" t="s">
        <v>1618</v>
      </c>
      <c r="F759" s="30" t="s">
        <v>376</v>
      </c>
      <c r="G759" s="30" t="s">
        <v>1619</v>
      </c>
      <c r="H759" s="30" t="s">
        <v>740</v>
      </c>
      <c r="I759" s="30" t="s">
        <v>740</v>
      </c>
      <c r="J759" s="197" t="s">
        <v>1624</v>
      </c>
      <c r="K759" s="198">
        <v>799.0</v>
      </c>
      <c r="L759" s="30" t="s">
        <v>21</v>
      </c>
    </row>
    <row r="760" ht="15.75" customHeight="1">
      <c r="A760" s="30" t="s">
        <v>30</v>
      </c>
      <c r="B760" s="30" t="s">
        <v>30</v>
      </c>
      <c r="C760" s="30" t="s">
        <v>459</v>
      </c>
      <c r="D760" s="30" t="s">
        <v>8</v>
      </c>
      <c r="E760" s="30" t="s">
        <v>1618</v>
      </c>
      <c r="F760" s="30" t="s">
        <v>376</v>
      </c>
      <c r="G760" s="30" t="s">
        <v>1619</v>
      </c>
      <c r="H760" s="30" t="s">
        <v>740</v>
      </c>
      <c r="I760" s="30" t="s">
        <v>740</v>
      </c>
      <c r="J760" s="197" t="s">
        <v>1625</v>
      </c>
      <c r="K760" s="198">
        <v>999.0</v>
      </c>
      <c r="L760" s="30" t="s">
        <v>21</v>
      </c>
    </row>
    <row r="761" ht="15.75" customHeight="1">
      <c r="A761" s="30" t="s">
        <v>30</v>
      </c>
      <c r="B761" s="30" t="s">
        <v>30</v>
      </c>
      <c r="C761" s="30" t="s">
        <v>459</v>
      </c>
      <c r="D761" s="30" t="s">
        <v>8</v>
      </c>
      <c r="E761" s="30" t="s">
        <v>1618</v>
      </c>
      <c r="F761" s="30" t="s">
        <v>376</v>
      </c>
      <c r="G761" s="30" t="s">
        <v>1619</v>
      </c>
      <c r="H761" s="30" t="s">
        <v>740</v>
      </c>
      <c r="I761" s="30" t="s">
        <v>740</v>
      </c>
      <c r="J761" s="197" t="s">
        <v>1626</v>
      </c>
      <c r="K761" s="198">
        <v>999.0</v>
      </c>
      <c r="L761" s="30" t="s">
        <v>21</v>
      </c>
    </row>
    <row r="762" ht="15.75" customHeight="1">
      <c r="A762" s="30" t="s">
        <v>30</v>
      </c>
      <c r="B762" s="30" t="s">
        <v>30</v>
      </c>
      <c r="C762" s="30" t="s">
        <v>459</v>
      </c>
      <c r="D762" s="30" t="s">
        <v>8</v>
      </c>
      <c r="E762" s="30" t="s">
        <v>1618</v>
      </c>
      <c r="F762" s="30" t="s">
        <v>376</v>
      </c>
      <c r="G762" s="30" t="s">
        <v>1619</v>
      </c>
      <c r="H762" s="30" t="s">
        <v>740</v>
      </c>
      <c r="I762" s="30" t="s">
        <v>740</v>
      </c>
      <c r="J762" s="197" t="s">
        <v>1627</v>
      </c>
      <c r="K762" s="198">
        <v>999.0</v>
      </c>
      <c r="L762" s="30" t="s">
        <v>21</v>
      </c>
    </row>
    <row r="763" ht="15.75" customHeight="1">
      <c r="A763" s="30" t="s">
        <v>30</v>
      </c>
      <c r="B763" s="30" t="s">
        <v>30</v>
      </c>
      <c r="C763" s="30" t="s">
        <v>459</v>
      </c>
      <c r="D763" s="30" t="s">
        <v>8</v>
      </c>
      <c r="E763" s="30" t="s">
        <v>1618</v>
      </c>
      <c r="F763" s="30" t="s">
        <v>376</v>
      </c>
      <c r="G763" s="30" t="s">
        <v>1619</v>
      </c>
      <c r="H763" s="30" t="s">
        <v>740</v>
      </c>
      <c r="I763" s="30" t="s">
        <v>740</v>
      </c>
      <c r="J763" s="197" t="s">
        <v>1628</v>
      </c>
      <c r="K763" s="198">
        <v>799.0</v>
      </c>
      <c r="L763" s="30" t="s">
        <v>21</v>
      </c>
    </row>
    <row r="764" ht="15.75" customHeight="1">
      <c r="A764" s="30" t="s">
        <v>30</v>
      </c>
      <c r="B764" s="30" t="s">
        <v>30</v>
      </c>
      <c r="C764" s="30" t="s">
        <v>459</v>
      </c>
      <c r="D764" s="30" t="s">
        <v>8</v>
      </c>
      <c r="E764" s="30" t="s">
        <v>1618</v>
      </c>
      <c r="F764" s="30" t="s">
        <v>376</v>
      </c>
      <c r="G764" s="30" t="s">
        <v>1619</v>
      </c>
      <c r="H764" s="30" t="s">
        <v>740</v>
      </c>
      <c r="I764" s="30" t="s">
        <v>740</v>
      </c>
      <c r="J764" s="197" t="s">
        <v>1629</v>
      </c>
      <c r="K764" s="198">
        <v>799.0</v>
      </c>
      <c r="L764" s="30" t="s">
        <v>21</v>
      </c>
    </row>
    <row r="765" ht="15.75" customHeight="1">
      <c r="A765" s="30" t="s">
        <v>30</v>
      </c>
      <c r="B765" s="30" t="s">
        <v>30</v>
      </c>
      <c r="C765" s="30" t="s">
        <v>459</v>
      </c>
      <c r="D765" s="30" t="s">
        <v>8</v>
      </c>
      <c r="E765" s="30" t="s">
        <v>1618</v>
      </c>
      <c r="F765" s="30" t="s">
        <v>376</v>
      </c>
      <c r="G765" s="30" t="s">
        <v>1619</v>
      </c>
      <c r="H765" s="30" t="s">
        <v>740</v>
      </c>
      <c r="I765" s="30" t="s">
        <v>740</v>
      </c>
      <c r="J765" s="197" t="s">
        <v>1630</v>
      </c>
      <c r="K765" s="198">
        <v>799.0</v>
      </c>
      <c r="L765" s="30" t="s">
        <v>21</v>
      </c>
    </row>
    <row r="766" ht="15.75" customHeight="1">
      <c r="A766" s="30" t="s">
        <v>30</v>
      </c>
      <c r="B766" s="30" t="s">
        <v>30</v>
      </c>
      <c r="C766" s="30" t="s">
        <v>459</v>
      </c>
      <c r="D766" s="30" t="s">
        <v>8</v>
      </c>
      <c r="E766" s="30" t="s">
        <v>1618</v>
      </c>
      <c r="F766" s="30" t="s">
        <v>376</v>
      </c>
      <c r="G766" s="30" t="s">
        <v>1619</v>
      </c>
      <c r="H766" s="30" t="s">
        <v>740</v>
      </c>
      <c r="I766" s="30" t="s">
        <v>740</v>
      </c>
      <c r="J766" s="197" t="s">
        <v>1631</v>
      </c>
      <c r="K766" s="198">
        <v>799.0</v>
      </c>
      <c r="L766" s="30" t="s">
        <v>21</v>
      </c>
    </row>
    <row r="767" ht="15.75" customHeight="1">
      <c r="A767" s="30" t="s">
        <v>30</v>
      </c>
      <c r="B767" s="30" t="s">
        <v>30</v>
      </c>
      <c r="C767" s="30" t="s">
        <v>459</v>
      </c>
      <c r="D767" s="30" t="s">
        <v>8</v>
      </c>
      <c r="E767" s="30" t="s">
        <v>1618</v>
      </c>
      <c r="F767" s="30" t="s">
        <v>376</v>
      </c>
      <c r="G767" s="30" t="s">
        <v>1619</v>
      </c>
      <c r="H767" s="30" t="s">
        <v>740</v>
      </c>
      <c r="I767" s="30" t="s">
        <v>740</v>
      </c>
      <c r="J767" s="197" t="s">
        <v>1632</v>
      </c>
      <c r="K767" s="198">
        <v>799.0</v>
      </c>
      <c r="L767" s="30" t="s">
        <v>21</v>
      </c>
    </row>
    <row r="768" ht="15.75" customHeight="1">
      <c r="A768" s="30" t="s">
        <v>30</v>
      </c>
      <c r="B768" s="30" t="s">
        <v>30</v>
      </c>
      <c r="C768" s="30" t="s">
        <v>459</v>
      </c>
      <c r="D768" s="30" t="s">
        <v>8</v>
      </c>
      <c r="E768" s="30" t="s">
        <v>1618</v>
      </c>
      <c r="F768" s="30" t="s">
        <v>376</v>
      </c>
      <c r="G768" s="30" t="s">
        <v>1619</v>
      </c>
      <c r="H768" s="30" t="s">
        <v>740</v>
      </c>
      <c r="I768" s="30" t="s">
        <v>740</v>
      </c>
      <c r="J768" s="197" t="s">
        <v>1633</v>
      </c>
      <c r="K768" s="198">
        <v>999.0</v>
      </c>
      <c r="L768" s="30" t="s">
        <v>21</v>
      </c>
    </row>
    <row r="769" ht="15.75" customHeight="1">
      <c r="A769" s="30" t="s">
        <v>30</v>
      </c>
      <c r="B769" s="30" t="s">
        <v>30</v>
      </c>
      <c r="C769" s="30" t="s">
        <v>459</v>
      </c>
      <c r="D769" s="30" t="s">
        <v>8</v>
      </c>
      <c r="E769" s="30" t="s">
        <v>1618</v>
      </c>
      <c r="F769" s="30" t="s">
        <v>376</v>
      </c>
      <c r="G769" s="30" t="s">
        <v>1619</v>
      </c>
      <c r="H769" s="30" t="s">
        <v>740</v>
      </c>
      <c r="I769" s="30" t="s">
        <v>740</v>
      </c>
      <c r="J769" s="197" t="s">
        <v>1634</v>
      </c>
      <c r="K769" s="198">
        <v>999.0</v>
      </c>
      <c r="L769" s="30" t="s">
        <v>21</v>
      </c>
    </row>
    <row r="770" ht="15.75" customHeight="1">
      <c r="A770" s="30" t="s">
        <v>30</v>
      </c>
      <c r="B770" s="30" t="s">
        <v>30</v>
      </c>
      <c r="C770" s="30" t="s">
        <v>459</v>
      </c>
      <c r="D770" s="30" t="s">
        <v>8</v>
      </c>
      <c r="E770" s="30" t="s">
        <v>1618</v>
      </c>
      <c r="F770" s="30" t="s">
        <v>376</v>
      </c>
      <c r="G770" s="30" t="s">
        <v>1619</v>
      </c>
      <c r="H770" s="30" t="s">
        <v>740</v>
      </c>
      <c r="I770" s="30" t="s">
        <v>740</v>
      </c>
      <c r="J770" s="197" t="s">
        <v>1635</v>
      </c>
      <c r="K770" s="198">
        <v>0.0</v>
      </c>
      <c r="L770" s="30" t="s">
        <v>21</v>
      </c>
    </row>
    <row r="771" ht="15.75" customHeight="1">
      <c r="A771" s="30" t="s">
        <v>30</v>
      </c>
      <c r="B771" s="30" t="s">
        <v>30</v>
      </c>
      <c r="C771" s="30" t="s">
        <v>459</v>
      </c>
      <c r="D771" s="30" t="s">
        <v>8</v>
      </c>
      <c r="E771" s="30" t="s">
        <v>1618</v>
      </c>
      <c r="F771" s="30" t="s">
        <v>376</v>
      </c>
      <c r="G771" s="30" t="s">
        <v>1619</v>
      </c>
      <c r="H771" s="30" t="s">
        <v>740</v>
      </c>
      <c r="I771" s="30" t="s">
        <v>740</v>
      </c>
      <c r="J771" s="197" t="s">
        <v>1636</v>
      </c>
      <c r="K771" s="198">
        <v>999.0</v>
      </c>
      <c r="L771" s="30" t="s">
        <v>21</v>
      </c>
    </row>
    <row r="772" ht="15.75" customHeight="1">
      <c r="A772" s="30" t="s">
        <v>30</v>
      </c>
      <c r="B772" s="30" t="s">
        <v>30</v>
      </c>
      <c r="C772" s="30" t="s">
        <v>459</v>
      </c>
      <c r="D772" s="30" t="s">
        <v>8</v>
      </c>
      <c r="E772" s="30" t="s">
        <v>1637</v>
      </c>
      <c r="F772" s="30" t="s">
        <v>376</v>
      </c>
      <c r="G772" s="30" t="s">
        <v>1619</v>
      </c>
      <c r="H772" s="30" t="s">
        <v>740</v>
      </c>
      <c r="I772" s="30" t="s">
        <v>756</v>
      </c>
      <c r="J772" s="197" t="s">
        <v>1638</v>
      </c>
      <c r="K772" s="198">
        <v>2499.0</v>
      </c>
      <c r="L772" s="30" t="s">
        <v>21</v>
      </c>
    </row>
    <row r="773" ht="15.75" customHeight="1">
      <c r="A773" s="30" t="s">
        <v>30</v>
      </c>
      <c r="B773" s="30" t="s">
        <v>30</v>
      </c>
      <c r="C773" s="30" t="s">
        <v>554</v>
      </c>
      <c r="D773" s="30" t="s">
        <v>8</v>
      </c>
      <c r="E773" s="30" t="s">
        <v>1639</v>
      </c>
      <c r="F773" s="30" t="s">
        <v>376</v>
      </c>
      <c r="G773" s="30" t="s">
        <v>1640</v>
      </c>
      <c r="H773" s="30" t="s">
        <v>1605</v>
      </c>
      <c r="I773" s="30" t="s">
        <v>1606</v>
      </c>
      <c r="J773" s="197" t="s">
        <v>1641</v>
      </c>
      <c r="K773" s="198">
        <v>26880.0</v>
      </c>
      <c r="L773" s="30" t="s">
        <v>21</v>
      </c>
    </row>
    <row r="774" ht="15.75" customHeight="1">
      <c r="A774" s="30" t="s">
        <v>30</v>
      </c>
      <c r="B774" s="30" t="s">
        <v>30</v>
      </c>
      <c r="C774" s="30" t="s">
        <v>444</v>
      </c>
      <c r="D774" s="30" t="s">
        <v>8</v>
      </c>
      <c r="E774" s="30" t="s">
        <v>1639</v>
      </c>
      <c r="F774" s="30" t="s">
        <v>376</v>
      </c>
      <c r="G774" s="30" t="s">
        <v>1640</v>
      </c>
      <c r="H774" s="30" t="s">
        <v>1605</v>
      </c>
      <c r="I774" s="30" t="s">
        <v>1606</v>
      </c>
      <c r="J774" s="197" t="s">
        <v>1642</v>
      </c>
      <c r="K774" s="198">
        <v>-1200.0</v>
      </c>
      <c r="L774" s="30" t="s">
        <v>21</v>
      </c>
    </row>
    <row r="775" ht="15.75" customHeight="1">
      <c r="A775" s="30" t="s">
        <v>30</v>
      </c>
      <c r="B775" s="30" t="s">
        <v>30</v>
      </c>
      <c r="C775" s="30" t="s">
        <v>554</v>
      </c>
      <c r="D775" s="30" t="s">
        <v>8</v>
      </c>
      <c r="E775" s="30" t="s">
        <v>1643</v>
      </c>
      <c r="F775" s="30" t="s">
        <v>376</v>
      </c>
      <c r="G775" s="30" t="s">
        <v>1510</v>
      </c>
      <c r="H775" s="30" t="s">
        <v>1605</v>
      </c>
      <c r="I775" s="30" t="s">
        <v>1605</v>
      </c>
      <c r="J775" s="197" t="s">
        <v>1644</v>
      </c>
      <c r="K775" s="198">
        <v>48150.0</v>
      </c>
      <c r="L775" s="30" t="s">
        <v>21</v>
      </c>
    </row>
    <row r="776" ht="15.75" customHeight="1">
      <c r="A776" s="30" t="s">
        <v>30</v>
      </c>
      <c r="B776" s="30" t="s">
        <v>30</v>
      </c>
      <c r="C776" s="30" t="s">
        <v>444</v>
      </c>
      <c r="D776" s="30" t="s">
        <v>8</v>
      </c>
      <c r="E776" s="30" t="s">
        <v>1645</v>
      </c>
      <c r="F776" s="30" t="s">
        <v>1501</v>
      </c>
      <c r="G776" s="30" t="s">
        <v>1508</v>
      </c>
      <c r="H776" s="30" t="s">
        <v>364</v>
      </c>
      <c r="I776" s="30" t="s">
        <v>364</v>
      </c>
      <c r="J776" s="197" t="s">
        <v>1646</v>
      </c>
      <c r="K776" s="198">
        <v>2800.0</v>
      </c>
      <c r="L776" s="30" t="s">
        <v>21</v>
      </c>
    </row>
    <row r="777" ht="15.75" customHeight="1">
      <c r="A777" s="30" t="s">
        <v>30</v>
      </c>
      <c r="B777" s="30" t="s">
        <v>30</v>
      </c>
      <c r="C777" s="30" t="s">
        <v>427</v>
      </c>
      <c r="D777" s="30" t="s">
        <v>8</v>
      </c>
      <c r="E777" s="30" t="s">
        <v>1645</v>
      </c>
      <c r="F777" s="30" t="s">
        <v>1501</v>
      </c>
      <c r="G777" s="30" t="s">
        <v>1508</v>
      </c>
      <c r="H777" s="30" t="s">
        <v>364</v>
      </c>
      <c r="I777" s="30" t="s">
        <v>364</v>
      </c>
      <c r="J777" s="197" t="s">
        <v>1647</v>
      </c>
      <c r="K777" s="198">
        <v>3025.0</v>
      </c>
      <c r="L777" s="30" t="s">
        <v>21</v>
      </c>
    </row>
    <row r="778" ht="15.75" customHeight="1">
      <c r="A778" s="30" t="s">
        <v>30</v>
      </c>
      <c r="B778" s="30" t="s">
        <v>30</v>
      </c>
      <c r="C778" s="30" t="s">
        <v>444</v>
      </c>
      <c r="D778" s="30" t="s">
        <v>8</v>
      </c>
      <c r="E778" s="30" t="s">
        <v>1645</v>
      </c>
      <c r="F778" s="30" t="s">
        <v>1501</v>
      </c>
      <c r="G778" s="30" t="s">
        <v>1508</v>
      </c>
      <c r="H778" s="30" t="s">
        <v>364</v>
      </c>
      <c r="I778" s="30" t="s">
        <v>364</v>
      </c>
      <c r="J778" s="197" t="s">
        <v>510</v>
      </c>
      <c r="K778" s="198">
        <v>699.0</v>
      </c>
      <c r="L778" s="30" t="s">
        <v>21</v>
      </c>
    </row>
    <row r="779" ht="15.75" customHeight="1">
      <c r="A779" s="30" t="s">
        <v>30</v>
      </c>
      <c r="B779" s="30" t="s">
        <v>30</v>
      </c>
      <c r="C779" s="30" t="s">
        <v>448</v>
      </c>
      <c r="D779" s="30" t="s">
        <v>8</v>
      </c>
      <c r="E779" s="30" t="s">
        <v>1648</v>
      </c>
      <c r="F779" s="30" t="s">
        <v>1501</v>
      </c>
      <c r="G779" s="30" t="s">
        <v>1508</v>
      </c>
      <c r="H779" s="30" t="s">
        <v>764</v>
      </c>
      <c r="I779" s="30" t="s">
        <v>764</v>
      </c>
      <c r="J779" s="197" t="s">
        <v>1649</v>
      </c>
      <c r="K779" s="198">
        <v>4211.0</v>
      </c>
      <c r="L779" s="30" t="s">
        <v>21</v>
      </c>
    </row>
    <row r="780" ht="15.75" customHeight="1">
      <c r="A780" s="30" t="s">
        <v>30</v>
      </c>
      <c r="B780" s="30" t="s">
        <v>30</v>
      </c>
      <c r="C780" s="30" t="s">
        <v>437</v>
      </c>
      <c r="D780" s="30" t="s">
        <v>8</v>
      </c>
      <c r="E780" s="30" t="s">
        <v>1554</v>
      </c>
      <c r="F780" s="30" t="s">
        <v>1555</v>
      </c>
      <c r="G780" s="30" t="s">
        <v>1447</v>
      </c>
      <c r="H780" s="30" t="s">
        <v>676</v>
      </c>
      <c r="I780" s="30" t="s">
        <v>676</v>
      </c>
      <c r="J780" s="197" t="s">
        <v>766</v>
      </c>
      <c r="K780" s="198">
        <v>18968.0</v>
      </c>
      <c r="L780" s="30" t="s">
        <v>21</v>
      </c>
    </row>
    <row r="781" ht="15.75" customHeight="1">
      <c r="A781" s="30" t="s">
        <v>30</v>
      </c>
      <c r="B781" s="30" t="s">
        <v>30</v>
      </c>
      <c r="C781" s="30" t="s">
        <v>437</v>
      </c>
      <c r="D781" s="30" t="s">
        <v>8</v>
      </c>
      <c r="E781" s="30" t="s">
        <v>1554</v>
      </c>
      <c r="F781" s="30" t="s">
        <v>1555</v>
      </c>
      <c r="G781" s="30" t="s">
        <v>1447</v>
      </c>
      <c r="H781" s="30" t="s">
        <v>676</v>
      </c>
      <c r="I781" s="30" t="s">
        <v>676</v>
      </c>
      <c r="J781" s="197" t="s">
        <v>767</v>
      </c>
      <c r="K781" s="198">
        <v>32085.0</v>
      </c>
      <c r="L781" s="30" t="s">
        <v>21</v>
      </c>
    </row>
    <row r="782" ht="15.75" customHeight="1">
      <c r="A782" s="30" t="s">
        <v>30</v>
      </c>
      <c r="B782" s="30" t="s">
        <v>30</v>
      </c>
      <c r="C782" s="30" t="s">
        <v>444</v>
      </c>
      <c r="D782" s="30" t="s">
        <v>8</v>
      </c>
      <c r="E782" s="30" t="s">
        <v>1650</v>
      </c>
      <c r="F782" s="30" t="s">
        <v>1547</v>
      </c>
      <c r="G782" s="30" t="s">
        <v>1447</v>
      </c>
      <c r="H782" s="30" t="s">
        <v>1651</v>
      </c>
      <c r="I782" s="30" t="s">
        <v>1651</v>
      </c>
      <c r="J782" s="197" t="s">
        <v>1652</v>
      </c>
      <c r="K782" s="198">
        <v>22406.0</v>
      </c>
      <c r="L782" s="30" t="s">
        <v>21</v>
      </c>
    </row>
    <row r="783" ht="15.75" customHeight="1">
      <c r="A783" s="33" t="s">
        <v>32</v>
      </c>
      <c r="B783" s="33" t="s">
        <v>140</v>
      </c>
      <c r="C783" s="33" t="s">
        <v>784</v>
      </c>
      <c r="D783" s="33" t="s">
        <v>8</v>
      </c>
      <c r="E783" s="33" t="s">
        <v>1653</v>
      </c>
      <c r="F783" s="33" t="s">
        <v>376</v>
      </c>
      <c r="G783" s="33" t="s">
        <v>1654</v>
      </c>
      <c r="H783" s="33" t="s">
        <v>786</v>
      </c>
      <c r="I783" s="33" t="s">
        <v>786</v>
      </c>
      <c r="J783" s="200" t="s">
        <v>1655</v>
      </c>
      <c r="K783" s="201">
        <v>41400.0</v>
      </c>
      <c r="L783" s="33" t="s">
        <v>21</v>
      </c>
    </row>
    <row r="784" ht="15.75" customHeight="1">
      <c r="A784" s="33" t="s">
        <v>32</v>
      </c>
      <c r="B784" s="33" t="s">
        <v>140</v>
      </c>
      <c r="C784" s="33" t="s">
        <v>784</v>
      </c>
      <c r="D784" s="33" t="s">
        <v>8</v>
      </c>
      <c r="E784" s="33" t="s">
        <v>1653</v>
      </c>
      <c r="F784" s="33" t="s">
        <v>376</v>
      </c>
      <c r="G784" s="33" t="s">
        <v>1654</v>
      </c>
      <c r="H784" s="33" t="s">
        <v>786</v>
      </c>
      <c r="I784" s="33" t="s">
        <v>786</v>
      </c>
      <c r="J784" s="200" t="s">
        <v>709</v>
      </c>
      <c r="K784" s="201">
        <v>4968.0</v>
      </c>
      <c r="L784" s="33" t="s">
        <v>21</v>
      </c>
    </row>
    <row r="785" ht="15.75" customHeight="1">
      <c r="A785" s="33" t="s">
        <v>32</v>
      </c>
      <c r="B785" s="33" t="s">
        <v>140</v>
      </c>
      <c r="C785" s="33" t="s">
        <v>582</v>
      </c>
      <c r="D785" s="33" t="s">
        <v>8</v>
      </c>
      <c r="E785" s="33" t="s">
        <v>1524</v>
      </c>
      <c r="F785" s="33" t="s">
        <v>1501</v>
      </c>
      <c r="G785" s="33" t="s">
        <v>1656</v>
      </c>
      <c r="H785" s="33" t="s">
        <v>544</v>
      </c>
      <c r="I785" s="33" t="s">
        <v>1176</v>
      </c>
      <c r="J785" s="200" t="s">
        <v>1657</v>
      </c>
      <c r="K785" s="201">
        <v>87.0</v>
      </c>
      <c r="L785" s="33" t="s">
        <v>21</v>
      </c>
    </row>
    <row r="786" ht="15.75" customHeight="1">
      <c r="A786" s="33" t="s">
        <v>32</v>
      </c>
      <c r="B786" s="33" t="s">
        <v>140</v>
      </c>
      <c r="C786" s="33" t="s">
        <v>466</v>
      </c>
      <c r="D786" s="33" t="s">
        <v>8</v>
      </c>
      <c r="E786" s="33" t="s">
        <v>1524</v>
      </c>
      <c r="F786" s="33" t="s">
        <v>1501</v>
      </c>
      <c r="G786" s="33" t="s">
        <v>1656</v>
      </c>
      <c r="H786" s="33" t="s">
        <v>544</v>
      </c>
      <c r="I786" s="33" t="s">
        <v>1176</v>
      </c>
      <c r="J786" s="200" t="s">
        <v>1658</v>
      </c>
      <c r="K786" s="201">
        <v>82.0</v>
      </c>
      <c r="L786" s="33" t="s">
        <v>21</v>
      </c>
    </row>
    <row r="787" ht="15.75" customHeight="1">
      <c r="A787" s="33" t="s">
        <v>32</v>
      </c>
      <c r="B787" s="33" t="s">
        <v>140</v>
      </c>
      <c r="C787" s="33" t="s">
        <v>466</v>
      </c>
      <c r="D787" s="33" t="s">
        <v>8</v>
      </c>
      <c r="E787" s="33" t="s">
        <v>1524</v>
      </c>
      <c r="F787" s="33" t="s">
        <v>1501</v>
      </c>
      <c r="G787" s="33" t="s">
        <v>1529</v>
      </c>
      <c r="H787" s="33" t="s">
        <v>544</v>
      </c>
      <c r="I787" s="33" t="s">
        <v>1176</v>
      </c>
      <c r="J787" s="200" t="s">
        <v>1659</v>
      </c>
      <c r="K787" s="201">
        <v>84.0</v>
      </c>
      <c r="L787" s="33" t="s">
        <v>21</v>
      </c>
    </row>
    <row r="788" ht="15.75" customHeight="1">
      <c r="A788" s="33" t="s">
        <v>32</v>
      </c>
      <c r="B788" s="33" t="s">
        <v>140</v>
      </c>
      <c r="C788" s="33" t="s">
        <v>582</v>
      </c>
      <c r="D788" s="33" t="s">
        <v>8</v>
      </c>
      <c r="E788" s="33" t="s">
        <v>1524</v>
      </c>
      <c r="F788" s="33" t="s">
        <v>1501</v>
      </c>
      <c r="G788" s="33" t="s">
        <v>293</v>
      </c>
      <c r="H788" s="33" t="s">
        <v>544</v>
      </c>
      <c r="I788" s="33" t="s">
        <v>1176</v>
      </c>
      <c r="J788" s="200" t="s">
        <v>1660</v>
      </c>
      <c r="K788" s="201">
        <v>173.0</v>
      </c>
      <c r="L788" s="33" t="s">
        <v>21</v>
      </c>
    </row>
    <row r="789" ht="15.75" customHeight="1">
      <c r="A789" s="33" t="s">
        <v>32</v>
      </c>
      <c r="B789" s="33" t="s">
        <v>140</v>
      </c>
      <c r="C789" s="33" t="s">
        <v>466</v>
      </c>
      <c r="D789" s="33" t="s">
        <v>8</v>
      </c>
      <c r="E789" s="33" t="s">
        <v>1524</v>
      </c>
      <c r="F789" s="33" t="s">
        <v>1501</v>
      </c>
      <c r="G789" s="33" t="s">
        <v>293</v>
      </c>
      <c r="H789" s="33" t="s">
        <v>544</v>
      </c>
      <c r="I789" s="33" t="s">
        <v>1176</v>
      </c>
      <c r="J789" s="200" t="s">
        <v>1658</v>
      </c>
      <c r="K789" s="201">
        <v>79.0</v>
      </c>
      <c r="L789" s="33" t="s">
        <v>21</v>
      </c>
    </row>
    <row r="790" ht="15.75" customHeight="1">
      <c r="A790" s="33" t="s">
        <v>32</v>
      </c>
      <c r="B790" s="33" t="s">
        <v>140</v>
      </c>
      <c r="C790" s="33" t="s">
        <v>466</v>
      </c>
      <c r="D790" s="33" t="s">
        <v>8</v>
      </c>
      <c r="E790" s="33" t="s">
        <v>1536</v>
      </c>
      <c r="F790" s="33" t="s">
        <v>1521</v>
      </c>
      <c r="G790" s="33" t="s">
        <v>1449</v>
      </c>
      <c r="H790" s="33" t="s">
        <v>544</v>
      </c>
      <c r="I790" s="33" t="s">
        <v>1176</v>
      </c>
      <c r="J790" s="200" t="s">
        <v>1661</v>
      </c>
      <c r="K790" s="201">
        <v>60.0</v>
      </c>
      <c r="L790" s="33" t="s">
        <v>21</v>
      </c>
    </row>
    <row r="791" ht="15.75" customHeight="1">
      <c r="A791" s="33" t="s">
        <v>32</v>
      </c>
      <c r="B791" s="33" t="s">
        <v>140</v>
      </c>
      <c r="C791" s="33" t="s">
        <v>466</v>
      </c>
      <c r="D791" s="33" t="s">
        <v>8</v>
      </c>
      <c r="E791" s="33" t="s">
        <v>1536</v>
      </c>
      <c r="F791" s="33" t="s">
        <v>1521</v>
      </c>
      <c r="G791" s="33" t="s">
        <v>1449</v>
      </c>
      <c r="H791" s="33" t="s">
        <v>544</v>
      </c>
      <c r="I791" s="33" t="s">
        <v>1176</v>
      </c>
      <c r="J791" s="200" t="s">
        <v>1658</v>
      </c>
      <c r="K791" s="201">
        <v>79.0</v>
      </c>
      <c r="L791" s="33" t="s">
        <v>21</v>
      </c>
    </row>
    <row r="792" ht="15.75" customHeight="1">
      <c r="A792" s="33" t="s">
        <v>32</v>
      </c>
      <c r="B792" s="33" t="s">
        <v>138</v>
      </c>
      <c r="C792" s="33" t="s">
        <v>582</v>
      </c>
      <c r="D792" s="33" t="s">
        <v>8</v>
      </c>
      <c r="E792" s="33" t="s">
        <v>1536</v>
      </c>
      <c r="F792" s="33" t="s">
        <v>1521</v>
      </c>
      <c r="G792" s="33" t="s">
        <v>1449</v>
      </c>
      <c r="H792" s="33" t="s">
        <v>544</v>
      </c>
      <c r="I792" s="33" t="s">
        <v>1176</v>
      </c>
      <c r="J792" s="200" t="s">
        <v>1662</v>
      </c>
      <c r="K792" s="201">
        <v>127.0</v>
      </c>
      <c r="L792" s="33" t="s">
        <v>21</v>
      </c>
    </row>
    <row r="793" ht="15.75" customHeight="1">
      <c r="A793" s="33" t="s">
        <v>32</v>
      </c>
      <c r="B793" s="33" t="s">
        <v>138</v>
      </c>
      <c r="C793" s="33" t="s">
        <v>582</v>
      </c>
      <c r="D793" s="33" t="s">
        <v>8</v>
      </c>
      <c r="E793" s="33" t="s">
        <v>1536</v>
      </c>
      <c r="F793" s="33" t="s">
        <v>1521</v>
      </c>
      <c r="G793" s="33" t="s">
        <v>1449</v>
      </c>
      <c r="H793" s="33" t="s">
        <v>544</v>
      </c>
      <c r="I793" s="33" t="s">
        <v>1415</v>
      </c>
      <c r="J793" s="200" t="s">
        <v>1663</v>
      </c>
      <c r="K793" s="201">
        <v>100.0</v>
      </c>
      <c r="L793" s="33" t="s">
        <v>21</v>
      </c>
    </row>
    <row r="794" ht="15.75" customHeight="1">
      <c r="A794" s="33" t="s">
        <v>32</v>
      </c>
      <c r="B794" s="33" t="s">
        <v>138</v>
      </c>
      <c r="C794" s="33" t="s">
        <v>582</v>
      </c>
      <c r="D794" s="33" t="s">
        <v>8</v>
      </c>
      <c r="E794" s="33" t="s">
        <v>1536</v>
      </c>
      <c r="F794" s="33" t="s">
        <v>1521</v>
      </c>
      <c r="G794" s="33" t="s">
        <v>1449</v>
      </c>
      <c r="H794" s="33" t="s">
        <v>544</v>
      </c>
      <c r="I794" s="33" t="s">
        <v>1176</v>
      </c>
      <c r="J794" s="200" t="s">
        <v>1664</v>
      </c>
      <c r="K794" s="201">
        <v>370.0</v>
      </c>
      <c r="L794" s="33" t="s">
        <v>21</v>
      </c>
    </row>
    <row r="795" ht="15.75" customHeight="1">
      <c r="A795" s="6" t="s">
        <v>19</v>
      </c>
      <c r="B795" s="6" t="s">
        <v>35</v>
      </c>
      <c r="C795" s="6" t="s">
        <v>466</v>
      </c>
      <c r="D795" s="6" t="s">
        <v>9</v>
      </c>
      <c r="E795" s="6" t="s">
        <v>1665</v>
      </c>
      <c r="F795" s="6" t="s">
        <v>304</v>
      </c>
      <c r="G795" s="6" t="s">
        <v>1666</v>
      </c>
      <c r="H795" s="6" t="s">
        <v>1667</v>
      </c>
      <c r="I795" s="6" t="s">
        <v>1271</v>
      </c>
      <c r="J795" s="185" t="s">
        <v>1668</v>
      </c>
      <c r="K795" s="186">
        <v>3465.0</v>
      </c>
      <c r="L795" s="6" t="s">
        <v>21</v>
      </c>
    </row>
    <row r="796" ht="15.75" customHeight="1">
      <c r="A796" s="6" t="s">
        <v>19</v>
      </c>
      <c r="B796" s="6" t="s">
        <v>35</v>
      </c>
      <c r="C796" s="6" t="s">
        <v>466</v>
      </c>
      <c r="D796" s="6" t="s">
        <v>9</v>
      </c>
      <c r="E796" s="6" t="s">
        <v>1669</v>
      </c>
      <c r="F796" s="6" t="s">
        <v>1670</v>
      </c>
      <c r="G796" s="6" t="s">
        <v>1671</v>
      </c>
      <c r="H796" s="6" t="s">
        <v>1667</v>
      </c>
      <c r="I796" s="6" t="s">
        <v>1672</v>
      </c>
      <c r="J796" s="185" t="s">
        <v>1673</v>
      </c>
      <c r="K796" s="186">
        <v>2400.0</v>
      </c>
      <c r="L796" s="6" t="s">
        <v>21</v>
      </c>
    </row>
    <row r="797" ht="15.75" customHeight="1">
      <c r="A797" s="6" t="s">
        <v>19</v>
      </c>
      <c r="B797" s="6" t="s">
        <v>35</v>
      </c>
      <c r="C797" s="6" t="s">
        <v>466</v>
      </c>
      <c r="D797" s="6" t="s">
        <v>9</v>
      </c>
      <c r="E797" s="6" t="s">
        <v>1674</v>
      </c>
      <c r="F797" s="6" t="s">
        <v>1670</v>
      </c>
      <c r="G797" s="6" t="s">
        <v>1671</v>
      </c>
      <c r="H797" s="6" t="s">
        <v>1667</v>
      </c>
      <c r="I797" s="6" t="s">
        <v>1675</v>
      </c>
      <c r="J797" s="185" t="s">
        <v>1676</v>
      </c>
      <c r="K797" s="186">
        <v>1980.0</v>
      </c>
      <c r="L797" s="6" t="s">
        <v>21</v>
      </c>
    </row>
    <row r="798" ht="15.75" customHeight="1">
      <c r="A798" s="12" t="s">
        <v>23</v>
      </c>
      <c r="B798" s="12" t="s">
        <v>66</v>
      </c>
      <c r="C798" s="12" t="s">
        <v>433</v>
      </c>
      <c r="D798" s="12" t="s">
        <v>9</v>
      </c>
      <c r="E798" s="12" t="s">
        <v>1677</v>
      </c>
      <c r="F798" s="12" t="s">
        <v>1678</v>
      </c>
      <c r="G798" s="12" t="s">
        <v>1679</v>
      </c>
      <c r="H798" s="12" t="s">
        <v>1680</v>
      </c>
      <c r="I798" s="12" t="s">
        <v>509</v>
      </c>
      <c r="J798" s="187" t="s">
        <v>1681</v>
      </c>
      <c r="K798" s="188">
        <v>24954.0</v>
      </c>
      <c r="L798" s="12" t="s">
        <v>21</v>
      </c>
    </row>
    <row r="799" ht="15.75" customHeight="1">
      <c r="A799" s="12" t="s">
        <v>23</v>
      </c>
      <c r="B799" s="12" t="s">
        <v>66</v>
      </c>
      <c r="C799" s="12" t="s">
        <v>433</v>
      </c>
      <c r="D799" s="12" t="s">
        <v>9</v>
      </c>
      <c r="E799" s="12" t="s">
        <v>1677</v>
      </c>
      <c r="F799" s="12" t="s">
        <v>1678</v>
      </c>
      <c r="G799" s="12" t="s">
        <v>1679</v>
      </c>
      <c r="H799" s="12" t="s">
        <v>1680</v>
      </c>
      <c r="I799" s="12" t="s">
        <v>509</v>
      </c>
      <c r="J799" s="187" t="s">
        <v>1682</v>
      </c>
      <c r="K799" s="188">
        <v>23290.0</v>
      </c>
      <c r="L799" s="12" t="s">
        <v>21</v>
      </c>
    </row>
    <row r="800" ht="15.75" customHeight="1">
      <c r="A800" s="12" t="s">
        <v>23</v>
      </c>
      <c r="B800" s="12" t="s">
        <v>24</v>
      </c>
      <c r="C800" s="12" t="s">
        <v>437</v>
      </c>
      <c r="D800" s="12" t="s">
        <v>9</v>
      </c>
      <c r="E800" s="12" t="s">
        <v>1683</v>
      </c>
      <c r="F800" s="12" t="s">
        <v>1684</v>
      </c>
      <c r="G800" s="12" t="s">
        <v>1684</v>
      </c>
      <c r="H800" s="12" t="s">
        <v>1517</v>
      </c>
      <c r="I800" s="12" t="s">
        <v>1685</v>
      </c>
      <c r="J800" s="187" t="s">
        <v>1686</v>
      </c>
      <c r="K800" s="188">
        <v>22586.0</v>
      </c>
      <c r="L800" s="12" t="s">
        <v>21</v>
      </c>
    </row>
    <row r="801" ht="15.75" customHeight="1">
      <c r="A801" s="18" t="s">
        <v>26</v>
      </c>
      <c r="B801" s="18" t="s">
        <v>403</v>
      </c>
      <c r="C801" s="18" t="s">
        <v>582</v>
      </c>
      <c r="D801" s="18" t="s">
        <v>9</v>
      </c>
      <c r="E801" s="18" t="s">
        <v>1687</v>
      </c>
      <c r="F801" s="18" t="s">
        <v>1688</v>
      </c>
      <c r="G801" s="18" t="s">
        <v>1689</v>
      </c>
      <c r="H801" s="18" t="s">
        <v>1690</v>
      </c>
      <c r="I801" s="18" t="s">
        <v>614</v>
      </c>
      <c r="J801" s="189" t="s">
        <v>1691</v>
      </c>
      <c r="K801" s="190">
        <v>902.0</v>
      </c>
      <c r="L801" s="18" t="s">
        <v>21</v>
      </c>
    </row>
    <row r="802" ht="15.75" customHeight="1">
      <c r="A802" s="18" t="s">
        <v>26</v>
      </c>
      <c r="B802" s="18" t="s">
        <v>403</v>
      </c>
      <c r="C802" s="18" t="s">
        <v>582</v>
      </c>
      <c r="D802" s="18" t="s">
        <v>9</v>
      </c>
      <c r="E802" s="18" t="s">
        <v>1687</v>
      </c>
      <c r="F802" s="18" t="s">
        <v>1688</v>
      </c>
      <c r="G802" s="18" t="s">
        <v>1340</v>
      </c>
      <c r="H802" s="18" t="s">
        <v>1690</v>
      </c>
      <c r="I802" s="18" t="s">
        <v>614</v>
      </c>
      <c r="J802" s="189" t="s">
        <v>1691</v>
      </c>
      <c r="K802" s="190">
        <v>853.0</v>
      </c>
      <c r="L802" s="18" t="s">
        <v>21</v>
      </c>
    </row>
    <row r="803" ht="15.75" customHeight="1">
      <c r="A803" s="18" t="s">
        <v>26</v>
      </c>
      <c r="B803" s="18" t="s">
        <v>403</v>
      </c>
      <c r="C803" s="18" t="s">
        <v>582</v>
      </c>
      <c r="D803" s="18" t="s">
        <v>9</v>
      </c>
      <c r="E803" s="18" t="s">
        <v>1687</v>
      </c>
      <c r="F803" s="18" t="s">
        <v>1688</v>
      </c>
      <c r="G803" s="18" t="s">
        <v>1656</v>
      </c>
      <c r="H803" s="18" t="s">
        <v>1690</v>
      </c>
      <c r="I803" s="18" t="s">
        <v>614</v>
      </c>
      <c r="J803" s="189" t="s">
        <v>1691</v>
      </c>
      <c r="K803" s="190">
        <v>947.0</v>
      </c>
      <c r="L803" s="18" t="s">
        <v>21</v>
      </c>
    </row>
    <row r="804" ht="15.75" customHeight="1">
      <c r="A804" s="18" t="s">
        <v>26</v>
      </c>
      <c r="B804" s="18" t="s">
        <v>403</v>
      </c>
      <c r="C804" s="18" t="s">
        <v>582</v>
      </c>
      <c r="D804" s="18" t="s">
        <v>9</v>
      </c>
      <c r="E804" s="18" t="s">
        <v>1687</v>
      </c>
      <c r="F804" s="18" t="s">
        <v>1688</v>
      </c>
      <c r="G804" s="18" t="s">
        <v>1692</v>
      </c>
      <c r="H804" s="18" t="s">
        <v>1690</v>
      </c>
      <c r="I804" s="18" t="s">
        <v>1693</v>
      </c>
      <c r="J804" s="189" t="s">
        <v>1694</v>
      </c>
      <c r="K804" s="190">
        <v>7200.0</v>
      </c>
      <c r="L804" s="18" t="s">
        <v>21</v>
      </c>
    </row>
    <row r="805" ht="15.75" customHeight="1">
      <c r="A805" s="18" t="s">
        <v>26</v>
      </c>
      <c r="B805" s="18" t="s">
        <v>403</v>
      </c>
      <c r="C805" s="18" t="s">
        <v>582</v>
      </c>
      <c r="D805" s="18" t="s">
        <v>9</v>
      </c>
      <c r="E805" s="18" t="s">
        <v>1687</v>
      </c>
      <c r="F805" s="18" t="s">
        <v>1688</v>
      </c>
      <c r="G805" s="18" t="s">
        <v>1692</v>
      </c>
      <c r="H805" s="18" t="s">
        <v>1690</v>
      </c>
      <c r="I805" s="18" t="s">
        <v>1693</v>
      </c>
      <c r="J805" s="189" t="s">
        <v>1695</v>
      </c>
      <c r="K805" s="190">
        <v>7200.0</v>
      </c>
      <c r="L805" s="18" t="s">
        <v>21</v>
      </c>
    </row>
    <row r="806" ht="15.75" customHeight="1">
      <c r="A806" s="18" t="s">
        <v>26</v>
      </c>
      <c r="B806" s="18" t="s">
        <v>403</v>
      </c>
      <c r="C806" s="18" t="s">
        <v>582</v>
      </c>
      <c r="D806" s="18" t="s">
        <v>9</v>
      </c>
      <c r="E806" s="18" t="s">
        <v>1687</v>
      </c>
      <c r="F806" s="18" t="s">
        <v>1688</v>
      </c>
      <c r="G806" s="18" t="s">
        <v>1696</v>
      </c>
      <c r="H806" s="18" t="s">
        <v>1690</v>
      </c>
      <c r="I806" s="18" t="s">
        <v>614</v>
      </c>
      <c r="J806" s="189" t="s">
        <v>1691</v>
      </c>
      <c r="K806" s="190">
        <v>809.0</v>
      </c>
      <c r="L806" s="18" t="s">
        <v>21</v>
      </c>
    </row>
    <row r="807" ht="15.75" customHeight="1">
      <c r="A807" s="18" t="s">
        <v>26</v>
      </c>
      <c r="B807" s="18" t="s">
        <v>403</v>
      </c>
      <c r="C807" s="18" t="s">
        <v>582</v>
      </c>
      <c r="D807" s="18" t="s">
        <v>9</v>
      </c>
      <c r="E807" s="18" t="s">
        <v>1687</v>
      </c>
      <c r="F807" s="18" t="s">
        <v>1688</v>
      </c>
      <c r="G807" s="18" t="s">
        <v>1696</v>
      </c>
      <c r="H807" s="18" t="s">
        <v>1690</v>
      </c>
      <c r="I807" s="18" t="s">
        <v>614</v>
      </c>
      <c r="J807" s="189" t="s">
        <v>1691</v>
      </c>
      <c r="K807" s="190">
        <v>903.0</v>
      </c>
      <c r="L807" s="18" t="s">
        <v>21</v>
      </c>
    </row>
    <row r="808" ht="15.75" customHeight="1">
      <c r="A808" s="18" t="s">
        <v>26</v>
      </c>
      <c r="B808" s="18" t="s">
        <v>403</v>
      </c>
      <c r="C808" s="18" t="s">
        <v>582</v>
      </c>
      <c r="D808" s="18" t="s">
        <v>9</v>
      </c>
      <c r="E808" s="18" t="s">
        <v>1687</v>
      </c>
      <c r="F808" s="18" t="s">
        <v>1688</v>
      </c>
      <c r="G808" s="18" t="s">
        <v>1696</v>
      </c>
      <c r="H808" s="18" t="s">
        <v>1690</v>
      </c>
      <c r="I808" s="18" t="s">
        <v>614</v>
      </c>
      <c r="J808" s="189" t="s">
        <v>1691</v>
      </c>
      <c r="K808" s="190">
        <v>948.0</v>
      </c>
      <c r="L808" s="18" t="s">
        <v>21</v>
      </c>
    </row>
    <row r="809" ht="15.75" customHeight="1">
      <c r="A809" s="18" t="s">
        <v>26</v>
      </c>
      <c r="B809" s="18" t="s">
        <v>403</v>
      </c>
      <c r="C809" s="18" t="s">
        <v>582</v>
      </c>
      <c r="D809" s="18" t="s">
        <v>9</v>
      </c>
      <c r="E809" s="18" t="s">
        <v>1687</v>
      </c>
      <c r="F809" s="18" t="s">
        <v>1688</v>
      </c>
      <c r="G809" s="18" t="s">
        <v>1448</v>
      </c>
      <c r="H809" s="18" t="s">
        <v>1690</v>
      </c>
      <c r="I809" s="18" t="s">
        <v>614</v>
      </c>
      <c r="J809" s="189" t="s">
        <v>1691</v>
      </c>
      <c r="K809" s="190">
        <v>997.0</v>
      </c>
      <c r="L809" s="18" t="s">
        <v>21</v>
      </c>
    </row>
    <row r="810" ht="15.75" customHeight="1">
      <c r="A810" s="18" t="s">
        <v>26</v>
      </c>
      <c r="B810" s="18" t="s">
        <v>403</v>
      </c>
      <c r="C810" s="18" t="s">
        <v>582</v>
      </c>
      <c r="D810" s="18" t="s">
        <v>9</v>
      </c>
      <c r="E810" s="18" t="s">
        <v>1697</v>
      </c>
      <c r="F810" s="18" t="s">
        <v>1698</v>
      </c>
      <c r="G810" s="18" t="s">
        <v>296</v>
      </c>
      <c r="H810" s="18" t="s">
        <v>1690</v>
      </c>
      <c r="I810" s="18" t="s">
        <v>1282</v>
      </c>
      <c r="J810" s="189" t="s">
        <v>1699</v>
      </c>
      <c r="K810" s="190">
        <v>12600.0</v>
      </c>
      <c r="L810" s="18" t="s">
        <v>21</v>
      </c>
    </row>
    <row r="811" ht="15.75" customHeight="1">
      <c r="A811" s="18" t="s">
        <v>26</v>
      </c>
      <c r="B811" s="18" t="s">
        <v>403</v>
      </c>
      <c r="C811" s="18" t="s">
        <v>582</v>
      </c>
      <c r="D811" s="18" t="s">
        <v>9</v>
      </c>
      <c r="E811" s="18" t="s">
        <v>1697</v>
      </c>
      <c r="F811" s="18" t="s">
        <v>1698</v>
      </c>
      <c r="G811" s="18" t="s">
        <v>296</v>
      </c>
      <c r="H811" s="18" t="s">
        <v>1690</v>
      </c>
      <c r="I811" s="18" t="s">
        <v>1282</v>
      </c>
      <c r="J811" s="189" t="s">
        <v>1700</v>
      </c>
      <c r="K811" s="190">
        <v>12600.0</v>
      </c>
      <c r="L811" s="18" t="s">
        <v>21</v>
      </c>
    </row>
    <row r="812" ht="15.75" customHeight="1">
      <c r="A812" s="18" t="s">
        <v>26</v>
      </c>
      <c r="B812" s="18" t="s">
        <v>403</v>
      </c>
      <c r="C812" s="18" t="s">
        <v>582</v>
      </c>
      <c r="D812" s="18" t="s">
        <v>9</v>
      </c>
      <c r="E812" s="18" t="s">
        <v>1697</v>
      </c>
      <c r="F812" s="18" t="s">
        <v>1698</v>
      </c>
      <c r="G812" s="18" t="s">
        <v>296</v>
      </c>
      <c r="H812" s="18" t="s">
        <v>1690</v>
      </c>
      <c r="I812" s="18" t="s">
        <v>1282</v>
      </c>
      <c r="J812" s="189" t="s">
        <v>1701</v>
      </c>
      <c r="K812" s="190">
        <v>63000.0</v>
      </c>
      <c r="L812" s="18" t="s">
        <v>21</v>
      </c>
    </row>
    <row r="813" ht="15.75" customHeight="1">
      <c r="A813" s="21" t="s">
        <v>27</v>
      </c>
      <c r="B813" s="21" t="s">
        <v>75</v>
      </c>
      <c r="C813" s="21" t="s">
        <v>444</v>
      </c>
      <c r="D813" s="21" t="s">
        <v>9</v>
      </c>
      <c r="E813" s="21" t="s">
        <v>1702</v>
      </c>
      <c r="F813" s="21" t="s">
        <v>1703</v>
      </c>
      <c r="G813" s="21" t="s">
        <v>1529</v>
      </c>
      <c r="H813" s="21" t="s">
        <v>1704</v>
      </c>
      <c r="I813" s="21" t="s">
        <v>1704</v>
      </c>
      <c r="J813" s="191" t="s">
        <v>1705</v>
      </c>
      <c r="K813" s="192">
        <v>36000.0</v>
      </c>
      <c r="L813" s="21" t="s">
        <v>21</v>
      </c>
    </row>
    <row r="814" ht="15.75" customHeight="1">
      <c r="A814" s="21" t="s">
        <v>27</v>
      </c>
      <c r="B814" s="21" t="s">
        <v>75</v>
      </c>
      <c r="C814" s="21" t="s">
        <v>444</v>
      </c>
      <c r="D814" s="21" t="s">
        <v>9</v>
      </c>
      <c r="E814" s="21" t="s">
        <v>1702</v>
      </c>
      <c r="F814" s="21" t="s">
        <v>1703</v>
      </c>
      <c r="G814" s="21" t="s">
        <v>1529</v>
      </c>
      <c r="H814" s="21" t="s">
        <v>1704</v>
      </c>
      <c r="I814" s="21" t="s">
        <v>1704</v>
      </c>
      <c r="J814" s="191" t="s">
        <v>1706</v>
      </c>
      <c r="K814" s="192">
        <v>16871.0</v>
      </c>
      <c r="L814" s="21" t="s">
        <v>21</v>
      </c>
    </row>
    <row r="815" ht="15.75" customHeight="1">
      <c r="A815" s="21" t="s">
        <v>27</v>
      </c>
      <c r="B815" s="21" t="s">
        <v>75</v>
      </c>
      <c r="C815" s="21" t="s">
        <v>459</v>
      </c>
      <c r="D815" s="21" t="s">
        <v>9</v>
      </c>
      <c r="E815" s="21" t="s">
        <v>1702</v>
      </c>
      <c r="F815" s="21" t="s">
        <v>1703</v>
      </c>
      <c r="G815" s="21" t="s">
        <v>1529</v>
      </c>
      <c r="H815" s="21" t="s">
        <v>1704</v>
      </c>
      <c r="I815" s="21" t="s">
        <v>1704</v>
      </c>
      <c r="J815" s="191" t="s">
        <v>1707</v>
      </c>
      <c r="K815" s="192">
        <v>12936.0</v>
      </c>
      <c r="L815" s="21" t="s">
        <v>21</v>
      </c>
    </row>
    <row r="816" ht="15.75" customHeight="1">
      <c r="A816" s="21" t="s">
        <v>27</v>
      </c>
      <c r="B816" s="21" t="s">
        <v>75</v>
      </c>
      <c r="C816" s="21" t="s">
        <v>459</v>
      </c>
      <c r="D816" s="21" t="s">
        <v>9</v>
      </c>
      <c r="E816" s="21" t="s">
        <v>1702</v>
      </c>
      <c r="F816" s="21" t="s">
        <v>1703</v>
      </c>
      <c r="G816" s="21" t="s">
        <v>1529</v>
      </c>
      <c r="H816" s="21" t="s">
        <v>1704</v>
      </c>
      <c r="I816" s="21" t="s">
        <v>1704</v>
      </c>
      <c r="J816" s="191" t="s">
        <v>1708</v>
      </c>
      <c r="K816" s="192">
        <v>45000.0</v>
      </c>
      <c r="L816" s="21" t="s">
        <v>21</v>
      </c>
    </row>
    <row r="817" ht="15.75" customHeight="1">
      <c r="A817" s="21" t="s">
        <v>27</v>
      </c>
      <c r="B817" s="21" t="s">
        <v>75</v>
      </c>
      <c r="C817" s="21" t="s">
        <v>444</v>
      </c>
      <c r="D817" s="21" t="s">
        <v>9</v>
      </c>
      <c r="E817" s="21" t="s">
        <v>1702</v>
      </c>
      <c r="F817" s="21" t="s">
        <v>1703</v>
      </c>
      <c r="G817" s="21" t="s">
        <v>1529</v>
      </c>
      <c r="H817" s="21" t="s">
        <v>1704</v>
      </c>
      <c r="I817" s="21" t="s">
        <v>1704</v>
      </c>
      <c r="J817" s="191" t="s">
        <v>1709</v>
      </c>
      <c r="K817" s="192">
        <v>9720.0</v>
      </c>
      <c r="L817" s="21" t="s">
        <v>21</v>
      </c>
    </row>
    <row r="818" ht="15.75" customHeight="1">
      <c r="A818" s="21" t="s">
        <v>27</v>
      </c>
      <c r="B818" s="21" t="s">
        <v>77</v>
      </c>
      <c r="C818" s="21" t="s">
        <v>637</v>
      </c>
      <c r="D818" s="21" t="s">
        <v>9</v>
      </c>
      <c r="E818" s="21" t="s">
        <v>1710</v>
      </c>
      <c r="F818" s="21" t="s">
        <v>1711</v>
      </c>
      <c r="G818" s="21" t="s">
        <v>293</v>
      </c>
      <c r="H818" s="21" t="s">
        <v>1035</v>
      </c>
      <c r="I818" s="21" t="s">
        <v>283</v>
      </c>
      <c r="J818" s="191" t="s">
        <v>1712</v>
      </c>
      <c r="K818" s="192">
        <v>6233.0</v>
      </c>
      <c r="L818" s="66" t="s">
        <v>148</v>
      </c>
    </row>
    <row r="819" ht="15.75" customHeight="1">
      <c r="A819" s="21" t="s">
        <v>27</v>
      </c>
      <c r="B819" s="21" t="s">
        <v>77</v>
      </c>
      <c r="C819" s="21" t="s">
        <v>637</v>
      </c>
      <c r="D819" s="21" t="s">
        <v>9</v>
      </c>
      <c r="E819" s="21" t="s">
        <v>1710</v>
      </c>
      <c r="F819" s="21" t="s">
        <v>1711</v>
      </c>
      <c r="G819" s="21" t="s">
        <v>286</v>
      </c>
      <c r="H819" s="21" t="s">
        <v>1035</v>
      </c>
      <c r="I819" s="21" t="s">
        <v>283</v>
      </c>
      <c r="J819" s="191" t="s">
        <v>1713</v>
      </c>
      <c r="K819" s="192">
        <v>24934.0</v>
      </c>
      <c r="L819" s="66" t="s">
        <v>148</v>
      </c>
    </row>
    <row r="820" ht="15.75" customHeight="1">
      <c r="A820" s="21" t="s">
        <v>27</v>
      </c>
      <c r="B820" s="21" t="s">
        <v>77</v>
      </c>
      <c r="C820" s="21" t="s">
        <v>637</v>
      </c>
      <c r="D820" s="21" t="s">
        <v>9</v>
      </c>
      <c r="E820" s="21" t="s">
        <v>1714</v>
      </c>
      <c r="F820" s="21" t="s">
        <v>1711</v>
      </c>
      <c r="G820" s="21" t="s">
        <v>293</v>
      </c>
      <c r="H820" s="21" t="s">
        <v>1035</v>
      </c>
      <c r="I820" s="21" t="s">
        <v>283</v>
      </c>
      <c r="J820" s="191" t="s">
        <v>1715</v>
      </c>
      <c r="K820" s="192">
        <v>8311.0</v>
      </c>
      <c r="L820" s="66" t="s">
        <v>148</v>
      </c>
    </row>
    <row r="821" ht="15.75" customHeight="1">
      <c r="A821" s="21" t="s">
        <v>27</v>
      </c>
      <c r="B821" s="21" t="s">
        <v>77</v>
      </c>
      <c r="C821" s="21" t="s">
        <v>637</v>
      </c>
      <c r="D821" s="21" t="s">
        <v>9</v>
      </c>
      <c r="E821" s="21" t="s">
        <v>1714</v>
      </c>
      <c r="F821" s="21" t="s">
        <v>1711</v>
      </c>
      <c r="G821" s="21" t="s">
        <v>293</v>
      </c>
      <c r="H821" s="21" t="s">
        <v>1035</v>
      </c>
      <c r="I821" s="21" t="s">
        <v>283</v>
      </c>
      <c r="J821" s="191" t="s">
        <v>1716</v>
      </c>
      <c r="K821" s="192">
        <v>2078.0</v>
      </c>
      <c r="L821" s="66" t="s">
        <v>148</v>
      </c>
    </row>
    <row r="822" ht="15.75" customHeight="1">
      <c r="A822" s="21" t="s">
        <v>27</v>
      </c>
      <c r="B822" s="21" t="s">
        <v>77</v>
      </c>
      <c r="C822" s="21" t="s">
        <v>637</v>
      </c>
      <c r="D822" s="21" t="s">
        <v>9</v>
      </c>
      <c r="E822" s="21" t="s">
        <v>1717</v>
      </c>
      <c r="F822" s="21" t="s">
        <v>1718</v>
      </c>
      <c r="G822" s="21" t="s">
        <v>296</v>
      </c>
      <c r="H822" s="21" t="s">
        <v>1035</v>
      </c>
      <c r="I822" s="21" t="s">
        <v>283</v>
      </c>
      <c r="J822" s="191" t="s">
        <v>1719</v>
      </c>
      <c r="K822" s="192">
        <v>56334.0</v>
      </c>
      <c r="L822" s="66" t="s">
        <v>148</v>
      </c>
    </row>
    <row r="823" ht="15.75" customHeight="1">
      <c r="A823" s="21" t="s">
        <v>27</v>
      </c>
      <c r="B823" s="21" t="s">
        <v>77</v>
      </c>
      <c r="C823" s="21" t="s">
        <v>515</v>
      </c>
      <c r="D823" s="21" t="s">
        <v>9</v>
      </c>
      <c r="E823" s="21" t="s">
        <v>1720</v>
      </c>
      <c r="F823" s="21" t="s">
        <v>296</v>
      </c>
      <c r="G823" s="21" t="s">
        <v>296</v>
      </c>
      <c r="H823" s="21" t="s">
        <v>1035</v>
      </c>
      <c r="I823" s="21" t="s">
        <v>283</v>
      </c>
      <c r="J823" s="191" t="s">
        <v>1721</v>
      </c>
      <c r="K823" s="192">
        <v>80917.0</v>
      </c>
      <c r="L823" s="66" t="s">
        <v>148</v>
      </c>
    </row>
    <row r="824" ht="15.75" customHeight="1">
      <c r="A824" s="21" t="s">
        <v>27</v>
      </c>
      <c r="B824" s="21" t="s">
        <v>77</v>
      </c>
      <c r="C824" s="21" t="s">
        <v>515</v>
      </c>
      <c r="D824" s="21" t="s">
        <v>9</v>
      </c>
      <c r="E824" s="21" t="s">
        <v>1722</v>
      </c>
      <c r="F824" s="21" t="s">
        <v>1718</v>
      </c>
      <c r="G824" s="21" t="s">
        <v>304</v>
      </c>
      <c r="H824" s="21" t="s">
        <v>337</v>
      </c>
      <c r="I824" s="21" t="s">
        <v>301</v>
      </c>
      <c r="J824" s="191" t="s">
        <v>1723</v>
      </c>
      <c r="K824" s="192">
        <v>12792.0</v>
      </c>
      <c r="L824" s="66" t="s">
        <v>148</v>
      </c>
    </row>
    <row r="825" ht="15.75" customHeight="1">
      <c r="A825" s="21" t="s">
        <v>27</v>
      </c>
      <c r="B825" s="21" t="s">
        <v>77</v>
      </c>
      <c r="C825" s="21" t="s">
        <v>437</v>
      </c>
      <c r="D825" s="21" t="s">
        <v>9</v>
      </c>
      <c r="E825" s="21" t="s">
        <v>1722</v>
      </c>
      <c r="F825" s="21" t="s">
        <v>1718</v>
      </c>
      <c r="G825" s="21" t="s">
        <v>304</v>
      </c>
      <c r="H825" s="21" t="s">
        <v>337</v>
      </c>
      <c r="I825" s="21" t="s">
        <v>301</v>
      </c>
      <c r="J825" s="191" t="s">
        <v>1724</v>
      </c>
      <c r="K825" s="192">
        <v>4021.0</v>
      </c>
      <c r="L825" s="21" t="s">
        <v>21</v>
      </c>
    </row>
    <row r="826" ht="15.75" customHeight="1">
      <c r="A826" s="21" t="s">
        <v>27</v>
      </c>
      <c r="B826" s="21" t="s">
        <v>77</v>
      </c>
      <c r="C826" s="21" t="s">
        <v>437</v>
      </c>
      <c r="D826" s="21" t="s">
        <v>9</v>
      </c>
      <c r="E826" s="21" t="s">
        <v>1722</v>
      </c>
      <c r="F826" s="21" t="s">
        <v>1718</v>
      </c>
      <c r="G826" s="21" t="s">
        <v>304</v>
      </c>
      <c r="H826" s="21" t="s">
        <v>337</v>
      </c>
      <c r="I826" s="21" t="s">
        <v>301</v>
      </c>
      <c r="J826" s="191" t="s">
        <v>1724</v>
      </c>
      <c r="K826" s="192">
        <v>16136.0</v>
      </c>
      <c r="L826" s="21" t="s">
        <v>21</v>
      </c>
    </row>
    <row r="827" ht="15.75" customHeight="1">
      <c r="A827" s="21" t="s">
        <v>27</v>
      </c>
      <c r="B827" s="21" t="s">
        <v>77</v>
      </c>
      <c r="C827" s="21" t="s">
        <v>466</v>
      </c>
      <c r="D827" s="21" t="s">
        <v>9</v>
      </c>
      <c r="E827" s="21" t="s">
        <v>1725</v>
      </c>
      <c r="F827" s="21" t="s">
        <v>1684</v>
      </c>
      <c r="G827" s="21" t="s">
        <v>296</v>
      </c>
      <c r="H827" s="21" t="s">
        <v>661</v>
      </c>
      <c r="I827" s="21" t="s">
        <v>1726</v>
      </c>
      <c r="J827" s="191" t="s">
        <v>1727</v>
      </c>
      <c r="K827" s="192">
        <v>5000.0</v>
      </c>
      <c r="L827" s="21" t="s">
        <v>21</v>
      </c>
    </row>
    <row r="828" ht="15.75" customHeight="1">
      <c r="A828" s="21" t="s">
        <v>27</v>
      </c>
      <c r="B828" s="21" t="s">
        <v>210</v>
      </c>
      <c r="C828" s="21" t="s">
        <v>437</v>
      </c>
      <c r="D828" s="21" t="s">
        <v>9</v>
      </c>
      <c r="E828" s="21" t="s">
        <v>1728</v>
      </c>
      <c r="F828" s="21" t="s">
        <v>1698</v>
      </c>
      <c r="G828" s="21" t="s">
        <v>296</v>
      </c>
      <c r="H828" s="21" t="s">
        <v>676</v>
      </c>
      <c r="I828" s="21" t="s">
        <v>676</v>
      </c>
      <c r="J828" s="191" t="s">
        <v>1729</v>
      </c>
      <c r="K828" s="192">
        <v>12964.0</v>
      </c>
      <c r="L828" s="21" t="s">
        <v>21</v>
      </c>
    </row>
    <row r="829" ht="15.75" customHeight="1">
      <c r="A829" s="53" t="s">
        <v>31</v>
      </c>
      <c r="B829" s="53" t="s">
        <v>31</v>
      </c>
      <c r="C829" s="24" t="s">
        <v>685</v>
      </c>
      <c r="D829" s="24" t="s">
        <v>9</v>
      </c>
      <c r="E829" s="24" t="s">
        <v>1730</v>
      </c>
      <c r="F829" s="24" t="s">
        <v>1670</v>
      </c>
      <c r="G829" s="24" t="s">
        <v>1731</v>
      </c>
      <c r="H829" s="24" t="s">
        <v>1667</v>
      </c>
      <c r="I829" s="24" t="s">
        <v>1732</v>
      </c>
      <c r="J829" s="193" t="s">
        <v>1733</v>
      </c>
      <c r="K829" s="194">
        <v>2500.0</v>
      </c>
      <c r="L829" s="24" t="s">
        <v>21</v>
      </c>
    </row>
    <row r="830" ht="15.75" customHeight="1">
      <c r="A830" s="53" t="s">
        <v>31</v>
      </c>
      <c r="B830" s="53" t="s">
        <v>31</v>
      </c>
      <c r="C830" s="24" t="s">
        <v>685</v>
      </c>
      <c r="D830" s="24" t="s">
        <v>9</v>
      </c>
      <c r="E830" s="24" t="s">
        <v>1734</v>
      </c>
      <c r="F830" s="24" t="s">
        <v>304</v>
      </c>
      <c r="G830" s="24" t="s">
        <v>1522</v>
      </c>
      <c r="H830" s="24" t="s">
        <v>1735</v>
      </c>
      <c r="I830" s="24" t="s">
        <v>1736</v>
      </c>
      <c r="J830" s="193" t="s">
        <v>1737</v>
      </c>
      <c r="K830" s="194">
        <v>14099.0</v>
      </c>
      <c r="L830" s="24" t="s">
        <v>21</v>
      </c>
    </row>
    <row r="831" ht="15.75" customHeight="1">
      <c r="A831" s="24" t="s">
        <v>28</v>
      </c>
      <c r="B831" s="24" t="s">
        <v>28</v>
      </c>
      <c r="C831" s="24" t="s">
        <v>685</v>
      </c>
      <c r="D831" s="24" t="s">
        <v>9</v>
      </c>
      <c r="E831" s="24" t="s">
        <v>1738</v>
      </c>
      <c r="F831" s="24" t="s">
        <v>1739</v>
      </c>
      <c r="G831" s="24" t="s">
        <v>1740</v>
      </c>
      <c r="H831" s="24" t="s">
        <v>1741</v>
      </c>
      <c r="I831" s="24" t="s">
        <v>1564</v>
      </c>
      <c r="J831" s="193" t="s">
        <v>1742</v>
      </c>
      <c r="K831" s="194">
        <v>7327.0</v>
      </c>
      <c r="L831" s="24" t="s">
        <v>21</v>
      </c>
    </row>
    <row r="832" ht="15.75" customHeight="1">
      <c r="A832" s="24" t="s">
        <v>28</v>
      </c>
      <c r="B832" s="24" t="s">
        <v>28</v>
      </c>
      <c r="C832" s="24" t="s">
        <v>685</v>
      </c>
      <c r="D832" s="24" t="s">
        <v>9</v>
      </c>
      <c r="E832" s="24" t="s">
        <v>1738</v>
      </c>
      <c r="F832" s="24" t="s">
        <v>1739</v>
      </c>
      <c r="G832" s="24" t="s">
        <v>1692</v>
      </c>
      <c r="H832" s="24" t="s">
        <v>1741</v>
      </c>
      <c r="I832" s="24" t="s">
        <v>697</v>
      </c>
      <c r="J832" s="193" t="s">
        <v>1743</v>
      </c>
      <c r="K832" s="194">
        <v>1528.0</v>
      </c>
      <c r="L832" s="24" t="s">
        <v>21</v>
      </c>
    </row>
    <row r="833" ht="15.75" customHeight="1">
      <c r="A833" s="24" t="s">
        <v>28</v>
      </c>
      <c r="B833" s="24" t="s">
        <v>28</v>
      </c>
      <c r="C833" s="24" t="s">
        <v>685</v>
      </c>
      <c r="D833" s="24" t="s">
        <v>9</v>
      </c>
      <c r="E833" s="24" t="s">
        <v>1738</v>
      </c>
      <c r="F833" s="24" t="s">
        <v>1739</v>
      </c>
      <c r="G833" s="24" t="s">
        <v>1575</v>
      </c>
      <c r="H833" s="24" t="s">
        <v>1741</v>
      </c>
      <c r="I833" s="24" t="s">
        <v>1566</v>
      </c>
      <c r="J833" s="193" t="s">
        <v>1744</v>
      </c>
      <c r="K833" s="194">
        <v>7984.0</v>
      </c>
      <c r="L833" s="24" t="s">
        <v>21</v>
      </c>
    </row>
    <row r="834" ht="15.75" customHeight="1">
      <c r="A834" s="24" t="s">
        <v>28</v>
      </c>
      <c r="B834" s="24" t="s">
        <v>28</v>
      </c>
      <c r="C834" s="24" t="s">
        <v>685</v>
      </c>
      <c r="D834" s="24" t="s">
        <v>9</v>
      </c>
      <c r="E834" s="24" t="s">
        <v>1738</v>
      </c>
      <c r="F834" s="24" t="s">
        <v>1739</v>
      </c>
      <c r="G834" s="24" t="s">
        <v>1745</v>
      </c>
      <c r="H834" s="24" t="s">
        <v>1741</v>
      </c>
      <c r="I834" s="24" t="s">
        <v>1328</v>
      </c>
      <c r="J834" s="193" t="s">
        <v>1746</v>
      </c>
      <c r="K834" s="194">
        <v>46835.0</v>
      </c>
      <c r="L834" s="24" t="s">
        <v>21</v>
      </c>
    </row>
    <row r="835" ht="15.75" customHeight="1">
      <c r="A835" s="53" t="s">
        <v>31</v>
      </c>
      <c r="B835" s="53" t="s">
        <v>31</v>
      </c>
      <c r="C835" s="24" t="s">
        <v>685</v>
      </c>
      <c r="D835" s="24" t="s">
        <v>9</v>
      </c>
      <c r="E835" s="24" t="s">
        <v>1738</v>
      </c>
      <c r="F835" s="24" t="s">
        <v>1739</v>
      </c>
      <c r="G835" s="24" t="s">
        <v>1747</v>
      </c>
      <c r="H835" s="24" t="s">
        <v>1741</v>
      </c>
      <c r="I835" s="24" t="s">
        <v>1748</v>
      </c>
      <c r="J835" s="193" t="s">
        <v>1749</v>
      </c>
      <c r="K835" s="194">
        <v>3207.0</v>
      </c>
      <c r="L835" s="24" t="s">
        <v>21</v>
      </c>
    </row>
    <row r="836" ht="15.75" customHeight="1">
      <c r="A836" s="53" t="s">
        <v>31</v>
      </c>
      <c r="B836" s="53" t="s">
        <v>31</v>
      </c>
      <c r="C836" s="24" t="s">
        <v>685</v>
      </c>
      <c r="D836" s="24" t="s">
        <v>9</v>
      </c>
      <c r="E836" s="24" t="s">
        <v>1738</v>
      </c>
      <c r="F836" s="24" t="s">
        <v>1739</v>
      </c>
      <c r="G836" s="24" t="s">
        <v>1445</v>
      </c>
      <c r="H836" s="24" t="s">
        <v>1741</v>
      </c>
      <c r="I836" s="24" t="s">
        <v>1748</v>
      </c>
      <c r="J836" s="193" t="s">
        <v>1750</v>
      </c>
      <c r="K836" s="194">
        <v>50452.0</v>
      </c>
      <c r="L836" s="24" t="s">
        <v>21</v>
      </c>
    </row>
    <row r="837" ht="15.75" customHeight="1">
      <c r="A837" s="53" t="s">
        <v>31</v>
      </c>
      <c r="B837" s="53" t="s">
        <v>31</v>
      </c>
      <c r="C837" s="24" t="s">
        <v>444</v>
      </c>
      <c r="D837" s="24" t="s">
        <v>9</v>
      </c>
      <c r="E837" s="24" t="s">
        <v>1738</v>
      </c>
      <c r="F837" s="24" t="s">
        <v>1739</v>
      </c>
      <c r="G837" s="24" t="s">
        <v>1751</v>
      </c>
      <c r="H837" s="24" t="s">
        <v>1741</v>
      </c>
      <c r="I837" s="24" t="s">
        <v>1328</v>
      </c>
      <c r="J837" s="193" t="s">
        <v>1568</v>
      </c>
      <c r="K837" s="194">
        <v>109934.0</v>
      </c>
      <c r="L837" s="24" t="s">
        <v>21</v>
      </c>
    </row>
    <row r="838" ht="15.75" customHeight="1">
      <c r="A838" s="53" t="s">
        <v>31</v>
      </c>
      <c r="B838" s="53" t="s">
        <v>31</v>
      </c>
      <c r="C838" s="24" t="s">
        <v>705</v>
      </c>
      <c r="D838" s="24" t="s">
        <v>9</v>
      </c>
      <c r="E838" s="24" t="s">
        <v>1752</v>
      </c>
      <c r="F838" s="24" t="s">
        <v>1679</v>
      </c>
      <c r="G838" s="24" t="s">
        <v>1739</v>
      </c>
      <c r="H838" s="24" t="s">
        <v>707</v>
      </c>
      <c r="I838" s="24" t="s">
        <v>707</v>
      </c>
      <c r="J838" s="193" t="s">
        <v>1753</v>
      </c>
      <c r="K838" s="194">
        <v>650916.0</v>
      </c>
      <c r="L838" s="67" t="s">
        <v>148</v>
      </c>
    </row>
    <row r="839" ht="15.75" customHeight="1">
      <c r="A839" s="199" t="s">
        <v>31</v>
      </c>
      <c r="B839" s="199" t="s">
        <v>31</v>
      </c>
      <c r="C839" s="30" t="s">
        <v>437</v>
      </c>
      <c r="D839" s="30" t="s">
        <v>9</v>
      </c>
      <c r="E839" s="30" t="s">
        <v>1728</v>
      </c>
      <c r="F839" s="30" t="s">
        <v>1698</v>
      </c>
      <c r="G839" s="30" t="s">
        <v>296</v>
      </c>
      <c r="H839" s="30" t="s">
        <v>676</v>
      </c>
      <c r="I839" s="30" t="s">
        <v>676</v>
      </c>
      <c r="J839" s="197" t="s">
        <v>1754</v>
      </c>
      <c r="K839" s="198">
        <v>21377.0</v>
      </c>
      <c r="L839" s="30" t="s">
        <v>21</v>
      </c>
    </row>
    <row r="840" ht="15.75" customHeight="1">
      <c r="A840" s="199" t="s">
        <v>31</v>
      </c>
      <c r="B840" s="199" t="s">
        <v>31</v>
      </c>
      <c r="C840" s="30" t="s">
        <v>459</v>
      </c>
      <c r="D840" s="30" t="s">
        <v>9</v>
      </c>
      <c r="E840" s="30" t="s">
        <v>1755</v>
      </c>
      <c r="F840" s="30" t="s">
        <v>1688</v>
      </c>
      <c r="G840" s="30" t="s">
        <v>1739</v>
      </c>
      <c r="H840" s="30" t="s">
        <v>1756</v>
      </c>
      <c r="I840" s="30" t="s">
        <v>1757</v>
      </c>
      <c r="J840" s="197" t="s">
        <v>1758</v>
      </c>
      <c r="K840" s="198">
        <v>2499.0</v>
      </c>
      <c r="L840" s="30" t="s">
        <v>21</v>
      </c>
    </row>
    <row r="841" ht="15.75" customHeight="1">
      <c r="A841" s="199" t="s">
        <v>31</v>
      </c>
      <c r="B841" s="199" t="s">
        <v>31</v>
      </c>
      <c r="C841" s="30" t="s">
        <v>437</v>
      </c>
      <c r="D841" s="30" t="s">
        <v>9</v>
      </c>
      <c r="E841" s="30" t="s">
        <v>1759</v>
      </c>
      <c r="F841" s="30" t="s">
        <v>304</v>
      </c>
      <c r="G841" s="30" t="s">
        <v>1589</v>
      </c>
      <c r="H841" s="30" t="s">
        <v>1667</v>
      </c>
      <c r="I841" s="30" t="s">
        <v>1760</v>
      </c>
      <c r="J841" s="197" t="s">
        <v>1761</v>
      </c>
      <c r="K841" s="198">
        <v>7760.0</v>
      </c>
      <c r="L841" s="30" t="s">
        <v>21</v>
      </c>
    </row>
    <row r="842" ht="15.75" customHeight="1">
      <c r="A842" s="199" t="s">
        <v>31</v>
      </c>
      <c r="B842" s="199" t="s">
        <v>31</v>
      </c>
      <c r="C842" s="30" t="s">
        <v>728</v>
      </c>
      <c r="D842" s="30" t="s">
        <v>9</v>
      </c>
      <c r="E842" s="30" t="s">
        <v>1762</v>
      </c>
      <c r="F842" s="30" t="s">
        <v>1763</v>
      </c>
      <c r="G842" s="30" t="s">
        <v>1549</v>
      </c>
      <c r="H842" s="30" t="s">
        <v>1764</v>
      </c>
      <c r="I842" s="30" t="s">
        <v>1765</v>
      </c>
      <c r="J842" s="197" t="s">
        <v>1766</v>
      </c>
      <c r="K842" s="198">
        <v>4800.0</v>
      </c>
      <c r="L842" s="30" t="s">
        <v>21</v>
      </c>
    </row>
    <row r="843" ht="15.75" customHeight="1">
      <c r="A843" s="199" t="s">
        <v>31</v>
      </c>
      <c r="B843" s="199" t="s">
        <v>31</v>
      </c>
      <c r="C843" s="30" t="s">
        <v>728</v>
      </c>
      <c r="D843" s="30" t="s">
        <v>9</v>
      </c>
      <c r="E843" s="30" t="s">
        <v>1762</v>
      </c>
      <c r="F843" s="30" t="s">
        <v>1763</v>
      </c>
      <c r="G843" s="30" t="s">
        <v>1767</v>
      </c>
      <c r="H843" s="30" t="s">
        <v>1764</v>
      </c>
      <c r="I843" s="30" t="s">
        <v>1765</v>
      </c>
      <c r="J843" s="197" t="s">
        <v>1768</v>
      </c>
      <c r="K843" s="198">
        <v>1600.0</v>
      </c>
      <c r="L843" s="30" t="s">
        <v>21</v>
      </c>
    </row>
    <row r="844" ht="15.75" customHeight="1">
      <c r="A844" s="199" t="s">
        <v>31</v>
      </c>
      <c r="B844" s="199" t="s">
        <v>31</v>
      </c>
      <c r="C844" s="30" t="s">
        <v>459</v>
      </c>
      <c r="D844" s="30" t="s">
        <v>9</v>
      </c>
      <c r="E844" s="30" t="s">
        <v>1769</v>
      </c>
      <c r="F844" s="30" t="s">
        <v>1688</v>
      </c>
      <c r="G844" s="30" t="s">
        <v>1745</v>
      </c>
      <c r="H844" s="30" t="s">
        <v>1770</v>
      </c>
      <c r="I844" s="30" t="s">
        <v>1771</v>
      </c>
      <c r="J844" s="197" t="s">
        <v>1048</v>
      </c>
      <c r="K844" s="198">
        <v>750.0</v>
      </c>
      <c r="L844" s="30" t="s">
        <v>21</v>
      </c>
    </row>
    <row r="845" ht="15.75" customHeight="1">
      <c r="A845" s="199" t="s">
        <v>31</v>
      </c>
      <c r="B845" s="199" t="s">
        <v>31</v>
      </c>
      <c r="C845" s="30" t="s">
        <v>459</v>
      </c>
      <c r="D845" s="30" t="s">
        <v>9</v>
      </c>
      <c r="E845" s="30" t="s">
        <v>1772</v>
      </c>
      <c r="F845" s="30" t="s">
        <v>1688</v>
      </c>
      <c r="G845" s="30" t="s">
        <v>1739</v>
      </c>
      <c r="H845" s="30" t="s">
        <v>1773</v>
      </c>
      <c r="I845" s="30" t="s">
        <v>740</v>
      </c>
      <c r="J845" s="197" t="s">
        <v>1774</v>
      </c>
      <c r="K845" s="198">
        <v>999.0</v>
      </c>
      <c r="L845" s="30" t="s">
        <v>21</v>
      </c>
    </row>
    <row r="846" ht="15.75" customHeight="1">
      <c r="A846" s="199" t="s">
        <v>31</v>
      </c>
      <c r="B846" s="199" t="s">
        <v>31</v>
      </c>
      <c r="C846" s="30" t="s">
        <v>459</v>
      </c>
      <c r="D846" s="30" t="s">
        <v>9</v>
      </c>
      <c r="E846" s="30" t="s">
        <v>1772</v>
      </c>
      <c r="F846" s="30" t="s">
        <v>1688</v>
      </c>
      <c r="G846" s="30" t="s">
        <v>1739</v>
      </c>
      <c r="H846" s="30" t="s">
        <v>1773</v>
      </c>
      <c r="I846" s="30" t="s">
        <v>740</v>
      </c>
      <c r="J846" s="197" t="s">
        <v>1775</v>
      </c>
      <c r="K846" s="198">
        <v>999.0</v>
      </c>
      <c r="L846" s="30" t="s">
        <v>21</v>
      </c>
    </row>
    <row r="847" ht="15.75" customHeight="1">
      <c r="A847" s="199" t="s">
        <v>31</v>
      </c>
      <c r="B847" s="199" t="s">
        <v>31</v>
      </c>
      <c r="C847" s="30" t="s">
        <v>459</v>
      </c>
      <c r="D847" s="30" t="s">
        <v>9</v>
      </c>
      <c r="E847" s="30" t="s">
        <v>1772</v>
      </c>
      <c r="F847" s="30" t="s">
        <v>1688</v>
      </c>
      <c r="G847" s="30" t="s">
        <v>1739</v>
      </c>
      <c r="H847" s="30" t="s">
        <v>1773</v>
      </c>
      <c r="I847" s="30" t="s">
        <v>740</v>
      </c>
      <c r="J847" s="197" t="s">
        <v>1776</v>
      </c>
      <c r="K847" s="198">
        <v>999.0</v>
      </c>
      <c r="L847" s="30" t="s">
        <v>21</v>
      </c>
    </row>
    <row r="848" ht="15.75" customHeight="1">
      <c r="A848" s="199" t="s">
        <v>31</v>
      </c>
      <c r="B848" s="199" t="s">
        <v>31</v>
      </c>
      <c r="C848" s="30" t="s">
        <v>459</v>
      </c>
      <c r="D848" s="30" t="s">
        <v>9</v>
      </c>
      <c r="E848" s="30" t="s">
        <v>1772</v>
      </c>
      <c r="F848" s="30" t="s">
        <v>1688</v>
      </c>
      <c r="G848" s="30" t="s">
        <v>1739</v>
      </c>
      <c r="H848" s="30" t="s">
        <v>1773</v>
      </c>
      <c r="I848" s="30" t="s">
        <v>740</v>
      </c>
      <c r="J848" s="197" t="s">
        <v>1777</v>
      </c>
      <c r="K848" s="198">
        <v>999.0</v>
      </c>
      <c r="L848" s="30" t="s">
        <v>21</v>
      </c>
    </row>
    <row r="849" ht="15.75" customHeight="1">
      <c r="A849" s="199" t="s">
        <v>31</v>
      </c>
      <c r="B849" s="199" t="s">
        <v>31</v>
      </c>
      <c r="C849" s="30" t="s">
        <v>459</v>
      </c>
      <c r="D849" s="30" t="s">
        <v>9</v>
      </c>
      <c r="E849" s="30" t="s">
        <v>1772</v>
      </c>
      <c r="F849" s="30" t="s">
        <v>1688</v>
      </c>
      <c r="G849" s="30" t="s">
        <v>1739</v>
      </c>
      <c r="H849" s="30" t="s">
        <v>1773</v>
      </c>
      <c r="I849" s="30" t="s">
        <v>740</v>
      </c>
      <c r="J849" s="197" t="s">
        <v>1778</v>
      </c>
      <c r="K849" s="198">
        <v>799.0</v>
      </c>
      <c r="L849" s="30" t="s">
        <v>21</v>
      </c>
    </row>
    <row r="850" ht="15.75" customHeight="1">
      <c r="A850" s="199" t="s">
        <v>31</v>
      </c>
      <c r="B850" s="199" t="s">
        <v>31</v>
      </c>
      <c r="C850" s="30" t="s">
        <v>459</v>
      </c>
      <c r="D850" s="30" t="s">
        <v>9</v>
      </c>
      <c r="E850" s="30" t="s">
        <v>1772</v>
      </c>
      <c r="F850" s="30" t="s">
        <v>1688</v>
      </c>
      <c r="G850" s="30" t="s">
        <v>1739</v>
      </c>
      <c r="H850" s="30" t="s">
        <v>1773</v>
      </c>
      <c r="I850" s="30" t="s">
        <v>740</v>
      </c>
      <c r="J850" s="197" t="s">
        <v>1779</v>
      </c>
      <c r="K850" s="198">
        <v>999.0</v>
      </c>
      <c r="L850" s="30" t="s">
        <v>21</v>
      </c>
    </row>
    <row r="851" ht="15.75" customHeight="1">
      <c r="A851" s="199" t="s">
        <v>31</v>
      </c>
      <c r="B851" s="199" t="s">
        <v>31</v>
      </c>
      <c r="C851" s="30" t="s">
        <v>459</v>
      </c>
      <c r="D851" s="30" t="s">
        <v>9</v>
      </c>
      <c r="E851" s="30" t="s">
        <v>1772</v>
      </c>
      <c r="F851" s="30" t="s">
        <v>1688</v>
      </c>
      <c r="G851" s="30" t="s">
        <v>1739</v>
      </c>
      <c r="H851" s="30" t="s">
        <v>1773</v>
      </c>
      <c r="I851" s="30" t="s">
        <v>740</v>
      </c>
      <c r="J851" s="197" t="s">
        <v>1780</v>
      </c>
      <c r="K851" s="198">
        <v>999.0</v>
      </c>
      <c r="L851" s="30" t="s">
        <v>21</v>
      </c>
    </row>
    <row r="852" ht="15.75" customHeight="1">
      <c r="A852" s="199" t="s">
        <v>31</v>
      </c>
      <c r="B852" s="199" t="s">
        <v>31</v>
      </c>
      <c r="C852" s="30" t="s">
        <v>459</v>
      </c>
      <c r="D852" s="30" t="s">
        <v>9</v>
      </c>
      <c r="E852" s="30" t="s">
        <v>1772</v>
      </c>
      <c r="F852" s="30" t="s">
        <v>1688</v>
      </c>
      <c r="G852" s="30" t="s">
        <v>1739</v>
      </c>
      <c r="H852" s="30" t="s">
        <v>1773</v>
      </c>
      <c r="I852" s="30" t="s">
        <v>740</v>
      </c>
      <c r="J852" s="197" t="s">
        <v>1781</v>
      </c>
      <c r="K852" s="198">
        <v>999.0</v>
      </c>
      <c r="L852" s="30" t="s">
        <v>21</v>
      </c>
    </row>
    <row r="853" ht="15.75" customHeight="1">
      <c r="A853" s="30" t="s">
        <v>30</v>
      </c>
      <c r="B853" s="30" t="s">
        <v>30</v>
      </c>
      <c r="C853" s="30" t="s">
        <v>459</v>
      </c>
      <c r="D853" s="30" t="s">
        <v>9</v>
      </c>
      <c r="E853" s="30" t="s">
        <v>1772</v>
      </c>
      <c r="F853" s="30" t="s">
        <v>1688</v>
      </c>
      <c r="G853" s="30" t="s">
        <v>1739</v>
      </c>
      <c r="H853" s="30" t="s">
        <v>1773</v>
      </c>
      <c r="I853" s="30" t="s">
        <v>740</v>
      </c>
      <c r="J853" s="197" t="s">
        <v>1782</v>
      </c>
      <c r="K853" s="198">
        <v>799.0</v>
      </c>
      <c r="L853" s="30" t="s">
        <v>21</v>
      </c>
    </row>
    <row r="854" ht="15.75" customHeight="1">
      <c r="A854" s="30" t="s">
        <v>30</v>
      </c>
      <c r="B854" s="30" t="s">
        <v>30</v>
      </c>
      <c r="C854" s="30" t="s">
        <v>459</v>
      </c>
      <c r="D854" s="30" t="s">
        <v>9</v>
      </c>
      <c r="E854" s="30" t="s">
        <v>1772</v>
      </c>
      <c r="F854" s="30" t="s">
        <v>1688</v>
      </c>
      <c r="G854" s="30" t="s">
        <v>1739</v>
      </c>
      <c r="H854" s="30" t="s">
        <v>1773</v>
      </c>
      <c r="I854" s="30" t="s">
        <v>740</v>
      </c>
      <c r="J854" s="197" t="s">
        <v>1783</v>
      </c>
      <c r="K854" s="198">
        <v>799.0</v>
      </c>
      <c r="L854" s="30" t="s">
        <v>21</v>
      </c>
    </row>
    <row r="855" ht="15.75" customHeight="1">
      <c r="A855" s="30" t="s">
        <v>30</v>
      </c>
      <c r="B855" s="30" t="s">
        <v>30</v>
      </c>
      <c r="C855" s="30" t="s">
        <v>459</v>
      </c>
      <c r="D855" s="30" t="s">
        <v>9</v>
      </c>
      <c r="E855" s="30" t="s">
        <v>1772</v>
      </c>
      <c r="F855" s="30" t="s">
        <v>1688</v>
      </c>
      <c r="G855" s="30" t="s">
        <v>1739</v>
      </c>
      <c r="H855" s="30" t="s">
        <v>1773</v>
      </c>
      <c r="I855" s="30" t="s">
        <v>740</v>
      </c>
      <c r="J855" s="197" t="s">
        <v>1784</v>
      </c>
      <c r="K855" s="198">
        <v>799.0</v>
      </c>
      <c r="L855" s="30" t="s">
        <v>21</v>
      </c>
    </row>
    <row r="856" ht="15.75" customHeight="1">
      <c r="A856" s="30" t="s">
        <v>30</v>
      </c>
      <c r="B856" s="30" t="s">
        <v>30</v>
      </c>
      <c r="C856" s="30" t="s">
        <v>459</v>
      </c>
      <c r="D856" s="30" t="s">
        <v>9</v>
      </c>
      <c r="E856" s="30" t="s">
        <v>1772</v>
      </c>
      <c r="F856" s="30" t="s">
        <v>1688</v>
      </c>
      <c r="G856" s="30" t="s">
        <v>1739</v>
      </c>
      <c r="H856" s="30" t="s">
        <v>1773</v>
      </c>
      <c r="I856" s="30" t="s">
        <v>740</v>
      </c>
      <c r="J856" s="197" t="s">
        <v>1785</v>
      </c>
      <c r="K856" s="198">
        <v>799.0</v>
      </c>
      <c r="L856" s="30" t="s">
        <v>21</v>
      </c>
    </row>
    <row r="857" ht="15.75" customHeight="1">
      <c r="A857" s="30" t="s">
        <v>30</v>
      </c>
      <c r="B857" s="30" t="s">
        <v>30</v>
      </c>
      <c r="C857" s="30" t="s">
        <v>459</v>
      </c>
      <c r="D857" s="30" t="s">
        <v>9</v>
      </c>
      <c r="E857" s="30" t="s">
        <v>1772</v>
      </c>
      <c r="F857" s="30" t="s">
        <v>1688</v>
      </c>
      <c r="G857" s="30" t="s">
        <v>1739</v>
      </c>
      <c r="H857" s="30" t="s">
        <v>1773</v>
      </c>
      <c r="I857" s="30" t="s">
        <v>740</v>
      </c>
      <c r="J857" s="197" t="s">
        <v>1786</v>
      </c>
      <c r="K857" s="198">
        <v>799.0</v>
      </c>
      <c r="L857" s="30" t="s">
        <v>21</v>
      </c>
    </row>
    <row r="858" ht="15.75" customHeight="1">
      <c r="A858" s="30" t="s">
        <v>30</v>
      </c>
      <c r="B858" s="30" t="s">
        <v>30</v>
      </c>
      <c r="C858" s="30" t="s">
        <v>459</v>
      </c>
      <c r="D858" s="30" t="s">
        <v>9</v>
      </c>
      <c r="E858" s="30" t="s">
        <v>1772</v>
      </c>
      <c r="F858" s="30" t="s">
        <v>1688</v>
      </c>
      <c r="G858" s="30" t="s">
        <v>1739</v>
      </c>
      <c r="H858" s="30" t="s">
        <v>1773</v>
      </c>
      <c r="I858" s="30" t="s">
        <v>740</v>
      </c>
      <c r="J858" s="197" t="s">
        <v>1787</v>
      </c>
      <c r="K858" s="198">
        <v>999.0</v>
      </c>
      <c r="L858" s="30" t="s">
        <v>21</v>
      </c>
    </row>
    <row r="859" ht="15.75" customHeight="1">
      <c r="A859" s="30" t="s">
        <v>30</v>
      </c>
      <c r="B859" s="30" t="s">
        <v>30</v>
      </c>
      <c r="C859" s="30" t="s">
        <v>459</v>
      </c>
      <c r="D859" s="30" t="s">
        <v>9</v>
      </c>
      <c r="E859" s="30" t="s">
        <v>1772</v>
      </c>
      <c r="F859" s="30" t="s">
        <v>1688</v>
      </c>
      <c r="G859" s="30" t="s">
        <v>1739</v>
      </c>
      <c r="H859" s="30" t="s">
        <v>1773</v>
      </c>
      <c r="I859" s="30" t="s">
        <v>740</v>
      </c>
      <c r="J859" s="197" t="s">
        <v>1788</v>
      </c>
      <c r="K859" s="198">
        <v>999.0</v>
      </c>
      <c r="L859" s="30" t="s">
        <v>21</v>
      </c>
    </row>
    <row r="860" ht="15.75" customHeight="1">
      <c r="A860" s="30" t="s">
        <v>30</v>
      </c>
      <c r="B860" s="30" t="s">
        <v>30</v>
      </c>
      <c r="C860" s="30" t="s">
        <v>459</v>
      </c>
      <c r="D860" s="30" t="s">
        <v>9</v>
      </c>
      <c r="E860" s="30" t="s">
        <v>1772</v>
      </c>
      <c r="F860" s="30" t="s">
        <v>1688</v>
      </c>
      <c r="G860" s="30" t="s">
        <v>1739</v>
      </c>
      <c r="H860" s="30" t="s">
        <v>1773</v>
      </c>
      <c r="I860" s="30" t="s">
        <v>740</v>
      </c>
      <c r="J860" s="197" t="s">
        <v>1789</v>
      </c>
      <c r="K860" s="198">
        <v>0.0</v>
      </c>
      <c r="L860" s="30" t="s">
        <v>21</v>
      </c>
    </row>
    <row r="861" ht="15.75" customHeight="1">
      <c r="A861" s="30" t="s">
        <v>30</v>
      </c>
      <c r="B861" s="30" t="s">
        <v>30</v>
      </c>
      <c r="C861" s="30" t="s">
        <v>459</v>
      </c>
      <c r="D861" s="30" t="s">
        <v>9</v>
      </c>
      <c r="E861" s="30" t="s">
        <v>1772</v>
      </c>
      <c r="F861" s="30" t="s">
        <v>1688</v>
      </c>
      <c r="G861" s="30" t="s">
        <v>1739</v>
      </c>
      <c r="H861" s="30" t="s">
        <v>1773</v>
      </c>
      <c r="I861" s="30" t="s">
        <v>740</v>
      </c>
      <c r="J861" s="197" t="s">
        <v>1790</v>
      </c>
      <c r="K861" s="198">
        <v>999.0</v>
      </c>
      <c r="L861" s="30" t="s">
        <v>21</v>
      </c>
    </row>
    <row r="862" ht="15.75" customHeight="1">
      <c r="A862" s="30" t="s">
        <v>30</v>
      </c>
      <c r="B862" s="30" t="s">
        <v>30</v>
      </c>
      <c r="C862" s="30" t="s">
        <v>437</v>
      </c>
      <c r="D862" s="30" t="s">
        <v>9</v>
      </c>
      <c r="E862" s="30" t="s">
        <v>1728</v>
      </c>
      <c r="F862" s="30" t="s">
        <v>1698</v>
      </c>
      <c r="G862" s="30" t="s">
        <v>296</v>
      </c>
      <c r="H862" s="30" t="s">
        <v>676</v>
      </c>
      <c r="I862" s="30" t="s">
        <v>676</v>
      </c>
      <c r="J862" s="197" t="s">
        <v>1791</v>
      </c>
      <c r="K862" s="198">
        <v>36248.0</v>
      </c>
      <c r="L862" s="30" t="s">
        <v>21</v>
      </c>
    </row>
    <row r="863" ht="15.75" customHeight="1">
      <c r="A863" s="30" t="s">
        <v>30</v>
      </c>
      <c r="B863" s="30" t="s">
        <v>30</v>
      </c>
      <c r="C863" s="30" t="s">
        <v>444</v>
      </c>
      <c r="D863" s="30" t="s">
        <v>9</v>
      </c>
      <c r="E863" s="30" t="s">
        <v>1792</v>
      </c>
      <c r="F863" s="30" t="s">
        <v>287</v>
      </c>
      <c r="G863" s="30" t="s">
        <v>287</v>
      </c>
      <c r="H863" s="30" t="s">
        <v>1793</v>
      </c>
      <c r="I863" s="30" t="s">
        <v>1794</v>
      </c>
      <c r="J863" s="197" t="s">
        <v>1795</v>
      </c>
      <c r="K863" s="198">
        <v>4800.0</v>
      </c>
      <c r="L863" s="30" t="s">
        <v>21</v>
      </c>
    </row>
    <row r="864" ht="15.75" customHeight="1">
      <c r="A864" s="6" t="s">
        <v>31</v>
      </c>
      <c r="B864" s="6" t="s">
        <v>31</v>
      </c>
      <c r="C864" s="6" t="s">
        <v>730</v>
      </c>
      <c r="D864" s="6" t="s">
        <v>9</v>
      </c>
      <c r="E864" s="6" t="s">
        <v>1796</v>
      </c>
      <c r="F864" s="6" t="s">
        <v>287</v>
      </c>
      <c r="G864" s="6" t="s">
        <v>1797</v>
      </c>
      <c r="H864" s="6" t="s">
        <v>1798</v>
      </c>
      <c r="I864" s="6" t="s">
        <v>1099</v>
      </c>
      <c r="J864" s="185" t="s">
        <v>1799</v>
      </c>
      <c r="K864" s="186">
        <v>6618.0</v>
      </c>
      <c r="L864" s="6" t="s">
        <v>21</v>
      </c>
    </row>
    <row r="865" ht="15.75" customHeight="1">
      <c r="A865" s="33" t="s">
        <v>32</v>
      </c>
      <c r="B865" s="33" t="s">
        <v>140</v>
      </c>
      <c r="C865" s="33" t="s">
        <v>784</v>
      </c>
      <c r="D865" s="33" t="s">
        <v>9</v>
      </c>
      <c r="E865" s="33" t="s">
        <v>1687</v>
      </c>
      <c r="F865" s="33" t="s">
        <v>1688</v>
      </c>
      <c r="G865" s="33" t="s">
        <v>1537</v>
      </c>
      <c r="H865" s="33" t="s">
        <v>1690</v>
      </c>
      <c r="I865" s="33" t="s">
        <v>475</v>
      </c>
      <c r="J865" s="200" t="s">
        <v>1800</v>
      </c>
      <c r="K865" s="201">
        <v>129.0</v>
      </c>
      <c r="L865" s="33" t="s">
        <v>21</v>
      </c>
    </row>
    <row r="866" ht="15.75" customHeight="1">
      <c r="A866" s="33" t="s">
        <v>32</v>
      </c>
      <c r="B866" s="33" t="s">
        <v>140</v>
      </c>
      <c r="C866" s="33" t="s">
        <v>784</v>
      </c>
      <c r="D866" s="33" t="s">
        <v>9</v>
      </c>
      <c r="E866" s="33" t="s">
        <v>1687</v>
      </c>
      <c r="F866" s="33" t="s">
        <v>1688</v>
      </c>
      <c r="G866" s="33" t="s">
        <v>1447</v>
      </c>
      <c r="H866" s="33" t="s">
        <v>1690</v>
      </c>
      <c r="I866" s="33" t="s">
        <v>475</v>
      </c>
      <c r="J866" s="200" t="s">
        <v>1800</v>
      </c>
      <c r="K866" s="201">
        <v>160.0</v>
      </c>
      <c r="L866" s="33" t="s">
        <v>21</v>
      </c>
    </row>
    <row r="867" ht="15.75" customHeight="1">
      <c r="A867" s="33" t="s">
        <v>32</v>
      </c>
      <c r="B867" s="33" t="s">
        <v>140</v>
      </c>
      <c r="C867" s="33" t="s">
        <v>784</v>
      </c>
      <c r="D867" s="33" t="s">
        <v>9</v>
      </c>
      <c r="E867" s="33" t="s">
        <v>1687</v>
      </c>
      <c r="F867" s="33" t="s">
        <v>1688</v>
      </c>
      <c r="G867" s="33" t="s">
        <v>1745</v>
      </c>
      <c r="H867" s="33" t="s">
        <v>1690</v>
      </c>
      <c r="I867" s="33" t="s">
        <v>779</v>
      </c>
      <c r="J867" s="200" t="s">
        <v>1801</v>
      </c>
      <c r="K867" s="201">
        <v>500.0</v>
      </c>
      <c r="L867" s="33" t="s">
        <v>21</v>
      </c>
    </row>
    <row r="868" ht="15.75" customHeight="1">
      <c r="A868" s="33" t="s">
        <v>32</v>
      </c>
      <c r="B868" s="33" t="s">
        <v>140</v>
      </c>
      <c r="C868" s="33" t="s">
        <v>444</v>
      </c>
      <c r="D868" s="33" t="s">
        <v>9</v>
      </c>
      <c r="E868" s="33" t="s">
        <v>1687</v>
      </c>
      <c r="F868" s="33" t="s">
        <v>1688</v>
      </c>
      <c r="G868" s="33" t="s">
        <v>1537</v>
      </c>
      <c r="H868" s="33" t="s">
        <v>1690</v>
      </c>
      <c r="I868" s="33" t="s">
        <v>779</v>
      </c>
      <c r="J868" s="200" t="s">
        <v>1802</v>
      </c>
      <c r="K868" s="201">
        <v>400.0</v>
      </c>
      <c r="L868" s="33" t="s">
        <v>21</v>
      </c>
    </row>
    <row r="869" ht="15.75" customHeight="1">
      <c r="A869" s="33" t="s">
        <v>32</v>
      </c>
      <c r="B869" s="33" t="s">
        <v>140</v>
      </c>
      <c r="C869" s="33" t="s">
        <v>582</v>
      </c>
      <c r="D869" s="33" t="s">
        <v>9</v>
      </c>
      <c r="E869" s="33" t="s">
        <v>1687</v>
      </c>
      <c r="F869" s="33" t="s">
        <v>1688</v>
      </c>
      <c r="G869" s="33" t="s">
        <v>1445</v>
      </c>
      <c r="H869" s="33" t="s">
        <v>1690</v>
      </c>
      <c r="I869" s="33" t="s">
        <v>779</v>
      </c>
      <c r="J869" s="200" t="s">
        <v>1803</v>
      </c>
      <c r="K869" s="201">
        <v>150.0</v>
      </c>
      <c r="L869" s="33" t="s">
        <v>21</v>
      </c>
    </row>
    <row r="870" ht="15.75" customHeight="1">
      <c r="A870" s="33" t="s">
        <v>32</v>
      </c>
      <c r="B870" s="33" t="s">
        <v>140</v>
      </c>
      <c r="C870" s="33" t="s">
        <v>459</v>
      </c>
      <c r="D870" s="33" t="s">
        <v>9</v>
      </c>
      <c r="E870" s="33" t="s">
        <v>1687</v>
      </c>
      <c r="F870" s="33" t="s">
        <v>1688</v>
      </c>
      <c r="G870" s="33" t="s">
        <v>1804</v>
      </c>
      <c r="H870" s="33" t="s">
        <v>1690</v>
      </c>
      <c r="I870" s="33" t="s">
        <v>779</v>
      </c>
      <c r="J870" s="200" t="s">
        <v>1805</v>
      </c>
      <c r="K870" s="201">
        <v>150.0</v>
      </c>
      <c r="L870" s="33" t="s">
        <v>21</v>
      </c>
    </row>
    <row r="871" ht="15.75" customHeight="1">
      <c r="A871" s="33" t="s">
        <v>32</v>
      </c>
      <c r="B871" s="33" t="s">
        <v>140</v>
      </c>
      <c r="C871" s="33" t="s">
        <v>444</v>
      </c>
      <c r="D871" s="33" t="s">
        <v>9</v>
      </c>
      <c r="E871" s="33" t="s">
        <v>1687</v>
      </c>
      <c r="F871" s="33" t="s">
        <v>1688</v>
      </c>
      <c r="G871" s="33" t="s">
        <v>1531</v>
      </c>
      <c r="H871" s="33" t="s">
        <v>1690</v>
      </c>
      <c r="I871" s="33" t="s">
        <v>779</v>
      </c>
      <c r="J871" s="200" t="s">
        <v>1806</v>
      </c>
      <c r="K871" s="201">
        <v>1500.0</v>
      </c>
      <c r="L871" s="33" t="s">
        <v>21</v>
      </c>
    </row>
    <row r="872" ht="15.75" customHeight="1">
      <c r="A872" s="33" t="s">
        <v>32</v>
      </c>
      <c r="B872" s="33" t="s">
        <v>140</v>
      </c>
      <c r="C872" s="33" t="s">
        <v>554</v>
      </c>
      <c r="D872" s="33" t="s">
        <v>9</v>
      </c>
      <c r="E872" s="33" t="s">
        <v>1687</v>
      </c>
      <c r="F872" s="33" t="s">
        <v>1688</v>
      </c>
      <c r="G872" s="33" t="s">
        <v>304</v>
      </c>
      <c r="H872" s="33" t="s">
        <v>1690</v>
      </c>
      <c r="I872" s="33" t="s">
        <v>779</v>
      </c>
      <c r="J872" s="200" t="s">
        <v>1807</v>
      </c>
      <c r="K872" s="201">
        <v>200.0</v>
      </c>
      <c r="L872" s="33" t="s">
        <v>21</v>
      </c>
    </row>
    <row r="873" ht="15.75" customHeight="1">
      <c r="A873" s="33" t="s">
        <v>32</v>
      </c>
      <c r="B873" s="33" t="s">
        <v>140</v>
      </c>
      <c r="C873" s="33" t="s">
        <v>444</v>
      </c>
      <c r="D873" s="33" t="s">
        <v>9</v>
      </c>
      <c r="E873" s="33" t="s">
        <v>1687</v>
      </c>
      <c r="F873" s="33" t="s">
        <v>1688</v>
      </c>
      <c r="G873" s="33" t="s">
        <v>1808</v>
      </c>
      <c r="H873" s="33" t="s">
        <v>1690</v>
      </c>
      <c r="I873" s="33" t="s">
        <v>779</v>
      </c>
      <c r="J873" s="200" t="s">
        <v>1809</v>
      </c>
      <c r="K873" s="201">
        <v>750.0</v>
      </c>
      <c r="L873" s="33" t="s">
        <v>21</v>
      </c>
    </row>
    <row r="874" ht="15.75" customHeight="1">
      <c r="A874" s="33" t="s">
        <v>32</v>
      </c>
      <c r="B874" s="33" t="s">
        <v>140</v>
      </c>
      <c r="C874" s="33" t="s">
        <v>444</v>
      </c>
      <c r="D874" s="33" t="s">
        <v>9</v>
      </c>
      <c r="E874" s="33" t="s">
        <v>1697</v>
      </c>
      <c r="F874" s="33" t="s">
        <v>1698</v>
      </c>
      <c r="G874" s="33" t="s">
        <v>296</v>
      </c>
      <c r="H874" s="33" t="s">
        <v>1690</v>
      </c>
      <c r="I874" s="33" t="s">
        <v>779</v>
      </c>
      <c r="J874" s="200" t="s">
        <v>1810</v>
      </c>
      <c r="K874" s="201">
        <v>10000.0</v>
      </c>
      <c r="L874" s="33" t="s">
        <v>21</v>
      </c>
    </row>
    <row r="875" ht="15.75" customHeight="1">
      <c r="A875" s="33" t="s">
        <v>32</v>
      </c>
      <c r="B875" s="33" t="s">
        <v>140</v>
      </c>
      <c r="C875" s="33" t="s">
        <v>784</v>
      </c>
      <c r="D875" s="33" t="s">
        <v>9</v>
      </c>
      <c r="E875" s="33" t="s">
        <v>1811</v>
      </c>
      <c r="F875" s="33" t="s">
        <v>1698</v>
      </c>
      <c r="G875" s="33" t="s">
        <v>296</v>
      </c>
      <c r="H875" s="33" t="s">
        <v>786</v>
      </c>
      <c r="I875" s="33" t="s">
        <v>786</v>
      </c>
      <c r="J875" s="200" t="s">
        <v>1812</v>
      </c>
      <c r="K875" s="201">
        <v>107550.0</v>
      </c>
      <c r="L875" s="33" t="s">
        <v>21</v>
      </c>
    </row>
    <row r="876" ht="15.75" customHeight="1">
      <c r="A876" s="33" t="s">
        <v>32</v>
      </c>
      <c r="B876" s="33" t="s">
        <v>140</v>
      </c>
      <c r="C876" s="33" t="s">
        <v>784</v>
      </c>
      <c r="D876" s="33" t="s">
        <v>9</v>
      </c>
      <c r="E876" s="33" t="s">
        <v>1811</v>
      </c>
      <c r="F876" s="33" t="s">
        <v>1698</v>
      </c>
      <c r="G876" s="33" t="s">
        <v>296</v>
      </c>
      <c r="H876" s="33" t="s">
        <v>786</v>
      </c>
      <c r="I876" s="33" t="s">
        <v>786</v>
      </c>
      <c r="J876" s="200" t="s">
        <v>1813</v>
      </c>
      <c r="K876" s="201">
        <v>12906.0</v>
      </c>
      <c r="L876" s="33" t="s">
        <v>21</v>
      </c>
    </row>
    <row r="877" ht="15.75" customHeight="1">
      <c r="A877" s="33" t="s">
        <v>32</v>
      </c>
      <c r="B877" s="33" t="s">
        <v>138</v>
      </c>
      <c r="C877" s="33" t="s">
        <v>582</v>
      </c>
      <c r="D877" s="33" t="s">
        <v>9</v>
      </c>
      <c r="E877" s="33" t="s">
        <v>1687</v>
      </c>
      <c r="F877" s="33" t="s">
        <v>1688</v>
      </c>
      <c r="G877" s="33" t="s">
        <v>1814</v>
      </c>
      <c r="H877" s="33" t="s">
        <v>1690</v>
      </c>
      <c r="I877" s="33" t="s">
        <v>1130</v>
      </c>
      <c r="J877" s="200" t="s">
        <v>1815</v>
      </c>
      <c r="K877" s="201">
        <v>5400.0</v>
      </c>
      <c r="L877" s="33" t="s">
        <v>21</v>
      </c>
    </row>
    <row r="878" ht="15.75" customHeight="1">
      <c r="A878" s="33" t="s">
        <v>32</v>
      </c>
      <c r="B878" s="33" t="s">
        <v>138</v>
      </c>
      <c r="C878" s="33" t="s">
        <v>582</v>
      </c>
      <c r="D878" s="33" t="s">
        <v>9</v>
      </c>
      <c r="E878" s="33" t="s">
        <v>1687</v>
      </c>
      <c r="F878" s="33" t="s">
        <v>1688</v>
      </c>
      <c r="G878" s="33" t="s">
        <v>1597</v>
      </c>
      <c r="H878" s="33" t="s">
        <v>1690</v>
      </c>
      <c r="I878" s="33" t="s">
        <v>1130</v>
      </c>
      <c r="J878" s="200" t="s">
        <v>1816</v>
      </c>
      <c r="K878" s="201">
        <v>5410.0</v>
      </c>
      <c r="L878" s="33" t="s">
        <v>21</v>
      </c>
    </row>
    <row r="879" ht="15.75" customHeight="1">
      <c r="A879" s="33" t="s">
        <v>32</v>
      </c>
      <c r="B879" s="33" t="s">
        <v>138</v>
      </c>
      <c r="C879" s="33" t="s">
        <v>582</v>
      </c>
      <c r="D879" s="33" t="s">
        <v>9</v>
      </c>
      <c r="E879" s="33" t="s">
        <v>1687</v>
      </c>
      <c r="F879" s="33" t="s">
        <v>1688</v>
      </c>
      <c r="G879" s="33" t="s">
        <v>1597</v>
      </c>
      <c r="H879" s="33" t="s">
        <v>1690</v>
      </c>
      <c r="I879" s="33" t="s">
        <v>1130</v>
      </c>
      <c r="J879" s="200" t="s">
        <v>1817</v>
      </c>
      <c r="K879" s="201">
        <v>5410.0</v>
      </c>
      <c r="L879" s="33" t="s">
        <v>21</v>
      </c>
    </row>
    <row r="880" ht="15.75" customHeight="1">
      <c r="A880" s="33" t="s">
        <v>32</v>
      </c>
      <c r="B880" s="33" t="s">
        <v>138</v>
      </c>
      <c r="C880" s="33" t="s">
        <v>582</v>
      </c>
      <c r="D880" s="33" t="s">
        <v>9</v>
      </c>
      <c r="E880" s="33" t="s">
        <v>1687</v>
      </c>
      <c r="F880" s="33" t="s">
        <v>1688</v>
      </c>
      <c r="G880" s="33" t="s">
        <v>1585</v>
      </c>
      <c r="H880" s="33" t="s">
        <v>1690</v>
      </c>
      <c r="I880" s="33" t="s">
        <v>1130</v>
      </c>
      <c r="J880" s="200" t="s">
        <v>1818</v>
      </c>
      <c r="K880" s="201">
        <v>5410.0</v>
      </c>
      <c r="L880" s="33" t="s">
        <v>21</v>
      </c>
    </row>
    <row r="881" ht="15.75" customHeight="1">
      <c r="A881" s="33" t="s">
        <v>32</v>
      </c>
      <c r="B881" s="33" t="s">
        <v>138</v>
      </c>
      <c r="C881" s="33" t="s">
        <v>582</v>
      </c>
      <c r="D881" s="33" t="s">
        <v>9</v>
      </c>
      <c r="E881" s="33" t="s">
        <v>1697</v>
      </c>
      <c r="F881" s="33" t="s">
        <v>1698</v>
      </c>
      <c r="G881" s="33" t="s">
        <v>296</v>
      </c>
      <c r="H881" s="33" t="s">
        <v>1690</v>
      </c>
      <c r="I881" s="33" t="s">
        <v>1130</v>
      </c>
      <c r="J881" s="200" t="s">
        <v>1819</v>
      </c>
      <c r="K881" s="201">
        <v>81150.0</v>
      </c>
      <c r="L881" s="33" t="s">
        <v>21</v>
      </c>
    </row>
    <row r="882" ht="15.75" customHeight="1">
      <c r="A882" s="33" t="s">
        <v>32</v>
      </c>
      <c r="B882" s="33" t="s">
        <v>138</v>
      </c>
      <c r="C882" s="33" t="s">
        <v>444</v>
      </c>
      <c r="D882" s="33" t="s">
        <v>9</v>
      </c>
      <c r="E882" s="33" t="s">
        <v>1687</v>
      </c>
      <c r="F882" s="33" t="s">
        <v>1688</v>
      </c>
      <c r="G882" s="33" t="s">
        <v>1767</v>
      </c>
      <c r="H882" s="33" t="s">
        <v>1690</v>
      </c>
      <c r="I882" s="33" t="s">
        <v>1820</v>
      </c>
      <c r="J882" s="200" t="s">
        <v>1821</v>
      </c>
      <c r="K882" s="201">
        <v>5101.0</v>
      </c>
      <c r="L882" s="33" t="s">
        <v>21</v>
      </c>
    </row>
    <row r="883" ht="15.75" customHeight="1">
      <c r="A883" s="12" t="s">
        <v>23</v>
      </c>
      <c r="B883" s="12" t="s">
        <v>57</v>
      </c>
      <c r="C883" s="12" t="s">
        <v>517</v>
      </c>
      <c r="D883" s="12" t="s">
        <v>10</v>
      </c>
      <c r="E883" s="12" t="s">
        <v>264</v>
      </c>
      <c r="F883" s="12" t="s">
        <v>310</v>
      </c>
      <c r="G883" s="12" t="s">
        <v>310</v>
      </c>
      <c r="H883" s="12" t="s">
        <v>1822</v>
      </c>
      <c r="I883" s="12" t="s">
        <v>307</v>
      </c>
      <c r="J883" s="187" t="s">
        <v>1823</v>
      </c>
      <c r="K883" s="188">
        <v>8287488.0</v>
      </c>
      <c r="L883" s="62" t="s">
        <v>148</v>
      </c>
    </row>
    <row r="884" ht="15.75" customHeight="1">
      <c r="A884" s="12" t="s">
        <v>23</v>
      </c>
      <c r="B884" s="12" t="s">
        <v>57</v>
      </c>
      <c r="C884" s="12" t="s">
        <v>517</v>
      </c>
      <c r="D884" s="12" t="s">
        <v>10</v>
      </c>
      <c r="E884" s="12" t="s">
        <v>268</v>
      </c>
      <c r="F884" s="12" t="s">
        <v>318</v>
      </c>
      <c r="G884" s="12" t="s">
        <v>318</v>
      </c>
      <c r="H884" s="12" t="s">
        <v>1822</v>
      </c>
      <c r="I884" s="12" t="s">
        <v>307</v>
      </c>
      <c r="J884" s="187" t="s">
        <v>1824</v>
      </c>
      <c r="K884" s="188">
        <v>664598.0</v>
      </c>
      <c r="L884" s="62" t="s">
        <v>148</v>
      </c>
    </row>
    <row r="885" ht="15.75" customHeight="1">
      <c r="A885" s="21" t="s">
        <v>27</v>
      </c>
      <c r="B885" s="21" t="s">
        <v>77</v>
      </c>
      <c r="C885" s="21" t="s">
        <v>515</v>
      </c>
      <c r="D885" s="21" t="s">
        <v>10</v>
      </c>
      <c r="E885" s="21" t="s">
        <v>266</v>
      </c>
      <c r="F885" s="21" t="s">
        <v>310</v>
      </c>
      <c r="G885" s="21" t="s">
        <v>310</v>
      </c>
      <c r="H885" s="21" t="s">
        <v>1825</v>
      </c>
      <c r="I885" s="21" t="s">
        <v>313</v>
      </c>
      <c r="J885" s="191" t="s">
        <v>1826</v>
      </c>
      <c r="K885" s="192">
        <v>3312000.0</v>
      </c>
      <c r="L885" s="66" t="s">
        <v>148</v>
      </c>
    </row>
    <row r="886" ht="15.75" customHeight="1">
      <c r="A886" s="24" t="s">
        <v>28</v>
      </c>
      <c r="B886" s="24" t="s">
        <v>28</v>
      </c>
      <c r="C886" s="24" t="s">
        <v>685</v>
      </c>
      <c r="D886" s="24" t="s">
        <v>10</v>
      </c>
      <c r="E886" s="24" t="s">
        <v>1827</v>
      </c>
      <c r="F886" s="24" t="s">
        <v>1828</v>
      </c>
      <c r="G886" s="24" t="s">
        <v>1436</v>
      </c>
      <c r="H886" s="24" t="s">
        <v>1829</v>
      </c>
      <c r="I886" s="24" t="s">
        <v>1564</v>
      </c>
      <c r="J886" s="193" t="s">
        <v>1830</v>
      </c>
      <c r="K886" s="194">
        <v>9170.0</v>
      </c>
      <c r="L886" s="24" t="s">
        <v>21</v>
      </c>
    </row>
    <row r="887" ht="15.75" customHeight="1">
      <c r="A887" s="24" t="s">
        <v>28</v>
      </c>
      <c r="B887" s="24" t="s">
        <v>28</v>
      </c>
      <c r="C887" s="24" t="s">
        <v>685</v>
      </c>
      <c r="D887" s="24" t="s">
        <v>10</v>
      </c>
      <c r="E887" s="24" t="s">
        <v>1827</v>
      </c>
      <c r="F887" s="24" t="s">
        <v>1828</v>
      </c>
      <c r="G887" s="24" t="s">
        <v>1831</v>
      </c>
      <c r="H887" s="24" t="s">
        <v>1829</v>
      </c>
      <c r="I887" s="24" t="s">
        <v>697</v>
      </c>
      <c r="J887" s="193" t="s">
        <v>1832</v>
      </c>
      <c r="K887" s="194">
        <v>1546.0</v>
      </c>
      <c r="L887" s="24" t="s">
        <v>21</v>
      </c>
    </row>
    <row r="888" ht="15.75" customHeight="1">
      <c r="A888" s="24" t="s">
        <v>28</v>
      </c>
      <c r="B888" s="24" t="s">
        <v>28</v>
      </c>
      <c r="C888" s="24" t="s">
        <v>444</v>
      </c>
      <c r="D888" s="24" t="s">
        <v>10</v>
      </c>
      <c r="E888" s="24" t="s">
        <v>1827</v>
      </c>
      <c r="F888" s="24" t="s">
        <v>1828</v>
      </c>
      <c r="G888" s="24" t="s">
        <v>1666</v>
      </c>
      <c r="H888" s="24" t="s">
        <v>1829</v>
      </c>
      <c r="I888" s="24" t="s">
        <v>1833</v>
      </c>
      <c r="J888" s="193" t="s">
        <v>1568</v>
      </c>
      <c r="K888" s="194">
        <v>102499.0</v>
      </c>
      <c r="L888" s="24" t="s">
        <v>21</v>
      </c>
    </row>
    <row r="889" ht="15.75" customHeight="1">
      <c r="A889" s="24" t="s">
        <v>28</v>
      </c>
      <c r="B889" s="24" t="s">
        <v>28</v>
      </c>
      <c r="C889" s="24" t="s">
        <v>685</v>
      </c>
      <c r="D889" s="24" t="s">
        <v>10</v>
      </c>
      <c r="E889" s="24" t="s">
        <v>1827</v>
      </c>
      <c r="F889" s="24" t="s">
        <v>1828</v>
      </c>
      <c r="G889" s="24" t="s">
        <v>1688</v>
      </c>
      <c r="H889" s="24" t="s">
        <v>1829</v>
      </c>
      <c r="I889" s="24" t="s">
        <v>1748</v>
      </c>
      <c r="J889" s="193" t="s">
        <v>1834</v>
      </c>
      <c r="K889" s="194">
        <v>7664.0</v>
      </c>
      <c r="L889" s="24" t="s">
        <v>21</v>
      </c>
    </row>
    <row r="890" ht="15.75" customHeight="1">
      <c r="A890" s="24" t="s">
        <v>28</v>
      </c>
      <c r="B890" s="24" t="s">
        <v>28</v>
      </c>
      <c r="C890" s="24" t="s">
        <v>685</v>
      </c>
      <c r="D890" s="24" t="s">
        <v>10</v>
      </c>
      <c r="E890" s="24" t="s">
        <v>1827</v>
      </c>
      <c r="F890" s="24" t="s">
        <v>1828</v>
      </c>
      <c r="G890" s="24" t="s">
        <v>1835</v>
      </c>
      <c r="H890" s="24" t="s">
        <v>1829</v>
      </c>
      <c r="I890" s="24" t="s">
        <v>1748</v>
      </c>
      <c r="J890" s="193" t="s">
        <v>1836</v>
      </c>
      <c r="K890" s="194">
        <v>52412.0</v>
      </c>
      <c r="L890" s="24" t="s">
        <v>21</v>
      </c>
    </row>
    <row r="891" ht="15.75" customHeight="1">
      <c r="A891" s="24" t="s">
        <v>28</v>
      </c>
      <c r="B891" s="24" t="s">
        <v>28</v>
      </c>
      <c r="C891" s="24" t="s">
        <v>685</v>
      </c>
      <c r="D891" s="24" t="s">
        <v>10</v>
      </c>
      <c r="E891" s="24" t="s">
        <v>1827</v>
      </c>
      <c r="F891" s="24" t="s">
        <v>1828</v>
      </c>
      <c r="G891" s="24" t="s">
        <v>1678</v>
      </c>
      <c r="H891" s="24" t="s">
        <v>1829</v>
      </c>
      <c r="I891" s="24" t="s">
        <v>1837</v>
      </c>
      <c r="J891" s="193" t="s">
        <v>1838</v>
      </c>
      <c r="K891" s="194">
        <v>486.0</v>
      </c>
      <c r="L891" s="24" t="s">
        <v>21</v>
      </c>
    </row>
    <row r="892" ht="15.75" customHeight="1">
      <c r="A892" s="24" t="s">
        <v>28</v>
      </c>
      <c r="B892" s="24" t="s">
        <v>28</v>
      </c>
      <c r="C892" s="24" t="s">
        <v>685</v>
      </c>
      <c r="D892" s="24" t="s">
        <v>10</v>
      </c>
      <c r="E892" s="24" t="s">
        <v>1827</v>
      </c>
      <c r="F892" s="24" t="s">
        <v>1828</v>
      </c>
      <c r="G892" s="24" t="s">
        <v>1678</v>
      </c>
      <c r="H892" s="24" t="s">
        <v>1829</v>
      </c>
      <c r="I892" s="24" t="s">
        <v>1837</v>
      </c>
      <c r="J892" s="193" t="s">
        <v>1838</v>
      </c>
      <c r="K892" s="194">
        <v>2510.0</v>
      </c>
      <c r="L892" s="24" t="s">
        <v>21</v>
      </c>
    </row>
    <row r="893" ht="15.75" customHeight="1">
      <c r="A893" s="24" t="s">
        <v>28</v>
      </c>
      <c r="B893" s="24" t="s">
        <v>28</v>
      </c>
      <c r="C893" s="24" t="s">
        <v>685</v>
      </c>
      <c r="D893" s="24" t="s">
        <v>10</v>
      </c>
      <c r="E893" s="24" t="s">
        <v>1827</v>
      </c>
      <c r="F893" s="24" t="s">
        <v>1828</v>
      </c>
      <c r="G893" s="24" t="s">
        <v>1839</v>
      </c>
      <c r="H893" s="24" t="s">
        <v>1829</v>
      </c>
      <c r="I893" s="24" t="s">
        <v>1840</v>
      </c>
      <c r="J893" s="193" t="s">
        <v>1841</v>
      </c>
      <c r="K893" s="194">
        <v>48121.0</v>
      </c>
      <c r="L893" s="24" t="s">
        <v>21</v>
      </c>
    </row>
    <row r="894" ht="15.75" customHeight="1">
      <c r="A894" s="24" t="s">
        <v>28</v>
      </c>
      <c r="B894" s="24" t="s">
        <v>28</v>
      </c>
      <c r="C894" s="24" t="s">
        <v>685</v>
      </c>
      <c r="D894" s="24" t="s">
        <v>10</v>
      </c>
      <c r="E894" s="24" t="s">
        <v>1827</v>
      </c>
      <c r="F894" s="24" t="s">
        <v>1828</v>
      </c>
      <c r="G894" s="24" t="s">
        <v>1671</v>
      </c>
      <c r="H894" s="24" t="s">
        <v>1829</v>
      </c>
      <c r="I894" s="24" t="s">
        <v>1736</v>
      </c>
      <c r="J894" s="193" t="s">
        <v>1842</v>
      </c>
      <c r="K894" s="194">
        <v>6247.0</v>
      </c>
      <c r="L894" s="24" t="s">
        <v>21</v>
      </c>
    </row>
    <row r="895" ht="15.75" customHeight="1">
      <c r="A895" s="24" t="s">
        <v>28</v>
      </c>
      <c r="B895" s="24" t="s">
        <v>28</v>
      </c>
      <c r="C895" s="24" t="s">
        <v>685</v>
      </c>
      <c r="D895" s="24" t="s">
        <v>10</v>
      </c>
      <c r="E895" s="24" t="s">
        <v>1827</v>
      </c>
      <c r="F895" s="24" t="s">
        <v>1828</v>
      </c>
      <c r="G895" s="24" t="s">
        <v>1671</v>
      </c>
      <c r="H895" s="24" t="s">
        <v>1829</v>
      </c>
      <c r="I895" s="24" t="s">
        <v>1736</v>
      </c>
      <c r="J895" s="193" t="s">
        <v>1842</v>
      </c>
      <c r="K895" s="194">
        <v>6248.0</v>
      </c>
      <c r="L895" s="24" t="s">
        <v>21</v>
      </c>
    </row>
    <row r="896" ht="15.75" customHeight="1">
      <c r="A896" s="24" t="s">
        <v>28</v>
      </c>
      <c r="B896" s="24" t="s">
        <v>28</v>
      </c>
      <c r="C896" s="24" t="s">
        <v>685</v>
      </c>
      <c r="D896" s="24" t="s">
        <v>10</v>
      </c>
      <c r="E896" s="24" t="s">
        <v>1827</v>
      </c>
      <c r="F896" s="24" t="s">
        <v>1828</v>
      </c>
      <c r="G896" s="24" t="s">
        <v>1808</v>
      </c>
      <c r="H896" s="24" t="s">
        <v>1829</v>
      </c>
      <c r="I896" s="24" t="s">
        <v>1736</v>
      </c>
      <c r="J896" s="193" t="s">
        <v>1842</v>
      </c>
      <c r="K896" s="194">
        <v>1277.0</v>
      </c>
      <c r="L896" s="24" t="s">
        <v>21</v>
      </c>
    </row>
    <row r="897" ht="15.75" customHeight="1">
      <c r="A897" s="24" t="s">
        <v>28</v>
      </c>
      <c r="B897" s="24" t="s">
        <v>28</v>
      </c>
      <c r="C897" s="24" t="s">
        <v>685</v>
      </c>
      <c r="D897" s="24" t="s">
        <v>10</v>
      </c>
      <c r="E897" s="24" t="s">
        <v>1843</v>
      </c>
      <c r="F897" s="24" t="s">
        <v>1844</v>
      </c>
      <c r="G897" s="24" t="s">
        <v>1845</v>
      </c>
      <c r="H897" s="24" t="s">
        <v>701</v>
      </c>
      <c r="I897" s="24" t="s">
        <v>1846</v>
      </c>
      <c r="J897" s="193" t="s">
        <v>1847</v>
      </c>
      <c r="K897" s="194">
        <v>12241.0</v>
      </c>
      <c r="L897" s="24" t="s">
        <v>21</v>
      </c>
    </row>
    <row r="898" ht="15.75" customHeight="1">
      <c r="A898" s="24" t="s">
        <v>28</v>
      </c>
      <c r="B898" s="24" t="s">
        <v>28</v>
      </c>
      <c r="C898" s="24" t="s">
        <v>685</v>
      </c>
      <c r="D898" s="24" t="s">
        <v>10</v>
      </c>
      <c r="E898" s="24" t="s">
        <v>1843</v>
      </c>
      <c r="F898" s="24" t="s">
        <v>1844</v>
      </c>
      <c r="G898" s="24" t="s">
        <v>1848</v>
      </c>
      <c r="H898" s="24" t="s">
        <v>701</v>
      </c>
      <c r="I898" s="24" t="s">
        <v>1846</v>
      </c>
      <c r="J898" s="193" t="s">
        <v>1847</v>
      </c>
      <c r="K898" s="194">
        <v>1072.0</v>
      </c>
      <c r="L898" s="24" t="s">
        <v>21</v>
      </c>
    </row>
    <row r="899" ht="15.75" customHeight="1">
      <c r="A899" s="24" t="s">
        <v>28</v>
      </c>
      <c r="B899" s="24" t="s">
        <v>28</v>
      </c>
      <c r="C899" s="24" t="s">
        <v>705</v>
      </c>
      <c r="D899" s="24" t="s">
        <v>10</v>
      </c>
      <c r="E899" s="24" t="s">
        <v>1849</v>
      </c>
      <c r="F899" s="24" t="s">
        <v>1850</v>
      </c>
      <c r="G899" s="24" t="s">
        <v>1828</v>
      </c>
      <c r="H899" s="24" t="s">
        <v>707</v>
      </c>
      <c r="I899" s="24" t="s">
        <v>707</v>
      </c>
      <c r="J899" s="193" t="s">
        <v>1851</v>
      </c>
      <c r="K899" s="194">
        <v>650916.0</v>
      </c>
      <c r="L899" s="67" t="s">
        <v>148</v>
      </c>
    </row>
    <row r="900" ht="15.75" customHeight="1">
      <c r="A900" s="199" t="s">
        <v>31</v>
      </c>
      <c r="B900" s="199" t="s">
        <v>31</v>
      </c>
      <c r="C900" s="30" t="s">
        <v>459</v>
      </c>
      <c r="D900" s="30" t="s">
        <v>10</v>
      </c>
      <c r="E900" s="30" t="s">
        <v>1852</v>
      </c>
      <c r="F900" s="30" t="s">
        <v>1853</v>
      </c>
      <c r="G900" s="30" t="s">
        <v>1853</v>
      </c>
      <c r="H900" s="30" t="s">
        <v>1756</v>
      </c>
      <c r="I900" s="30" t="s">
        <v>1757</v>
      </c>
      <c r="J900" s="197" t="s">
        <v>1854</v>
      </c>
      <c r="K900" s="198">
        <v>2499.0</v>
      </c>
      <c r="L900" s="30" t="s">
        <v>21</v>
      </c>
    </row>
    <row r="901" ht="15.75" customHeight="1">
      <c r="A901" s="30" t="s">
        <v>30</v>
      </c>
      <c r="B901" s="30" t="s">
        <v>30</v>
      </c>
      <c r="C901" s="30" t="s">
        <v>459</v>
      </c>
      <c r="D901" s="30" t="s">
        <v>10</v>
      </c>
      <c r="E901" s="30" t="s">
        <v>1855</v>
      </c>
      <c r="F901" s="30" t="s">
        <v>1856</v>
      </c>
      <c r="G901" s="30" t="s">
        <v>1857</v>
      </c>
      <c r="H901" s="30" t="s">
        <v>1770</v>
      </c>
      <c r="I901" s="30" t="s">
        <v>1771</v>
      </c>
      <c r="J901" s="197" t="s">
        <v>1048</v>
      </c>
      <c r="K901" s="198">
        <v>799.0</v>
      </c>
      <c r="L901" s="30" t="s">
        <v>21</v>
      </c>
    </row>
    <row r="902" ht="15.75" customHeight="1">
      <c r="A902" s="199" t="s">
        <v>31</v>
      </c>
      <c r="B902" s="199" t="s">
        <v>31</v>
      </c>
      <c r="C902" s="30" t="s">
        <v>459</v>
      </c>
      <c r="D902" s="30" t="s">
        <v>10</v>
      </c>
      <c r="E902" s="30" t="s">
        <v>1858</v>
      </c>
      <c r="F902" s="30" t="s">
        <v>1853</v>
      </c>
      <c r="G902" s="30" t="s">
        <v>1853</v>
      </c>
      <c r="H902" s="30" t="s">
        <v>1773</v>
      </c>
      <c r="I902" s="30" t="s">
        <v>740</v>
      </c>
      <c r="J902" s="197" t="s">
        <v>1774</v>
      </c>
      <c r="K902" s="198">
        <v>999.0</v>
      </c>
      <c r="L902" s="30" t="s">
        <v>21</v>
      </c>
    </row>
    <row r="903" ht="15.75" customHeight="1">
      <c r="A903" s="199" t="s">
        <v>31</v>
      </c>
      <c r="B903" s="199" t="s">
        <v>31</v>
      </c>
      <c r="C903" s="30" t="s">
        <v>459</v>
      </c>
      <c r="D903" s="30" t="s">
        <v>10</v>
      </c>
      <c r="E903" s="30" t="s">
        <v>1858</v>
      </c>
      <c r="F903" s="30" t="s">
        <v>1853</v>
      </c>
      <c r="G903" s="30" t="s">
        <v>1853</v>
      </c>
      <c r="H903" s="30" t="s">
        <v>1773</v>
      </c>
      <c r="I903" s="30" t="s">
        <v>740</v>
      </c>
      <c r="J903" s="197" t="s">
        <v>1775</v>
      </c>
      <c r="K903" s="198">
        <v>999.0</v>
      </c>
      <c r="L903" s="30" t="s">
        <v>21</v>
      </c>
    </row>
    <row r="904" ht="15.75" customHeight="1">
      <c r="A904" s="199" t="s">
        <v>31</v>
      </c>
      <c r="B904" s="199" t="s">
        <v>31</v>
      </c>
      <c r="C904" s="30" t="s">
        <v>459</v>
      </c>
      <c r="D904" s="30" t="s">
        <v>10</v>
      </c>
      <c r="E904" s="30" t="s">
        <v>1858</v>
      </c>
      <c r="F904" s="30" t="s">
        <v>1853</v>
      </c>
      <c r="G904" s="30" t="s">
        <v>1853</v>
      </c>
      <c r="H904" s="30" t="s">
        <v>1773</v>
      </c>
      <c r="I904" s="30" t="s">
        <v>740</v>
      </c>
      <c r="J904" s="197" t="s">
        <v>1776</v>
      </c>
      <c r="K904" s="198">
        <v>999.0</v>
      </c>
      <c r="L904" s="30" t="s">
        <v>21</v>
      </c>
    </row>
    <row r="905" ht="15.75" customHeight="1">
      <c r="A905" s="199" t="s">
        <v>31</v>
      </c>
      <c r="B905" s="199" t="s">
        <v>31</v>
      </c>
      <c r="C905" s="30" t="s">
        <v>459</v>
      </c>
      <c r="D905" s="30" t="s">
        <v>10</v>
      </c>
      <c r="E905" s="30" t="s">
        <v>1858</v>
      </c>
      <c r="F905" s="30" t="s">
        <v>1853</v>
      </c>
      <c r="G905" s="30" t="s">
        <v>1853</v>
      </c>
      <c r="H905" s="30" t="s">
        <v>1773</v>
      </c>
      <c r="I905" s="30" t="s">
        <v>740</v>
      </c>
      <c r="J905" s="197" t="s">
        <v>1777</v>
      </c>
      <c r="K905" s="198">
        <v>999.0</v>
      </c>
      <c r="L905" s="30" t="s">
        <v>21</v>
      </c>
    </row>
    <row r="906" ht="15.75" customHeight="1">
      <c r="A906" s="199" t="s">
        <v>31</v>
      </c>
      <c r="B906" s="199" t="s">
        <v>31</v>
      </c>
      <c r="C906" s="30" t="s">
        <v>459</v>
      </c>
      <c r="D906" s="30" t="s">
        <v>10</v>
      </c>
      <c r="E906" s="30" t="s">
        <v>1858</v>
      </c>
      <c r="F906" s="30" t="s">
        <v>1853</v>
      </c>
      <c r="G906" s="30" t="s">
        <v>1853</v>
      </c>
      <c r="H906" s="30" t="s">
        <v>1773</v>
      </c>
      <c r="I906" s="30" t="s">
        <v>740</v>
      </c>
      <c r="J906" s="197" t="s">
        <v>1778</v>
      </c>
      <c r="K906" s="198">
        <v>799.0</v>
      </c>
      <c r="L906" s="30" t="s">
        <v>21</v>
      </c>
    </row>
    <row r="907" ht="15.75" customHeight="1">
      <c r="A907" s="199" t="s">
        <v>31</v>
      </c>
      <c r="B907" s="199" t="s">
        <v>31</v>
      </c>
      <c r="C907" s="30" t="s">
        <v>459</v>
      </c>
      <c r="D907" s="30" t="s">
        <v>10</v>
      </c>
      <c r="E907" s="30" t="s">
        <v>1858</v>
      </c>
      <c r="F907" s="30" t="s">
        <v>1853</v>
      </c>
      <c r="G907" s="30" t="s">
        <v>1853</v>
      </c>
      <c r="H907" s="30" t="s">
        <v>1773</v>
      </c>
      <c r="I907" s="30" t="s">
        <v>740</v>
      </c>
      <c r="J907" s="197" t="s">
        <v>1779</v>
      </c>
      <c r="K907" s="198">
        <v>999.0</v>
      </c>
      <c r="L907" s="30" t="s">
        <v>21</v>
      </c>
    </row>
    <row r="908" ht="15.75" customHeight="1">
      <c r="A908" s="199" t="s">
        <v>31</v>
      </c>
      <c r="B908" s="199" t="s">
        <v>31</v>
      </c>
      <c r="C908" s="30" t="s">
        <v>459</v>
      </c>
      <c r="D908" s="30" t="s">
        <v>10</v>
      </c>
      <c r="E908" s="30" t="s">
        <v>1858</v>
      </c>
      <c r="F908" s="30" t="s">
        <v>1853</v>
      </c>
      <c r="G908" s="30" t="s">
        <v>1853</v>
      </c>
      <c r="H908" s="30" t="s">
        <v>1773</v>
      </c>
      <c r="I908" s="30" t="s">
        <v>740</v>
      </c>
      <c r="J908" s="197" t="s">
        <v>1780</v>
      </c>
      <c r="K908" s="198">
        <v>999.0</v>
      </c>
      <c r="L908" s="30" t="s">
        <v>21</v>
      </c>
    </row>
    <row r="909" ht="15.75" customHeight="1">
      <c r="A909" s="199" t="s">
        <v>31</v>
      </c>
      <c r="B909" s="199" t="s">
        <v>31</v>
      </c>
      <c r="C909" s="30" t="s">
        <v>459</v>
      </c>
      <c r="D909" s="30" t="s">
        <v>10</v>
      </c>
      <c r="E909" s="30" t="s">
        <v>1858</v>
      </c>
      <c r="F909" s="30" t="s">
        <v>1853</v>
      </c>
      <c r="G909" s="30" t="s">
        <v>1853</v>
      </c>
      <c r="H909" s="30" t="s">
        <v>1773</v>
      </c>
      <c r="I909" s="30" t="s">
        <v>740</v>
      </c>
      <c r="J909" s="197" t="s">
        <v>1781</v>
      </c>
      <c r="K909" s="198">
        <v>999.0</v>
      </c>
      <c r="L909" s="30" t="s">
        <v>21</v>
      </c>
    </row>
    <row r="910" ht="15.75" customHeight="1">
      <c r="A910" s="199" t="s">
        <v>31</v>
      </c>
      <c r="B910" s="199" t="s">
        <v>31</v>
      </c>
      <c r="C910" s="30" t="s">
        <v>459</v>
      </c>
      <c r="D910" s="30" t="s">
        <v>10</v>
      </c>
      <c r="E910" s="30" t="s">
        <v>1858</v>
      </c>
      <c r="F910" s="30" t="s">
        <v>1853</v>
      </c>
      <c r="G910" s="30" t="s">
        <v>1853</v>
      </c>
      <c r="H910" s="30" t="s">
        <v>1773</v>
      </c>
      <c r="I910" s="30" t="s">
        <v>740</v>
      </c>
      <c r="J910" s="197" t="s">
        <v>1782</v>
      </c>
      <c r="K910" s="198">
        <v>799.0</v>
      </c>
      <c r="L910" s="30" t="s">
        <v>21</v>
      </c>
    </row>
    <row r="911" ht="15.75" customHeight="1">
      <c r="A911" s="199" t="s">
        <v>31</v>
      </c>
      <c r="B911" s="199" t="s">
        <v>31</v>
      </c>
      <c r="C911" s="30" t="s">
        <v>459</v>
      </c>
      <c r="D911" s="30" t="s">
        <v>10</v>
      </c>
      <c r="E911" s="30" t="s">
        <v>1858</v>
      </c>
      <c r="F911" s="30" t="s">
        <v>1853</v>
      </c>
      <c r="G911" s="30" t="s">
        <v>1853</v>
      </c>
      <c r="H911" s="30" t="s">
        <v>1773</v>
      </c>
      <c r="I911" s="30" t="s">
        <v>740</v>
      </c>
      <c r="J911" s="197" t="s">
        <v>1783</v>
      </c>
      <c r="K911" s="198">
        <v>799.0</v>
      </c>
      <c r="L911" s="30" t="s">
        <v>21</v>
      </c>
    </row>
    <row r="912" ht="15.75" customHeight="1">
      <c r="A912" s="199" t="s">
        <v>31</v>
      </c>
      <c r="B912" s="199" t="s">
        <v>31</v>
      </c>
      <c r="C912" s="30" t="s">
        <v>459</v>
      </c>
      <c r="D912" s="30" t="s">
        <v>10</v>
      </c>
      <c r="E912" s="30" t="s">
        <v>1858</v>
      </c>
      <c r="F912" s="30" t="s">
        <v>1853</v>
      </c>
      <c r="G912" s="30" t="s">
        <v>1853</v>
      </c>
      <c r="H912" s="30" t="s">
        <v>1773</v>
      </c>
      <c r="I912" s="30" t="s">
        <v>740</v>
      </c>
      <c r="J912" s="197" t="s">
        <v>1784</v>
      </c>
      <c r="K912" s="198">
        <v>799.0</v>
      </c>
      <c r="L912" s="30" t="s">
        <v>21</v>
      </c>
    </row>
    <row r="913" ht="15.75" customHeight="1">
      <c r="A913" s="199" t="s">
        <v>31</v>
      </c>
      <c r="B913" s="199" t="s">
        <v>31</v>
      </c>
      <c r="C913" s="30" t="s">
        <v>459</v>
      </c>
      <c r="D913" s="30" t="s">
        <v>10</v>
      </c>
      <c r="E913" s="30" t="s">
        <v>1858</v>
      </c>
      <c r="F913" s="30" t="s">
        <v>1853</v>
      </c>
      <c r="G913" s="30" t="s">
        <v>1853</v>
      </c>
      <c r="H913" s="30" t="s">
        <v>1773</v>
      </c>
      <c r="I913" s="30" t="s">
        <v>740</v>
      </c>
      <c r="J913" s="197" t="s">
        <v>1785</v>
      </c>
      <c r="K913" s="198">
        <v>799.0</v>
      </c>
      <c r="L913" s="30" t="s">
        <v>21</v>
      </c>
    </row>
    <row r="914" ht="15.75" customHeight="1">
      <c r="A914" s="199" t="s">
        <v>31</v>
      </c>
      <c r="B914" s="199" t="s">
        <v>31</v>
      </c>
      <c r="C914" s="30" t="s">
        <v>459</v>
      </c>
      <c r="D914" s="30" t="s">
        <v>10</v>
      </c>
      <c r="E914" s="30" t="s">
        <v>1858</v>
      </c>
      <c r="F914" s="30" t="s">
        <v>1853</v>
      </c>
      <c r="G914" s="30" t="s">
        <v>1853</v>
      </c>
      <c r="H914" s="30" t="s">
        <v>1773</v>
      </c>
      <c r="I914" s="30" t="s">
        <v>740</v>
      </c>
      <c r="J914" s="197" t="s">
        <v>1786</v>
      </c>
      <c r="K914" s="198">
        <v>799.0</v>
      </c>
      <c r="L914" s="30" t="s">
        <v>21</v>
      </c>
    </row>
    <row r="915" ht="15.75" customHeight="1">
      <c r="A915" s="199" t="s">
        <v>31</v>
      </c>
      <c r="B915" s="199" t="s">
        <v>31</v>
      </c>
      <c r="C915" s="30" t="s">
        <v>459</v>
      </c>
      <c r="D915" s="30" t="s">
        <v>10</v>
      </c>
      <c r="E915" s="30" t="s">
        <v>1858</v>
      </c>
      <c r="F915" s="30" t="s">
        <v>1853</v>
      </c>
      <c r="G915" s="30" t="s">
        <v>1853</v>
      </c>
      <c r="H915" s="30" t="s">
        <v>1773</v>
      </c>
      <c r="I915" s="30" t="s">
        <v>740</v>
      </c>
      <c r="J915" s="197" t="s">
        <v>1787</v>
      </c>
      <c r="K915" s="198">
        <v>999.0</v>
      </c>
      <c r="L915" s="30" t="s">
        <v>21</v>
      </c>
    </row>
    <row r="916" ht="15.75" customHeight="1">
      <c r="A916" s="199" t="s">
        <v>31</v>
      </c>
      <c r="B916" s="199" t="s">
        <v>31</v>
      </c>
      <c r="C916" s="30" t="s">
        <v>459</v>
      </c>
      <c r="D916" s="30" t="s">
        <v>10</v>
      </c>
      <c r="E916" s="30" t="s">
        <v>1858</v>
      </c>
      <c r="F916" s="30" t="s">
        <v>1853</v>
      </c>
      <c r="G916" s="30" t="s">
        <v>1853</v>
      </c>
      <c r="H916" s="30" t="s">
        <v>1773</v>
      </c>
      <c r="I916" s="30" t="s">
        <v>740</v>
      </c>
      <c r="J916" s="197" t="s">
        <v>1788</v>
      </c>
      <c r="K916" s="198">
        <v>999.0</v>
      </c>
      <c r="L916" s="30" t="s">
        <v>21</v>
      </c>
    </row>
    <row r="917" ht="15.75" customHeight="1">
      <c r="A917" s="199" t="s">
        <v>31</v>
      </c>
      <c r="B917" s="199" t="s">
        <v>31</v>
      </c>
      <c r="C917" s="30" t="s">
        <v>459</v>
      </c>
      <c r="D917" s="30" t="s">
        <v>10</v>
      </c>
      <c r="E917" s="30" t="s">
        <v>1858</v>
      </c>
      <c r="F917" s="30" t="s">
        <v>1853</v>
      </c>
      <c r="G917" s="30" t="s">
        <v>1853</v>
      </c>
      <c r="H917" s="30" t="s">
        <v>1773</v>
      </c>
      <c r="I917" s="30" t="s">
        <v>740</v>
      </c>
      <c r="J917" s="197" t="s">
        <v>1789</v>
      </c>
      <c r="K917" s="198">
        <v>0.0</v>
      </c>
      <c r="L917" s="30" t="s">
        <v>21</v>
      </c>
    </row>
    <row r="918" ht="15.75" customHeight="1">
      <c r="A918" s="199" t="s">
        <v>31</v>
      </c>
      <c r="B918" s="199" t="s">
        <v>31</v>
      </c>
      <c r="C918" s="30" t="s">
        <v>459</v>
      </c>
      <c r="D918" s="30" t="s">
        <v>10</v>
      </c>
      <c r="E918" s="30" t="s">
        <v>1858</v>
      </c>
      <c r="F918" s="30" t="s">
        <v>1853</v>
      </c>
      <c r="G918" s="30" t="s">
        <v>1853</v>
      </c>
      <c r="H918" s="30" t="s">
        <v>1773</v>
      </c>
      <c r="I918" s="30" t="s">
        <v>740</v>
      </c>
      <c r="J918" s="197" t="s">
        <v>1790</v>
      </c>
      <c r="K918" s="198">
        <v>999.0</v>
      </c>
      <c r="L918" s="30" t="s">
        <v>21</v>
      </c>
    </row>
    <row r="919" ht="15.75" customHeight="1">
      <c r="A919" s="30" t="s">
        <v>30</v>
      </c>
      <c r="B919" s="30" t="s">
        <v>30</v>
      </c>
      <c r="C919" s="30" t="s">
        <v>637</v>
      </c>
      <c r="D919" s="30" t="s">
        <v>10</v>
      </c>
      <c r="E919" s="30" t="s">
        <v>1855</v>
      </c>
      <c r="F919" s="30" t="s">
        <v>1856</v>
      </c>
      <c r="G919" s="30" t="s">
        <v>1845</v>
      </c>
      <c r="H919" s="30" t="s">
        <v>1859</v>
      </c>
      <c r="I919" s="30" t="s">
        <v>1859</v>
      </c>
      <c r="J919" s="197" t="s">
        <v>1860</v>
      </c>
      <c r="K919" s="198">
        <v>13421.0</v>
      </c>
      <c r="L919" s="68" t="s">
        <v>148</v>
      </c>
    </row>
    <row r="920" ht="15.75" customHeight="1">
      <c r="A920" s="59" t="s">
        <v>19</v>
      </c>
      <c r="B920" s="59" t="s">
        <v>35</v>
      </c>
      <c r="C920" s="59" t="s">
        <v>466</v>
      </c>
      <c r="D920" s="59" t="s">
        <v>11</v>
      </c>
      <c r="E920" s="59" t="s">
        <v>1861</v>
      </c>
      <c r="F920" s="206">
        <v>46206.0</v>
      </c>
      <c r="G920" s="206">
        <v>46206.0</v>
      </c>
      <c r="H920" s="59" t="s">
        <v>1862</v>
      </c>
      <c r="I920" s="59" t="s">
        <v>470</v>
      </c>
      <c r="J920" s="207" t="s">
        <v>1863</v>
      </c>
      <c r="K920" s="208">
        <v>1500.0</v>
      </c>
      <c r="L920" s="59" t="s">
        <v>21</v>
      </c>
    </row>
    <row r="921" ht="15.75" customHeight="1">
      <c r="A921" s="59" t="s">
        <v>27</v>
      </c>
      <c r="B921" s="59" t="s">
        <v>75</v>
      </c>
      <c r="C921" s="59" t="s">
        <v>466</v>
      </c>
      <c r="D921" s="59" t="s">
        <v>11</v>
      </c>
      <c r="E921" s="59" t="s">
        <v>1864</v>
      </c>
      <c r="F921" s="206">
        <v>46204.0</v>
      </c>
      <c r="G921" s="206">
        <v>46208.0</v>
      </c>
      <c r="H921" s="59" t="s">
        <v>533</v>
      </c>
      <c r="I921" s="59" t="s">
        <v>470</v>
      </c>
      <c r="J921" s="207" t="s">
        <v>1865</v>
      </c>
      <c r="K921" s="208">
        <v>1050.0</v>
      </c>
      <c r="L921" s="59" t="s">
        <v>21</v>
      </c>
    </row>
    <row r="922" ht="15.75" customHeight="1">
      <c r="A922" s="33" t="s">
        <v>32</v>
      </c>
      <c r="B922" s="33" t="s">
        <v>140</v>
      </c>
      <c r="C922" s="33" t="s">
        <v>784</v>
      </c>
      <c r="D922" s="33" t="s">
        <v>10</v>
      </c>
      <c r="E922" s="33" t="s">
        <v>1866</v>
      </c>
      <c r="F922" s="33" t="s">
        <v>1853</v>
      </c>
      <c r="G922" s="33" t="s">
        <v>1853</v>
      </c>
      <c r="H922" s="33" t="s">
        <v>1867</v>
      </c>
      <c r="I922" s="33" t="s">
        <v>1867</v>
      </c>
      <c r="J922" s="200" t="s">
        <v>1868</v>
      </c>
      <c r="K922" s="201">
        <v>26548.0</v>
      </c>
      <c r="L922" s="33" t="s">
        <v>21</v>
      </c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42" t="s">
        <v>270</v>
      </c>
      <c r="K923" s="43">
        <f>SUM(K5:K922)</f>
        <v>29463545</v>
      </c>
      <c r="L923" s="138"/>
    </row>
    <row r="924" ht="15.75" customHeight="1"/>
    <row r="925" ht="15.75" customHeight="1"/>
    <row r="926" ht="15.75" customHeight="1">
      <c r="A926" s="1" t="s">
        <v>1869</v>
      </c>
    </row>
    <row r="927" ht="15.75" customHeight="1">
      <c r="A927" s="209" t="s">
        <v>420</v>
      </c>
      <c r="B927" s="209" t="s">
        <v>21</v>
      </c>
      <c r="C927" s="209" t="s">
        <v>148</v>
      </c>
      <c r="D927" s="209" t="s">
        <v>255</v>
      </c>
    </row>
    <row r="928" ht="15.75" customHeight="1">
      <c r="A928" s="210" t="s">
        <v>5</v>
      </c>
      <c r="B928" s="211">
        <f t="shared" ref="B928:B934" si="1">SUMIFS($K$5:$K$922,$D$5:$D$922,A928,$L$5:$L$922,"OPEX")</f>
        <v>1890126</v>
      </c>
      <c r="C928" s="212">
        <f t="shared" ref="C928:C934" si="2">SUMIFS($K$5:$K$922,$D$5:$D$922,A928,$L$5:$L$922,"CAPEX")</f>
        <v>831769</v>
      </c>
      <c r="D928" s="213">
        <f t="shared" ref="D928:D934" si="3">B928+C928</f>
        <v>2721895</v>
      </c>
    </row>
    <row r="929" ht="15.75" customHeight="1">
      <c r="A929" s="210" t="s">
        <v>6</v>
      </c>
      <c r="B929" s="211">
        <f t="shared" si="1"/>
        <v>2133413</v>
      </c>
      <c r="C929" s="212">
        <f t="shared" si="2"/>
        <v>251381</v>
      </c>
      <c r="D929" s="213">
        <f t="shared" si="3"/>
        <v>2384794</v>
      </c>
    </row>
    <row r="930" ht="15.75" customHeight="1">
      <c r="A930" s="210" t="s">
        <v>7</v>
      </c>
      <c r="B930" s="211">
        <f t="shared" si="1"/>
        <v>1458759</v>
      </c>
      <c r="C930" s="212">
        <f t="shared" si="2"/>
        <v>1795168</v>
      </c>
      <c r="D930" s="213">
        <f t="shared" si="3"/>
        <v>3253927</v>
      </c>
    </row>
    <row r="931" ht="15.75" customHeight="1">
      <c r="A931" s="210" t="s">
        <v>8</v>
      </c>
      <c r="B931" s="211">
        <f t="shared" si="1"/>
        <v>1456638</v>
      </c>
      <c r="C931" s="212">
        <f t="shared" si="2"/>
        <v>4643020</v>
      </c>
      <c r="D931" s="213">
        <f t="shared" si="3"/>
        <v>6099658</v>
      </c>
    </row>
    <row r="932" ht="15.75" customHeight="1">
      <c r="A932" s="210" t="s">
        <v>9</v>
      </c>
      <c r="B932" s="211">
        <f t="shared" si="1"/>
        <v>933660</v>
      </c>
      <c r="C932" s="212">
        <f t="shared" si="2"/>
        <v>842515</v>
      </c>
      <c r="D932" s="213">
        <f t="shared" si="3"/>
        <v>1776175</v>
      </c>
    </row>
    <row r="933" ht="15.75" customHeight="1">
      <c r="A933" s="210" t="s">
        <v>10</v>
      </c>
      <c r="B933" s="211">
        <f t="shared" si="1"/>
        <v>296123</v>
      </c>
      <c r="C933" s="212">
        <f t="shared" si="2"/>
        <v>12928423</v>
      </c>
      <c r="D933" s="213">
        <f t="shared" si="3"/>
        <v>13224546</v>
      </c>
    </row>
    <row r="934" ht="15.75" customHeight="1">
      <c r="A934" s="55" t="s">
        <v>11</v>
      </c>
      <c r="B934" s="43">
        <f t="shared" si="1"/>
        <v>2550</v>
      </c>
      <c r="C934" s="43">
        <f t="shared" si="2"/>
        <v>0</v>
      </c>
      <c r="D934" s="43">
        <f t="shared" si="3"/>
        <v>2550</v>
      </c>
    </row>
    <row r="935" ht="15.75" customHeight="1">
      <c r="A935" s="42" t="s">
        <v>270</v>
      </c>
      <c r="B935" s="43">
        <f t="shared" ref="B935:D935" si="4">SUM(B928:B934)</f>
        <v>8171269</v>
      </c>
      <c r="C935" s="43">
        <f t="shared" si="4"/>
        <v>21292276</v>
      </c>
      <c r="D935" s="43">
        <f t="shared" si="4"/>
        <v>29463545</v>
      </c>
    </row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autoFilter ref="$A$4:$L$922"/>
  <printOptions/>
  <pageMargins bottom="1.0" footer="0.0" header="0.0" left="0.75" right="0.75" top="1.0"/>
  <pageSetup paperSize="9" orientation="portrait"/>
  <drawing r:id="rId1"/>
</worksheet>
</file>