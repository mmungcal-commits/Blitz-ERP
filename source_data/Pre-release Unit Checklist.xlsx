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Yusen" sheetId="2" r:id="rId6"/>
    <sheet state="visible" name="Sheet7" sheetId="3" r:id="rId7"/>
    <sheet state="hidden" name="TM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tc={352b76ee-5ee6-4590-9e03-ce67c230c6b3}</author>
    <author>tc={646ba640-c6de-4e61-8eea-65c6acae924f}</author>
    <author>tc={7378c123-5472-46fe-9367-c3181ef87110}</author>
    <author>tc={f446299c-3aa4-47b9-a389-b74332235445}</author>
    <author>tc={ffd4278b-3214-4516-8ad1-4ab623e3650b}</author>
  </authors>
  <commentList>
    <comment authorId="0" xr:uid="{352b76ee-5ee6-4590-9e03-ce67c230c6b3}" ref="AD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@erapatan@nrdev.ph
Reply:
	thank you :)
</t>
      </text>
    </comment>
    <comment authorId="1" xr:uid="{646ba640-c6de-4e61-8eea-65c6acae924f}" ref="B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@rtrazona@nrdev.ph
Reply:
	Done po Mam. Thank you
</t>
      </text>
    </comment>
    <comment authorId="2" xr:uid="{7378c123-5472-46fe-9367-c3181ef87110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@erwin@nrdev.ph
</t>
      </text>
    </comment>
    <comment authorId="3" xr:uid="{f446299c-3aa4-47b9-a389-b74332235445}" ref="W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@samuel@nrdev.ph please note po na CSR lang ang kasama ng unit. Wala pa po nacreate na SI Thanks
Reply:
	oks salamat
</t>
      </text>
    </comment>
    <comment authorId="4" xr:uid="{ffd4278b-3214-4516-8ad1-4ab623e3650b}" ref="S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@erwin@nrdev.ph bestie pasuyo nung 3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tc={2ae080da-f350-4155-9c46-b4b353440d13}</author>
  </authors>
  <commentList>
    <comment authorId="0" xr:uid="{2ae080da-f350-4155-9c46-b4b353440d13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@amostrales@nrdev.ph 
Sir ito po muna need TMS
Assigned to amostrales@nrdev.ph
</t>
      </text>
    </comment>
  </commentList>
</comments>
</file>

<file path=xl/sharedStrings.xml><?xml version="1.0" encoding="utf-8"?>
<sst xmlns="http://schemas.openxmlformats.org/spreadsheetml/2006/main" count="3229" uniqueCount="1415">
  <si>
    <t>Date:</t>
  </si>
  <si>
    <t>Company</t>
  </si>
  <si>
    <t xml:space="preserve">Pickup: </t>
  </si>
  <si>
    <t>Unit (D400 Red)</t>
  </si>
  <si>
    <t xml:space="preserve">Angkas HQ 2723 Sabio St, Chino Roces Ave, Makati City, Makati, Philippines </t>
  </si>
  <si>
    <t>Date</t>
  </si>
  <si>
    <t>E88 174A Acacia St. Octagon Village Dela Paz Pasig</t>
  </si>
  <si>
    <t>JMZ Food Products Trading</t>
  </si>
  <si>
    <t>4JR'S Food Products Trading</t>
  </si>
  <si>
    <t xml:space="preserve">Dropoff: </t>
  </si>
  <si>
    <t>Go Sakay Malabon</t>
  </si>
  <si>
    <t>3MBA Consumer Goods Trading</t>
  </si>
  <si>
    <t>UNIT</t>
  </si>
  <si>
    <t>VIN</t>
  </si>
  <si>
    <t xml:space="preserve">
</t>
  </si>
  <si>
    <t>MOTORCYCLE</t>
  </si>
  <si>
    <t>D400 Blue</t>
  </si>
  <si>
    <t>R5FBMX0B2RL000499</t>
  </si>
  <si>
    <t xml:space="preserve">R280 Sport RED </t>
  </si>
  <si>
    <t>Checking of Batteries</t>
  </si>
  <si>
    <t>R5FBMGOB2RL000132</t>
  </si>
  <si>
    <t>WH</t>
  </si>
  <si>
    <t>AFTERSALES</t>
  </si>
  <si>
    <t>LOGI</t>
  </si>
  <si>
    <t>CS</t>
  </si>
  <si>
    <t>SCM</t>
  </si>
  <si>
    <t>R5FBMX0BXRL000489</t>
  </si>
  <si>
    <t>Hr/day</t>
  </si>
  <si>
    <t>D400 Red</t>
  </si>
  <si>
    <t>Online</t>
  </si>
  <si>
    <t>R5FBMX0B9RL000404</t>
  </si>
  <si>
    <t>No. of MC per day</t>
  </si>
  <si>
    <t>Employee</t>
  </si>
  <si>
    <t>No. of Motorcycle</t>
  </si>
  <si>
    <t>Prepare &amp; Assign Actual Battery</t>
  </si>
  <si>
    <t>Checking in Hydra</t>
  </si>
  <si>
    <t>R5FBMX0B5RL000478</t>
  </si>
  <si>
    <t>R5FBMX0B0RL000405</t>
  </si>
  <si>
    <t>Canalyst</t>
  </si>
  <si>
    <t>Drive outside</t>
  </si>
  <si>
    <t>TTL</t>
  </si>
  <si>
    <t>PDI</t>
  </si>
  <si>
    <t>Damage</t>
  </si>
  <si>
    <t>Assign Batteries in Hydra</t>
  </si>
  <si>
    <t>R5FBMX0B4RL000472</t>
  </si>
  <si>
    <t>App Testing</t>
  </si>
  <si>
    <t>Account Creation &amp; User Assignment</t>
  </si>
  <si>
    <t>R5FBMX0B2RL000406</t>
  </si>
  <si>
    <t>Duration</t>
  </si>
  <si>
    <t>Packaging</t>
  </si>
  <si>
    <t>Documentation</t>
  </si>
  <si>
    <t>Arby</t>
  </si>
  <si>
    <t>R5FBMX0B8RL000488</t>
  </si>
  <si>
    <t>R5FBMX0BXRL000413</t>
  </si>
  <si>
    <t>Status</t>
  </si>
  <si>
    <t>DELIVERY SCHEDULE</t>
  </si>
  <si>
    <t>CAN PROCEED?</t>
  </si>
  <si>
    <t>Item</t>
  </si>
  <si>
    <t>Purpose</t>
  </si>
  <si>
    <t>R5FBMX0BXRL000525</t>
  </si>
  <si>
    <t>R5FBMX0B5RL000416</t>
  </si>
  <si>
    <t>Battery A</t>
  </si>
  <si>
    <t>Battery B</t>
  </si>
  <si>
    <t>Charger</t>
  </si>
  <si>
    <t>PDI Form</t>
  </si>
  <si>
    <t>Account Creation</t>
  </si>
  <si>
    <t>First Name</t>
  </si>
  <si>
    <t>Last Name</t>
  </si>
  <si>
    <t>Email</t>
  </si>
  <si>
    <t>R5FBMX0B0RL000517</t>
  </si>
  <si>
    <t>Number</t>
  </si>
  <si>
    <t>Password</t>
  </si>
  <si>
    <t>R5FBMX0B0RL000422</t>
  </si>
  <si>
    <t>LTO Status</t>
  </si>
  <si>
    <t>Documents included on the unit</t>
  </si>
  <si>
    <t>OR/CR</t>
  </si>
  <si>
    <t>Plate Number</t>
  </si>
  <si>
    <t>Loan Agreement (if Demo)</t>
  </si>
  <si>
    <t>Start</t>
  </si>
  <si>
    <t>End</t>
  </si>
  <si>
    <t>Name</t>
  </si>
  <si>
    <t>OR</t>
  </si>
  <si>
    <t>CR</t>
  </si>
  <si>
    <t>R5FBMX0B8RL000491</t>
  </si>
  <si>
    <t>R5FBMX0B4RL000441</t>
  </si>
  <si>
    <t>Done</t>
  </si>
  <si>
    <t>Barangay San Antonio – 1 unit D400, 1 unit R280 – 9:30 AM</t>
  </si>
  <si>
    <t>D400 Black</t>
  </si>
  <si>
    <t>R5FBMX0B1SL000547</t>
  </si>
  <si>
    <t>R5FBMX0B6RL000456</t>
  </si>
  <si>
    <t>Enan</t>
  </si>
  <si>
    <t>R5FBMX0B2SL000542</t>
  </si>
  <si>
    <t>R5FBMX0B3RL000463</t>
  </si>
  <si>
    <t>Donation - Lease</t>
  </si>
  <si>
    <t>R5FBMX0B2RL000423</t>
  </si>
  <si>
    <t>519110002370AAXXXMJK0151</t>
  </si>
  <si>
    <t>519110002370AAXXXJJK0243</t>
  </si>
  <si>
    <t>OKL7208JH2024408300110</t>
  </si>
  <si>
    <t>R5FBMX0B0RL000467</t>
  </si>
  <si>
    <t>bsa1@nrdev.ph</t>
  </si>
  <si>
    <t>Password1</t>
  </si>
  <si>
    <t>R5FBMX0B7RL000529</t>
  </si>
  <si>
    <t>Ongoing Registration</t>
  </si>
  <si>
    <t>CSR /SI</t>
  </si>
  <si>
    <t>R280 Sport Blue</t>
  </si>
  <si>
    <t>R5FBMGOB7RL000157</t>
  </si>
  <si>
    <t>519110002370AAXXXMJK0323</t>
  </si>
  <si>
    <t>519110002370AAXXXMJK0159</t>
  </si>
  <si>
    <t>OKL7208JH2024408300083</t>
  </si>
  <si>
    <t>No. of Locker</t>
  </si>
  <si>
    <t>LOCKER</t>
  </si>
  <si>
    <t>bsa2@nrdev.ph</t>
  </si>
  <si>
    <t>Password2</t>
  </si>
  <si>
    <t>QA/QC includes swapping-app test</t>
  </si>
  <si>
    <t>No. of Locker per day</t>
  </si>
  <si>
    <t>* Angkas – 2 units D400 (Blue) – 1:00 PM</t>
  </si>
  <si>
    <t>Demo for 1 week</t>
  </si>
  <si>
    <t>519110002370AAXXXLJL0342</t>
  </si>
  <si>
    <t>519110002370AAXXXLJL0499</t>
  </si>
  <si>
    <t>OKL7208JH202408300269</t>
  </si>
  <si>
    <t>a1@nrdev.ph</t>
  </si>
  <si>
    <t>LTO Registered</t>
  </si>
  <si>
    <t>OR/CR Xerox Topbox Registration</t>
  </si>
  <si>
    <t>Tech</t>
  </si>
  <si>
    <t>E- motorcycle</t>
  </si>
  <si>
    <t>Unit</t>
  </si>
  <si>
    <t>No. of days to prepare</t>
  </si>
  <si>
    <t>2-3 business days for less than 10 units</t>
  </si>
  <si>
    <t>519110002370AAXXXLJL0381</t>
  </si>
  <si>
    <t>519110002370AAXXXLJL0260</t>
  </si>
  <si>
    <t>OKL7208JH202408300101</t>
  </si>
  <si>
    <t>a2@nrdev.ph</t>
  </si>
  <si>
    <t>4-6 (1 week)  business days for more than 10 units</t>
  </si>
  <si>
    <t>Includes, Preparation, Checking of Batteries (Offline and Online), App Test, Account Creation (CS),  PDI (Pre Delivery Inspection - Mechanic), and Documentation.</t>
  </si>
  <si>
    <t>* Messerve – 2 units D400 (any color) – 3:00 PM</t>
  </si>
  <si>
    <t>R5FBMX0B1RL000462</t>
  </si>
  <si>
    <t>519110002370AAXXXLJL0560</t>
  </si>
  <si>
    <t>Lockers</t>
  </si>
  <si>
    <t>519110002370AAXXXLJL0518</t>
  </si>
  <si>
    <t>OKL7208JH202408300154</t>
  </si>
  <si>
    <t>pm1@nrdev.ph</t>
  </si>
  <si>
    <t>2-3 business days for less than 5 units</t>
  </si>
  <si>
    <t>4-5 business days for more than 5 units</t>
  </si>
  <si>
    <t>Includes, Preparation, PDI Checking of Batteries (Offline and Online), App test (Swapping)  and Documentation.</t>
  </si>
  <si>
    <t>Preparation</t>
  </si>
  <si>
    <t>Sticker</t>
  </si>
  <si>
    <t>Charge</t>
  </si>
  <si>
    <t>R5FBMX0BXRL000427</t>
  </si>
  <si>
    <t>519110002370AAXXXLJL0036</t>
  </si>
  <si>
    <t>519110002370AAXXXLJL0274</t>
  </si>
  <si>
    <t>OKL7208JH202408300155</t>
  </si>
  <si>
    <t>pm2@nrdev.ph</t>
  </si>
  <si>
    <t>* Philpower – 1 unit D400 (Blue/Black)– 4:00 PM</t>
  </si>
  <si>
    <t>Demo for 2 weeks</t>
  </si>
  <si>
    <t>519110002370AAXXXLJL0545</t>
  </si>
  <si>
    <t>519110002370AAXXXLJL0343</t>
  </si>
  <si>
    <t>OKL7208JH202408300232</t>
  </si>
  <si>
    <t>philpower@nrdev.ph</t>
  </si>
  <si>
    <t>Hello123</t>
  </si>
  <si>
    <t>* Flexride – 10 units R280 Sports (with bracket) – Afternoon</t>
  </si>
  <si>
    <t>Lease</t>
  </si>
  <si>
    <t>R280 White</t>
  </si>
  <si>
    <t>R5FBMG0C6SL000214</t>
  </si>
  <si>
    <t>519110002370AAXXXLJL0368</t>
  </si>
  <si>
    <t>519110002370AAXXXLJL0550</t>
  </si>
  <si>
    <t>OKL7208JH202408300035</t>
  </si>
  <si>
    <t>fr1@nrdev.ph</t>
  </si>
  <si>
    <t>CSR /SI/LOC</t>
  </si>
  <si>
    <t>R5FBMG0C9SL000238</t>
  </si>
  <si>
    <t>519110002370AAXXXLJL0106</t>
  </si>
  <si>
    <t>519110002370AAXXXLJL0543</t>
  </si>
  <si>
    <t>OKL7208JH202408300038</t>
  </si>
  <si>
    <t>fr2@nrdev.ph</t>
  </si>
  <si>
    <t>R5FBMG0C8SL000215</t>
  </si>
  <si>
    <t>519110002370AAXXXJJK0039</t>
  </si>
  <si>
    <t>OKL7208JH202408300094</t>
  </si>
  <si>
    <t>fr3@nrdev.ph</t>
  </si>
  <si>
    <t>Password3</t>
  </si>
  <si>
    <t>R5FBMG0C0SL000225</t>
  </si>
  <si>
    <t>519110002370AAXXXLJL0329</t>
  </si>
  <si>
    <t>519110002370AAXXXLJL0029</t>
  </si>
  <si>
    <t>OKL7208JH202408300092</t>
  </si>
  <si>
    <t>fr4@nrdev.ph</t>
  </si>
  <si>
    <t>Password4</t>
  </si>
  <si>
    <t>R5FBMG0C3SL000218</t>
  </si>
  <si>
    <t>519110002370AAXXXLJL0035</t>
  </si>
  <si>
    <t>519110002370AAXXXLJL0335</t>
  </si>
  <si>
    <t>OKL7208JH202408300089</t>
  </si>
  <si>
    <t>fr5@nrdev.ph</t>
  </si>
  <si>
    <t>Password5</t>
  </si>
  <si>
    <t>R5FBMG0C9SL000224</t>
  </si>
  <si>
    <t>519110002370AAXXXLJL0366</t>
  </si>
  <si>
    <t>519110002370AAXXXLJL0603</t>
  </si>
  <si>
    <t>OKL7208JH202408300234</t>
  </si>
  <si>
    <t>fr6@nrdev.ph</t>
  </si>
  <si>
    <t>Password6</t>
  </si>
  <si>
    <t>R5FBMG0C5SL000236</t>
  </si>
  <si>
    <t>519110002370AAXXXLJL0365</t>
  </si>
  <si>
    <t>519110002370AAXXXLJL0197</t>
  </si>
  <si>
    <t>OKL7208JH202408300211</t>
  </si>
  <si>
    <t>fr7@nrdev.ph</t>
  </si>
  <si>
    <t>Password7</t>
  </si>
  <si>
    <t>R5FBMG0C2SL000226</t>
  </si>
  <si>
    <t>519110002370AAXXXLJL0502</t>
  </si>
  <si>
    <t>519110002370AAXXXLJL0386</t>
  </si>
  <si>
    <t>OKL7208JH202408300087</t>
  </si>
  <si>
    <t>fr8@nrdev.ph</t>
  </si>
  <si>
    <t>Password8</t>
  </si>
  <si>
    <t>R5FBMG0C6SL000228</t>
  </si>
  <si>
    <t>519110002370AAXXXLJL0398</t>
  </si>
  <si>
    <t>519110002370AAXXXLJL0207</t>
  </si>
  <si>
    <t>OKL7208JH202408300091</t>
  </si>
  <si>
    <t>fr9@nrdev.ph</t>
  </si>
  <si>
    <t>Password9</t>
  </si>
  <si>
    <t>R5FBMG0C6SL000231</t>
  </si>
  <si>
    <t>519110002370AAXXXLJL0024</t>
  </si>
  <si>
    <t>519110002370AAXXXLJL0552</t>
  </si>
  <si>
    <t>OKL7208JH202408300100</t>
  </si>
  <si>
    <t>fr10@nrdev.ph</t>
  </si>
  <si>
    <t>Password10</t>
  </si>
  <si>
    <t>BF Homes Paranaque</t>
  </si>
  <si>
    <t>R5FBMX0B4RL000438</t>
  </si>
  <si>
    <t>519110002370AAXXXJJK0139</t>
  </si>
  <si>
    <t>519110002370AAXXXLJL0380</t>
  </si>
  <si>
    <t>OKL7208JH2024408300086</t>
  </si>
  <si>
    <t>bf1@nrdev.ph</t>
  </si>
  <si>
    <t>R5FBMX0B5RL000464</t>
  </si>
  <si>
    <t>519110002370AAXXXNNK0036</t>
  </si>
  <si>
    <t>519110002370AAXXXLJL0497</t>
  </si>
  <si>
    <t>OKL7208JH2024408300243</t>
  </si>
  <si>
    <t>bf2@nrdev.ph</t>
  </si>
  <si>
    <t>R5FBMX0B7RL000417</t>
  </si>
  <si>
    <t>519110002370AAXXXLJL0202</t>
  </si>
  <si>
    <t>519110002370AAXXXJJK0090</t>
  </si>
  <si>
    <t>OKL7208JH2024408300077</t>
  </si>
  <si>
    <t>bf3@nrdev.ph</t>
  </si>
  <si>
    <t>R5FBMX0B0RL000436</t>
  </si>
  <si>
    <t>519110002370AAXXXMJK0405</t>
  </si>
  <si>
    <t>519110002370AAXXXLJL0162</t>
  </si>
  <si>
    <t>OKL7208JH2024408300046</t>
  </si>
  <si>
    <t>bf4@nrdev.ph</t>
  </si>
  <si>
    <t>R5FBMX0B2RL000437</t>
  </si>
  <si>
    <t>519110002370AAXXXLJL0549</t>
  </si>
  <si>
    <t>519110002370AAXXXLJL0599</t>
  </si>
  <si>
    <t>OKL7208JH2024408300090</t>
  </si>
  <si>
    <t>bf5@nrdev.ph</t>
  </si>
  <si>
    <t>R5FBMGOB4RL000133</t>
  </si>
  <si>
    <t>519110002370AAXXXMJK0250</t>
  </si>
  <si>
    <t>519110002370AAXXXMJK0386</t>
  </si>
  <si>
    <t>OKL7208JH2024408300088</t>
  </si>
  <si>
    <t>bf6@nrdev.ph</t>
  </si>
  <si>
    <t>LOC</t>
  </si>
  <si>
    <t>R5FBMGOB8RL000135</t>
  </si>
  <si>
    <t>519110002370AAXXXJJK0052</t>
  </si>
  <si>
    <t>519110002370AAXXXMJK0097</t>
  </si>
  <si>
    <t>OKL7208JH2024408300084</t>
  </si>
  <si>
    <t>bf7@nrdev.ph</t>
  </si>
  <si>
    <t>R5FBMGOB4RL000150</t>
  </si>
  <si>
    <t>519110002370AAXXXLJL0385</t>
  </si>
  <si>
    <t>519110002370AAXXXLJL0331</t>
  </si>
  <si>
    <t>OKL7208JH2024408300082</t>
  </si>
  <si>
    <t>bf8@nrdev.ph</t>
  </si>
  <si>
    <t>R5FBMGOB1RL000137</t>
  </si>
  <si>
    <t>519110002370AAXXXMJK0197</t>
  </si>
  <si>
    <t>519110002370AAXXXMJK0364</t>
  </si>
  <si>
    <t>OKL7208JH2024408300032</t>
  </si>
  <si>
    <t>bf9@nrdev.ph</t>
  </si>
  <si>
    <t>R5FBMGOB5RL000156</t>
  </si>
  <si>
    <t>519110002370AAXXXLJL0373</t>
  </si>
  <si>
    <t>519110002370AAXXXLJL0372</t>
  </si>
  <si>
    <t>OKL7208JH2024408300256</t>
  </si>
  <si>
    <t>bf10@nrdev.ph</t>
  </si>
  <si>
    <t>Ron - Assignment to Employee</t>
  </si>
  <si>
    <t>Assignment to Employee</t>
  </si>
  <si>
    <t>R5FBMX0B9SL000554</t>
  </si>
  <si>
    <t>same battery</t>
  </si>
  <si>
    <t>same charger</t>
  </si>
  <si>
    <t>Jigs - Assignment to Employee</t>
  </si>
  <si>
    <t>R5FBMGOB7RL000160</t>
  </si>
  <si>
    <t>519110002370AAXXXMJK0445</t>
  </si>
  <si>
    <t>519110002370AAXXXMJK0428</t>
  </si>
  <si>
    <t>OKL7208JH202408300246</t>
  </si>
  <si>
    <t xml:space="preserve">Phoenix Madrigal </t>
  </si>
  <si>
    <t>Demo for 1 month</t>
  </si>
  <si>
    <t>R5FBMX0B7RL000501</t>
  </si>
  <si>
    <t>519110002370AAXXXNNK0128</t>
  </si>
  <si>
    <t>519110002370AAXXXLJL0187</t>
  </si>
  <si>
    <t>OKL7208JH2024408300050</t>
  </si>
  <si>
    <t>phoenix@nrdev.ph</t>
  </si>
  <si>
    <t>OR/CR Xerox</t>
  </si>
  <si>
    <t>N797WA</t>
  </si>
  <si>
    <t>c/o RJ</t>
  </si>
  <si>
    <t>Move it - Lease</t>
  </si>
  <si>
    <t>R280 Sport Red</t>
  </si>
  <si>
    <t>R5FBMGOB4RL000116</t>
  </si>
  <si>
    <t>519110002370AAXXXLJL0359</t>
  </si>
  <si>
    <t>519110002370AAXXXNJL0146</t>
  </si>
  <si>
    <t>OKL7208JH2024408300018</t>
  </si>
  <si>
    <t>mi1@nrdev.ph</t>
  </si>
  <si>
    <t>N728WA</t>
  </si>
  <si>
    <t>Intong, Nick Mar</t>
  </si>
  <si>
    <t>519110002370AAXXXLJL0339</t>
  </si>
  <si>
    <t>519110002370AAXXXLJL0275</t>
  </si>
  <si>
    <t>OKL7208JH20240830258</t>
  </si>
  <si>
    <t>mi2@nrdev.ph</t>
  </si>
  <si>
    <t>N609WA</t>
  </si>
  <si>
    <t>Sumogat, Gary Beloria</t>
  </si>
  <si>
    <t>R5FBMGOC7RL000166</t>
  </si>
  <si>
    <t>519110002370AAXXXNNK0058</t>
  </si>
  <si>
    <t>519110002370AAXXXMJK0094</t>
  </si>
  <si>
    <t>OKL7208JH20240830060</t>
  </si>
  <si>
    <t>mi3@nrdev.ph</t>
  </si>
  <si>
    <t>N800WA</t>
  </si>
  <si>
    <t>Del Pilar, Cedric Sityar</t>
  </si>
  <si>
    <t>R5FBMGOC6RL000160</t>
  </si>
  <si>
    <t>519110002370AAXXXJJK0093</t>
  </si>
  <si>
    <t>519110002370AAXXXJJK0062</t>
  </si>
  <si>
    <t>OKL7208JH20240830133</t>
  </si>
  <si>
    <t>mi4@nrdev.ph</t>
  </si>
  <si>
    <t>N608WA</t>
  </si>
  <si>
    <t>Guatno, Rosito Jr. Marcelino</t>
  </si>
  <si>
    <t>R5FBMGOC8RL000158</t>
  </si>
  <si>
    <t>519110002370AAXXXJJK0187</t>
  </si>
  <si>
    <t>519110002370AAXXXMJK0491</t>
  </si>
  <si>
    <t>OKL7208JH202408300056</t>
  </si>
  <si>
    <t>mi5@nrdev.ph</t>
  </si>
  <si>
    <t>N532WA</t>
  </si>
  <si>
    <t>Aquino, Roger Jr. De Luna</t>
  </si>
  <si>
    <t>R5FBMX0B0SL000541</t>
  </si>
  <si>
    <t>519110002370AAXXXLJL0221</t>
  </si>
  <si>
    <t>519110002370AAXXXLJL0382</t>
  </si>
  <si>
    <t>OKL7208JH202408300025</t>
  </si>
  <si>
    <t>mi6@nrdev.ph</t>
  </si>
  <si>
    <t>N698WA</t>
  </si>
  <si>
    <t>Gape, Albert Llanera</t>
  </si>
  <si>
    <t>R5FBMX0B7SL000536</t>
  </si>
  <si>
    <t>519110002370AAXXXJJK0049</t>
  </si>
  <si>
    <t>519110002370AAXXXLJL0384</t>
  </si>
  <si>
    <t>OKL7208JH202408300262</t>
  </si>
  <si>
    <t>mi7@nrdev.ph</t>
  </si>
  <si>
    <t>N679WA</t>
  </si>
  <si>
    <t>Directo, Alvin Ladjabangsa</t>
  </si>
  <si>
    <t>R5FBMX0B8SL000545</t>
  </si>
  <si>
    <t>519110002370AAXXXMJK0414</t>
  </si>
  <si>
    <t>519110002370AAXXXLJL0350</t>
  </si>
  <si>
    <t>OKL7208JH202408300229</t>
  </si>
  <si>
    <t>mi8@nrdev.ph</t>
  </si>
  <si>
    <t>N688WA</t>
  </si>
  <si>
    <t>Arrogante, Tristan Lumanta</t>
  </si>
  <si>
    <t xml:space="preserve"> R5FBMX0B6SL000544</t>
  </si>
  <si>
    <t>519110002370AAXXXLJL0542</t>
  </si>
  <si>
    <t>519110002370AAXXXLJL0006</t>
  </si>
  <si>
    <t>OKL7208JH202408300105</t>
  </si>
  <si>
    <t>mi9@nrdev.ph</t>
  </si>
  <si>
    <t>N685WA</t>
  </si>
  <si>
    <t>Arrogante, Crommel Grejalvo</t>
  </si>
  <si>
    <t>R5FBMX0B8SL000562</t>
  </si>
  <si>
    <t>519110002370AAXXXNJL0105</t>
  </si>
  <si>
    <t>519110002370AAXXXLJL0496</t>
  </si>
  <si>
    <t>OKL7208JH202408300029</t>
  </si>
  <si>
    <t>mi10@nrdev.ph</t>
  </si>
  <si>
    <t>N696WA</t>
  </si>
  <si>
    <t>Gime, Renner Gotladera</t>
  </si>
  <si>
    <t>R5FBMX0B5SL000552</t>
  </si>
  <si>
    <t>519110002370AAXXXLJL0100</t>
  </si>
  <si>
    <t>519110002370AAXXXLJL0598</t>
  </si>
  <si>
    <t>OKL7208JH202408300160</t>
  </si>
  <si>
    <t>mi11@nrdev.ph</t>
  </si>
  <si>
    <t>N691WA</t>
  </si>
  <si>
    <t>Borja, Jayson Mejos</t>
  </si>
  <si>
    <t>519110002370AAXXXLJL0010</t>
  </si>
  <si>
    <t>519110002370AAXXXLJL0214</t>
  </si>
  <si>
    <t>OKL7208JH202408300230</t>
  </si>
  <si>
    <t>mi12@nrdev.ph</t>
  </si>
  <si>
    <t>N690WA</t>
  </si>
  <si>
    <t>Pateros Municipal</t>
  </si>
  <si>
    <t>Lease - Donation</t>
  </si>
  <si>
    <t>R5FBMX0B1RL000512</t>
  </si>
  <si>
    <t>519110002370AAXXXNJL0151</t>
  </si>
  <si>
    <t>519110002370AAXXXNJL0113</t>
  </si>
  <si>
    <t>OKL7208JH202408300173</t>
  </si>
  <si>
    <t>pateros+1@nrdev.ph</t>
  </si>
  <si>
    <t>R5FBMGOB5RL000139</t>
  </si>
  <si>
    <t>519110002370AAXXXNJL0206</t>
  </si>
  <si>
    <t>519110002370AAXXXNJL0077</t>
  </si>
  <si>
    <t>OKL7208JH202408300506</t>
  </si>
  <si>
    <t>pateros+2@nrdev.ph</t>
  </si>
  <si>
    <t>Teko</t>
  </si>
  <si>
    <t>Demo</t>
  </si>
  <si>
    <t>R5FBMGOBXRL000105</t>
  </si>
  <si>
    <t>519110002370AAXXXJJK0074</t>
  </si>
  <si>
    <t>519110002370AAXXXLJL0376</t>
  </si>
  <si>
    <t>teko@nrdev.ph</t>
  </si>
  <si>
    <t>N619WA</t>
  </si>
  <si>
    <t>Samuel Kniazeff</t>
  </si>
  <si>
    <t>R5FBMX0B0RL000503</t>
  </si>
  <si>
    <t>519110002370AAXXXLJL0256</t>
  </si>
  <si>
    <t>519110002370AAXXXNJL0132</t>
  </si>
  <si>
    <t>SNMHC7215JH202412050026</t>
  </si>
  <si>
    <t>C/o Sam</t>
  </si>
  <si>
    <t>N730WA</t>
  </si>
  <si>
    <t>Ian Jimenez</t>
  </si>
  <si>
    <t>R5FBMX0B2RL000440</t>
  </si>
  <si>
    <t>519110002370AAXXXLJL0243</t>
  </si>
  <si>
    <t>519110002370AAXXXNJL0197</t>
  </si>
  <si>
    <t>OKL7208JH202408300277</t>
  </si>
  <si>
    <t>c/o Ian</t>
  </si>
  <si>
    <t>N601WA</t>
  </si>
  <si>
    <t>JRS - Demo</t>
  </si>
  <si>
    <t>Demo for 2 Months</t>
  </si>
  <si>
    <t>R5FBMX0B3RL000530</t>
  </si>
  <si>
    <t>519110002370AAXXXNJL0066</t>
  </si>
  <si>
    <t>519110002370AAXXXLJL0517</t>
  </si>
  <si>
    <t>OKL7208JH202408300104</t>
  </si>
  <si>
    <t>jrs1@nrdev.ph</t>
  </si>
  <si>
    <t>N673WA</t>
  </si>
  <si>
    <t>R5FBMX0B3RL000480</t>
  </si>
  <si>
    <t>519110002370AAXXXNJL0126</t>
  </si>
  <si>
    <t>519110002370AAXXXLJL0126</t>
  </si>
  <si>
    <t>OKL7208JH202408300226</t>
  </si>
  <si>
    <t>jrs2@nrdev.ph</t>
  </si>
  <si>
    <t>N668WA</t>
  </si>
  <si>
    <t>R5FBMX0B6RL000487</t>
  </si>
  <si>
    <t>519110002370AAXXXNJL0106</t>
  </si>
  <si>
    <t>519110002370AAXXXNJL0089</t>
  </si>
  <si>
    <t>OKL7208JH202408300278</t>
  </si>
  <si>
    <t>jrs3@nrdev.ph</t>
  </si>
  <si>
    <t>N708WA</t>
  </si>
  <si>
    <t xml:space="preserve">R5FBMX0B1RL000526 </t>
  </si>
  <si>
    <t>519110002370AAXXXLJL0546</t>
  </si>
  <si>
    <t>519110002370AAXXXLJL0388</t>
  </si>
  <si>
    <t>OKL7208JH202408300309</t>
  </si>
  <si>
    <t>jrs4@nrdev.ph</t>
  </si>
  <si>
    <t>N669WA</t>
  </si>
  <si>
    <t>R5FBMX0B6RL000506</t>
  </si>
  <si>
    <t>519110002370AAXXXLJL0199</t>
  </si>
  <si>
    <t>519110002370AAXXXNJL0102</t>
  </si>
  <si>
    <t>OKL7208JH202408300152</t>
  </si>
  <si>
    <t>jrs5@nrdev.ph</t>
  </si>
  <si>
    <t>N705WA</t>
  </si>
  <si>
    <t>R5FBMX0B8RL000524</t>
  </si>
  <si>
    <t>519110002370AAXXXLJL0500</t>
  </si>
  <si>
    <t>519110002370AAXXXLJL0225</t>
  </si>
  <si>
    <t>OKL7208JH202408300030</t>
  </si>
  <si>
    <t>jrs6@nrdev.ph</t>
  </si>
  <si>
    <t>N712WA</t>
  </si>
  <si>
    <t>R5FBMX0B7RL000515</t>
  </si>
  <si>
    <t>519110002370AAXXXNJL0065</t>
  </si>
  <si>
    <t>519110002370AAXXXLJL0270</t>
  </si>
  <si>
    <t>OKL7208JH202408300227</t>
  </si>
  <si>
    <t>jrs7@nrdev.ph</t>
  </si>
  <si>
    <t>N703WA</t>
  </si>
  <si>
    <t>R5FBMX0B8RL000510</t>
  </si>
  <si>
    <t>519110002370AAXXXLJL0378</t>
  </si>
  <si>
    <t>519110002370AAXXXLJL0367</t>
  </si>
  <si>
    <t>OKL7208JH202408300294</t>
  </si>
  <si>
    <t>jrs8@nrdev.ph</t>
  </si>
  <si>
    <t>N702WA</t>
  </si>
  <si>
    <t>R5FBMX0B9RL000483</t>
  </si>
  <si>
    <t>519110002370AAXXXLJL0020</t>
  </si>
  <si>
    <t>519110002370AAXXXNJL0182</t>
  </si>
  <si>
    <t>OKL7208JH202408300093</t>
  </si>
  <si>
    <t>jrs9@nrdev.ph</t>
  </si>
  <si>
    <t>N674WA</t>
  </si>
  <si>
    <t>Minerva - Malabon</t>
  </si>
  <si>
    <t>Sale to Client</t>
  </si>
  <si>
    <t>R280 Black</t>
  </si>
  <si>
    <t>R5FBMG0C9SL000191</t>
  </si>
  <si>
    <t>519110002370AAXXXLJL0112</t>
  </si>
  <si>
    <t>519110002370AAXXXNJL0142</t>
  </si>
  <si>
    <t>OKL7208JH202408300021</t>
  </si>
  <si>
    <t>minerva1@nrdev.ph</t>
  </si>
  <si>
    <t>c/o Dealer</t>
  </si>
  <si>
    <t>-</t>
  </si>
  <si>
    <t>R5FBMX0B5RL000450</t>
  </si>
  <si>
    <t>519110002370AAXXXNJL0137</t>
  </si>
  <si>
    <t>519110002370AAXXXLJL0109</t>
  </si>
  <si>
    <t>OKL7208JH202408300023</t>
  </si>
  <si>
    <t>minerva2@nrdev.ph</t>
  </si>
  <si>
    <t>Xpress - Demo</t>
  </si>
  <si>
    <t>Demo - 1 month</t>
  </si>
  <si>
    <t>519110002370AAXXXLJL0323</t>
  </si>
  <si>
    <t>519110002370AAXXXLJL0131</t>
  </si>
  <si>
    <t>xpress1@nrdev.ph</t>
  </si>
  <si>
    <t xml:space="preserve">OR/CR Xerox </t>
  </si>
  <si>
    <t>N672WA</t>
  </si>
  <si>
    <t>519110002370AAXXXJJK0200</t>
  </si>
  <si>
    <t>519110002370AAXXXJJK0050</t>
  </si>
  <si>
    <t>xpress2@nrdev.ph</t>
  </si>
  <si>
    <t>N667WA</t>
  </si>
  <si>
    <t>Tri Megaforce - Demo</t>
  </si>
  <si>
    <t>Demo -2 Weeks</t>
  </si>
  <si>
    <t>R5FBMG0C8SL000196</t>
  </si>
  <si>
    <t>519110002370AAXXXLJL0097</t>
  </si>
  <si>
    <t>519110002370AAXXXNJL0119</t>
  </si>
  <si>
    <t>OKL7208JH202408300017</t>
  </si>
  <si>
    <t>trimegaforce1@nrdev.ph</t>
  </si>
  <si>
    <t>N678WA</t>
  </si>
  <si>
    <t>R5FBMG0C1SL000203</t>
  </si>
  <si>
    <t>519110002370AAXXXNJL0117</t>
  </si>
  <si>
    <t>519110002370AAXXXLJL0204</t>
  </si>
  <si>
    <t>OKL7208JH202408300052</t>
  </si>
  <si>
    <t>trimegaforce2@nrdev.ph</t>
  </si>
  <si>
    <t>N681WA</t>
  </si>
  <si>
    <t>Amico</t>
  </si>
  <si>
    <t>Lease to Client</t>
  </si>
  <si>
    <t>R5FBMG0C1SL000184</t>
  </si>
  <si>
    <t>519110002370AAXXXNJL0149</t>
  </si>
  <si>
    <t>519110002370AAXXXNJL0091</t>
  </si>
  <si>
    <t>OKL7208JH202408300139</t>
  </si>
  <si>
    <t>amico1@nrdev.ph</t>
  </si>
  <si>
    <t>N701WA</t>
  </si>
  <si>
    <t>R5FBMG0CXSL000197</t>
  </si>
  <si>
    <t>519110002370AAXXXLJL0493</t>
  </si>
  <si>
    <t>519110002370AAXXXLJL0474</t>
  </si>
  <si>
    <t>OKL7208JH202408300138</t>
  </si>
  <si>
    <t>amico2@nrdev.ph</t>
  </si>
  <si>
    <t>N684WA</t>
  </si>
  <si>
    <t>Meralco</t>
  </si>
  <si>
    <t>Demo - 1 day</t>
  </si>
  <si>
    <t>519110002370AAXXXMJK0239</t>
  </si>
  <si>
    <t>OKL7208JH202408300140</t>
  </si>
  <si>
    <t>No need / RJ Account</t>
  </si>
  <si>
    <t>Nextrade</t>
  </si>
  <si>
    <t>R5FBMG0C8SL000182</t>
  </si>
  <si>
    <t>519110002370AAXXXLJL0267</t>
  </si>
  <si>
    <t>519110002370AAXXXNJL0188</t>
  </si>
  <si>
    <t>OKL7208JH202408300027</t>
  </si>
  <si>
    <t>NextTrade</t>
  </si>
  <si>
    <t>nt1@nrdev.ph</t>
  </si>
  <si>
    <t>N111WC</t>
  </si>
  <si>
    <t>R5FBMG0C2SL000193</t>
  </si>
  <si>
    <t>519110002370AAXXXLJL0514</t>
  </si>
  <si>
    <t>519110002370AAXXXLJL0115</t>
  </si>
  <si>
    <t>OKL7208JH202408300142</t>
  </si>
  <si>
    <t>nt2@nrdev.ph</t>
  </si>
  <si>
    <t>N106WC</t>
  </si>
  <si>
    <t>E88 Employee - Ian Jimenez</t>
  </si>
  <si>
    <t>Until further notice</t>
  </si>
  <si>
    <t>R5FBMGOC2RL000110</t>
  </si>
  <si>
    <t>519110002370AAXXXLJL0311</t>
  </si>
  <si>
    <t>No need / Ian Account</t>
  </si>
  <si>
    <t>E88 Employee - Emman Usi</t>
  </si>
  <si>
    <t>519110002370AAXXXLJL0101</t>
  </si>
  <si>
    <t>519110002370AAXXXLJL0379</t>
  </si>
  <si>
    <t>No need / Emman account</t>
  </si>
  <si>
    <t>Demo - 3 Days</t>
  </si>
  <si>
    <t>R5FBMX0B3RL000415</t>
  </si>
  <si>
    <t>519110002370AAXXXMJK0289</t>
  </si>
  <si>
    <t>519110002370AAXXXNJL0138</t>
  </si>
  <si>
    <t>tm1@nrdev.ph</t>
  </si>
  <si>
    <t>R5FBMG0C5SL000205</t>
  </si>
  <si>
    <t>519110002370AAXXXLJL0161</t>
  </si>
  <si>
    <t>519110002370AAXXXNJL0175</t>
  </si>
  <si>
    <t>OKL7208JH20259250185</t>
  </si>
  <si>
    <t>tm2@nrdev.ph</t>
  </si>
  <si>
    <t>canceled</t>
  </si>
  <si>
    <t>Minerva - Sold</t>
  </si>
  <si>
    <t>R5FBMG0C7SL000190</t>
  </si>
  <si>
    <t>519110002370AAXXXLJL0154</t>
  </si>
  <si>
    <t>minerva3@nrdev.ph</t>
  </si>
  <si>
    <t>R5FBMG0C9SL000269</t>
  </si>
  <si>
    <t>519110002370AAXXXNJL0114</t>
  </si>
  <si>
    <t>minerva4@nrdev.ph</t>
  </si>
  <si>
    <t>Angkas - Demo</t>
  </si>
  <si>
    <t>519110002370AAXXXLJL0334</t>
  </si>
  <si>
    <t>519110002370AAXXXLJL0345</t>
  </si>
  <si>
    <t>a3@nrdev.ph</t>
  </si>
  <si>
    <t>N716WA</t>
  </si>
  <si>
    <t>519110002370AAXXXMJK0408</t>
  </si>
  <si>
    <t>519110002370AAXXXLJL0177</t>
  </si>
  <si>
    <t>OKL7208JH2024083000031</t>
  </si>
  <si>
    <t>a4@nrdev.ph</t>
  </si>
  <si>
    <t>N537WA</t>
  </si>
  <si>
    <t>519110002370AAXXXLJL0228</t>
  </si>
  <si>
    <t>519110002370AAXXXLJL0277</t>
  </si>
  <si>
    <t>a5@nrdev.ph</t>
  </si>
  <si>
    <t>N775WA</t>
  </si>
  <si>
    <t>519110002370AAXXXLJL0004</t>
  </si>
  <si>
    <t>519110002370AAXXXLJL0520</t>
  </si>
  <si>
    <t>a6@nrdev.ph</t>
  </si>
  <si>
    <t>N715WA</t>
  </si>
  <si>
    <t>519110002370AAXXXJJK0177</t>
  </si>
  <si>
    <t>519110002370AAXXXMJK0376</t>
  </si>
  <si>
    <t>OKL7208JH202408300020</t>
  </si>
  <si>
    <t>a7@nrdev.ph</t>
  </si>
  <si>
    <t>N724WA</t>
  </si>
  <si>
    <t>a8@nrdev.ph</t>
  </si>
  <si>
    <t>N707WA</t>
  </si>
  <si>
    <t>519110002370AAXXXLJL0093</t>
  </si>
  <si>
    <t>519110002370AAXXXNJL0172</t>
  </si>
  <si>
    <t>a9@nrdev.ph</t>
  </si>
  <si>
    <t>N107WC</t>
  </si>
  <si>
    <t>519110002370AAXXXLJL0269</t>
  </si>
  <si>
    <t>519110002370AAXXXLJL0146</t>
  </si>
  <si>
    <t>a10@nrdev.ph</t>
  </si>
  <si>
    <t>N101WC</t>
  </si>
  <si>
    <t>Angels Pizza</t>
  </si>
  <si>
    <t>519110002370AAXXXLJL0188</t>
  </si>
  <si>
    <t>519110002370AAXXXLJL0533</t>
  </si>
  <si>
    <t>OKL7208JH2024083000154</t>
  </si>
  <si>
    <t>angel1@nrdev.ph</t>
  </si>
  <si>
    <t>Pilipinas Messerve</t>
  </si>
  <si>
    <t>R5FBMG0C4SL000227</t>
  </si>
  <si>
    <t>519110002370AAXXXLJL0009</t>
  </si>
  <si>
    <t>pm3@nrdev.ph</t>
  </si>
  <si>
    <t>N153WC</t>
  </si>
  <si>
    <t>Wemove</t>
  </si>
  <si>
    <t>Lease to Client - 1 Month</t>
  </si>
  <si>
    <t>wemove2@nrdev.ph</t>
  </si>
  <si>
    <t>CR/OR Xerox</t>
  </si>
  <si>
    <t>N627WA</t>
  </si>
  <si>
    <t>1303-000000622025</t>
  </si>
  <si>
    <t>SHAKEYS</t>
  </si>
  <si>
    <t>Demo - 4 Days</t>
  </si>
  <si>
    <t>R280 2000W Black</t>
  </si>
  <si>
    <t>R5FBMG0C4SL000194</t>
  </si>
  <si>
    <t>519110002370AAXXXNJL0063</t>
  </si>
  <si>
    <t>519110002370AAXXXLJL0495</t>
  </si>
  <si>
    <t>Shakeys</t>
  </si>
  <si>
    <t>shakeys1@nrdev.ph</t>
  </si>
  <si>
    <t>N105WC</t>
  </si>
  <si>
    <t>D400 4000W Red</t>
  </si>
  <si>
    <t>shakeys2@nrdev.ph</t>
  </si>
  <si>
    <t>Canceled</t>
  </si>
  <si>
    <t>SNAPMART</t>
  </si>
  <si>
    <t>D400BLK4000</t>
  </si>
  <si>
    <t>519110002370AAXXXLJL0235</t>
  </si>
  <si>
    <t>ssmart1@nrdev.ph</t>
  </si>
  <si>
    <t>519110002370AAXXXJJK0252</t>
  </si>
  <si>
    <t>519110002370AAXXXNJL0160</t>
  </si>
  <si>
    <t>OKL7208JH202408300114</t>
  </si>
  <si>
    <t>ssmart2@nrdev.ph</t>
  </si>
  <si>
    <t>R5FBMX0B6SL000544</t>
  </si>
  <si>
    <t>519110002370AAXXXLJL0098</t>
  </si>
  <si>
    <t>519110002370AAXXXLJL0227</t>
  </si>
  <si>
    <t>ssmart3@nrdev.ph</t>
  </si>
  <si>
    <t>ssmart4@nrdev.ph</t>
  </si>
  <si>
    <t>519110002370AAXXXJJK0100</t>
  </si>
  <si>
    <t>519110002370AAXXXJJK0047</t>
  </si>
  <si>
    <t>OKL7208JH202408300060</t>
  </si>
  <si>
    <t>ssmart5@nrdev.ph</t>
  </si>
  <si>
    <t>TRI MEGAFORCE</t>
  </si>
  <si>
    <t>LEASE</t>
  </si>
  <si>
    <t>R5FBMX0B9SL000537</t>
  </si>
  <si>
    <t>519110002370AAXXXLJL0230</t>
  </si>
  <si>
    <t>519110002370AAXXXNJL0144</t>
  </si>
  <si>
    <t>ACROPOLIS</t>
  </si>
  <si>
    <t>tm_a1@nrdev.ph</t>
  </si>
  <si>
    <t>N161WC</t>
  </si>
  <si>
    <t>D400BLU4000</t>
  </si>
  <si>
    <t>R5FBMX0B7RL000482</t>
  </si>
  <si>
    <t>519110002370AAXXXLJL0095</t>
  </si>
  <si>
    <t>519110002370AAXXXLJL0406</t>
  </si>
  <si>
    <t>tm_a2@nrdev.ph</t>
  </si>
  <si>
    <t>N148WC</t>
  </si>
  <si>
    <t>R5FBMX0B2SL000539</t>
  </si>
  <si>
    <t>519110002370AAXXXLJL0211</t>
  </si>
  <si>
    <t>519110002370AAXXXLJL0064</t>
  </si>
  <si>
    <t>AYALA HEIGHTS</t>
  </si>
  <si>
    <t>tm_ah1@nrdev.ph</t>
  </si>
  <si>
    <t>N139WC</t>
  </si>
  <si>
    <t>R5FBMX0B4RL000486</t>
  </si>
  <si>
    <t>519110002370AAXXXNJL0118</t>
  </si>
  <si>
    <t>519110002370AAXXXNJL0148</t>
  </si>
  <si>
    <t>tm_ah2@nrdev.ph</t>
  </si>
  <si>
    <t>N143WC</t>
  </si>
  <si>
    <t>R5FBMX0B4SL000543</t>
  </si>
  <si>
    <t>519110002370AAXXXNJL0124</t>
  </si>
  <si>
    <t>519110002370AAXXXLJL0581</t>
  </si>
  <si>
    <t>OKL7208JH202408300258</t>
  </si>
  <si>
    <t>GREENMEADOWS</t>
  </si>
  <si>
    <t>tm_g1@nrdev.ph</t>
  </si>
  <si>
    <t>N162WC</t>
  </si>
  <si>
    <t>R5FBMX0B5SL000549</t>
  </si>
  <si>
    <t>519110002370AAXXXLJL0516</t>
  </si>
  <si>
    <t>519110002370AAXXXLJL0182</t>
  </si>
  <si>
    <t>tm_g2@nrdev.ph</t>
  </si>
  <si>
    <t>N132WC</t>
  </si>
  <si>
    <t>R5FBMX0B1RL000493</t>
  </si>
  <si>
    <t>519110002370AAXXXNJL0171</t>
  </si>
  <si>
    <t>519110002370AAXXXNJL0181</t>
  </si>
  <si>
    <t>tm_g3@nrdev.ph</t>
  </si>
  <si>
    <t>N149WC</t>
  </si>
  <si>
    <t>R5FBMX0B1SL000550</t>
  </si>
  <si>
    <t>519110002370AAXXXNJL0200</t>
  </si>
  <si>
    <t>519110002370AAXXXNJL0123</t>
  </si>
  <si>
    <t>NORTH GREENHILLS</t>
  </si>
  <si>
    <t>tm_ng1@nrdev.ph</t>
  </si>
  <si>
    <t>N155WC</t>
  </si>
  <si>
    <t>R5FBMX0B9RL000516</t>
  </si>
  <si>
    <t>519110002370AAXXXLJL0252</t>
  </si>
  <si>
    <t>519110002370AAXXXLJL0454</t>
  </si>
  <si>
    <t>tm_ng2@nrdev.ph</t>
  </si>
  <si>
    <t>N136WC</t>
  </si>
  <si>
    <t>R5FBMX0B2SL000556</t>
  </si>
  <si>
    <t>519110002370AAXXXNJL0198</t>
  </si>
  <si>
    <t>519110002370AAXXXNJL0187</t>
  </si>
  <si>
    <t>VALLE VERDE 1</t>
  </si>
  <si>
    <t>tm_vv1@nrdev.ph</t>
  </si>
  <si>
    <t xml:space="preserve">N147WC	</t>
  </si>
  <si>
    <t>R5FBMX0B4SL000557</t>
  </si>
  <si>
    <t>519110002370AAXXXNJL0070</t>
  </si>
  <si>
    <t>OKL7208JH202408300133</t>
  </si>
  <si>
    <t>VALLE VERDE 2</t>
  </si>
  <si>
    <t>tm_vv2@nrdev.ph</t>
  </si>
  <si>
    <t>N160WC</t>
  </si>
  <si>
    <t>R5FBMX0B6SL000558</t>
  </si>
  <si>
    <t>519110002370AAXXXLJL0144</t>
  </si>
  <si>
    <t>519110002370AAXXXLJL0160</t>
  </si>
  <si>
    <t>VALLE VERDE 3</t>
  </si>
  <si>
    <t>tm_vv3@nrdev.ph</t>
  </si>
  <si>
    <t>N140WC</t>
  </si>
  <si>
    <t>R5FBMX0B8SL000559</t>
  </si>
  <si>
    <t>519110002370AAXXXLJL0090</t>
  </si>
  <si>
    <t>519110002370AAXXXLJL0336</t>
  </si>
  <si>
    <t>VALLE VERDE 4</t>
  </si>
  <si>
    <t>tm_vv4@nrdev.ph</t>
  </si>
  <si>
    <t>N158WC</t>
  </si>
  <si>
    <t>519110002370AAXXXLJL0212</t>
  </si>
  <si>
    <t>519110002370AAXXXMJK0276</t>
  </si>
  <si>
    <t>VALLE VERDE 5</t>
  </si>
  <si>
    <t>tm_vv5@nrdev.ph</t>
  </si>
  <si>
    <t>R5FBMX0B1SL000564</t>
  </si>
  <si>
    <t>519110002370AAXXXNJL0086</t>
  </si>
  <si>
    <t>519110002370AAXXXLJL0234</t>
  </si>
  <si>
    <t>OKL7208JH202408300018</t>
  </si>
  <si>
    <t>VALLE VERDE 6</t>
  </si>
  <si>
    <t>tm_vv6@nrdev.ph</t>
  </si>
  <si>
    <t>N133WC</t>
  </si>
  <si>
    <t>519110002370AAXXXMJK0217</t>
  </si>
  <si>
    <t>519110002370AAXXXLJL0231</t>
  </si>
  <si>
    <t>WACKWACK VILLAGE</t>
  </si>
  <si>
    <t>tm_wv1@nrdev.ph</t>
  </si>
  <si>
    <t xml:space="preserve">N690WA	</t>
  </si>
  <si>
    <t>R5FBMX0B2RL000518</t>
  </si>
  <si>
    <t>519110002370AAXXXLJL0534</t>
  </si>
  <si>
    <t>519110002370AAXXXLJL0175</t>
  </si>
  <si>
    <t>tm_wv2@nrdev.ph</t>
  </si>
  <si>
    <t>N150WC</t>
  </si>
  <si>
    <t>MINERVA</t>
  </si>
  <si>
    <t>R5FBMX0BXSL000563</t>
  </si>
  <si>
    <t>519110002370AAXXXLJL0125</t>
  </si>
  <si>
    <t>519110002370AAXXXNJL0127</t>
  </si>
  <si>
    <t>minerva5@nrdev.ph</t>
  </si>
  <si>
    <t>Go Sakay</t>
  </si>
  <si>
    <t>R280SPRED2500</t>
  </si>
  <si>
    <t>519110002370AAXXXNNK0122</t>
  </si>
  <si>
    <t>gsakay1@nrdev.ph</t>
  </si>
  <si>
    <t>Password123</t>
  </si>
  <si>
    <t>D400RED4000</t>
  </si>
  <si>
    <t>519110002370AAXXXNJL0133</t>
  </si>
  <si>
    <t>519110002370AAXXXLJL0507</t>
  </si>
  <si>
    <t>gsakay2@nrdev.ph</t>
  </si>
  <si>
    <t>519110002370AAXXXNJL0115</t>
  </si>
  <si>
    <t>519110002370AAXXXLJL0122</t>
  </si>
  <si>
    <t>gsakay3@nrdev.ph</t>
  </si>
  <si>
    <t>519110002370AAXXXNJL0085</t>
  </si>
  <si>
    <t>519110002370AAXXXNJL0122</t>
  </si>
  <si>
    <t>gsakay4@nrdev.ph</t>
  </si>
  <si>
    <t>519110002370AAXXXLJL0353</t>
  </si>
  <si>
    <t>519110002370AAXXXLJL0105</t>
  </si>
  <si>
    <t>gsakay5@nrdev.ph</t>
  </si>
  <si>
    <t>519110002370AAXXXNJL0120</t>
  </si>
  <si>
    <t>519110002370AAXXXNJL0145</t>
  </si>
  <si>
    <t>gsakay6@nrdev.ph</t>
  </si>
  <si>
    <t>519110002370AAXXXNJL0134</t>
  </si>
  <si>
    <t>519110002370AAXXXNJL0099</t>
  </si>
  <si>
    <t>gsakay7@nrdev.ph</t>
  </si>
  <si>
    <t>519110002370AAXXXLJL0570</t>
  </si>
  <si>
    <t>519110002370AAXXXNJL0155</t>
  </si>
  <si>
    <t>gsakay8@nrdev.ph</t>
  </si>
  <si>
    <t>519110002370AAXXXLJL0576</t>
  </si>
  <si>
    <t>519110002370AAXXXLJL0322</t>
  </si>
  <si>
    <t>gsakay9@nrdev.ph</t>
  </si>
  <si>
    <t>519110002370AAXXXLJL0091</t>
  </si>
  <si>
    <t>519110002370AAXXXLJL0217</t>
  </si>
  <si>
    <t>gsakay10@nrdev.ph</t>
  </si>
  <si>
    <t>519110002370AAXXXMJK0267</t>
  </si>
  <si>
    <t>519110002370AAXXXLJL0341</t>
  </si>
  <si>
    <t>gsakay11@nrdev.ph</t>
  </si>
  <si>
    <t>gsakay12@nrdev.ph</t>
  </si>
  <si>
    <t>Amico Innovations, Inc.</t>
  </si>
  <si>
    <t>R280BLA2000</t>
  </si>
  <si>
    <t>amico3@nrdev.ph</t>
  </si>
  <si>
    <t>Meralco - Mandaluyong</t>
  </si>
  <si>
    <t>OKL7208JH2024083000160</t>
  </si>
  <si>
    <t>meralco1@nrdev.ph</t>
  </si>
  <si>
    <t>1303-000000661805</t>
  </si>
  <si>
    <t>0108070118</t>
  </si>
  <si>
    <t>Meralco - Espana</t>
  </si>
  <si>
    <t>519110002370AAXXXJJK0249</t>
  </si>
  <si>
    <t>OKL7208JH2024083000230</t>
  </si>
  <si>
    <t>meralco2@nrdev.ph</t>
  </si>
  <si>
    <t>0109691523</t>
  </si>
  <si>
    <t>Meralco - Malate</t>
  </si>
  <si>
    <t>519110002370AAXXXLJL0340</t>
  </si>
  <si>
    <t>519110002370AAXXXNJL0068</t>
  </si>
  <si>
    <t>meralco3@nrdev.ph</t>
  </si>
  <si>
    <t>1303-000000671841</t>
  </si>
  <si>
    <t>0109691556</t>
  </si>
  <si>
    <t>Proj Velocity - (Angkas, Move it &amp; Go Sakay)</t>
  </si>
  <si>
    <t>519110002370AAXXXMJK0226</t>
  </si>
  <si>
    <t>OKL7208JH2024083000101</t>
  </si>
  <si>
    <t>Velocity</t>
  </si>
  <si>
    <t>velocity1@nrdev.ph</t>
  </si>
  <si>
    <t>519110002370AAXXXNNK0109</t>
  </si>
  <si>
    <t>519110002370AAXXXJJK0162</t>
  </si>
  <si>
    <t>velocity2@nrdev.ph</t>
  </si>
  <si>
    <t>519110002370AAXXXMJK0201</t>
  </si>
  <si>
    <t>OKL7208JH2024083000269</t>
  </si>
  <si>
    <t>velocity3@nrdev.ph</t>
  </si>
  <si>
    <t>519110002370AAXXXLJL0192</t>
  </si>
  <si>
    <t>nt3@nrdev.ph</t>
  </si>
  <si>
    <t>519110002370AAXXXNJL0201</t>
  </si>
  <si>
    <t>519110002370AAXXXMJK0164</t>
  </si>
  <si>
    <t>OKL7208JH2024083000232</t>
  </si>
  <si>
    <t>nt4@nrdev.ph</t>
  </si>
  <si>
    <t>BetterEdge</t>
  </si>
  <si>
    <t>R5FBMX0BXRL000458</t>
  </si>
  <si>
    <t>519110002370AAXXXLJL0278</t>
  </si>
  <si>
    <t>519110002370AAXXXLJL0205</t>
  </si>
  <si>
    <t>OKL7208JH2024083000102</t>
  </si>
  <si>
    <t>Besi</t>
  </si>
  <si>
    <t>besi1@nrdev.ph</t>
  </si>
  <si>
    <t>CSR only</t>
  </si>
  <si>
    <t xml:space="preserve"> R5FBMX0B8RL000460</t>
  </si>
  <si>
    <t>519110002370AAXXXLJL0556</t>
  </si>
  <si>
    <t>519110002370AAXXXLJL0414</t>
  </si>
  <si>
    <t>OKL7208JH2024083000051</t>
  </si>
  <si>
    <t>besi2@nrdev.ph</t>
  </si>
  <si>
    <t>R5FBMX0B7RL000465</t>
  </si>
  <si>
    <t>519110002370AAXXXLJL0017</t>
  </si>
  <si>
    <t>519110002370AAXXXLJL0291</t>
  </si>
  <si>
    <t>OKL7208JH2024083000050</t>
  </si>
  <si>
    <t>besi3@nrdev.ph</t>
  </si>
  <si>
    <t>519110002370AAXXXLJL0360</t>
  </si>
  <si>
    <t>519110002370AAXXXNJL0158</t>
  </si>
  <si>
    <t>OKL7208JH2024830031</t>
  </si>
  <si>
    <t>besi4@nrdev.ph</t>
  </si>
  <si>
    <t>519110002370AAXXXLJL0215</t>
  </si>
  <si>
    <t>OKL7208JH2024083000168</t>
  </si>
  <si>
    <t>besi5@nrdev.ph</t>
  </si>
  <si>
    <t>519110002370AAXXXJJK0250</t>
  </si>
  <si>
    <t>519110002370AAXXXNJL0057</t>
  </si>
  <si>
    <t>OKL7208JH20248300024</t>
  </si>
  <si>
    <t>besi6@nrdev.ph</t>
  </si>
  <si>
    <t>besi7@nrdev.ph</t>
  </si>
  <si>
    <t>besi8@nrdev.ph</t>
  </si>
  <si>
    <t>N664WA</t>
  </si>
  <si>
    <t>OKL7208JH202509250181</t>
  </si>
  <si>
    <t>besi9@nrdev.ph</t>
  </si>
  <si>
    <t>OKL7208JH202509250168</t>
  </si>
  <si>
    <t xml:space="preserve"> N775WA</t>
  </si>
  <si>
    <t>Laurence Bahia</t>
  </si>
  <si>
    <t>R280WHI2000</t>
  </si>
  <si>
    <t>R5FBMG0C3SL000221</t>
  </si>
  <si>
    <t>519110002370AAXXXLJL0462</t>
  </si>
  <si>
    <t>519110002370AAXXXLJL0351</t>
  </si>
  <si>
    <t>OKL7208JH202509250070</t>
  </si>
  <si>
    <t>Laurence</t>
  </si>
  <si>
    <t>Bahia</t>
  </si>
  <si>
    <t>laurencebahia@nrdev.ph</t>
  </si>
  <si>
    <t>N167WC</t>
  </si>
  <si>
    <t>R5FBMG0C8SL000229</t>
  </si>
  <si>
    <t>519110002370AAXXXNJL0162</t>
  </si>
  <si>
    <t>519110002370AAXXXLJL0412</t>
  </si>
  <si>
    <t>pm4@nrdev.ph</t>
  </si>
  <si>
    <t>N131WC</t>
  </si>
  <si>
    <t>R5FBMG0C2SL000212</t>
  </si>
  <si>
    <t>519110002370AAXXXLJL0168</t>
  </si>
  <si>
    <t>519110002370AAXXXLJL0151</t>
  </si>
  <si>
    <t>pm5@nrdev.ph</t>
  </si>
  <si>
    <t>N130WC</t>
  </si>
  <si>
    <t>R5FBMG0C7SL000223</t>
  </si>
  <si>
    <t>519110002370AAXXXLJL0298</t>
  </si>
  <si>
    <t>519110002370AAXXXLJL0201</t>
  </si>
  <si>
    <t>pm6@nrdev.ph</t>
  </si>
  <si>
    <t>N138WC</t>
  </si>
  <si>
    <t>R5FBMG0C4SL000230</t>
  </si>
  <si>
    <t>519110002370AAXXXLJL0304</t>
  </si>
  <si>
    <t>519110002370AAXXXLJL0411</t>
  </si>
  <si>
    <t>pm7@nrdev.ph</t>
  </si>
  <si>
    <t>N142WC</t>
  </si>
  <si>
    <t>besi10@nrdev.ph</t>
  </si>
  <si>
    <t>N151WC</t>
  </si>
  <si>
    <t>519110002370AAXXXJJK0022</t>
  </si>
  <si>
    <t>519110002370AAXXXMJK0203</t>
  </si>
  <si>
    <t>OKL7208JH2024083000060</t>
  </si>
  <si>
    <t>besi11@nrdev.ph</t>
  </si>
  <si>
    <t>OKL7208JH2024083000114</t>
  </si>
  <si>
    <t>besi12@nrdev.ph</t>
  </si>
  <si>
    <t>Monde Bread</t>
  </si>
  <si>
    <t>MB</t>
  </si>
  <si>
    <t>mondebread1@nrdev.ph</t>
  </si>
  <si>
    <t>N144WC</t>
  </si>
  <si>
    <t>1303-000000695400</t>
  </si>
  <si>
    <t>0112667441</t>
  </si>
  <si>
    <t>mondebread2@nrdev.ph</t>
  </si>
  <si>
    <t>N124WC</t>
  </si>
  <si>
    <t>1303-000000695445</t>
  </si>
  <si>
    <t>0112667520</t>
  </si>
  <si>
    <t>mondebread3@nrdev.ph</t>
  </si>
  <si>
    <t>N125WC</t>
  </si>
  <si>
    <t>1303-000000695408</t>
  </si>
  <si>
    <t>0112667508</t>
  </si>
  <si>
    <t>Pending</t>
  </si>
  <si>
    <t>519110002370AAXXXMJK0095</t>
  </si>
  <si>
    <t>mondebread4@nrdev.ph</t>
  </si>
  <si>
    <t>N134WC</t>
  </si>
  <si>
    <t>1303-000000695448</t>
  </si>
  <si>
    <t>0112667531</t>
  </si>
  <si>
    <t>mondebread5@nrdev.ph</t>
  </si>
  <si>
    <t>N126WC</t>
  </si>
  <si>
    <t>1303-000000700488</t>
  </si>
  <si>
    <t>0112809247</t>
  </si>
  <si>
    <t>202509250065</t>
  </si>
  <si>
    <t>mondebread6@nrdev.ph</t>
  </si>
  <si>
    <t>N152WC</t>
  </si>
  <si>
    <t>Monde Bread - 4JR'S Food Products Trading</t>
  </si>
  <si>
    <t>202509250037</t>
  </si>
  <si>
    <t>mondebread7@nrdev.ph</t>
  </si>
  <si>
    <t>N127WC</t>
  </si>
  <si>
    <t>519110002370AAXXXJJK0150</t>
  </si>
  <si>
    <t>519110002370AAXXXMJK0514</t>
  </si>
  <si>
    <t>202509250140</t>
  </si>
  <si>
    <t>mondebread8@nrdev.ph</t>
  </si>
  <si>
    <t>N123WC</t>
  </si>
  <si>
    <t>Monde Bread - 3MBA Consumer Goods Trading</t>
  </si>
  <si>
    <t>202509250072</t>
  </si>
  <si>
    <t>mondebread9@nrdev.ph</t>
  </si>
  <si>
    <t>N135WC</t>
  </si>
  <si>
    <t>519110002370AAXXXNJL0121</t>
  </si>
  <si>
    <t>519110002370AAXXXNJL0183</t>
  </si>
  <si>
    <t>202509250058</t>
  </si>
  <si>
    <t>mondebread10@nrdev.ph</t>
  </si>
  <si>
    <t>202408300031</t>
  </si>
  <si>
    <t>mondebread11@nrdev.ph</t>
  </si>
  <si>
    <t>202408300020</t>
  </si>
  <si>
    <t>mondebread12@nrdev.ph</t>
  </si>
  <si>
    <t>519110002370AAXXXNNK0094</t>
  </si>
  <si>
    <t>519110002370AAXXXLJL0249</t>
  </si>
  <si>
    <t>202509250183</t>
  </si>
  <si>
    <t>mondebread13@nrdev.ph</t>
  </si>
  <si>
    <t>202408300269</t>
  </si>
  <si>
    <t>mondebread14@nrdev.ph</t>
  </si>
  <si>
    <t>N670WA</t>
  </si>
  <si>
    <t>R5FBMX0B7RL000496</t>
  </si>
  <si>
    <t>519110002370AAXXXLJL0216</t>
  </si>
  <si>
    <t>519110002370AAXXXLJL0164</t>
  </si>
  <si>
    <t>202509250100</t>
  </si>
  <si>
    <t>mondebread15@nrdev.ph</t>
  </si>
  <si>
    <t>N729WA</t>
  </si>
  <si>
    <t>R5FBMX0B1RL000509</t>
  </si>
  <si>
    <t>519110002370AAXXXLJL0229</t>
  </si>
  <si>
    <t>519110002370AAXXXLJL0096</t>
  </si>
  <si>
    <t>202509250108</t>
  </si>
  <si>
    <t>mondebread16@nrdev.ph</t>
  </si>
  <si>
    <t>N731WA</t>
  </si>
  <si>
    <t>R5FBMX0BXRL000475</t>
  </si>
  <si>
    <t>519110002370AAXXXNJL0083</t>
  </si>
  <si>
    <t>519110002370AAXXXLJL0238</t>
  </si>
  <si>
    <t>202509250019</t>
  </si>
  <si>
    <t>mondebread17@nrdev.ph</t>
  </si>
  <si>
    <t>N735WA</t>
  </si>
  <si>
    <t>R5FBMX0B6RL000473</t>
  </si>
  <si>
    <t>519110002370AAXXXLJL0537</t>
  </si>
  <si>
    <t>519110002370AAXXXNJL0078</t>
  </si>
  <si>
    <t>202509250113</t>
  </si>
  <si>
    <t>mondebread18@nrdev.ph</t>
  </si>
  <si>
    <t>N746WA</t>
  </si>
  <si>
    <t>519110002370AAXXXLJL0158</t>
  </si>
  <si>
    <t xml:space="preserve"> 20240830014</t>
  </si>
  <si>
    <t>mondebread19@nrdev.ph</t>
  </si>
  <si>
    <t>R5FBMX0B2RL000504</t>
  </si>
  <si>
    <t>519110002370AAXXXNJL0098</t>
  </si>
  <si>
    <t>519110002370AAXXXNJL0107</t>
  </si>
  <si>
    <t>202509250011</t>
  </si>
  <si>
    <t>mondebread20@nrdev.ph</t>
  </si>
  <si>
    <t>N732WA</t>
  </si>
  <si>
    <t xml:space="preserve">Tri Megaforce - Ateneo </t>
  </si>
  <si>
    <t>D400BLA4000</t>
  </si>
  <si>
    <t>R5FBMX0B3SL000565</t>
  </si>
  <si>
    <t>519110002370AAXXXLJL0445</t>
  </si>
  <si>
    <t>519110002370AAXXXLJL0072</t>
  </si>
  <si>
    <t>202509250110</t>
  </si>
  <si>
    <t>Ateneo</t>
  </si>
  <si>
    <t>tm_admu1@nrdev.ph</t>
  </si>
  <si>
    <t>R5FBMX0B0SL000538</t>
  </si>
  <si>
    <t>519110002370AAXXXLJL0167</t>
  </si>
  <si>
    <t>519110002370AAXXXLJL0082</t>
  </si>
  <si>
    <t>tm_admu2@nrdev.ph</t>
  </si>
  <si>
    <t>R5FBMX0B4SL000560</t>
  </si>
  <si>
    <t>519110002370AAXXXLJL0415</t>
  </si>
  <si>
    <t>519110002370AAXXXLJL0305</t>
  </si>
  <si>
    <t>202509250130</t>
  </si>
  <si>
    <t>tm_admu3@nrdev.ph</t>
  </si>
  <si>
    <t>519110002370AAXXXJJK0169</t>
  </si>
  <si>
    <t>202408300232</t>
  </si>
  <si>
    <t>tm_admu4@nrdev.ph</t>
  </si>
  <si>
    <t>202509250182</t>
  </si>
  <si>
    <t>tm_admu5@nrdev.ph</t>
  </si>
  <si>
    <t>N129WC</t>
  </si>
  <si>
    <t>202509250168</t>
  </si>
  <si>
    <t>tm_admu6@nrdev.ph</t>
  </si>
  <si>
    <t>Angels Pizza / Figaro</t>
  </si>
  <si>
    <t>R5FBMX0B4RL000407</t>
  </si>
  <si>
    <t>519110002370AAXXXLJL0232</t>
  </si>
  <si>
    <t>519110002370AAXXXLJL0328</t>
  </si>
  <si>
    <t>202509250095</t>
  </si>
  <si>
    <t>angelsp1@nrdev.ph</t>
  </si>
  <si>
    <t>N196WC</t>
  </si>
  <si>
    <t>1303-000000722555</t>
  </si>
  <si>
    <t>R5FBMX0B6RL000411</t>
  </si>
  <si>
    <t>519110002370AAXXXLJL0562</t>
  </si>
  <si>
    <t>519110002370AAXXXLJL0065</t>
  </si>
  <si>
    <t>202509250159</t>
  </si>
  <si>
    <t>angelsp2@nrdev.ph</t>
  </si>
  <si>
    <t>N194WC</t>
  </si>
  <si>
    <t>1303-000000722551</t>
  </si>
  <si>
    <t>R5FBMX0B8RL000412</t>
  </si>
  <si>
    <t>519110002370AAXXXLJL0271</t>
  </si>
  <si>
    <t>519110002370AAXXXNJL0060</t>
  </si>
  <si>
    <t>202509250175</t>
  </si>
  <si>
    <t>angelsp3@nrdev.ph</t>
  </si>
  <si>
    <t xml:space="preserve">N222WC	</t>
  </si>
  <si>
    <t>1303-000000722554</t>
  </si>
  <si>
    <t>R5FBMX0B1RL000428</t>
  </si>
  <si>
    <t>519110002370AAXXXLJL0553</t>
  </si>
  <si>
    <t>519110002370AAXXXLJL0370</t>
  </si>
  <si>
    <t>202509250096</t>
  </si>
  <si>
    <t>angelsp4@nrdev.ph</t>
  </si>
  <si>
    <t>N198WC</t>
  </si>
  <si>
    <t>1303-000000722550</t>
  </si>
  <si>
    <t>R5FBMX0B5RL000433</t>
  </si>
  <si>
    <t>519110002370AAXXXLJL0424</t>
  </si>
  <si>
    <t>519110002370AAXXXLJL0268</t>
  </si>
  <si>
    <t>202509250094</t>
  </si>
  <si>
    <t>angelsp5@nrdev.ph</t>
  </si>
  <si>
    <t>N215WC</t>
  </si>
  <si>
    <t>1303-000000723111</t>
  </si>
  <si>
    <t>R5FBMX0B5RL000447</t>
  </si>
  <si>
    <t>519110002370AAXXXLJL0423</t>
  </si>
  <si>
    <t>519110002370AAXXXLJL0170</t>
  </si>
  <si>
    <t>202509250161</t>
  </si>
  <si>
    <t>angelsp6@nrdev.ph</t>
  </si>
  <si>
    <t>N212WC</t>
  </si>
  <si>
    <t>1303-000000723018</t>
  </si>
  <si>
    <t>R5FBMX0BXRL000430</t>
  </si>
  <si>
    <t>519110002370AAXXXLJL0287</t>
  </si>
  <si>
    <t>519110002370AAXXXLJL0103</t>
  </si>
  <si>
    <t>202509250016</t>
  </si>
  <si>
    <t>angelsp8@nrdev.ph</t>
  </si>
  <si>
    <t>N214WC</t>
  </si>
  <si>
    <t>1303-000000722556</t>
  </si>
  <si>
    <t>R5FBMX0B9RL000435</t>
  </si>
  <si>
    <t>519110002370AAXXXLJL0449</t>
  </si>
  <si>
    <t>519110002370AAXXXLJL0309</t>
  </si>
  <si>
    <t>202509250017</t>
  </si>
  <si>
    <t>angelsp10@nrdev.ph</t>
  </si>
  <si>
    <t>N209WC</t>
  </si>
  <si>
    <t>1303-000000722552</t>
  </si>
  <si>
    <t>R5FBMX0B0RL000453</t>
  </si>
  <si>
    <t>519110002370AAXXXLJL0563</t>
  </si>
  <si>
    <t>519110002370AAXXXLJL0137</t>
  </si>
  <si>
    <t>202509250013</t>
  </si>
  <si>
    <t>angelsp13@nrdev.ph</t>
  </si>
  <si>
    <t>N220WC</t>
  </si>
  <si>
    <t>1303-000000722553</t>
  </si>
  <si>
    <t>R5FBMX0B9RL000418</t>
  </si>
  <si>
    <t>519110002370AAXXXLJL0296</t>
  </si>
  <si>
    <t>519110002370AAXXXLJL0195</t>
  </si>
  <si>
    <t>202509250023</t>
  </si>
  <si>
    <t>angelsp7@nrdev.ph</t>
  </si>
  <si>
    <t>N203WC</t>
  </si>
  <si>
    <t>1303-000000722560</t>
  </si>
  <si>
    <t>R5FBMX0B3RL000432</t>
  </si>
  <si>
    <t>519110002370AAXXXLJL0469</t>
  </si>
  <si>
    <t>519110002370AAXXXLJL0099</t>
  </si>
  <si>
    <t>202509250097</t>
  </si>
  <si>
    <t>angelsp9@nrdev.ph</t>
  </si>
  <si>
    <t>N204WC</t>
  </si>
  <si>
    <t>1303-000000723109</t>
  </si>
  <si>
    <t>R5FBMX0BXRL000444</t>
  </si>
  <si>
    <t>519110002370AAXXXLJL0420</t>
  </si>
  <si>
    <t>519110002370AAXXXLJL0477</t>
  </si>
  <si>
    <t>202509250018</t>
  </si>
  <si>
    <t>angelsp11@nrdev.ph</t>
  </si>
  <si>
    <t>N221WC</t>
  </si>
  <si>
    <t>1303-000000722549</t>
  </si>
  <si>
    <t>R5FBMX0B7RL000448</t>
  </si>
  <si>
    <t>519110002370AAXXXNJL0059</t>
  </si>
  <si>
    <t>519110002370AAXXXLJL0022</t>
  </si>
  <si>
    <t>202509250014</t>
  </si>
  <si>
    <t>angelsp12@nrdev.ph</t>
  </si>
  <si>
    <t>N199WC</t>
  </si>
  <si>
    <t>1303-000000723110</t>
  </si>
  <si>
    <t>R5FBMX0B4RL000455</t>
  </si>
  <si>
    <t>519110002370AAXXXNJL0093</t>
  </si>
  <si>
    <t>519110002370AAXXXLJL0369</t>
  </si>
  <si>
    <t>202509250034</t>
  </si>
  <si>
    <t>angelsp14@nrdev.ph</t>
  </si>
  <si>
    <t>N208WC</t>
  </si>
  <si>
    <t>1303-000000722545</t>
  </si>
  <si>
    <t>Atome</t>
  </si>
  <si>
    <t>Test / Demo</t>
  </si>
  <si>
    <t>R5FBMX0B8RL000460</t>
  </si>
  <si>
    <t>519110002370AAXXXLJL0057</t>
  </si>
  <si>
    <t>atomedemo1@nrdev.ph</t>
  </si>
  <si>
    <t>N210WC</t>
  </si>
  <si>
    <t>R280BLK2000</t>
  </si>
  <si>
    <t>R5FBMG0C8SL000201</t>
  </si>
  <si>
    <t>519110002370AAXXXLJL0140</t>
  </si>
  <si>
    <t>519110002370AAXXXLJL0196</t>
  </si>
  <si>
    <t>atomedemo2@nrdev.ph</t>
  </si>
  <si>
    <t>N695WA</t>
  </si>
  <si>
    <t>E88</t>
  </si>
  <si>
    <t>E88 Employee - Sammy</t>
  </si>
  <si>
    <t>Sammy</t>
  </si>
  <si>
    <t>S&amp;M</t>
  </si>
  <si>
    <r>
      <rPr>
        <rFont val="Figtree"/>
        <color rgb="FF1155CC"/>
        <sz val="10.0"/>
        <u/>
      </rPr>
      <t>sammy.sm</t>
    </r>
    <r>
      <rPr>
        <rFont val="Figtree"/>
        <sz val="10.0"/>
      </rPr>
      <t>@nrdev.ph</t>
    </r>
  </si>
  <si>
    <t>ABC Alliance</t>
  </si>
  <si>
    <t>R5FBMX0B9SL000540</t>
  </si>
  <si>
    <t>519110002370AAXXXLJL0417</t>
  </si>
  <si>
    <t>519110002370AAXXXNJL0056</t>
  </si>
  <si>
    <t>202408300107</t>
  </si>
  <si>
    <t>alliance1@nrdev.ph</t>
  </si>
  <si>
    <t>N195WC</t>
  </si>
  <si>
    <t>R5FBMX0B6SL000561</t>
  </si>
  <si>
    <t>519110002370AAXXXLJL0410</t>
  </si>
  <si>
    <t>519110002370AAXXXLJL0174</t>
  </si>
  <si>
    <t>202408300201</t>
  </si>
  <si>
    <t>alliance2@nrdev.ph</t>
  </si>
  <si>
    <t>N225WC</t>
  </si>
  <si>
    <t>R5FBMX0B0SL000555</t>
  </si>
  <si>
    <t>519110002370AAXXXLJL0487</t>
  </si>
  <si>
    <t>519110002370AAXXXLJL0324</t>
  </si>
  <si>
    <t>202408300175</t>
  </si>
  <si>
    <t>alliance3@nrdev.ph</t>
  </si>
  <si>
    <t>N207WC</t>
  </si>
  <si>
    <t>E88 - Jezalyn Bataan</t>
  </si>
  <si>
    <t xml:space="preserve">Demo - Bataan </t>
  </si>
  <si>
    <t>R5FBMX0BXSL000546</t>
  </si>
  <si>
    <t>519110002370AAXXXNJL0082</t>
  </si>
  <si>
    <t>519110002370AAXXXLJL0023</t>
  </si>
  <si>
    <t>202408300171</t>
  </si>
  <si>
    <t>bataanjez@nrdev.ph</t>
  </si>
  <si>
    <t>N193WC</t>
  </si>
  <si>
    <t xml:space="preserve">E88 - Ron </t>
  </si>
  <si>
    <t>E88 Employee - Ron</t>
  </si>
  <si>
    <t>1303-000000672059</t>
  </si>
  <si>
    <t>E88 - RJ</t>
  </si>
  <si>
    <t>E88 Employee - Rj</t>
  </si>
  <si>
    <t>519110002370AAXXXJJK0132</t>
  </si>
  <si>
    <t>519110002370AAXXXMJK0223</t>
  </si>
  <si>
    <t>1303-000000674845</t>
  </si>
  <si>
    <t>519110002370AAXXXMJK0260</t>
  </si>
  <si>
    <t>alliance4@nrdev.ph</t>
  </si>
  <si>
    <t>1303-000000619645</t>
  </si>
  <si>
    <t>519110002370AAXXXNJL0159</t>
  </si>
  <si>
    <t>519110002370AAXXXLJL0475</t>
  </si>
  <si>
    <t>alliance5@nrdev.ph</t>
  </si>
  <si>
    <t>1303-000000628630</t>
  </si>
  <si>
    <t>R5FBMX0B3SL000548</t>
  </si>
  <si>
    <t>519110002370AAXXXLJL0042</t>
  </si>
  <si>
    <t>519110002370AAXXXLJL0569</t>
  </si>
  <si>
    <t>alliance6@nrdev.ph</t>
  </si>
  <si>
    <t>N197WC</t>
  </si>
  <si>
    <t>1303-000000722546</t>
  </si>
  <si>
    <t>R5FBMX0B3SL000551</t>
  </si>
  <si>
    <t>alliance7@nrdev.ph</t>
  </si>
  <si>
    <t>N114WC</t>
  </si>
  <si>
    <t>1303-000000680012</t>
  </si>
  <si>
    <t>1303-26-249037</t>
  </si>
  <si>
    <t>E88 - Loaner units</t>
  </si>
  <si>
    <t>E88 Loaner Units</t>
  </si>
  <si>
    <t>R5FBMX0BXRL000459</t>
  </si>
  <si>
    <t>519110002370AAXXXNJL0094</t>
  </si>
  <si>
    <t>E88 Loaner</t>
  </si>
  <si>
    <t>e88loaner1@nrdev.ph</t>
  </si>
  <si>
    <t>R5FBMX0B7RL000466</t>
  </si>
  <si>
    <t>519110002370AAXXXNJL0141</t>
  </si>
  <si>
    <t>519110002370AAXXXLJL0118</t>
  </si>
  <si>
    <t>e88loaner2@nrdev.ph</t>
  </si>
  <si>
    <t>519110002370AAXXXMJK0039</t>
  </si>
  <si>
    <t>519110002370AAXXXMJK0499</t>
  </si>
  <si>
    <t>e88loaner3@nrdev.ph</t>
  </si>
  <si>
    <t>519110002370AAXXXLJL0557</t>
  </si>
  <si>
    <t>519110002370AAXXXLJL0159</t>
  </si>
  <si>
    <t>e88loaner4@nrdev.ph</t>
  </si>
  <si>
    <t>519110002370AAXXXJJK0071</t>
  </si>
  <si>
    <t>519110002370AAXXXNJL0157</t>
  </si>
  <si>
    <t>e88loaner5@nrdev.ph</t>
  </si>
  <si>
    <t>e88loaner6@nrdev.ph</t>
  </si>
  <si>
    <t>Demo - 2 weeks</t>
  </si>
  <si>
    <t>202509250051</t>
  </si>
  <si>
    <t>laurencebahia1@nrdev.ph</t>
  </si>
  <si>
    <t>alliancedemo1@nrdev.ph</t>
  </si>
  <si>
    <t>1303-000000695427</t>
  </si>
  <si>
    <t>alliancedemo2@nrdev.ph</t>
  </si>
  <si>
    <t>1303-000000661769</t>
  </si>
  <si>
    <t xml:space="preserve">CRAVE </t>
  </si>
  <si>
    <t>Lease units - 12 months</t>
  </si>
  <si>
    <t>crave1@nrdev.ph</t>
  </si>
  <si>
    <t>N219WC</t>
  </si>
  <si>
    <t>1303-000000723106</t>
  </si>
  <si>
    <t>0120784798</t>
  </si>
  <si>
    <t>Minerva - Pasig</t>
  </si>
  <si>
    <t>R5FBMG0C7SL000206</t>
  </si>
  <si>
    <t>519110002370AAXXXLJL0171</t>
  </si>
  <si>
    <t>519110002370AAXXXLJL0266</t>
  </si>
  <si>
    <t>minerva6@nrdev.ph</t>
  </si>
  <si>
    <t>R5FBMG0C4SL000261</t>
  </si>
  <si>
    <t>519110002370AAXXXLJL0134</t>
  </si>
  <si>
    <t>519110002370AAXXXLJL0289</t>
  </si>
  <si>
    <t>minerva7@nrdev.ph</t>
  </si>
  <si>
    <t>BetterEdge - Demo 1 day</t>
  </si>
  <si>
    <t>E88 - Roy</t>
  </si>
  <si>
    <t>E88 Employee - Roy</t>
  </si>
  <si>
    <t>R280SPBLU2500</t>
  </si>
  <si>
    <t>R5FBMGOB3RL000141</t>
  </si>
  <si>
    <t>519110002370AAXXXLJL0049</t>
  </si>
  <si>
    <t>519110002370AAXXXNJL0092</t>
  </si>
  <si>
    <t>e88roy@nrdev.ph</t>
  </si>
  <si>
    <t>R5FBMG0C0SL000189</t>
  </si>
  <si>
    <t>519110002370AAXXXLJL0347</t>
  </si>
  <si>
    <t>519110002370AAXXXLJL0317</t>
  </si>
  <si>
    <t>Better Edge</t>
  </si>
  <si>
    <t>R5FBMG0C3SL000204</t>
  </si>
  <si>
    <t>519110002370AAXXXLJL0294</t>
  </si>
  <si>
    <t>519110002370AAXXXLJL0297</t>
  </si>
  <si>
    <t>R5FBMG0C6SL000195</t>
  </si>
  <si>
    <t>519110002370AAXXXLJL0152</t>
  </si>
  <si>
    <t>519110002370AAXXXLJL0541</t>
  </si>
  <si>
    <t>R5FBMG0C9SL000188</t>
  </si>
  <si>
    <t>519110002370AAXXXLJL0530</t>
  </si>
  <si>
    <t>519110002370AAXXXNJL0193</t>
  </si>
  <si>
    <t>519110002370AAXXXLJL0051</t>
  </si>
  <si>
    <t>519110002370AAXXXLJL0181</t>
  </si>
  <si>
    <t>R5FBMG0C6SL000181</t>
  </si>
  <si>
    <t>519110002370AAXXXLJL0286</t>
  </si>
  <si>
    <t>519110002370AAXXXLJL0438</t>
  </si>
  <si>
    <t>R5FBMG0C3SL000199</t>
  </si>
  <si>
    <t>519110002370AAXXXLJL0039</t>
  </si>
  <si>
    <t>519110002370AAXXXLJL0531</t>
  </si>
  <si>
    <t>R5FBMG0CXSL000202</t>
  </si>
  <si>
    <t>519110002370AAXXXNJL0212</t>
  </si>
  <si>
    <t>519110002370AAXXXLJL0397</t>
  </si>
  <si>
    <t>R5FBMG0C3SL000185</t>
  </si>
  <si>
    <t>519110002370AAXXXLJL0428</t>
  </si>
  <si>
    <t>519110002370AAXXXNJL0180</t>
  </si>
  <si>
    <t>R5FBMG0C0SL000192</t>
  </si>
  <si>
    <t>519110002370AAXXXNJL0111</t>
  </si>
  <si>
    <t>519110002370AAXXXNJL0177</t>
  </si>
  <si>
    <t>R5FBMG0CXSL000183</t>
  </si>
  <si>
    <t>519110002370AAXXXLJL0464</t>
  </si>
  <si>
    <t>519110002370AAXXXLJL0468</t>
  </si>
  <si>
    <t>R5FBMG0C5SL000186</t>
  </si>
  <si>
    <t>519110002370AAXXXLJL0491</t>
  </si>
  <si>
    <t>519110002370AAXXXLJL0015</t>
  </si>
  <si>
    <t>R5FBMG0C7SL000187</t>
  </si>
  <si>
    <t>519110002370AAXXXLJL0123</t>
  </si>
  <si>
    <t>519110002370AAXXXNJL0192</t>
  </si>
  <si>
    <t>R5FBMG0C6SL000200</t>
  </si>
  <si>
    <t>519110002370AAXXXLJL0402</t>
  </si>
  <si>
    <t>519110002370AAXXXLJL0416</t>
  </si>
  <si>
    <t>R5FBMG0C3SL000252</t>
  </si>
  <si>
    <t>519110002370AAXXXLJL0033</t>
  </si>
  <si>
    <t>519110002370AAXXXNJL0076</t>
  </si>
  <si>
    <t>R5FBMG0C3SL000249</t>
  </si>
  <si>
    <t>519110002370AAXXXNJL0080</t>
  </si>
  <si>
    <t>519110002370AAXXXLJL0030</t>
  </si>
  <si>
    <t>R5FBMG0CXSL000250</t>
  </si>
  <si>
    <t>519110002370AAXXXLJL0153</t>
  </si>
  <si>
    <t>519110002370AAXXXNJL0097</t>
  </si>
  <si>
    <t>R5FBMG0C0SL000256</t>
  </si>
  <si>
    <t>519110002370AAXXXLJL0104</t>
  </si>
  <si>
    <t>519110002370AAXXXLJL0219</t>
  </si>
  <si>
    <t>R5FBMG0C5SL000222</t>
  </si>
  <si>
    <t>519110002370AAXXXLJL0129</t>
  </si>
  <si>
    <t>519110002370AAXXXLJL0479</t>
  </si>
  <si>
    <t>R5FBMG0C4SL000213</t>
  </si>
  <si>
    <t>519110002370AAXXXNJL0125</t>
  </si>
  <si>
    <t>519110002370AAXXXLJL0473</t>
  </si>
  <si>
    <t>R5FBMG0C1SL000220</t>
  </si>
  <si>
    <t>519110002370AAXXXLJL0183</t>
  </si>
  <si>
    <t>R5FBMG0C7SL000268</t>
  </si>
  <si>
    <t>519110002370AAXXXNJL0195</t>
  </si>
  <si>
    <t>519110002370AAXXXNJL0071</t>
  </si>
  <si>
    <t>519110002370AAXXXNJL0213</t>
  </si>
  <si>
    <t>519110002370AAXXXLJL0575</t>
  </si>
  <si>
    <t>R5FBMG0CXSL000233</t>
  </si>
  <si>
    <t>519110002370AAXXXLJL0451</t>
  </si>
  <si>
    <t>519110002370AAXXXNJL0147</t>
  </si>
  <si>
    <t>R5FBMG0C3SL000235</t>
  </si>
  <si>
    <t>519110002370AAXXXNJL0203</t>
  </si>
  <si>
    <t>519110002370AAXXXLJL0117</t>
  </si>
  <si>
    <t>R5FBMG0C1SL000234</t>
  </si>
  <si>
    <t>519110002370AAXXXLJL0418</t>
  </si>
  <si>
    <t>519110002370AAXXXLJL0456</t>
  </si>
  <si>
    <t>R5FBMG0C1SL000248</t>
  </si>
  <si>
    <t>519110002370AAXXXLJL0186</t>
  </si>
  <si>
    <t>519110002370AAXXXLJL0128</t>
  </si>
  <si>
    <t>R5FBMG0C2SL000257</t>
  </si>
  <si>
    <t>519110002370AAXXXLJL0143</t>
  </si>
  <si>
    <t>519110002370AAXXXNJL0173</t>
  </si>
  <si>
    <t>R5FBMG0C1SL000217</t>
  </si>
  <si>
    <t>519110002370AAXXXLJL0482</t>
  </si>
  <si>
    <t>519110002370AAXXXLJL0245</t>
  </si>
  <si>
    <t>R5FBMG0C7SL000237</t>
  </si>
  <si>
    <t>519110002370AAXXXLJL0439</t>
  </si>
  <si>
    <t>519110002370AAXXXLJL0486</t>
  </si>
  <si>
    <t>R5FBMG0C0SL000211</t>
  </si>
  <si>
    <t>519110002370AAXXXLJL0400</t>
  </si>
  <si>
    <t>519110002370AAXXXLJL0503</t>
  </si>
  <si>
    <t>R5FBMG0C5SL000219</t>
  </si>
  <si>
    <t>519110002370AAXXXLJL0285</t>
  </si>
  <si>
    <t>519110002370AAXXXLJL0244</t>
  </si>
  <si>
    <t>R5FBMG0CXSL000216</t>
  </si>
  <si>
    <t>519110002370AAXXXLJL0485</t>
  </si>
  <si>
    <t>519110002370AAXXXNJL0090</t>
  </si>
  <si>
    <t>519110002370AAXXXLJL0431</t>
  </si>
  <si>
    <t>519110002370AAXXXLJL0302</t>
  </si>
  <si>
    <t>519110002370AAXXXMJK0338</t>
  </si>
  <si>
    <t>R5FBMG0C0SL000208</t>
  </si>
  <si>
    <t>519110002370AAXXXLJL0510</t>
  </si>
  <si>
    <t>519110002370AAXXXLJL0014</t>
  </si>
  <si>
    <t>R5FBMG0C5SL000253</t>
  </si>
  <si>
    <t>519110002370AAXXXNJL0095</t>
  </si>
  <si>
    <t>519110002370AAXXXLJL0086</t>
  </si>
  <si>
    <t>R5FBMG0C1SL000251</t>
  </si>
  <si>
    <t>519110002370AAXXXLJL0163</t>
  </si>
  <si>
    <t>519110002370AAXXXLJL0018</t>
  </si>
  <si>
    <t>R5FBMG0C1SL000265</t>
  </si>
  <si>
    <t>519110002370AAXXXNJL0131</t>
  </si>
  <si>
    <t>519110002370AAXXXLJL0005</t>
  </si>
  <si>
    <t>R5FBMG0CXSL000247</t>
  </si>
  <si>
    <t>519110002370AAXXXLJL0209</t>
  </si>
  <si>
    <t>519110002370AAXXXLJL0325</t>
  </si>
  <si>
    <t>R5FBMG0C7SL000254</t>
  </si>
  <si>
    <t>519110002370AAXXXLJL0222</t>
  </si>
  <si>
    <t>519110002370AAXXXLJL0239</t>
  </si>
  <si>
    <t>R5FBMG0C5SL000270</t>
  </si>
  <si>
    <t>519110002370AAXXXNJL0062</t>
  </si>
  <si>
    <t>519110002370AAXXXLJL0255</t>
  </si>
  <si>
    <t>R5FBMG0C4SL000258</t>
  </si>
  <si>
    <t>519110002370AAXXXLJL0132</t>
  </si>
  <si>
    <t>519110002370AAXXXLJL0089</t>
  </si>
  <si>
    <t>R5FBMG0C0SL000242</t>
  </si>
  <si>
    <t>519110002370AAXXXLJL0233</t>
  </si>
  <si>
    <t>519110002370AAXXXNJL0087</t>
  </si>
  <si>
    <t>R5FBMG0C9SL000255</t>
  </si>
  <si>
    <t>519110002370AAXXXLJL0149</t>
  </si>
  <si>
    <t>519110002370AAXXXLJL0226</t>
  </si>
  <si>
    <t>R5FBMG0C2SL000243</t>
  </si>
  <si>
    <t>519110002370AAXXXLJL0044</t>
  </si>
  <si>
    <t>519110002370AAXXXLJL0419</t>
  </si>
  <si>
    <t>R5FBMG0C7SL000240</t>
  </si>
  <si>
    <t>519110002370AAXXXLJL0588</t>
  </si>
  <si>
    <t>519110002370AAXXXLJL0218</t>
  </si>
  <si>
    <t>R5FBMG0C9SL000241</t>
  </si>
  <si>
    <t>519110002370AAXXXLJL0037</t>
  </si>
  <si>
    <t>519110002370AAXXXLJL0327</t>
  </si>
  <si>
    <t>R5FBMG0C6SL000259</t>
  </si>
  <si>
    <t>519110002370AAXXXLJL0139</t>
  </si>
  <si>
    <t>519110002370AAXXXLJL0375</t>
  </si>
  <si>
    <t>R5FBMG0C8SL000246</t>
  </si>
  <si>
    <t>519110002370AAXXXLJL0067</t>
  </si>
  <si>
    <t>519110002370AAXXXNJL0150</t>
  </si>
  <si>
    <t>R5FBMG0C3SL000266</t>
  </si>
  <si>
    <t>519110002370AAXXXLJL0138</t>
  </si>
  <si>
    <t>519110002370AAXXXLJL0147</t>
  </si>
  <si>
    <t>R5FBMG0C8SL000232</t>
  </si>
  <si>
    <t>519110002370AAXXXLJL0488</t>
  </si>
  <si>
    <t>519110002370AAXXXLJL0213</t>
  </si>
  <si>
    <t>R5FBMG0C0SL000239</t>
  </si>
  <si>
    <t>R5FBMG0C2SL000260</t>
  </si>
  <si>
    <t>519110002370AAXXXLJL0452</t>
  </si>
  <si>
    <t>519110002370AAXXXLJL0120</t>
  </si>
  <si>
    <t>R5FBMG0C4SL000244</t>
  </si>
  <si>
    <t>519110002370AAXXXLJL0264</t>
  </si>
  <si>
    <t>519110002370AAXXXLJL0114</t>
  </si>
  <si>
    <t>R5FBMG0C6SL000245</t>
  </si>
  <si>
    <t>519110002370AAXXXLJL0108</t>
  </si>
  <si>
    <t>519110002370AAXXXLJL0551</t>
  </si>
  <si>
    <t>R5FBMG0C5SL000267</t>
  </si>
  <si>
    <t>519110002370AAXXXNJL0204</t>
  </si>
  <si>
    <t>519110002370AAXXXLJL0070</t>
  </si>
  <si>
    <t>R5FBMG0C6SL000262</t>
  </si>
  <si>
    <t>519110002370AAXXXLJL0555</t>
  </si>
  <si>
    <t>519110002370AAXXXLJL0422</t>
  </si>
  <si>
    <t>R5FBMG0C9SL000207</t>
  </si>
  <si>
    <t>519110002370AAXXXLJL0307</t>
  </si>
  <si>
    <t>519110002370AAXXXNJL0161</t>
  </si>
  <si>
    <t>R5FBMG0C2SL000209</t>
  </si>
  <si>
    <t>519110002370AAXXXLJL0532</t>
  </si>
  <si>
    <t>519110002370AAXXXLJL0511</t>
  </si>
  <si>
    <t>R5FBMG0CXSL000264</t>
  </si>
  <si>
    <t>519110002370AAXXXLJL0263</t>
  </si>
  <si>
    <t>519110002370AAXXXLJL0191</t>
  </si>
  <si>
    <t>R5FBMG0C8SL000263</t>
  </si>
  <si>
    <t>519110002370AAXXXLJL0113</t>
  </si>
  <si>
    <t>519110002370AAXXXLJL0208</t>
  </si>
  <si>
    <t>R5FBMG0C9SL000210</t>
  </si>
  <si>
    <t>519110002370AAXXXLJL0524</t>
  </si>
  <si>
    <t>519110002370AAXXXNJL0176</t>
  </si>
  <si>
    <t>MC-R280 Sport Blue / R5FBMGOB3RL000141 / N108WC</t>
  </si>
  <si>
    <t>RideBox Battery - Ampace /
519110002370AAXXXLJL0049
519110002370AAXXXNJL0092
Regular Charger: 202509250191</t>
  </si>
  <si>
    <t>MC-D400 Black / R5FBMX0B6SL000561 / N225WC</t>
  </si>
  <si>
    <t>RideBox Battery - Ampace /
519110002370AAXXXLJL0410
519110002370AAXXXNJL0056
Regular Charger: 202408300201</t>
  </si>
  <si>
    <t>MC-D400 Black / R5FBMX0B0SL000555 / N207WC</t>
  </si>
  <si>
    <t>RideBox Battery - Ampace /
519110002370AAXXXLJL0487
519110002370AAXXXLJL0324
Regular Charger: 202408300175</t>
  </si>
  <si>
    <t>MC-D400 Black / R5FBMX0BXSL000546 / N193WC</t>
  </si>
  <si>
    <t>RideBox Battery - Ampace /
519110002370AAXXXNJL0082
519110002370AAXXXLJL0023
Regular Charger: 202408300171</t>
  </si>
  <si>
    <t>RideBox Battery - Ampace /
519110002370AAXXXLJL0323
519110002370AAXXXLJL0341
Regular Charger: 202509250050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</si>
</sst>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d, yyyy"/>
    <numFmt numFmtId="165" formatCode="mm/dd"/>
    <numFmt numFmtId="166" formatCode="m/d/yyyy"/>
    <numFmt numFmtId="167" formatCode="mmmm dd, yyyy"/>
    <numFmt numFmtId="168" formatCode="mmmm d"/>
    <numFmt numFmtId="169" formatCode="m/d"/>
    <numFmt numFmtId="170" formatCode="m&quot;/&quot;d"/>
  </numFmts>
  <fonts count="19">
    <font>
      <sz val="10.0"/>
      <color rgb="FF000000"/>
      <name val="Arial"/>
      <scheme val="minor"/>
    </font>
    <font>
      <color theme="1"/>
      <name val="Figtree"/>
    </font>
    <font>
      <color theme="1"/>
      <name val="Arial"/>
      <scheme val="minor"/>
    </font>
    <font>
      <sz val="10.0"/>
      <color theme="1"/>
      <name val="Figtree"/>
    </font>
    <font>
      <b/>
      <sz val="10.0"/>
      <color theme="1"/>
      <name val="Figtree"/>
    </font>
    <font>
      <b/>
      <color theme="1"/>
      <name val="Arial"/>
      <scheme val="minor"/>
    </font>
    <font>
      <b/>
      <color theme="1"/>
      <name val="Figtree"/>
    </font>
    <font>
      <sz val="10.0"/>
      <color rgb="FF000000"/>
      <name val="Figtree"/>
    </font>
    <font>
      <sz val="10.0"/>
      <color rgb="FF020817"/>
      <name val="Figtree"/>
    </font>
    <font>
      <b/>
      <sz val="10.0"/>
      <color rgb="FFFF0000"/>
      <name val="Figtree"/>
    </font>
    <font>
      <sz val="10.0"/>
      <color theme="1"/>
      <name val="Rubik"/>
    </font>
    <font>
      <color theme="1"/>
      <name val="Rubik"/>
    </font>
    <font>
      <sz val="10.0"/>
      <color rgb="FF000000"/>
      <name val="Rubik"/>
    </font>
    <font>
      <b/>
      <sz val="10.0"/>
      <color rgb="FFFFFFFF"/>
      <name val="Rubik"/>
    </font>
    <font>
      <color theme="1"/>
      <name val="Arial"/>
    </font>
    <font>
      <sz val="9.0"/>
      <color rgb="FF000000"/>
      <name val="Arial"/>
    </font>
    <font>
      <u/>
      <sz val="10.0"/>
      <color rgb="FF0000FF"/>
      <name val="Figtree"/>
    </font>
    <font>
      <sz val="12.0"/>
      <color theme="1"/>
      <name val="Figtree"/>
    </font>
    <font>
      <sz val="11.0"/>
      <color theme="1"/>
      <name val="Figtree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3" numFmtId="165" xfId="0" applyAlignment="1" applyBorder="1" applyFont="1" applyNumberFormat="1">
      <alignment horizontal="center" readingOrder="0"/>
    </xf>
    <xf borderId="0" fillId="2" fontId="4" numFmtId="0" xfId="0" applyAlignment="1" applyFont="1">
      <alignment horizontal="left" readingOrder="0"/>
    </xf>
    <xf borderId="0" fillId="3" fontId="4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4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3" numFmtId="166" xfId="0" applyAlignment="1" applyFont="1" applyNumberFormat="1">
      <alignment horizontal="center"/>
    </xf>
    <xf borderId="0" fillId="2" fontId="1" numFmtId="0" xfId="0" applyAlignment="1" applyFont="1">
      <alignment horizontal="center" readingOrder="0"/>
    </xf>
    <xf borderId="0" fillId="2" fontId="4" numFmtId="49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3" fontId="2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/>
    </xf>
    <xf borderId="0" fillId="2" fontId="6" numFmtId="0" xfId="0" applyAlignment="1" applyFont="1">
      <alignment readingOrder="0"/>
    </xf>
    <xf borderId="0" fillId="3" fontId="2" numFmtId="0" xfId="0" applyFont="1"/>
    <xf borderId="0" fillId="0" fontId="2" numFmtId="46" xfId="0" applyAlignment="1" applyFont="1" applyNumberFormat="1">
      <alignment readingOrder="0"/>
    </xf>
    <xf borderId="0" fillId="2" fontId="4" numFmtId="49" xfId="0" applyAlignment="1" applyFont="1" applyNumberFormat="1">
      <alignment horizontal="center" readingOrder="0"/>
    </xf>
    <xf borderId="0" fillId="0" fontId="2" numFmtId="46" xfId="0" applyFont="1" applyNumberFormat="1"/>
    <xf borderId="0" fillId="0" fontId="1" numFmtId="0" xfId="0" applyAlignment="1" applyFont="1">
      <alignment horizontal="center" readingOrder="0" vertical="center"/>
    </xf>
    <xf borderId="0" fillId="2" fontId="1" numFmtId="165" xfId="0" applyAlignment="1" applyFont="1" applyNumberFormat="1">
      <alignment horizontal="center" readingOrder="0"/>
    </xf>
    <xf borderId="0" fillId="3" fontId="2" numFmtId="3" xfId="0" applyFont="1" applyNumberFormat="1"/>
    <xf borderId="0" fillId="0" fontId="1" numFmtId="0" xfId="0" applyAlignment="1" applyFont="1">
      <alignment readingOrder="0"/>
    </xf>
    <xf borderId="0" fillId="2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horizontal="left"/>
    </xf>
    <xf borderId="0" fillId="0" fontId="1" numFmtId="168" xfId="0" applyAlignment="1" applyFont="1" applyNumberFormat="1">
      <alignment horizontal="left"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2" numFmtId="46" xfId="0" applyAlignment="1" applyFont="1" applyNumberFormat="1">
      <alignment horizontal="center"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2" fontId="3" numFmtId="165" xfId="0" applyAlignment="1" applyFont="1" applyNumberFormat="1">
      <alignment horizontal="center" readingOrder="0"/>
    </xf>
    <xf borderId="0" fillId="2" fontId="3" numFmtId="49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2" fontId="8" numFmtId="0" xfId="0" applyAlignment="1" applyFont="1">
      <alignment horizontal="center"/>
    </xf>
    <xf borderId="0" fillId="2" fontId="8" numFmtId="0" xfId="0" applyAlignment="1" applyFont="1">
      <alignment horizontal="center"/>
    </xf>
    <xf borderId="0" fillId="2" fontId="9" numFmtId="0" xfId="0" applyAlignment="1" applyFont="1">
      <alignment horizontal="center" readingOrder="0"/>
    </xf>
    <xf borderId="0" fillId="2" fontId="3" numFmtId="169" xfId="0" applyAlignment="1" applyFont="1" applyNumberFormat="1">
      <alignment horizontal="center"/>
    </xf>
    <xf borderId="0" fillId="2" fontId="3" numFmtId="49" xfId="0" applyAlignment="1" applyFont="1" applyNumberFormat="1">
      <alignment horizontal="center"/>
    </xf>
    <xf borderId="0" fillId="2" fontId="3" numFmtId="169" xfId="0" applyAlignment="1" applyFont="1" applyNumberFormat="1">
      <alignment horizontal="center" readingOrder="0"/>
    </xf>
    <xf borderId="0" fillId="2" fontId="3" numFmtId="0" xfId="0" applyAlignment="1" applyFont="1">
      <alignment horizontal="center"/>
    </xf>
    <xf borderId="0" fillId="0" fontId="3" numFmtId="169" xfId="0" applyAlignment="1" applyFont="1" applyNumberFormat="1">
      <alignment horizontal="center" readingOrder="0"/>
    </xf>
    <xf quotePrefix="1" borderId="0" fillId="2" fontId="3" numFmtId="0" xfId="0" applyAlignment="1" applyFont="1">
      <alignment horizontal="center" readingOrder="0"/>
    </xf>
    <xf borderId="0" fillId="2" fontId="6" numFmtId="0" xfId="0" applyAlignment="1" applyFont="1">
      <alignment horizontal="center" vertical="bottom"/>
    </xf>
    <xf borderId="0" fillId="2" fontId="10" numFmtId="0" xfId="0" applyAlignment="1" applyFont="1">
      <alignment horizontal="center" readingOrder="0"/>
    </xf>
    <xf borderId="0" fillId="2" fontId="10" numFmtId="165" xfId="0" applyAlignment="1" applyFont="1" applyNumberFormat="1">
      <alignment horizontal="center" readingOrder="0"/>
    </xf>
    <xf borderId="0" fillId="2" fontId="11" numFmtId="166" xfId="0" applyAlignment="1" applyFont="1" applyNumberFormat="1">
      <alignment horizontal="center" vertical="bottom"/>
    </xf>
    <xf borderId="0" fillId="2" fontId="11" numFmtId="0" xfId="0" applyAlignment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2" fontId="1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49" xfId="0" applyAlignment="1" applyFont="1" applyNumberFormat="1">
      <alignment horizontal="center" readingOrder="0" vertical="bottom"/>
    </xf>
    <xf borderId="0" fillId="4" fontId="3" numFmtId="0" xfId="0" applyAlignment="1" applyFill="1" applyFon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0" fillId="4" fontId="10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4" fontId="3" numFmtId="49" xfId="0" applyAlignment="1" applyFont="1" applyNumberFormat="1">
      <alignment horizontal="center"/>
    </xf>
    <xf borderId="0" fillId="4" fontId="1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/>
    </xf>
    <xf borderId="0" fillId="5" fontId="3" numFmtId="49" xfId="0" applyAlignment="1" applyFill="1" applyFont="1" applyNumberFormat="1">
      <alignment horizontal="center"/>
    </xf>
    <xf borderId="0" fillId="2" fontId="3" numFmtId="49" xfId="0" applyAlignment="1" applyFont="1" applyNumberFormat="1">
      <alignment horizontal="center"/>
    </xf>
    <xf borderId="0" fillId="2" fontId="1" numFmtId="0" xfId="0" applyAlignment="1" applyFont="1">
      <alignment horizontal="center" vertical="bottom"/>
    </xf>
    <xf borderId="0" fillId="2" fontId="14" numFmtId="165" xfId="0" applyAlignment="1" applyFont="1" applyNumberFormat="1">
      <alignment horizontal="center" readingOrder="0" vertical="bottom"/>
    </xf>
    <xf borderId="0" fillId="5" fontId="1" numFmtId="49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4" numFmtId="0" xfId="0" applyAlignment="1" applyFont="1">
      <alignment vertical="bottom"/>
    </xf>
    <xf borderId="0" fillId="2" fontId="15" numFmtId="49" xfId="0" applyAlignment="1" applyFont="1" applyNumberFormat="1">
      <alignment horizontal="center" shrinkToFit="0" vertical="center" wrapText="0"/>
    </xf>
    <xf borderId="0" fillId="2" fontId="14" numFmtId="0" xfId="0" applyAlignment="1" applyFont="1">
      <alignment horizontal="center" readingOrder="0" vertical="bottom"/>
    </xf>
    <xf borderId="0" fillId="2" fontId="1" numFmtId="165" xfId="0" applyAlignment="1" applyFont="1" applyNumberFormat="1">
      <alignment horizontal="center" vertical="bottom"/>
    </xf>
    <xf borderId="0" fillId="2" fontId="15" numFmtId="0" xfId="0" applyAlignment="1" applyFont="1">
      <alignment horizontal="center" readingOrder="0" shrinkToFit="0" vertical="center" wrapText="0"/>
    </xf>
    <xf borderId="0" fillId="2" fontId="1" numFmtId="170" xfId="0" applyAlignment="1" applyFont="1" applyNumberFormat="1">
      <alignment horizontal="center" readingOrder="0"/>
    </xf>
    <xf borderId="0" fillId="2" fontId="16" numFmtId="0" xfId="0" applyAlignment="1" applyFont="1">
      <alignment horizontal="center" readingOrder="0"/>
    </xf>
    <xf borderId="0" fillId="0" fontId="1" numFmtId="170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170" xfId="0" applyAlignment="1" applyFont="1" applyNumberForma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2" fontId="1" numFmtId="169" xfId="0" applyAlignment="1" applyFont="1" applyNumberFormat="1">
      <alignment horizontal="center" readingOrder="0"/>
    </xf>
    <xf borderId="0" fillId="6" fontId="3" numFmtId="49" xfId="0" applyAlignment="1" applyFill="1" applyFont="1" applyNumberFormat="1">
      <alignment horizontal="center" readingOrder="0"/>
    </xf>
    <xf borderId="0" fillId="5" fontId="3" numFmtId="49" xfId="0" applyAlignment="1" applyFont="1" applyNumberFormat="1">
      <alignment horizontal="center" readingOrder="0"/>
    </xf>
    <xf borderId="0" fillId="0" fontId="17" numFmtId="164" xfId="0" applyFont="1" applyNumberFormat="1"/>
    <xf borderId="0" fillId="0" fontId="17" numFmtId="0" xfId="0" applyAlignment="1" applyFont="1">
      <alignment readingOrder="0"/>
    </xf>
    <xf borderId="0" fillId="2" fontId="18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6641704c-304b-491b-ad1b-5e32f5ae97f8}">
    <Anchor>
      <Comment id="{2ae080da-f350-4155-9c46-b4b353440d13}"/>
    </Anchor>
    <History>
      <Event time="2026-02-26T02:02:28.00" id="{cc763823-efb6-4f33-9394-e2e6fbe0f518}">
        <Attribution userId="placeholder@email.com" userName="Judy Joy Rosare" userProvider="google-sheets"/>
        <Anchor>
          <Comment id="{2ae080da-f350-4155-9c46-b4b353440d13}"/>
        </Anchor>
        <Create/>
      </Event>
      <Event time="2026-02-26T02:02:28.00" id="{bdf6254c-c42e-4f03-93f7-3f8309607c71}">
        <Attribution userId="placeholder@email.com" userName="Judy Joy Rosare" userProvider="google-sheets"/>
        <Anchor>
          <Comment id="{2ae080da-f350-4155-9c46-b4b353440d13}"/>
        </Anchor>
        <Assign userId="amostrales@nrdev.ph" userName="amostrales@nrdev.ph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wel Trazona" id="{7a70a200-f27f-4685-9c7f-9b1fd7badb71}" providerId="google-sheets"/>
  <x18tc:person displayName="Judy Joy Rosare" id="{1dcad055-f8d0-422e-be08-bf125e6b91de}" providerId="google-sheets"/>
  <x18tc:person displayName="amostrales@nrdev.ph" id="{bef9c69a-caa4-4201-a3c7-161ff5f65071}" userId="amostrales@nrdev.ph" providerId="google-sheets"/>
  <x18tc:person displayName="samuel@nrdev.ph" id="{ca925d6b-d4a7-476c-b009-943e46daf6e4}" userId="samuel@nrdev.ph" providerId="google-sheets"/>
  <x18tc:person displayName="rtrazona@nrdev.ph" id="{3288410d-e84c-4aaa-bc2d-10fd3baa9193}" userId="rtrazona@nrdev.ph" providerId="google-sheets"/>
  <x18tc:person displayName="erapatan@nrdev.ph" id="{4060c505-c5f0-4222-ae20-ea4705ba7944}" userId="erapatan@nrdev.ph" providerId="google-sheets"/>
  <x18tc:person displayName="erwin@nrdev.ph" id="{39ca0cf5-03be-4525-84a6-eee5b4d0c0e6}" userId="erwin@nrdev.ph" providerId="google-sheets"/>
  <x18tc:person displayName="Samuel Kniazeff" id="{f0784dde-0f00-4d20-96f8-bf632d3533d8}" providerId="google-sheets"/>
  <x18tc:person displayName="Emmanuele Rapatan" id="{85245217-5aa8-404e-86a8-28a80247221d}" providerId="google-sheets"/>
</x18tc:personList>
</file>

<file path=xl/tables/table1.xml><?xml version="1.0" encoding="utf-8"?>
<table xmlns="http://schemas.openxmlformats.org/spreadsheetml/2006/main" headerRowCount="0" ref="Y177:Y190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M180:M182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77" dT="2026-06-15T08:29:57.00" personId="{1dcad055-f8d0-422e-be08-bf125e6b91de}" id="{ffd4278b-3214-4516-8ad1-4ab623e3650b}" done="1">
    <x18tc:text xml:space="preserve">@erwin@nrdev.ph bestie pasuyo nung 3</x18tc:text>
    <x18tc:mentions>
      <x18tc:mention mentionpersonId="{39ca0cf5-03be-4525-84a6-eee5b4d0c0e6}" mentionId="{e1df508c-6b79-4034-8d41-c9e05bcc8991}" startIndex="0" length="15"/>
    </x18tc:mentions>
  </x18tc:threadedComment>
  <x18tc:threadedComment ref="W133" dT="2026-05-21T08:37:15.00" personId="{1dcad055-f8d0-422e-be08-bf125e6b91de}" id="{f446299c-3aa4-47b9-a389-b74332235445}" done="1">
    <x18tc:text xml:space="preserve">@samuel@nrdev.ph please note po na CSR lang ang kasama ng unit. Wala pa po nacreate na SI Thanks</x18tc:text>
    <x18tc:mentions>
      <x18tc:mention mentionpersonId="{ca925d6b-d4a7-476c-b009-943e46daf6e4}" mentionId="{0b711276-7641-43ed-a7a3-d4029055fa5e}" startIndex="0" length="16"/>
    </x18tc:mentions>
  </x18tc:threadedComment>
  <x18tc:threadedComment ref="W133" dT="2026-05-21T10:45:24.00" personId="{f0784dde-0f00-4d20-96f8-bf632d3533d8}" id="{95fb1291-d3f4-4eae-b73a-e7add3a2d23f}" parentId="{f446299c-3aa4-47b9-a389-b74332235445}">
    <x18tc:text xml:space="preserve">oks salamat</x18tc:text>
  </x18tc:threadedComment>
  <x18tc:threadedComment ref="AD125" dT="2026-06-11T08:02:59.00" personId="{1dcad055-f8d0-422e-be08-bf125e6b91de}" id="{352b76ee-5ee6-4590-9e03-ce67c230c6b3}" done="1">
    <x18tc:text xml:space="preserve">@erapatan@nrdev.ph</x18tc:text>
    <x18tc:mentions>
      <x18tc:mention mentionpersonId="{4060c505-c5f0-4222-ae20-ea4705ba7944}" mentionId="{786a7f22-628d-438f-bf88-e8a05b88944e}" startIndex="0" length="18"/>
    </x18tc:mentions>
  </x18tc:threadedComment>
  <x18tc:threadedComment ref="AD125" dT="2026-06-11T08:10:30.00" personId="{85245217-5aa8-404e-86a8-28a80247221d}" id="{8258f7be-09df-4fdf-a7a1-59cf31bd11b6}" parentId="{352b76ee-5ee6-4590-9e03-ce67c230c6b3}">
    <x18tc:text xml:space="preserve">thank you :)</x18tc:text>
  </x18tc:threadedComment>
  <x18tc:threadedComment ref="B177" dT="2026-07-06T02:39:42.00" personId="{1dcad055-f8d0-422e-be08-bf125e6b91de}" id="{646ba640-c6de-4e61-8eea-65c6acae924f}" done="1">
    <x18tc:text xml:space="preserve">@rtrazona@nrdev.ph</x18tc:text>
    <x18tc:mentions>
      <x18tc:mention mentionpersonId="{3288410d-e84c-4aaa-bc2d-10fd3baa9193}" mentionId="{60c27a58-7fa5-4572-8ecf-30c116eae21c}" startIndex="0" length="18"/>
    </x18tc:mentions>
  </x18tc:threadedComment>
  <x18tc:threadedComment ref="B177" dT="2026-07-06T04:50:43.00" personId="{7a70a200-f27f-4685-9c7f-9b1fd7badb71}" id="{f9f9e211-a6ee-4703-a68a-f3fbef93c35f}" parentId="{646ba640-c6de-4e61-8eea-65c6acae924f}">
    <x18tc:text xml:space="preserve">Done po Mam. Thank you</x18tc:text>
  </x18tc:threadedComment>
  <x18tc:threadedComment ref="B5" dT="2026-04-23T09:49:18.00" personId="{1dcad055-f8d0-422e-be08-bf125e6b91de}" id="{7378c123-5472-46fe-9367-c3181ef87110}" done="1">
    <x18tc:text xml:space="preserve">@erwin@nrdev.ph</x18tc:text>
    <x18tc:mentions>
      <x18tc:mention mentionpersonId="{39ca0cf5-03be-4525-84a6-eee5b4d0c0e6}" mentionId="{1c79afe3-5550-481d-8e4f-d2b2d8185f0b}" startIndex="0" length="15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2-26T02:02:28.00" personId="{1dcad055-f8d0-422e-be08-bf125e6b91de}" id="{2ae080da-f350-4155-9c46-b4b353440d13}" done="1">
    <x18tc:text xml:space="preserve">@amostrales@nrdev.ph 
Sir ito po muna need TMS
Assigned to amostrales@nrdev.ph</x18tc:text>
    <x18tc:mentions>
      <x18tc:mention mentionpersonId="{bef9c69a-caa4-4201-a3c7-161ff5f65071}" mentionId="{4f53d601-95e7-4dd5-a392-e966eb51bf76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ammy.sm/" TargetMode="Externa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25"/>
    <col customWidth="1" min="2" max="2" width="48.25"/>
    <col customWidth="1" min="3" max="3" width="19.5"/>
    <col customWidth="1" min="4" max="4" width="14.0"/>
    <col customWidth="1" min="5" max="5" width="18.63"/>
    <col customWidth="1" min="6" max="6" width="19.5"/>
    <col customWidth="1" min="7" max="7" width="18.5"/>
    <col customWidth="1" min="8" max="8" width="19.0"/>
    <col customWidth="1" min="9" max="9" width="31.75"/>
    <col customWidth="1" min="10" max="10" width="26.38"/>
    <col customWidth="1" min="11" max="11" width="26.75"/>
    <col customWidth="1" min="12" max="12" width="24.5"/>
    <col customWidth="1" min="13" max="13" width="17.75"/>
    <col customWidth="1" min="14" max="14" width="23.13"/>
    <col customWidth="1" min="15" max="15" width="13.0"/>
    <col customWidth="1" min="16" max="16" width="15.75"/>
    <col customWidth="1" min="17" max="17" width="24.63"/>
    <col customWidth="1" min="18" max="18" width="21.0"/>
    <col customWidth="1" min="19" max="19" width="36.38"/>
    <col customWidth="1" hidden="1" min="20" max="20" width="19.75"/>
    <col customWidth="1" min="21" max="21" width="12.63"/>
    <col customWidth="1" min="22" max="22" width="21.88"/>
    <col customWidth="1" min="23" max="23" width="26.75"/>
    <col customWidth="1" hidden="1" min="26" max="26" width="24.38"/>
    <col customWidth="1" hidden="1" min="29" max="29" width="30.0"/>
    <col customWidth="1" min="30" max="30" width="17.25"/>
    <col customWidth="1" min="31" max="31" width="15.75"/>
  </cols>
  <sheetData>
    <row r="1">
      <c r="A1" s="11"/>
      <c r="B1" s="11"/>
      <c r="C1" s="11"/>
      <c r="D1" s="11"/>
      <c r="E1" s="11"/>
      <c r="F1" s="11"/>
      <c r="G1" s="11"/>
      <c r="H1" s="15"/>
      <c r="I1" s="19" t="s">
        <v>29</v>
      </c>
      <c r="K1" s="11"/>
      <c r="L1" s="11"/>
      <c r="M1" s="17"/>
      <c r="N1" s="11"/>
      <c r="O1" s="11"/>
      <c r="P1" s="11"/>
      <c r="Q1" s="11"/>
      <c r="R1" s="11"/>
      <c r="S1" s="11"/>
      <c r="T1" s="11"/>
      <c r="U1" s="17"/>
      <c r="V1" s="17"/>
      <c r="W1" s="17"/>
      <c r="X1" s="17"/>
      <c r="Y1" s="17"/>
      <c r="Z1" s="17"/>
      <c r="AA1" s="12" t="s">
        <v>48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>
      <c r="A2" s="12" t="s">
        <v>54</v>
      </c>
      <c r="B2" s="19" t="s">
        <v>1</v>
      </c>
      <c r="C2" s="19" t="s">
        <v>55</v>
      </c>
      <c r="D2" s="19" t="s">
        <v>56</v>
      </c>
      <c r="E2" s="19" t="s">
        <v>57</v>
      </c>
      <c r="F2" s="19" t="s">
        <v>58</v>
      </c>
      <c r="G2" s="19" t="s">
        <v>12</v>
      </c>
      <c r="H2" s="26" t="s">
        <v>13</v>
      </c>
      <c r="I2" s="19" t="s">
        <v>61</v>
      </c>
      <c r="J2" s="19" t="s">
        <v>62</v>
      </c>
      <c r="K2" s="19" t="s">
        <v>63</v>
      </c>
      <c r="L2" s="19" t="s">
        <v>41</v>
      </c>
      <c r="M2" s="12" t="s">
        <v>64</v>
      </c>
      <c r="N2" s="19" t="s">
        <v>43</v>
      </c>
      <c r="O2" s="19" t="s">
        <v>45</v>
      </c>
      <c r="P2" s="19" t="s">
        <v>65</v>
      </c>
      <c r="Q2" s="19" t="s">
        <v>66</v>
      </c>
      <c r="R2" s="19" t="s">
        <v>67</v>
      </c>
      <c r="S2" s="19" t="s">
        <v>68</v>
      </c>
      <c r="T2" s="19" t="s">
        <v>70</v>
      </c>
      <c r="U2" s="19" t="s">
        <v>71</v>
      </c>
      <c r="V2" s="19" t="s">
        <v>73</v>
      </c>
      <c r="W2" s="19" t="s">
        <v>74</v>
      </c>
      <c r="X2" s="19" t="s">
        <v>75</v>
      </c>
      <c r="Y2" s="19" t="s">
        <v>76</v>
      </c>
      <c r="Z2" s="12" t="s">
        <v>77</v>
      </c>
      <c r="AA2" s="12" t="s">
        <v>78</v>
      </c>
      <c r="AB2" s="12" t="s">
        <v>79</v>
      </c>
      <c r="AC2" s="12" t="s">
        <v>80</v>
      </c>
      <c r="AD2" s="12" t="s">
        <v>81</v>
      </c>
      <c r="AE2" s="12" t="s">
        <v>82</v>
      </c>
      <c r="AF2" s="17"/>
      <c r="AG2" s="17"/>
      <c r="AH2" s="17"/>
      <c r="AI2" s="17"/>
      <c r="AJ2" s="17"/>
      <c r="AK2" s="17"/>
      <c r="AL2" s="17"/>
      <c r="AM2" s="17"/>
    </row>
    <row r="3">
      <c r="A3" s="28" t="s">
        <v>85</v>
      </c>
      <c r="B3" s="28" t="s">
        <v>86</v>
      </c>
      <c r="C3" s="29">
        <v>46071.0</v>
      </c>
      <c r="D3" s="14" t="b">
        <v>1</v>
      </c>
      <c r="E3" s="14">
        <v>1.0</v>
      </c>
      <c r="F3" s="14" t="s">
        <v>93</v>
      </c>
      <c r="G3" s="14" t="s">
        <v>28</v>
      </c>
      <c r="H3" s="32" t="s">
        <v>94</v>
      </c>
      <c r="I3" s="14" t="s">
        <v>95</v>
      </c>
      <c r="J3" s="14" t="s">
        <v>96</v>
      </c>
      <c r="K3" s="33" t="s">
        <v>97</v>
      </c>
      <c r="L3" s="33" t="b">
        <v>1</v>
      </c>
      <c r="M3" s="34"/>
      <c r="N3" s="33" t="b">
        <v>1</v>
      </c>
      <c r="O3" s="33" t="b">
        <v>1</v>
      </c>
      <c r="P3" s="33" t="b">
        <v>1</v>
      </c>
      <c r="Q3" s="33"/>
      <c r="R3" s="33"/>
      <c r="S3" s="33" t="s">
        <v>99</v>
      </c>
      <c r="T3" s="33"/>
      <c r="U3" s="33" t="s">
        <v>100</v>
      </c>
      <c r="V3" s="33" t="s">
        <v>102</v>
      </c>
      <c r="W3" s="33" t="s">
        <v>103</v>
      </c>
      <c r="X3" s="34" t="b">
        <v>0</v>
      </c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</row>
    <row r="4">
      <c r="A4" s="28" t="s">
        <v>85</v>
      </c>
      <c r="C4" s="29">
        <v>46071.0</v>
      </c>
      <c r="D4" s="14" t="b">
        <v>1</v>
      </c>
      <c r="E4" s="14">
        <v>2.0</v>
      </c>
      <c r="F4" s="14" t="s">
        <v>93</v>
      </c>
      <c r="G4" s="14" t="s">
        <v>104</v>
      </c>
      <c r="H4" s="32" t="s">
        <v>105</v>
      </c>
      <c r="I4" s="14" t="s">
        <v>106</v>
      </c>
      <c r="J4" s="14" t="s">
        <v>107</v>
      </c>
      <c r="K4" s="33" t="s">
        <v>108</v>
      </c>
      <c r="L4" s="33" t="b">
        <v>1</v>
      </c>
      <c r="M4" s="34"/>
      <c r="N4" s="33" t="b">
        <v>1</v>
      </c>
      <c r="O4" s="33" t="b">
        <v>1</v>
      </c>
      <c r="P4" s="33" t="b">
        <v>1</v>
      </c>
      <c r="Q4" s="33"/>
      <c r="R4" s="33"/>
      <c r="S4" s="33" t="s">
        <v>111</v>
      </c>
      <c r="T4" s="33"/>
      <c r="U4" s="33" t="s">
        <v>112</v>
      </c>
      <c r="V4" s="33" t="s">
        <v>102</v>
      </c>
      <c r="W4" s="33" t="s">
        <v>103</v>
      </c>
      <c r="X4" s="34" t="b">
        <v>0</v>
      </c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</row>
    <row r="5">
      <c r="A5" s="28" t="s">
        <v>85</v>
      </c>
      <c r="B5" s="28" t="s">
        <v>115</v>
      </c>
      <c r="C5" s="29">
        <v>46071.0</v>
      </c>
      <c r="D5" s="14" t="b">
        <v>1</v>
      </c>
      <c r="E5" s="14">
        <v>1.0</v>
      </c>
      <c r="F5" s="14" t="s">
        <v>116</v>
      </c>
      <c r="G5" s="14" t="s">
        <v>16</v>
      </c>
      <c r="H5" s="32" t="s">
        <v>17</v>
      </c>
      <c r="I5" s="14" t="s">
        <v>117</v>
      </c>
      <c r="J5" s="14" t="s">
        <v>118</v>
      </c>
      <c r="K5" s="33" t="s">
        <v>119</v>
      </c>
      <c r="L5" s="33" t="b">
        <v>1</v>
      </c>
      <c r="M5" s="34"/>
      <c r="N5" s="33" t="b">
        <v>1</v>
      </c>
      <c r="O5" s="33" t="b">
        <v>1</v>
      </c>
      <c r="P5" s="33" t="b">
        <v>1</v>
      </c>
      <c r="Q5" s="33"/>
      <c r="R5" s="33"/>
      <c r="S5" s="33" t="s">
        <v>120</v>
      </c>
      <c r="T5" s="33"/>
      <c r="U5" s="33" t="s">
        <v>100</v>
      </c>
      <c r="V5" s="12" t="s">
        <v>121</v>
      </c>
      <c r="W5" s="12" t="s">
        <v>122</v>
      </c>
      <c r="X5" s="12" t="b">
        <v>1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</row>
    <row r="6">
      <c r="A6" s="28" t="s">
        <v>85</v>
      </c>
      <c r="C6" s="29">
        <v>46071.0</v>
      </c>
      <c r="D6" s="14" t="b">
        <v>1</v>
      </c>
      <c r="E6" s="14">
        <v>2.0</v>
      </c>
      <c r="F6" s="14" t="s">
        <v>116</v>
      </c>
      <c r="G6" s="14" t="s">
        <v>16</v>
      </c>
      <c r="H6" s="32" t="s">
        <v>26</v>
      </c>
      <c r="I6" s="14" t="s">
        <v>128</v>
      </c>
      <c r="J6" s="14" t="s">
        <v>129</v>
      </c>
      <c r="K6" s="33" t="s">
        <v>130</v>
      </c>
      <c r="L6" s="33" t="b">
        <v>1</v>
      </c>
      <c r="M6" s="34"/>
      <c r="N6" s="33" t="b">
        <v>1</v>
      </c>
      <c r="O6" s="33" t="b">
        <v>1</v>
      </c>
      <c r="P6" s="33" t="b">
        <v>1</v>
      </c>
      <c r="Q6" s="33"/>
      <c r="R6" s="33"/>
      <c r="S6" s="33" t="s">
        <v>131</v>
      </c>
      <c r="T6" s="33"/>
      <c r="U6" s="33" t="s">
        <v>112</v>
      </c>
      <c r="V6" s="12" t="s">
        <v>121</v>
      </c>
      <c r="W6" s="12" t="s">
        <v>122</v>
      </c>
      <c r="X6" s="12" t="b">
        <v>1</v>
      </c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>
      <c r="A7" s="28" t="s">
        <v>85</v>
      </c>
      <c r="B7" s="28" t="s">
        <v>134</v>
      </c>
      <c r="C7" s="29">
        <v>46071.0</v>
      </c>
      <c r="D7" s="14" t="b">
        <v>1</v>
      </c>
      <c r="E7" s="14">
        <v>1.0</v>
      </c>
      <c r="F7" s="14" t="s">
        <v>116</v>
      </c>
      <c r="G7" s="14" t="s">
        <v>28</v>
      </c>
      <c r="H7" s="32" t="s">
        <v>135</v>
      </c>
      <c r="I7" s="14" t="s">
        <v>136</v>
      </c>
      <c r="J7" s="14" t="s">
        <v>138</v>
      </c>
      <c r="K7" s="33" t="s">
        <v>139</v>
      </c>
      <c r="L7" s="33" t="b">
        <v>1</v>
      </c>
      <c r="M7" s="34"/>
      <c r="N7" s="33" t="b">
        <v>1</v>
      </c>
      <c r="O7" s="33" t="b">
        <v>1</v>
      </c>
      <c r="P7" s="33" t="b">
        <v>1</v>
      </c>
      <c r="Q7" s="33"/>
      <c r="R7" s="33"/>
      <c r="S7" s="33" t="s">
        <v>140</v>
      </c>
      <c r="T7" s="33"/>
      <c r="U7" s="33" t="s">
        <v>100</v>
      </c>
      <c r="V7" s="33" t="s">
        <v>102</v>
      </c>
      <c r="W7" s="33" t="s">
        <v>103</v>
      </c>
      <c r="X7" s="34" t="b">
        <v>0</v>
      </c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</row>
    <row r="8">
      <c r="A8" s="28" t="s">
        <v>85</v>
      </c>
      <c r="C8" s="29">
        <v>46071.0</v>
      </c>
      <c r="D8" s="14" t="b">
        <v>1</v>
      </c>
      <c r="E8" s="14">
        <v>2.0</v>
      </c>
      <c r="F8" s="14" t="s">
        <v>116</v>
      </c>
      <c r="G8" s="14" t="s">
        <v>28</v>
      </c>
      <c r="H8" s="32" t="s">
        <v>147</v>
      </c>
      <c r="I8" s="14" t="s">
        <v>148</v>
      </c>
      <c r="J8" s="14" t="s">
        <v>149</v>
      </c>
      <c r="K8" s="33" t="s">
        <v>150</v>
      </c>
      <c r="L8" s="33" t="b">
        <v>1</v>
      </c>
      <c r="M8" s="34"/>
      <c r="N8" s="33" t="b">
        <v>1</v>
      </c>
      <c r="O8" s="33" t="b">
        <v>1</v>
      </c>
      <c r="P8" s="33" t="b">
        <v>1</v>
      </c>
      <c r="Q8" s="33"/>
      <c r="R8" s="33"/>
      <c r="S8" s="33" t="s">
        <v>151</v>
      </c>
      <c r="T8" s="33"/>
      <c r="U8" s="33" t="s">
        <v>112</v>
      </c>
      <c r="V8" s="33" t="s">
        <v>102</v>
      </c>
      <c r="W8" s="33" t="s">
        <v>103</v>
      </c>
      <c r="X8" s="34" t="b">
        <v>0</v>
      </c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</row>
    <row r="9">
      <c r="A9" s="28" t="s">
        <v>85</v>
      </c>
      <c r="B9" s="43" t="s">
        <v>152</v>
      </c>
      <c r="C9" s="29">
        <v>46093.0</v>
      </c>
      <c r="D9" s="14" t="b">
        <v>1</v>
      </c>
      <c r="E9" s="14">
        <v>1.0</v>
      </c>
      <c r="F9" s="14" t="s">
        <v>153</v>
      </c>
      <c r="G9" s="14" t="s">
        <v>16</v>
      </c>
      <c r="H9" s="32" t="s">
        <v>83</v>
      </c>
      <c r="I9" s="14" t="s">
        <v>154</v>
      </c>
      <c r="J9" s="14" t="s">
        <v>155</v>
      </c>
      <c r="K9" s="14" t="s">
        <v>156</v>
      </c>
      <c r="L9" s="14" t="b">
        <v>1</v>
      </c>
      <c r="M9" s="44"/>
      <c r="N9" s="14" t="b">
        <v>1</v>
      </c>
      <c r="O9" s="44" t="b">
        <v>0</v>
      </c>
      <c r="P9" s="44" t="b">
        <v>0</v>
      </c>
      <c r="Q9" s="14"/>
      <c r="R9" s="14"/>
      <c r="S9" s="14" t="s">
        <v>157</v>
      </c>
      <c r="T9" s="14"/>
      <c r="U9" s="14" t="s">
        <v>158</v>
      </c>
      <c r="V9" s="44"/>
      <c r="W9" s="44"/>
      <c r="X9" s="44" t="b">
        <v>0</v>
      </c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</row>
    <row r="10">
      <c r="A10" s="28" t="s">
        <v>85</v>
      </c>
      <c r="B10" s="28" t="s">
        <v>159</v>
      </c>
      <c r="C10" s="29">
        <v>46073.0</v>
      </c>
      <c r="D10" s="14" t="b">
        <v>1</v>
      </c>
      <c r="E10" s="14">
        <v>1.0</v>
      </c>
      <c r="F10" s="14" t="s">
        <v>160</v>
      </c>
      <c r="G10" s="14" t="s">
        <v>161</v>
      </c>
      <c r="H10" s="32" t="s">
        <v>162</v>
      </c>
      <c r="I10" s="14" t="s">
        <v>163</v>
      </c>
      <c r="J10" s="14" t="s">
        <v>164</v>
      </c>
      <c r="K10" s="33" t="s">
        <v>165</v>
      </c>
      <c r="L10" s="33" t="b">
        <v>1</v>
      </c>
      <c r="M10" s="34"/>
      <c r="N10" s="33" t="b">
        <v>1</v>
      </c>
      <c r="O10" s="33" t="b">
        <v>1</v>
      </c>
      <c r="P10" s="33" t="b">
        <v>1</v>
      </c>
      <c r="Q10" s="45"/>
      <c r="R10" s="45"/>
      <c r="S10" s="45" t="s">
        <v>166</v>
      </c>
      <c r="T10" s="46">
        <v>9.654504561E9</v>
      </c>
      <c r="U10" s="33" t="s">
        <v>100</v>
      </c>
      <c r="V10" s="33" t="s">
        <v>121</v>
      </c>
      <c r="W10" s="33" t="s">
        <v>167</v>
      </c>
      <c r="X10" s="34" t="b">
        <v>0</v>
      </c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</row>
    <row r="11">
      <c r="A11" s="28" t="s">
        <v>85</v>
      </c>
      <c r="C11" s="29">
        <v>46073.0</v>
      </c>
      <c r="D11" s="14" t="b">
        <v>1</v>
      </c>
      <c r="E11" s="44">
        <f t="shared" ref="E11:E19" si="1">E10+1</f>
        <v>2</v>
      </c>
      <c r="F11" s="14" t="s">
        <v>160</v>
      </c>
      <c r="G11" s="14" t="s">
        <v>161</v>
      </c>
      <c r="H11" s="32" t="s">
        <v>168</v>
      </c>
      <c r="I11" s="14" t="s">
        <v>169</v>
      </c>
      <c r="J11" s="14" t="s">
        <v>170</v>
      </c>
      <c r="K11" s="33" t="s">
        <v>171</v>
      </c>
      <c r="L11" s="33" t="b">
        <v>1</v>
      </c>
      <c r="M11" s="34"/>
      <c r="N11" s="33" t="b">
        <v>1</v>
      </c>
      <c r="O11" s="33" t="b">
        <v>1</v>
      </c>
      <c r="P11" s="33" t="b">
        <v>1</v>
      </c>
      <c r="Q11" s="45"/>
      <c r="R11" s="45"/>
      <c r="S11" s="45" t="s">
        <v>172</v>
      </c>
      <c r="T11" s="46">
        <v>9.654504562E9</v>
      </c>
      <c r="U11" s="33" t="s">
        <v>112</v>
      </c>
      <c r="V11" s="33" t="s">
        <v>121</v>
      </c>
      <c r="W11" s="33" t="s">
        <v>167</v>
      </c>
      <c r="X11" s="34" t="b">
        <v>0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</row>
    <row r="12">
      <c r="A12" s="28" t="s">
        <v>85</v>
      </c>
      <c r="C12" s="47">
        <v>46073.0</v>
      </c>
      <c r="D12" s="33" t="b">
        <v>1</v>
      </c>
      <c r="E12" s="34">
        <f t="shared" si="1"/>
        <v>3</v>
      </c>
      <c r="F12" s="33" t="s">
        <v>160</v>
      </c>
      <c r="G12" s="33" t="s">
        <v>161</v>
      </c>
      <c r="H12" s="48" t="s">
        <v>173</v>
      </c>
      <c r="I12" s="33" t="s">
        <v>174</v>
      </c>
      <c r="J12" s="33" t="s">
        <v>170</v>
      </c>
      <c r="K12" s="33" t="s">
        <v>175</v>
      </c>
      <c r="L12" s="33" t="b">
        <v>1</v>
      </c>
      <c r="M12" s="34"/>
      <c r="N12" s="33" t="b">
        <v>1</v>
      </c>
      <c r="O12" s="33" t="b">
        <v>1</v>
      </c>
      <c r="P12" s="33" t="b">
        <v>1</v>
      </c>
      <c r="Q12" s="45"/>
      <c r="R12" s="45"/>
      <c r="S12" s="45" t="s">
        <v>176</v>
      </c>
      <c r="T12" s="46">
        <v>9.654504563E9</v>
      </c>
      <c r="U12" s="33" t="s">
        <v>177</v>
      </c>
      <c r="V12" s="33" t="s">
        <v>121</v>
      </c>
      <c r="W12" s="33" t="s">
        <v>167</v>
      </c>
      <c r="X12" s="34" t="b">
        <v>0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</row>
    <row r="13">
      <c r="A13" s="28" t="s">
        <v>85</v>
      </c>
      <c r="C13" s="47">
        <v>46073.0</v>
      </c>
      <c r="D13" s="33" t="b">
        <v>1</v>
      </c>
      <c r="E13" s="34">
        <f t="shared" si="1"/>
        <v>4</v>
      </c>
      <c r="F13" s="33" t="s">
        <v>160</v>
      </c>
      <c r="G13" s="33" t="s">
        <v>161</v>
      </c>
      <c r="H13" s="48" t="s">
        <v>178</v>
      </c>
      <c r="I13" s="33" t="s">
        <v>179</v>
      </c>
      <c r="J13" s="33" t="s">
        <v>180</v>
      </c>
      <c r="K13" s="33" t="s">
        <v>181</v>
      </c>
      <c r="L13" s="33" t="b">
        <v>1</v>
      </c>
      <c r="M13" s="34"/>
      <c r="N13" s="33" t="b">
        <v>1</v>
      </c>
      <c r="O13" s="33" t="b">
        <v>1</v>
      </c>
      <c r="P13" s="33" t="b">
        <v>1</v>
      </c>
      <c r="Q13" s="45"/>
      <c r="R13" s="45"/>
      <c r="S13" s="45" t="s">
        <v>182</v>
      </c>
      <c r="T13" s="46">
        <v>9.654504564E9</v>
      </c>
      <c r="U13" s="33" t="s">
        <v>183</v>
      </c>
      <c r="V13" s="33" t="s">
        <v>121</v>
      </c>
      <c r="W13" s="33" t="s">
        <v>167</v>
      </c>
      <c r="X13" s="34" t="b">
        <v>0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</row>
    <row r="14">
      <c r="A14" s="28" t="s">
        <v>85</v>
      </c>
      <c r="C14" s="47">
        <v>46073.0</v>
      </c>
      <c r="D14" s="33" t="b">
        <v>1</v>
      </c>
      <c r="E14" s="34">
        <f t="shared" si="1"/>
        <v>5</v>
      </c>
      <c r="F14" s="33" t="s">
        <v>160</v>
      </c>
      <c r="G14" s="33" t="s">
        <v>161</v>
      </c>
      <c r="H14" s="48" t="s">
        <v>184</v>
      </c>
      <c r="I14" s="33" t="s">
        <v>185</v>
      </c>
      <c r="J14" s="33" t="s">
        <v>186</v>
      </c>
      <c r="K14" s="33" t="s">
        <v>187</v>
      </c>
      <c r="L14" s="33" t="b">
        <v>1</v>
      </c>
      <c r="M14" s="34"/>
      <c r="N14" s="33" t="b">
        <v>1</v>
      </c>
      <c r="O14" s="33" t="b">
        <v>1</v>
      </c>
      <c r="P14" s="33" t="b">
        <v>1</v>
      </c>
      <c r="Q14" s="45"/>
      <c r="R14" s="45"/>
      <c r="S14" s="45" t="s">
        <v>188</v>
      </c>
      <c r="T14" s="46">
        <v>9.654504565E9</v>
      </c>
      <c r="U14" s="33" t="s">
        <v>189</v>
      </c>
      <c r="V14" s="33" t="s">
        <v>121</v>
      </c>
      <c r="W14" s="33" t="s">
        <v>167</v>
      </c>
      <c r="X14" s="34" t="b">
        <v>0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</row>
    <row r="15">
      <c r="A15" s="28" t="s">
        <v>85</v>
      </c>
      <c r="C15" s="47">
        <v>46073.0</v>
      </c>
      <c r="D15" s="33" t="b">
        <v>1</v>
      </c>
      <c r="E15" s="34">
        <f t="shared" si="1"/>
        <v>6</v>
      </c>
      <c r="F15" s="33" t="s">
        <v>160</v>
      </c>
      <c r="G15" s="33" t="s">
        <v>161</v>
      </c>
      <c r="H15" s="48" t="s">
        <v>190</v>
      </c>
      <c r="I15" s="33" t="s">
        <v>191</v>
      </c>
      <c r="J15" s="33" t="s">
        <v>192</v>
      </c>
      <c r="K15" s="33" t="s">
        <v>193</v>
      </c>
      <c r="L15" s="33" t="b">
        <v>1</v>
      </c>
      <c r="M15" s="34"/>
      <c r="N15" s="33" t="b">
        <v>1</v>
      </c>
      <c r="O15" s="33" t="b">
        <v>1</v>
      </c>
      <c r="P15" s="33" t="b">
        <v>1</v>
      </c>
      <c r="Q15" s="45"/>
      <c r="R15" s="45"/>
      <c r="S15" s="45" t="s">
        <v>194</v>
      </c>
      <c r="T15" s="46">
        <v>9.654504566E9</v>
      </c>
      <c r="U15" s="33" t="s">
        <v>195</v>
      </c>
      <c r="V15" s="33" t="s">
        <v>121</v>
      </c>
      <c r="W15" s="33" t="s">
        <v>167</v>
      </c>
      <c r="X15" s="34" t="b">
        <v>0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>
      <c r="A16" s="28" t="s">
        <v>85</v>
      </c>
      <c r="C16" s="47">
        <v>46073.0</v>
      </c>
      <c r="D16" s="33" t="b">
        <v>1</v>
      </c>
      <c r="E16" s="34">
        <f t="shared" si="1"/>
        <v>7</v>
      </c>
      <c r="F16" s="33" t="s">
        <v>160</v>
      </c>
      <c r="G16" s="33" t="s">
        <v>161</v>
      </c>
      <c r="H16" s="48" t="s">
        <v>196</v>
      </c>
      <c r="I16" s="33" t="s">
        <v>197</v>
      </c>
      <c r="J16" s="33" t="s">
        <v>198</v>
      </c>
      <c r="K16" s="33" t="s">
        <v>199</v>
      </c>
      <c r="L16" s="33" t="b">
        <v>1</v>
      </c>
      <c r="M16" s="34"/>
      <c r="N16" s="33" t="b">
        <v>1</v>
      </c>
      <c r="O16" s="33" t="b">
        <v>1</v>
      </c>
      <c r="P16" s="33" t="b">
        <v>1</v>
      </c>
      <c r="Q16" s="45"/>
      <c r="R16" s="45"/>
      <c r="S16" s="45" t="s">
        <v>200</v>
      </c>
      <c r="T16" s="46">
        <v>9.654504567E9</v>
      </c>
      <c r="U16" s="33" t="s">
        <v>201</v>
      </c>
      <c r="V16" s="33" t="s">
        <v>121</v>
      </c>
      <c r="W16" s="33" t="s">
        <v>167</v>
      </c>
      <c r="X16" s="34" t="b">
        <v>0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>
      <c r="A17" s="28" t="s">
        <v>85</v>
      </c>
      <c r="C17" s="47">
        <v>46073.0</v>
      </c>
      <c r="D17" s="33" t="b">
        <v>1</v>
      </c>
      <c r="E17" s="34">
        <f t="shared" si="1"/>
        <v>8</v>
      </c>
      <c r="F17" s="33" t="s">
        <v>160</v>
      </c>
      <c r="G17" s="33" t="s">
        <v>161</v>
      </c>
      <c r="H17" s="48" t="s">
        <v>202</v>
      </c>
      <c r="I17" s="33" t="s">
        <v>203</v>
      </c>
      <c r="J17" s="33" t="s">
        <v>204</v>
      </c>
      <c r="K17" s="33" t="s">
        <v>205</v>
      </c>
      <c r="L17" s="33" t="b">
        <v>1</v>
      </c>
      <c r="M17" s="34"/>
      <c r="N17" s="33" t="b">
        <v>1</v>
      </c>
      <c r="O17" s="33" t="b">
        <v>1</v>
      </c>
      <c r="P17" s="33" t="b">
        <v>1</v>
      </c>
      <c r="Q17" s="45"/>
      <c r="R17" s="45"/>
      <c r="S17" s="45" t="s">
        <v>206</v>
      </c>
      <c r="T17" s="46">
        <v>9.654504568E9</v>
      </c>
      <c r="U17" s="33" t="s">
        <v>207</v>
      </c>
      <c r="V17" s="33" t="s">
        <v>121</v>
      </c>
      <c r="W17" s="33" t="s">
        <v>167</v>
      </c>
      <c r="X17" s="34" t="b">
        <v>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</row>
    <row r="18">
      <c r="A18" s="28" t="s">
        <v>85</v>
      </c>
      <c r="C18" s="47">
        <v>46073.0</v>
      </c>
      <c r="D18" s="33" t="b">
        <v>1</v>
      </c>
      <c r="E18" s="34">
        <f t="shared" si="1"/>
        <v>9</v>
      </c>
      <c r="F18" s="33" t="s">
        <v>160</v>
      </c>
      <c r="G18" s="33" t="s">
        <v>161</v>
      </c>
      <c r="H18" s="32" t="s">
        <v>208</v>
      </c>
      <c r="I18" s="33" t="s">
        <v>209</v>
      </c>
      <c r="J18" s="33" t="s">
        <v>210</v>
      </c>
      <c r="K18" s="33" t="s">
        <v>211</v>
      </c>
      <c r="L18" s="33" t="b">
        <v>1</v>
      </c>
      <c r="M18" s="34"/>
      <c r="N18" s="33" t="b">
        <v>1</v>
      </c>
      <c r="O18" s="33" t="b">
        <v>1</v>
      </c>
      <c r="P18" s="33" t="b">
        <v>1</v>
      </c>
      <c r="Q18" s="45"/>
      <c r="R18" s="45"/>
      <c r="S18" s="45" t="s">
        <v>212</v>
      </c>
      <c r="T18" s="46">
        <v>9.654504569E9</v>
      </c>
      <c r="U18" s="33" t="s">
        <v>213</v>
      </c>
      <c r="V18" s="33" t="s">
        <v>121</v>
      </c>
      <c r="W18" s="33" t="s">
        <v>167</v>
      </c>
      <c r="X18" s="34" t="b">
        <v>0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28" t="s">
        <v>85</v>
      </c>
      <c r="C19" s="47">
        <v>46073.0</v>
      </c>
      <c r="D19" s="33" t="b">
        <v>1</v>
      </c>
      <c r="E19" s="34">
        <f t="shared" si="1"/>
        <v>10</v>
      </c>
      <c r="F19" s="33" t="s">
        <v>160</v>
      </c>
      <c r="G19" s="33" t="s">
        <v>161</v>
      </c>
      <c r="H19" s="32" t="s">
        <v>214</v>
      </c>
      <c r="I19" s="33" t="s">
        <v>215</v>
      </c>
      <c r="J19" s="33" t="s">
        <v>216</v>
      </c>
      <c r="K19" s="33" t="s">
        <v>217</v>
      </c>
      <c r="L19" s="33" t="b">
        <v>1</v>
      </c>
      <c r="M19" s="34"/>
      <c r="N19" s="33" t="b">
        <v>1</v>
      </c>
      <c r="O19" s="33" t="b">
        <v>1</v>
      </c>
      <c r="P19" s="33" t="b">
        <v>1</v>
      </c>
      <c r="Q19" s="45"/>
      <c r="R19" s="45"/>
      <c r="S19" s="45" t="s">
        <v>218</v>
      </c>
      <c r="T19" s="46">
        <v>9.65450456E9</v>
      </c>
      <c r="U19" s="33" t="s">
        <v>219</v>
      </c>
      <c r="V19" s="33" t="s">
        <v>121</v>
      </c>
      <c r="W19" s="33" t="s">
        <v>167</v>
      </c>
      <c r="X19" s="34" t="b">
        <v>0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>
      <c r="A20" s="28" t="s">
        <v>85</v>
      </c>
      <c r="B20" s="28" t="s">
        <v>220</v>
      </c>
      <c r="C20" s="47">
        <v>46073.0</v>
      </c>
      <c r="D20" s="33" t="b">
        <v>1</v>
      </c>
      <c r="E20" s="33">
        <v>1.0</v>
      </c>
      <c r="F20" s="33" t="s">
        <v>160</v>
      </c>
      <c r="G20" s="33" t="s">
        <v>28</v>
      </c>
      <c r="H20" s="49" t="s">
        <v>221</v>
      </c>
      <c r="I20" s="33" t="s">
        <v>222</v>
      </c>
      <c r="J20" s="33" t="s">
        <v>223</v>
      </c>
      <c r="K20" s="33" t="s">
        <v>224</v>
      </c>
      <c r="L20" s="33" t="b">
        <v>1</v>
      </c>
      <c r="M20" s="34"/>
      <c r="N20" s="33" t="b">
        <v>1</v>
      </c>
      <c r="O20" s="33" t="b">
        <v>1</v>
      </c>
      <c r="P20" s="33" t="b">
        <v>1</v>
      </c>
      <c r="Q20" s="46"/>
      <c r="R20" s="46"/>
      <c r="S20" s="46" t="s">
        <v>225</v>
      </c>
      <c r="T20" s="33">
        <v>9.124504561E9</v>
      </c>
      <c r="U20" s="33" t="s">
        <v>100</v>
      </c>
      <c r="V20" s="33" t="s">
        <v>121</v>
      </c>
      <c r="W20" s="33" t="s">
        <v>167</v>
      </c>
      <c r="X20" s="34" t="b">
        <v>0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</row>
    <row r="21">
      <c r="A21" s="28" t="s">
        <v>85</v>
      </c>
      <c r="C21" s="47">
        <v>46073.0</v>
      </c>
      <c r="D21" s="33" t="b">
        <v>1</v>
      </c>
      <c r="E21" s="34">
        <f t="shared" ref="E21:E29" si="2">E20+1</f>
        <v>2</v>
      </c>
      <c r="F21" s="33" t="s">
        <v>160</v>
      </c>
      <c r="G21" s="33" t="s">
        <v>28</v>
      </c>
      <c r="H21" s="49" t="s">
        <v>226</v>
      </c>
      <c r="I21" s="33" t="s">
        <v>227</v>
      </c>
      <c r="J21" s="33" t="s">
        <v>228</v>
      </c>
      <c r="K21" s="33" t="s">
        <v>229</v>
      </c>
      <c r="L21" s="33" t="b">
        <v>1</v>
      </c>
      <c r="M21" s="34"/>
      <c r="N21" s="33" t="b">
        <v>1</v>
      </c>
      <c r="O21" s="33" t="b">
        <v>1</v>
      </c>
      <c r="P21" s="33" t="b">
        <v>1</v>
      </c>
      <c r="Q21" s="46"/>
      <c r="R21" s="46"/>
      <c r="S21" s="46" t="s">
        <v>230</v>
      </c>
      <c r="T21" s="33">
        <v>9.124504562E9</v>
      </c>
      <c r="U21" s="33" t="s">
        <v>112</v>
      </c>
      <c r="V21" s="33" t="s">
        <v>121</v>
      </c>
      <c r="W21" s="33" t="s">
        <v>167</v>
      </c>
      <c r="X21" s="34" t="b">
        <v>0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28" t="s">
        <v>85</v>
      </c>
      <c r="C22" s="47">
        <v>46073.0</v>
      </c>
      <c r="D22" s="33" t="b">
        <v>1</v>
      </c>
      <c r="E22" s="34">
        <f t="shared" si="2"/>
        <v>3</v>
      </c>
      <c r="F22" s="33" t="s">
        <v>160</v>
      </c>
      <c r="G22" s="33" t="s">
        <v>28</v>
      </c>
      <c r="H22" s="49" t="s">
        <v>231</v>
      </c>
      <c r="I22" s="33" t="s">
        <v>232</v>
      </c>
      <c r="J22" s="33" t="s">
        <v>233</v>
      </c>
      <c r="K22" s="33" t="s">
        <v>234</v>
      </c>
      <c r="L22" s="33" t="b">
        <v>1</v>
      </c>
      <c r="M22" s="34"/>
      <c r="N22" s="33" t="b">
        <v>1</v>
      </c>
      <c r="O22" s="33" t="b">
        <v>1</v>
      </c>
      <c r="P22" s="33" t="b">
        <v>1</v>
      </c>
      <c r="Q22" s="46"/>
      <c r="R22" s="46"/>
      <c r="S22" s="46" t="s">
        <v>235</v>
      </c>
      <c r="T22" s="33">
        <v>9.124504563E9</v>
      </c>
      <c r="U22" s="33" t="s">
        <v>177</v>
      </c>
      <c r="V22" s="33" t="s">
        <v>121</v>
      </c>
      <c r="W22" s="33" t="s">
        <v>167</v>
      </c>
      <c r="X22" s="34" t="b">
        <v>0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>
      <c r="A23" s="28" t="s">
        <v>85</v>
      </c>
      <c r="C23" s="47">
        <v>46073.0</v>
      </c>
      <c r="D23" s="33" t="b">
        <v>1</v>
      </c>
      <c r="E23" s="34">
        <f t="shared" si="2"/>
        <v>4</v>
      </c>
      <c r="F23" s="33" t="s">
        <v>160</v>
      </c>
      <c r="G23" s="33" t="s">
        <v>28</v>
      </c>
      <c r="H23" s="49" t="s">
        <v>236</v>
      </c>
      <c r="I23" s="33" t="s">
        <v>237</v>
      </c>
      <c r="J23" s="33" t="s">
        <v>238</v>
      </c>
      <c r="K23" s="33" t="s">
        <v>239</v>
      </c>
      <c r="L23" s="33" t="b">
        <v>1</v>
      </c>
      <c r="M23" s="34"/>
      <c r="N23" s="33" t="b">
        <v>1</v>
      </c>
      <c r="O23" s="33" t="b">
        <v>1</v>
      </c>
      <c r="P23" s="33" t="b">
        <v>1</v>
      </c>
      <c r="Q23" s="46"/>
      <c r="R23" s="46"/>
      <c r="S23" s="46" t="s">
        <v>240</v>
      </c>
      <c r="T23" s="33">
        <v>9.124504564E9</v>
      </c>
      <c r="U23" s="33" t="s">
        <v>183</v>
      </c>
      <c r="V23" s="33" t="s">
        <v>121</v>
      </c>
      <c r="W23" s="33" t="s">
        <v>167</v>
      </c>
      <c r="X23" s="34" t="b">
        <v>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</row>
    <row r="24">
      <c r="A24" s="28" t="s">
        <v>85</v>
      </c>
      <c r="C24" s="47">
        <v>46073.0</v>
      </c>
      <c r="D24" s="33" t="b">
        <v>1</v>
      </c>
      <c r="E24" s="34">
        <f t="shared" si="2"/>
        <v>5</v>
      </c>
      <c r="F24" s="33" t="s">
        <v>160</v>
      </c>
      <c r="G24" s="33" t="s">
        <v>28</v>
      </c>
      <c r="H24" s="49" t="s">
        <v>241</v>
      </c>
      <c r="I24" s="33" t="s">
        <v>242</v>
      </c>
      <c r="J24" s="33" t="s">
        <v>243</v>
      </c>
      <c r="K24" s="33" t="s">
        <v>244</v>
      </c>
      <c r="L24" s="33" t="b">
        <v>1</v>
      </c>
      <c r="M24" s="34"/>
      <c r="N24" s="33" t="b">
        <v>1</v>
      </c>
      <c r="O24" s="33" t="b">
        <v>1</v>
      </c>
      <c r="P24" s="33" t="b">
        <v>1</v>
      </c>
      <c r="Q24" s="46"/>
      <c r="R24" s="46"/>
      <c r="S24" s="46" t="s">
        <v>245</v>
      </c>
      <c r="T24" s="33">
        <v>9.124504565E9</v>
      </c>
      <c r="U24" s="33" t="s">
        <v>189</v>
      </c>
      <c r="V24" s="33" t="s">
        <v>121</v>
      </c>
      <c r="W24" s="33" t="s">
        <v>167</v>
      </c>
      <c r="X24" s="34" t="b">
        <v>0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</row>
    <row r="25">
      <c r="A25" s="28" t="s">
        <v>85</v>
      </c>
      <c r="C25" s="47">
        <v>46073.0</v>
      </c>
      <c r="D25" s="33" t="b">
        <v>1</v>
      </c>
      <c r="E25" s="34">
        <f t="shared" si="2"/>
        <v>6</v>
      </c>
      <c r="F25" s="33" t="s">
        <v>160</v>
      </c>
      <c r="G25" s="33" t="s">
        <v>104</v>
      </c>
      <c r="H25" s="50" t="s">
        <v>246</v>
      </c>
      <c r="I25" s="33" t="s">
        <v>247</v>
      </c>
      <c r="J25" s="33" t="s">
        <v>248</v>
      </c>
      <c r="K25" s="33" t="s">
        <v>249</v>
      </c>
      <c r="L25" s="33" t="b">
        <v>1</v>
      </c>
      <c r="M25" s="34"/>
      <c r="N25" s="33" t="b">
        <v>1</v>
      </c>
      <c r="O25" s="33" t="b">
        <v>1</v>
      </c>
      <c r="P25" s="33" t="b">
        <v>1</v>
      </c>
      <c r="Q25" s="46"/>
      <c r="R25" s="46"/>
      <c r="S25" s="46" t="s">
        <v>250</v>
      </c>
      <c r="T25" s="33">
        <v>9.124504566E9</v>
      </c>
      <c r="U25" s="33" t="s">
        <v>195</v>
      </c>
      <c r="V25" s="33" t="s">
        <v>121</v>
      </c>
      <c r="W25" s="33" t="s">
        <v>251</v>
      </c>
      <c r="X25" s="33" t="b">
        <v>1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</row>
    <row r="26">
      <c r="A26" s="28" t="s">
        <v>85</v>
      </c>
      <c r="C26" s="47">
        <v>46073.0</v>
      </c>
      <c r="D26" s="33" t="b">
        <v>1</v>
      </c>
      <c r="E26" s="34">
        <f t="shared" si="2"/>
        <v>7</v>
      </c>
      <c r="F26" s="33" t="s">
        <v>160</v>
      </c>
      <c r="G26" s="33" t="s">
        <v>104</v>
      </c>
      <c r="H26" s="50" t="s">
        <v>252</v>
      </c>
      <c r="I26" s="33" t="s">
        <v>253</v>
      </c>
      <c r="J26" s="33" t="s">
        <v>254</v>
      </c>
      <c r="K26" s="33" t="s">
        <v>255</v>
      </c>
      <c r="L26" s="33" t="b">
        <v>1</v>
      </c>
      <c r="M26" s="34"/>
      <c r="N26" s="33" t="b">
        <v>1</v>
      </c>
      <c r="O26" s="33" t="b">
        <v>1</v>
      </c>
      <c r="P26" s="33" t="b">
        <v>1</v>
      </c>
      <c r="Q26" s="46"/>
      <c r="R26" s="46"/>
      <c r="S26" s="46" t="s">
        <v>256</v>
      </c>
      <c r="T26" s="33">
        <v>9.124504567E9</v>
      </c>
      <c r="U26" s="33" t="s">
        <v>201</v>
      </c>
      <c r="V26" s="33" t="s">
        <v>121</v>
      </c>
      <c r="W26" s="33" t="s">
        <v>251</v>
      </c>
      <c r="X26" s="33" t="b">
        <v>1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</row>
    <row r="27">
      <c r="A27" s="28" t="s">
        <v>85</v>
      </c>
      <c r="C27" s="47">
        <v>46073.0</v>
      </c>
      <c r="D27" s="33" t="b">
        <v>1</v>
      </c>
      <c r="E27" s="34">
        <f t="shared" si="2"/>
        <v>8</v>
      </c>
      <c r="F27" s="33" t="s">
        <v>160</v>
      </c>
      <c r="G27" s="33" t="s">
        <v>104</v>
      </c>
      <c r="H27" s="50" t="s">
        <v>257</v>
      </c>
      <c r="I27" s="33" t="s">
        <v>258</v>
      </c>
      <c r="J27" s="33" t="s">
        <v>259</v>
      </c>
      <c r="K27" s="33" t="s">
        <v>260</v>
      </c>
      <c r="L27" s="33" t="b">
        <v>1</v>
      </c>
      <c r="M27" s="34"/>
      <c r="N27" s="33" t="b">
        <v>1</v>
      </c>
      <c r="O27" s="33" t="b">
        <v>1</v>
      </c>
      <c r="P27" s="33" t="b">
        <v>1</v>
      </c>
      <c r="Q27" s="46"/>
      <c r="R27" s="46"/>
      <c r="S27" s="46" t="s">
        <v>261</v>
      </c>
      <c r="T27" s="33">
        <v>9.124504568E9</v>
      </c>
      <c r="U27" s="33" t="s">
        <v>207</v>
      </c>
      <c r="V27" s="33" t="s">
        <v>121</v>
      </c>
      <c r="W27" s="33" t="s">
        <v>251</v>
      </c>
      <c r="X27" s="33" t="b">
        <v>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</row>
    <row r="28">
      <c r="A28" s="28" t="s">
        <v>85</v>
      </c>
      <c r="C28" s="47">
        <v>46073.0</v>
      </c>
      <c r="D28" s="33" t="b">
        <v>1</v>
      </c>
      <c r="E28" s="34">
        <f t="shared" si="2"/>
        <v>9</v>
      </c>
      <c r="F28" s="33" t="s">
        <v>160</v>
      </c>
      <c r="G28" s="33" t="s">
        <v>104</v>
      </c>
      <c r="H28" s="48" t="s">
        <v>262</v>
      </c>
      <c r="I28" s="33" t="s">
        <v>263</v>
      </c>
      <c r="J28" s="33" t="s">
        <v>264</v>
      </c>
      <c r="K28" s="33" t="s">
        <v>265</v>
      </c>
      <c r="L28" s="33" t="b">
        <v>1</v>
      </c>
      <c r="M28" s="34"/>
      <c r="N28" s="33" t="b">
        <v>1</v>
      </c>
      <c r="O28" s="33" t="b">
        <v>1</v>
      </c>
      <c r="P28" s="33" t="b">
        <v>1</v>
      </c>
      <c r="Q28" s="46"/>
      <c r="R28" s="46"/>
      <c r="S28" s="46" t="s">
        <v>266</v>
      </c>
      <c r="T28" s="33">
        <v>9.124504569E9</v>
      </c>
      <c r="U28" s="33" t="s">
        <v>213</v>
      </c>
      <c r="V28" s="33" t="s">
        <v>121</v>
      </c>
      <c r="W28" s="33" t="s">
        <v>251</v>
      </c>
      <c r="X28" s="33" t="b">
        <v>1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</row>
    <row r="29">
      <c r="A29" s="28" t="s">
        <v>85</v>
      </c>
      <c r="C29" s="47">
        <v>46073.0</v>
      </c>
      <c r="D29" s="33" t="b">
        <v>1</v>
      </c>
      <c r="E29" s="34">
        <f t="shared" si="2"/>
        <v>10</v>
      </c>
      <c r="F29" s="33" t="s">
        <v>160</v>
      </c>
      <c r="G29" s="33" t="s">
        <v>104</v>
      </c>
      <c r="H29" s="50" t="s">
        <v>267</v>
      </c>
      <c r="I29" s="33" t="s">
        <v>268</v>
      </c>
      <c r="J29" s="33" t="s">
        <v>269</v>
      </c>
      <c r="K29" s="33" t="s">
        <v>270</v>
      </c>
      <c r="L29" s="33" t="b">
        <v>1</v>
      </c>
      <c r="M29" s="34"/>
      <c r="N29" s="33" t="b">
        <v>1</v>
      </c>
      <c r="O29" s="33" t="b">
        <v>1</v>
      </c>
      <c r="P29" s="33" t="b">
        <v>1</v>
      </c>
      <c r="Q29" s="46"/>
      <c r="R29" s="46"/>
      <c r="S29" s="46" t="s">
        <v>271</v>
      </c>
      <c r="T29" s="33">
        <v>9.12450456E9</v>
      </c>
      <c r="U29" s="33" t="s">
        <v>219</v>
      </c>
      <c r="V29" s="33" t="s">
        <v>121</v>
      </c>
      <c r="W29" s="33" t="s">
        <v>251</v>
      </c>
      <c r="X29" s="33" t="b">
        <v>1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</row>
    <row r="30">
      <c r="A30" s="28" t="s">
        <v>85</v>
      </c>
      <c r="B30" s="33" t="s">
        <v>272</v>
      </c>
      <c r="C30" s="47">
        <v>46072.0</v>
      </c>
      <c r="D30" s="33" t="b">
        <v>1</v>
      </c>
      <c r="E30" s="33">
        <v>1.0</v>
      </c>
      <c r="F30" s="33" t="s">
        <v>273</v>
      </c>
      <c r="G30" s="33" t="s">
        <v>87</v>
      </c>
      <c r="H30" s="48" t="s">
        <v>274</v>
      </c>
      <c r="I30" s="33" t="s">
        <v>275</v>
      </c>
      <c r="J30" s="33" t="s">
        <v>275</v>
      </c>
      <c r="K30" s="33" t="s">
        <v>276</v>
      </c>
      <c r="L30" s="33" t="b">
        <v>1</v>
      </c>
      <c r="M30" s="34"/>
      <c r="N30" s="33" t="b">
        <v>1</v>
      </c>
      <c r="O30" s="33" t="b">
        <v>1</v>
      </c>
      <c r="P30" s="33" t="b">
        <v>1</v>
      </c>
      <c r="Q30" s="46"/>
      <c r="R30" s="46"/>
      <c r="S30" s="46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</row>
    <row r="31">
      <c r="A31" s="28" t="s">
        <v>85</v>
      </c>
      <c r="B31" s="33" t="s">
        <v>277</v>
      </c>
      <c r="C31" s="47">
        <v>46081.0</v>
      </c>
      <c r="D31" s="33" t="b">
        <v>1</v>
      </c>
      <c r="E31" s="33">
        <v>1.0</v>
      </c>
      <c r="F31" s="33" t="s">
        <v>273</v>
      </c>
      <c r="G31" s="33" t="s">
        <v>104</v>
      </c>
      <c r="H31" s="48" t="s">
        <v>278</v>
      </c>
      <c r="I31" s="33" t="s">
        <v>279</v>
      </c>
      <c r="J31" s="33" t="s">
        <v>280</v>
      </c>
      <c r="K31" s="33" t="s">
        <v>281</v>
      </c>
      <c r="L31" s="33" t="b">
        <v>1</v>
      </c>
      <c r="M31" s="34"/>
      <c r="N31" s="33" t="b">
        <v>1</v>
      </c>
      <c r="O31" s="33" t="b">
        <v>1</v>
      </c>
      <c r="P31" s="33" t="b">
        <v>0</v>
      </c>
      <c r="Q31" s="46"/>
      <c r="R31" s="46"/>
      <c r="S31" s="46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</row>
    <row r="32">
      <c r="A32" s="51" t="s">
        <v>85</v>
      </c>
      <c r="B32" s="51" t="s">
        <v>282</v>
      </c>
      <c r="C32" s="52">
        <v>46100.0</v>
      </c>
      <c r="D32" s="51" t="b">
        <v>1</v>
      </c>
      <c r="E32" s="51">
        <v>1.0</v>
      </c>
      <c r="F32" s="51" t="s">
        <v>283</v>
      </c>
      <c r="G32" s="51" t="s">
        <v>16</v>
      </c>
      <c r="H32" s="53" t="s">
        <v>284</v>
      </c>
      <c r="I32" s="51" t="s">
        <v>285</v>
      </c>
      <c r="J32" s="51" t="s">
        <v>286</v>
      </c>
      <c r="K32" s="51" t="s">
        <v>287</v>
      </c>
      <c r="L32" s="51" t="b">
        <v>1</v>
      </c>
      <c r="M32" s="54"/>
      <c r="N32" s="51" t="b">
        <v>1</v>
      </c>
      <c r="O32" s="51" t="b">
        <v>1</v>
      </c>
      <c r="P32" s="51" t="b">
        <v>1</v>
      </c>
      <c r="Q32" s="51"/>
      <c r="R32" s="51"/>
      <c r="S32" s="51" t="s">
        <v>288</v>
      </c>
      <c r="T32" s="51">
        <v>9.12450457E9</v>
      </c>
      <c r="U32" s="51" t="s">
        <v>100</v>
      </c>
      <c r="V32" s="51" t="s">
        <v>121</v>
      </c>
      <c r="W32" s="51" t="s">
        <v>289</v>
      </c>
      <c r="X32" s="51" t="b">
        <v>1</v>
      </c>
      <c r="Y32" s="51" t="s">
        <v>290</v>
      </c>
      <c r="Z32" s="51" t="s">
        <v>291</v>
      </c>
      <c r="AA32" s="52"/>
      <c r="AB32" s="52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</row>
    <row r="33">
      <c r="A33" s="12" t="s">
        <v>85</v>
      </c>
      <c r="B33" s="12" t="s">
        <v>292</v>
      </c>
      <c r="C33" s="55">
        <v>46106.0</v>
      </c>
      <c r="D33" s="12" t="b">
        <v>1</v>
      </c>
      <c r="E33" s="12">
        <v>1.0</v>
      </c>
      <c r="F33" s="12" t="s">
        <v>160</v>
      </c>
      <c r="G33" s="12" t="s">
        <v>293</v>
      </c>
      <c r="H33" s="56" t="s">
        <v>294</v>
      </c>
      <c r="I33" s="12" t="s">
        <v>295</v>
      </c>
      <c r="J33" s="12" t="s">
        <v>296</v>
      </c>
      <c r="K33" s="12" t="s">
        <v>297</v>
      </c>
      <c r="L33" s="12" t="b">
        <v>1</v>
      </c>
      <c r="M33" s="17"/>
      <c r="N33" s="12" t="b">
        <v>1</v>
      </c>
      <c r="O33" s="12" t="b">
        <v>1</v>
      </c>
      <c r="P33" s="12" t="b">
        <v>1</v>
      </c>
      <c r="Q33" s="12"/>
      <c r="R33" s="12"/>
      <c r="S33" s="12" t="s">
        <v>298</v>
      </c>
      <c r="T33" s="12">
        <v>9.191080001E9</v>
      </c>
      <c r="U33" s="12" t="s">
        <v>158</v>
      </c>
      <c r="V33" s="12" t="s">
        <v>121</v>
      </c>
      <c r="W33" s="12" t="s">
        <v>289</v>
      </c>
      <c r="X33" s="12" t="b">
        <v>1</v>
      </c>
      <c r="Y33" s="12" t="s">
        <v>299</v>
      </c>
      <c r="Z33" s="17"/>
      <c r="AA33" s="55"/>
      <c r="AB33" s="55"/>
      <c r="AC33" s="12" t="s">
        <v>300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>
      <c r="A34" s="12" t="s">
        <v>85</v>
      </c>
      <c r="B34" s="12" t="s">
        <v>292</v>
      </c>
      <c r="C34" s="55">
        <v>46106.0</v>
      </c>
      <c r="D34" s="12" t="b">
        <v>1</v>
      </c>
      <c r="E34" s="12">
        <f t="shared" ref="E34:E44" si="3">E33+1</f>
        <v>2</v>
      </c>
      <c r="F34" s="12" t="s">
        <v>160</v>
      </c>
      <c r="G34" s="12" t="s">
        <v>293</v>
      </c>
      <c r="H34" s="56" t="s">
        <v>20</v>
      </c>
      <c r="I34" s="12" t="s">
        <v>301</v>
      </c>
      <c r="J34" s="12" t="s">
        <v>302</v>
      </c>
      <c r="K34" s="12" t="s">
        <v>303</v>
      </c>
      <c r="L34" s="12" t="b">
        <v>1</v>
      </c>
      <c r="M34" s="17"/>
      <c r="N34" s="12" t="b">
        <v>1</v>
      </c>
      <c r="O34" s="12" t="b">
        <v>1</v>
      </c>
      <c r="P34" s="12" t="b">
        <v>1</v>
      </c>
      <c r="Q34" s="12"/>
      <c r="R34" s="12"/>
      <c r="S34" s="12" t="s">
        <v>304</v>
      </c>
      <c r="T34" s="12">
        <v>9.101080002E9</v>
      </c>
      <c r="U34" s="12" t="s">
        <v>158</v>
      </c>
      <c r="V34" s="12" t="s">
        <v>121</v>
      </c>
      <c r="W34" s="12" t="s">
        <v>289</v>
      </c>
      <c r="X34" s="12" t="b">
        <v>1</v>
      </c>
      <c r="Y34" s="12" t="s">
        <v>305</v>
      </c>
      <c r="Z34" s="17"/>
      <c r="AA34" s="55"/>
      <c r="AB34" s="55"/>
      <c r="AC34" s="12" t="s">
        <v>306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>
      <c r="A35" s="12" t="s">
        <v>85</v>
      </c>
      <c r="B35" s="12" t="s">
        <v>292</v>
      </c>
      <c r="C35" s="55">
        <v>46106.0</v>
      </c>
      <c r="D35" s="12" t="b">
        <v>1</v>
      </c>
      <c r="E35" s="12">
        <f t="shared" si="3"/>
        <v>3</v>
      </c>
      <c r="F35" s="12" t="s">
        <v>160</v>
      </c>
      <c r="G35" s="12" t="s">
        <v>161</v>
      </c>
      <c r="H35" s="56" t="s">
        <v>307</v>
      </c>
      <c r="I35" s="12" t="s">
        <v>308</v>
      </c>
      <c r="J35" s="12" t="s">
        <v>309</v>
      </c>
      <c r="K35" s="12" t="s">
        <v>310</v>
      </c>
      <c r="L35" s="12" t="b">
        <v>1</v>
      </c>
      <c r="M35" s="17"/>
      <c r="N35" s="12" t="b">
        <v>1</v>
      </c>
      <c r="O35" s="12" t="b">
        <v>1</v>
      </c>
      <c r="P35" s="12" t="b">
        <v>1</v>
      </c>
      <c r="Q35" s="12"/>
      <c r="R35" s="12"/>
      <c r="S35" s="12" t="s">
        <v>311</v>
      </c>
      <c r="T35" s="12">
        <v>9.101080003E9</v>
      </c>
      <c r="U35" s="12" t="s">
        <v>158</v>
      </c>
      <c r="V35" s="12" t="s">
        <v>121</v>
      </c>
      <c r="W35" s="12" t="s">
        <v>289</v>
      </c>
      <c r="X35" s="12" t="b">
        <v>1</v>
      </c>
      <c r="Y35" s="12" t="s">
        <v>312</v>
      </c>
      <c r="Z35" s="17"/>
      <c r="AA35" s="17"/>
      <c r="AB35" s="17"/>
      <c r="AC35" s="12" t="s">
        <v>313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 ht="15.0" customHeight="1">
      <c r="A36" s="12" t="s">
        <v>85</v>
      </c>
      <c r="B36" s="12" t="s">
        <v>292</v>
      </c>
      <c r="C36" s="55">
        <v>46106.0</v>
      </c>
      <c r="D36" s="12" t="b">
        <v>1</v>
      </c>
      <c r="E36" s="12">
        <f t="shared" si="3"/>
        <v>4</v>
      </c>
      <c r="F36" s="12" t="s">
        <v>160</v>
      </c>
      <c r="G36" s="12" t="s">
        <v>161</v>
      </c>
      <c r="H36" s="56" t="s">
        <v>314</v>
      </c>
      <c r="I36" s="12" t="s">
        <v>315</v>
      </c>
      <c r="J36" s="12" t="s">
        <v>316</v>
      </c>
      <c r="K36" s="12" t="s">
        <v>317</v>
      </c>
      <c r="L36" s="12" t="b">
        <v>1</v>
      </c>
      <c r="M36" s="17"/>
      <c r="N36" s="12" t="b">
        <v>1</v>
      </c>
      <c r="O36" s="12" t="b">
        <v>1</v>
      </c>
      <c r="P36" s="12" t="b">
        <v>1</v>
      </c>
      <c r="Q36" s="12"/>
      <c r="R36" s="12"/>
      <c r="S36" s="12" t="s">
        <v>318</v>
      </c>
      <c r="T36" s="12">
        <v>9.101080004E9</v>
      </c>
      <c r="U36" s="12" t="s">
        <v>158</v>
      </c>
      <c r="V36" s="12" t="s">
        <v>121</v>
      </c>
      <c r="W36" s="12" t="s">
        <v>289</v>
      </c>
      <c r="X36" s="12" t="b">
        <v>1</v>
      </c>
      <c r="Y36" s="12" t="s">
        <v>319</v>
      </c>
      <c r="Z36" s="17"/>
      <c r="AA36" s="17"/>
      <c r="AB36" s="17"/>
      <c r="AC36" s="12" t="s">
        <v>320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>
      <c r="A37" s="12" t="s">
        <v>85</v>
      </c>
      <c r="B37" s="12" t="s">
        <v>292</v>
      </c>
      <c r="C37" s="55">
        <v>46106.0</v>
      </c>
      <c r="D37" s="12" t="b">
        <v>1</v>
      </c>
      <c r="E37" s="12">
        <f t="shared" si="3"/>
        <v>5</v>
      </c>
      <c r="F37" s="12" t="s">
        <v>160</v>
      </c>
      <c r="G37" s="12" t="s">
        <v>161</v>
      </c>
      <c r="H37" s="56" t="s">
        <v>321</v>
      </c>
      <c r="I37" s="12" t="s">
        <v>322</v>
      </c>
      <c r="J37" s="12" t="s">
        <v>323</v>
      </c>
      <c r="K37" s="12" t="s">
        <v>324</v>
      </c>
      <c r="L37" s="12" t="b">
        <v>1</v>
      </c>
      <c r="M37" s="17"/>
      <c r="N37" s="12" t="b">
        <v>1</v>
      </c>
      <c r="O37" s="12" t="b">
        <v>1</v>
      </c>
      <c r="P37" s="12" t="b">
        <v>1</v>
      </c>
      <c r="Q37" s="12"/>
      <c r="R37" s="12"/>
      <c r="S37" s="12" t="s">
        <v>325</v>
      </c>
      <c r="T37" s="12">
        <v>9.101080005E9</v>
      </c>
      <c r="U37" s="12" t="s">
        <v>158</v>
      </c>
      <c r="V37" s="12" t="s">
        <v>121</v>
      </c>
      <c r="W37" s="12" t="s">
        <v>289</v>
      </c>
      <c r="X37" s="12" t="b">
        <v>1</v>
      </c>
      <c r="Y37" s="12" t="s">
        <v>326</v>
      </c>
      <c r="Z37" s="17"/>
      <c r="AA37" s="17"/>
      <c r="AB37" s="17"/>
      <c r="AC37" s="12" t="s">
        <v>327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>
      <c r="A38" s="12" t="s">
        <v>85</v>
      </c>
      <c r="B38" s="12" t="s">
        <v>292</v>
      </c>
      <c r="C38" s="55">
        <v>46106.0</v>
      </c>
      <c r="D38" s="12" t="b">
        <v>1</v>
      </c>
      <c r="E38" s="12">
        <f t="shared" si="3"/>
        <v>6</v>
      </c>
      <c r="F38" s="12" t="s">
        <v>160</v>
      </c>
      <c r="G38" s="12" t="s">
        <v>87</v>
      </c>
      <c r="H38" s="56" t="s">
        <v>328</v>
      </c>
      <c r="I38" s="12" t="s">
        <v>329</v>
      </c>
      <c r="J38" s="12" t="s">
        <v>330</v>
      </c>
      <c r="K38" s="12" t="s">
        <v>331</v>
      </c>
      <c r="L38" s="12" t="b">
        <v>1</v>
      </c>
      <c r="M38" s="17"/>
      <c r="N38" s="12" t="b">
        <v>1</v>
      </c>
      <c r="O38" s="12" t="b">
        <v>1</v>
      </c>
      <c r="P38" s="12" t="b">
        <v>1</v>
      </c>
      <c r="Q38" s="12"/>
      <c r="R38" s="12"/>
      <c r="S38" s="12" t="s">
        <v>332</v>
      </c>
      <c r="T38" s="12">
        <v>9.101080006E9</v>
      </c>
      <c r="U38" s="12" t="s">
        <v>158</v>
      </c>
      <c r="V38" s="12" t="s">
        <v>121</v>
      </c>
      <c r="W38" s="12" t="s">
        <v>289</v>
      </c>
      <c r="X38" s="12" t="b">
        <v>1</v>
      </c>
      <c r="Y38" s="12" t="s">
        <v>333</v>
      </c>
      <c r="Z38" s="17"/>
      <c r="AA38" s="17"/>
      <c r="AB38" s="17"/>
      <c r="AC38" s="12" t="s">
        <v>334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>
      <c r="A39" s="12" t="s">
        <v>85</v>
      </c>
      <c r="B39" s="12" t="s">
        <v>292</v>
      </c>
      <c r="C39" s="55">
        <v>46106.0</v>
      </c>
      <c r="D39" s="12" t="b">
        <v>1</v>
      </c>
      <c r="E39" s="12">
        <f t="shared" si="3"/>
        <v>7</v>
      </c>
      <c r="F39" s="12" t="s">
        <v>160</v>
      </c>
      <c r="G39" s="12" t="s">
        <v>87</v>
      </c>
      <c r="H39" s="56" t="s">
        <v>335</v>
      </c>
      <c r="I39" s="12" t="s">
        <v>336</v>
      </c>
      <c r="J39" s="12" t="s">
        <v>337</v>
      </c>
      <c r="K39" s="12" t="s">
        <v>338</v>
      </c>
      <c r="L39" s="12" t="b">
        <v>1</v>
      </c>
      <c r="M39" s="17"/>
      <c r="N39" s="12" t="b">
        <v>1</v>
      </c>
      <c r="O39" s="12" t="b">
        <v>1</v>
      </c>
      <c r="P39" s="12" t="b">
        <v>1</v>
      </c>
      <c r="Q39" s="12"/>
      <c r="R39" s="12"/>
      <c r="S39" s="12" t="s">
        <v>339</v>
      </c>
      <c r="T39" s="12">
        <v>9.101080007E9</v>
      </c>
      <c r="U39" s="12" t="s">
        <v>158</v>
      </c>
      <c r="V39" s="12" t="s">
        <v>121</v>
      </c>
      <c r="W39" s="12" t="s">
        <v>289</v>
      </c>
      <c r="X39" s="12" t="b">
        <v>1</v>
      </c>
      <c r="Y39" s="12" t="s">
        <v>340</v>
      </c>
      <c r="Z39" s="17"/>
      <c r="AA39" s="17"/>
      <c r="AB39" s="17"/>
      <c r="AC39" s="12" t="s">
        <v>341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>
      <c r="A40" s="12" t="s">
        <v>85</v>
      </c>
      <c r="B40" s="12" t="s">
        <v>292</v>
      </c>
      <c r="C40" s="55">
        <v>46106.0</v>
      </c>
      <c r="D40" s="12" t="b">
        <v>1</v>
      </c>
      <c r="E40" s="12">
        <f t="shared" si="3"/>
        <v>8</v>
      </c>
      <c r="F40" s="12" t="s">
        <v>160</v>
      </c>
      <c r="G40" s="12" t="s">
        <v>87</v>
      </c>
      <c r="H40" s="56" t="s">
        <v>342</v>
      </c>
      <c r="I40" s="12" t="s">
        <v>343</v>
      </c>
      <c r="J40" s="12" t="s">
        <v>344</v>
      </c>
      <c r="K40" s="12" t="s">
        <v>345</v>
      </c>
      <c r="L40" s="12" t="b">
        <v>1</v>
      </c>
      <c r="M40" s="17"/>
      <c r="N40" s="12" t="b">
        <v>1</v>
      </c>
      <c r="O40" s="12" t="b">
        <v>1</v>
      </c>
      <c r="P40" s="12" t="b">
        <v>1</v>
      </c>
      <c r="Q40" s="12"/>
      <c r="R40" s="12"/>
      <c r="S40" s="12" t="s">
        <v>346</v>
      </c>
      <c r="T40" s="12">
        <v>9.101080008E9</v>
      </c>
      <c r="U40" s="12" t="s">
        <v>158</v>
      </c>
      <c r="V40" s="12" t="s">
        <v>121</v>
      </c>
      <c r="W40" s="12" t="s">
        <v>289</v>
      </c>
      <c r="X40" s="12" t="b">
        <v>1</v>
      </c>
      <c r="Y40" s="12" t="s">
        <v>347</v>
      </c>
      <c r="Z40" s="17"/>
      <c r="AA40" s="17"/>
      <c r="AB40" s="17"/>
      <c r="AC40" s="12" t="s">
        <v>348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>
      <c r="A41" s="12" t="s">
        <v>85</v>
      </c>
      <c r="B41" s="12" t="s">
        <v>292</v>
      </c>
      <c r="C41" s="55">
        <v>46106.0</v>
      </c>
      <c r="D41" s="12" t="b">
        <v>1</v>
      </c>
      <c r="E41" s="12">
        <f t="shared" si="3"/>
        <v>9</v>
      </c>
      <c r="F41" s="12" t="s">
        <v>160</v>
      </c>
      <c r="G41" s="12" t="s">
        <v>87</v>
      </c>
      <c r="H41" s="56" t="s">
        <v>349</v>
      </c>
      <c r="I41" s="12" t="s">
        <v>350</v>
      </c>
      <c r="J41" s="12" t="s">
        <v>351</v>
      </c>
      <c r="K41" s="12" t="s">
        <v>352</v>
      </c>
      <c r="L41" s="12" t="b">
        <v>1</v>
      </c>
      <c r="M41" s="17"/>
      <c r="N41" s="12" t="b">
        <v>1</v>
      </c>
      <c r="O41" s="12" t="b">
        <v>1</v>
      </c>
      <c r="P41" s="12" t="b">
        <v>1</v>
      </c>
      <c r="Q41" s="12"/>
      <c r="R41" s="12"/>
      <c r="S41" s="12" t="s">
        <v>353</v>
      </c>
      <c r="T41" s="12">
        <v>9.101080009E9</v>
      </c>
      <c r="U41" s="12" t="s">
        <v>158</v>
      </c>
      <c r="V41" s="12" t="s">
        <v>121</v>
      </c>
      <c r="W41" s="12" t="s">
        <v>289</v>
      </c>
      <c r="X41" s="12" t="b">
        <v>1</v>
      </c>
      <c r="Y41" s="12" t="s">
        <v>354</v>
      </c>
      <c r="Z41" s="17"/>
      <c r="AA41" s="17"/>
      <c r="AB41" s="17"/>
      <c r="AC41" s="12" t="s">
        <v>355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>
      <c r="A42" s="12" t="s">
        <v>85</v>
      </c>
      <c r="B42" s="12" t="s">
        <v>292</v>
      </c>
      <c r="C42" s="55">
        <v>46106.0</v>
      </c>
      <c r="D42" s="12" t="b">
        <v>1</v>
      </c>
      <c r="E42" s="12">
        <f t="shared" si="3"/>
        <v>10</v>
      </c>
      <c r="F42" s="12" t="s">
        <v>160</v>
      </c>
      <c r="G42" s="12" t="s">
        <v>87</v>
      </c>
      <c r="H42" s="56" t="s">
        <v>356</v>
      </c>
      <c r="I42" s="12" t="s">
        <v>357</v>
      </c>
      <c r="J42" s="12" t="s">
        <v>358</v>
      </c>
      <c r="K42" s="12" t="s">
        <v>359</v>
      </c>
      <c r="L42" s="12" t="b">
        <v>1</v>
      </c>
      <c r="M42" s="17"/>
      <c r="N42" s="12" t="b">
        <v>1</v>
      </c>
      <c r="O42" s="12" t="b">
        <v>1</v>
      </c>
      <c r="P42" s="12" t="b">
        <v>1</v>
      </c>
      <c r="Q42" s="12"/>
      <c r="R42" s="12"/>
      <c r="S42" s="12" t="s">
        <v>360</v>
      </c>
      <c r="T42" s="12">
        <v>9.10108001E9</v>
      </c>
      <c r="U42" s="12" t="s">
        <v>158</v>
      </c>
      <c r="V42" s="12" t="s">
        <v>121</v>
      </c>
      <c r="W42" s="12" t="s">
        <v>289</v>
      </c>
      <c r="X42" s="12" t="b">
        <v>1</v>
      </c>
      <c r="Y42" s="12" t="s">
        <v>361</v>
      </c>
      <c r="Z42" s="17"/>
      <c r="AA42" s="17"/>
      <c r="AB42" s="17"/>
      <c r="AC42" s="12" t="s">
        <v>362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>
      <c r="A43" s="12" t="s">
        <v>85</v>
      </c>
      <c r="B43" s="12" t="s">
        <v>292</v>
      </c>
      <c r="C43" s="55">
        <v>46106.0</v>
      </c>
      <c r="D43" s="12" t="b">
        <v>1</v>
      </c>
      <c r="E43" s="12">
        <f t="shared" si="3"/>
        <v>11</v>
      </c>
      <c r="F43" s="12" t="s">
        <v>160</v>
      </c>
      <c r="G43" s="12" t="s">
        <v>87</v>
      </c>
      <c r="H43" s="56" t="s">
        <v>363</v>
      </c>
      <c r="I43" s="12" t="s">
        <v>364</v>
      </c>
      <c r="J43" s="12" t="s">
        <v>365</v>
      </c>
      <c r="K43" s="12" t="s">
        <v>366</v>
      </c>
      <c r="L43" s="12" t="b">
        <v>1</v>
      </c>
      <c r="M43" s="17"/>
      <c r="N43" s="12" t="b">
        <v>1</v>
      </c>
      <c r="O43" s="12" t="b">
        <v>1</v>
      </c>
      <c r="P43" s="12" t="b">
        <v>1</v>
      </c>
      <c r="Q43" s="12"/>
      <c r="R43" s="12"/>
      <c r="S43" s="12" t="s">
        <v>367</v>
      </c>
      <c r="T43" s="12">
        <v>9.101080011E9</v>
      </c>
      <c r="U43" s="12" t="s">
        <v>158</v>
      </c>
      <c r="V43" s="12" t="s">
        <v>121</v>
      </c>
      <c r="W43" s="12" t="s">
        <v>289</v>
      </c>
      <c r="X43" s="12" t="b">
        <v>1</v>
      </c>
      <c r="Y43" s="12" t="s">
        <v>368</v>
      </c>
      <c r="Z43" s="17"/>
      <c r="AA43" s="17"/>
      <c r="AB43" s="17"/>
      <c r="AC43" s="12" t="s">
        <v>369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>
      <c r="A44" s="12" t="s">
        <v>85</v>
      </c>
      <c r="B44" s="12" t="s">
        <v>292</v>
      </c>
      <c r="C44" s="55">
        <v>46106.0</v>
      </c>
      <c r="D44" s="12" t="b">
        <v>1</v>
      </c>
      <c r="E44" s="12">
        <f t="shared" si="3"/>
        <v>12</v>
      </c>
      <c r="F44" s="12" t="s">
        <v>160</v>
      </c>
      <c r="G44" s="12" t="s">
        <v>87</v>
      </c>
      <c r="H44" s="56" t="s">
        <v>274</v>
      </c>
      <c r="I44" s="12" t="s">
        <v>370</v>
      </c>
      <c r="J44" s="12" t="s">
        <v>371</v>
      </c>
      <c r="K44" s="12" t="s">
        <v>372</v>
      </c>
      <c r="L44" s="12" t="b">
        <v>1</v>
      </c>
      <c r="M44" s="17"/>
      <c r="N44" s="12" t="b">
        <v>1</v>
      </c>
      <c r="O44" s="12" t="b">
        <v>1</v>
      </c>
      <c r="P44" s="12" t="b">
        <v>1</v>
      </c>
      <c r="Q44" s="12"/>
      <c r="R44" s="12"/>
      <c r="S44" s="12" t="s">
        <v>373</v>
      </c>
      <c r="T44" s="12">
        <v>9.101080012E9</v>
      </c>
      <c r="U44" s="12" t="s">
        <v>158</v>
      </c>
      <c r="V44" s="12" t="s">
        <v>121</v>
      </c>
      <c r="W44" s="12" t="s">
        <v>289</v>
      </c>
      <c r="X44" s="12" t="b">
        <v>1</v>
      </c>
      <c r="Y44" s="12" t="s">
        <v>374</v>
      </c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>
      <c r="A45" s="33" t="s">
        <v>85</v>
      </c>
      <c r="B45" s="33" t="s">
        <v>375</v>
      </c>
      <c r="C45" s="47">
        <v>46094.0</v>
      </c>
      <c r="D45" s="33" t="b">
        <v>1</v>
      </c>
      <c r="E45" s="33">
        <v>1.0</v>
      </c>
      <c r="F45" s="33" t="s">
        <v>376</v>
      </c>
      <c r="G45" s="33" t="s">
        <v>16</v>
      </c>
      <c r="H45" s="48" t="s">
        <v>377</v>
      </c>
      <c r="I45" s="33" t="s">
        <v>378</v>
      </c>
      <c r="J45" s="33" t="s">
        <v>379</v>
      </c>
      <c r="K45" s="33" t="s">
        <v>380</v>
      </c>
      <c r="L45" s="33" t="b">
        <v>1</v>
      </c>
      <c r="M45" s="34"/>
      <c r="N45" s="33" t="b">
        <v>1</v>
      </c>
      <c r="O45" s="33" t="b">
        <v>1</v>
      </c>
      <c r="P45" s="33" t="b">
        <v>1</v>
      </c>
      <c r="Q45" s="33"/>
      <c r="R45" s="33"/>
      <c r="S45" s="33" t="s">
        <v>381</v>
      </c>
      <c r="T45" s="34"/>
      <c r="U45" s="33" t="s">
        <v>158</v>
      </c>
      <c r="V45" s="33" t="s">
        <v>121</v>
      </c>
      <c r="W45" s="33" t="s">
        <v>289</v>
      </c>
      <c r="X45" s="33" t="b">
        <v>1</v>
      </c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</row>
    <row r="46">
      <c r="A46" s="33" t="s">
        <v>85</v>
      </c>
      <c r="B46" s="33" t="s">
        <v>375</v>
      </c>
      <c r="C46" s="47">
        <v>46094.0</v>
      </c>
      <c r="D46" s="33" t="b">
        <v>1</v>
      </c>
      <c r="E46" s="33">
        <v>2.0</v>
      </c>
      <c r="F46" s="33" t="s">
        <v>376</v>
      </c>
      <c r="G46" s="33" t="s">
        <v>104</v>
      </c>
      <c r="H46" s="48" t="s">
        <v>382</v>
      </c>
      <c r="I46" s="33" t="s">
        <v>383</v>
      </c>
      <c r="J46" s="33" t="s">
        <v>384</v>
      </c>
      <c r="K46" s="33" t="s">
        <v>385</v>
      </c>
      <c r="L46" s="33" t="b">
        <v>1</v>
      </c>
      <c r="M46" s="34"/>
      <c r="N46" s="33" t="b">
        <v>1</v>
      </c>
      <c r="O46" s="33" t="b">
        <v>1</v>
      </c>
      <c r="P46" s="33" t="b">
        <v>1</v>
      </c>
      <c r="Q46" s="33"/>
      <c r="R46" s="33"/>
      <c r="S46" s="33" t="s">
        <v>386</v>
      </c>
      <c r="T46" s="34"/>
      <c r="U46" s="33" t="s">
        <v>158</v>
      </c>
      <c r="V46" s="33" t="s">
        <v>121</v>
      </c>
      <c r="W46" s="33" t="s">
        <v>289</v>
      </c>
      <c r="X46" s="33" t="b">
        <v>1</v>
      </c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</row>
    <row r="47">
      <c r="A47" s="12" t="s">
        <v>85</v>
      </c>
      <c r="B47" s="12" t="s">
        <v>387</v>
      </c>
      <c r="C47" s="55">
        <v>46105.0</v>
      </c>
      <c r="D47" s="12" t="b">
        <v>1</v>
      </c>
      <c r="E47" s="12">
        <v>1.0</v>
      </c>
      <c r="F47" s="12" t="s">
        <v>388</v>
      </c>
      <c r="G47" s="12" t="s">
        <v>293</v>
      </c>
      <c r="H47" s="56" t="s">
        <v>389</v>
      </c>
      <c r="I47" s="12" t="s">
        <v>390</v>
      </c>
      <c r="J47" s="12" t="s">
        <v>391</v>
      </c>
      <c r="K47" s="12" t="s">
        <v>352</v>
      </c>
      <c r="L47" s="12" t="b">
        <v>1</v>
      </c>
      <c r="M47" s="17"/>
      <c r="N47" s="12" t="b">
        <v>1</v>
      </c>
      <c r="O47" s="12" t="b">
        <v>1</v>
      </c>
      <c r="P47" s="12" t="b">
        <v>1</v>
      </c>
      <c r="Q47" s="12"/>
      <c r="R47" s="12"/>
      <c r="S47" s="12" t="s">
        <v>392</v>
      </c>
      <c r="T47" s="17"/>
      <c r="U47" s="12" t="s">
        <v>158</v>
      </c>
      <c r="V47" s="12" t="s">
        <v>121</v>
      </c>
      <c r="W47" s="12" t="s">
        <v>289</v>
      </c>
      <c r="X47" s="12" t="b">
        <v>1</v>
      </c>
      <c r="Y47" s="12" t="s">
        <v>393</v>
      </c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>
      <c r="A48" s="12" t="s">
        <v>85</v>
      </c>
      <c r="B48" s="51" t="s">
        <v>394</v>
      </c>
      <c r="C48" s="52">
        <v>46101.0</v>
      </c>
      <c r="D48" s="12" t="b">
        <v>1</v>
      </c>
      <c r="E48" s="51">
        <v>1.0</v>
      </c>
      <c r="F48" s="51" t="s">
        <v>273</v>
      </c>
      <c r="G48" s="12" t="s">
        <v>16</v>
      </c>
      <c r="H48" s="53" t="s">
        <v>395</v>
      </c>
      <c r="I48" s="51" t="s">
        <v>396</v>
      </c>
      <c r="J48" s="51" t="s">
        <v>397</v>
      </c>
      <c r="K48" s="12" t="s">
        <v>398</v>
      </c>
      <c r="L48" s="12" t="b">
        <v>1</v>
      </c>
      <c r="M48" s="17"/>
      <c r="N48" s="12" t="b">
        <v>1</v>
      </c>
      <c r="O48" s="12" t="b">
        <v>1</v>
      </c>
      <c r="P48" s="12" t="b">
        <v>1</v>
      </c>
      <c r="Q48" s="51"/>
      <c r="R48" s="51"/>
      <c r="S48" s="51" t="s">
        <v>399</v>
      </c>
      <c r="T48" s="51" t="s">
        <v>399</v>
      </c>
      <c r="U48" s="51" t="s">
        <v>399</v>
      </c>
      <c r="V48" s="12" t="s">
        <v>121</v>
      </c>
      <c r="W48" s="12" t="s">
        <v>289</v>
      </c>
      <c r="X48" s="12" t="b">
        <v>1</v>
      </c>
      <c r="Y48" s="51" t="s">
        <v>400</v>
      </c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</row>
    <row r="49">
      <c r="A49" s="12" t="s">
        <v>85</v>
      </c>
      <c r="B49" s="51" t="s">
        <v>401</v>
      </c>
      <c r="C49" s="52">
        <v>46104.0</v>
      </c>
      <c r="D49" s="12" t="b">
        <v>1</v>
      </c>
      <c r="E49" s="51">
        <v>1.0</v>
      </c>
      <c r="F49" s="51" t="s">
        <v>273</v>
      </c>
      <c r="G49" s="51" t="s">
        <v>28</v>
      </c>
      <c r="H49" s="53" t="s">
        <v>402</v>
      </c>
      <c r="I49" s="51" t="s">
        <v>403</v>
      </c>
      <c r="J49" s="51" t="s">
        <v>404</v>
      </c>
      <c r="K49" s="51" t="s">
        <v>405</v>
      </c>
      <c r="L49" s="12" t="b">
        <v>1</v>
      </c>
      <c r="M49" s="17"/>
      <c r="N49" s="12" t="b">
        <v>1</v>
      </c>
      <c r="O49" s="12" t="b">
        <v>1</v>
      </c>
      <c r="P49" s="12" t="b">
        <v>1</v>
      </c>
      <c r="Q49" s="51"/>
      <c r="R49" s="51"/>
      <c r="S49" s="51" t="s">
        <v>406</v>
      </c>
      <c r="T49" s="51" t="s">
        <v>406</v>
      </c>
      <c r="U49" s="51" t="s">
        <v>406</v>
      </c>
      <c r="V49" s="12" t="s">
        <v>121</v>
      </c>
      <c r="W49" s="12" t="s">
        <v>289</v>
      </c>
      <c r="X49" s="12" t="b">
        <v>1</v>
      </c>
      <c r="Y49" s="51" t="s">
        <v>407</v>
      </c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</row>
    <row r="50">
      <c r="A50" s="12" t="s">
        <v>85</v>
      </c>
      <c r="B50" s="12" t="s">
        <v>408</v>
      </c>
      <c r="C50" s="55">
        <v>46108.0</v>
      </c>
      <c r="D50" s="12" t="b">
        <v>1</v>
      </c>
      <c r="E50" s="12">
        <v>1.0</v>
      </c>
      <c r="F50" s="12" t="s">
        <v>409</v>
      </c>
      <c r="G50" s="12" t="s">
        <v>16</v>
      </c>
      <c r="H50" s="56" t="s">
        <v>410</v>
      </c>
      <c r="I50" s="12" t="s">
        <v>411</v>
      </c>
      <c r="J50" s="12" t="s">
        <v>412</v>
      </c>
      <c r="K50" s="12" t="s">
        <v>413</v>
      </c>
      <c r="L50" s="12" t="b">
        <v>1</v>
      </c>
      <c r="M50" s="17"/>
      <c r="N50" s="12" t="b">
        <v>1</v>
      </c>
      <c r="O50" s="12" t="b">
        <v>1</v>
      </c>
      <c r="P50" s="12" t="b">
        <v>1</v>
      </c>
      <c r="Q50" s="12"/>
      <c r="R50" s="12"/>
      <c r="S50" s="12" t="s">
        <v>414</v>
      </c>
      <c r="T50" s="12">
        <v>9.382835355E9</v>
      </c>
      <c r="U50" s="12" t="s">
        <v>158</v>
      </c>
      <c r="V50" s="12" t="s">
        <v>121</v>
      </c>
      <c r="W50" s="12" t="s">
        <v>122</v>
      </c>
      <c r="X50" s="12" t="b">
        <v>1</v>
      </c>
      <c r="Y50" s="12" t="s">
        <v>415</v>
      </c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>
      <c r="A51" s="12" t="s">
        <v>85</v>
      </c>
      <c r="B51" s="12" t="s">
        <v>408</v>
      </c>
      <c r="C51" s="55">
        <v>46108.0</v>
      </c>
      <c r="D51" s="12" t="b">
        <v>1</v>
      </c>
      <c r="E51" s="12">
        <f t="shared" ref="E51:E58" si="4">E50+1</f>
        <v>2</v>
      </c>
      <c r="F51" s="12" t="s">
        <v>409</v>
      </c>
      <c r="G51" s="12" t="s">
        <v>16</v>
      </c>
      <c r="H51" s="56" t="s">
        <v>416</v>
      </c>
      <c r="I51" s="12" t="s">
        <v>417</v>
      </c>
      <c r="J51" s="12" t="s">
        <v>418</v>
      </c>
      <c r="K51" s="12" t="s">
        <v>419</v>
      </c>
      <c r="L51" s="12" t="b">
        <v>1</v>
      </c>
      <c r="M51" s="17"/>
      <c r="N51" s="12" t="b">
        <v>1</v>
      </c>
      <c r="O51" s="12" t="b">
        <v>1</v>
      </c>
      <c r="P51" s="12" t="b">
        <v>1</v>
      </c>
      <c r="Q51" s="57"/>
      <c r="R51" s="57"/>
      <c r="S51" s="57" t="s">
        <v>420</v>
      </c>
      <c r="T51" s="12">
        <v>9.36031952E9</v>
      </c>
      <c r="U51" s="12" t="s">
        <v>158</v>
      </c>
      <c r="V51" s="12" t="s">
        <v>121</v>
      </c>
      <c r="W51" s="12" t="s">
        <v>122</v>
      </c>
      <c r="X51" s="12" t="b">
        <v>1</v>
      </c>
      <c r="Y51" s="12" t="s">
        <v>421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>
      <c r="A52" s="12" t="s">
        <v>85</v>
      </c>
      <c r="B52" s="12" t="s">
        <v>408</v>
      </c>
      <c r="C52" s="55">
        <v>46108.0</v>
      </c>
      <c r="D52" s="12" t="b">
        <v>1</v>
      </c>
      <c r="E52" s="12">
        <f t="shared" si="4"/>
        <v>3</v>
      </c>
      <c r="F52" s="12" t="s">
        <v>409</v>
      </c>
      <c r="G52" s="12" t="s">
        <v>16</v>
      </c>
      <c r="H52" s="56" t="s">
        <v>422</v>
      </c>
      <c r="I52" s="12" t="s">
        <v>423</v>
      </c>
      <c r="J52" s="12" t="s">
        <v>424</v>
      </c>
      <c r="K52" s="12" t="s">
        <v>425</v>
      </c>
      <c r="L52" s="12" t="b">
        <v>1</v>
      </c>
      <c r="M52" s="17"/>
      <c r="N52" s="12" t="b">
        <v>1</v>
      </c>
      <c r="O52" s="12" t="b">
        <v>1</v>
      </c>
      <c r="P52" s="12" t="b">
        <v>1</v>
      </c>
      <c r="Q52" s="12"/>
      <c r="R52" s="12"/>
      <c r="S52" s="12" t="s">
        <v>426</v>
      </c>
      <c r="T52" s="12">
        <v>9.811797287E9</v>
      </c>
      <c r="U52" s="12" t="s">
        <v>158</v>
      </c>
      <c r="V52" s="12" t="s">
        <v>121</v>
      </c>
      <c r="W52" s="12" t="s">
        <v>122</v>
      </c>
      <c r="X52" s="12" t="b">
        <v>1</v>
      </c>
      <c r="Y52" s="12" t="s">
        <v>427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>
      <c r="A53" s="12" t="s">
        <v>85</v>
      </c>
      <c r="B53" s="12" t="s">
        <v>408</v>
      </c>
      <c r="C53" s="55">
        <v>46108.0</v>
      </c>
      <c r="D53" s="12" t="b">
        <v>1</v>
      </c>
      <c r="E53" s="12">
        <f t="shared" si="4"/>
        <v>4</v>
      </c>
      <c r="F53" s="12" t="s">
        <v>409</v>
      </c>
      <c r="G53" s="12" t="s">
        <v>16</v>
      </c>
      <c r="H53" s="56" t="s">
        <v>428</v>
      </c>
      <c r="I53" s="14" t="s">
        <v>429</v>
      </c>
      <c r="J53" s="12" t="s">
        <v>430</v>
      </c>
      <c r="K53" s="12" t="s">
        <v>431</v>
      </c>
      <c r="L53" s="12" t="b">
        <v>1</v>
      </c>
      <c r="M53" s="17"/>
      <c r="N53" s="12" t="b">
        <v>1</v>
      </c>
      <c r="O53" s="12" t="b">
        <v>1</v>
      </c>
      <c r="P53" s="12" t="b">
        <v>1</v>
      </c>
      <c r="Q53" s="12"/>
      <c r="R53" s="12"/>
      <c r="S53" s="12" t="s">
        <v>432</v>
      </c>
      <c r="T53" s="12">
        <v>9.65332334E9</v>
      </c>
      <c r="U53" s="12" t="s">
        <v>158</v>
      </c>
      <c r="V53" s="12" t="s">
        <v>121</v>
      </c>
      <c r="W53" s="12" t="s">
        <v>122</v>
      </c>
      <c r="X53" s="12" t="b">
        <v>1</v>
      </c>
      <c r="Y53" s="12" t="s">
        <v>433</v>
      </c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>
      <c r="A54" s="12" t="s">
        <v>85</v>
      </c>
      <c r="B54" s="12" t="s">
        <v>408</v>
      </c>
      <c r="C54" s="55">
        <v>46108.0</v>
      </c>
      <c r="D54" s="12" t="b">
        <v>1</v>
      </c>
      <c r="E54" s="12">
        <f t="shared" si="4"/>
        <v>5</v>
      </c>
      <c r="F54" s="12" t="s">
        <v>409</v>
      </c>
      <c r="G54" s="12" t="s">
        <v>16</v>
      </c>
      <c r="H54" s="32" t="s">
        <v>434</v>
      </c>
      <c r="I54" s="12" t="s">
        <v>435</v>
      </c>
      <c r="J54" s="12" t="s">
        <v>436</v>
      </c>
      <c r="K54" s="12" t="s">
        <v>437</v>
      </c>
      <c r="L54" s="12" t="b">
        <v>1</v>
      </c>
      <c r="M54" s="17"/>
      <c r="N54" s="12" t="b">
        <v>1</v>
      </c>
      <c r="O54" s="12" t="b">
        <v>1</v>
      </c>
      <c r="P54" s="12" t="b">
        <v>1</v>
      </c>
      <c r="Q54" s="12"/>
      <c r="R54" s="12"/>
      <c r="S54" s="12" t="s">
        <v>438</v>
      </c>
      <c r="T54" s="12">
        <v>9.182832974E9</v>
      </c>
      <c r="U54" s="12" t="s">
        <v>158</v>
      </c>
      <c r="V54" s="12" t="s">
        <v>121</v>
      </c>
      <c r="W54" s="12" t="s">
        <v>122</v>
      </c>
      <c r="X54" s="12" t="b">
        <v>1</v>
      </c>
      <c r="Y54" s="12" t="s">
        <v>439</v>
      </c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>
      <c r="A55" s="12" t="s">
        <v>85</v>
      </c>
      <c r="B55" s="12" t="s">
        <v>408</v>
      </c>
      <c r="C55" s="55">
        <v>46108.0</v>
      </c>
      <c r="D55" s="12" t="b">
        <v>1</v>
      </c>
      <c r="E55" s="12">
        <f t="shared" si="4"/>
        <v>6</v>
      </c>
      <c r="F55" s="12" t="s">
        <v>409</v>
      </c>
      <c r="G55" s="12" t="s">
        <v>16</v>
      </c>
      <c r="H55" s="56" t="s">
        <v>440</v>
      </c>
      <c r="I55" s="12" t="s">
        <v>441</v>
      </c>
      <c r="J55" s="12" t="s">
        <v>442</v>
      </c>
      <c r="K55" s="12" t="s">
        <v>443</v>
      </c>
      <c r="L55" s="12" t="b">
        <v>1</v>
      </c>
      <c r="M55" s="17"/>
      <c r="N55" s="12" t="b">
        <v>1</v>
      </c>
      <c r="O55" s="12" t="b">
        <v>1</v>
      </c>
      <c r="P55" s="12" t="b">
        <v>1</v>
      </c>
      <c r="Q55" s="12"/>
      <c r="R55" s="12"/>
      <c r="S55" s="12" t="s">
        <v>444</v>
      </c>
      <c r="T55" s="12">
        <v>9.633546314E9</v>
      </c>
      <c r="U55" s="12" t="s">
        <v>158</v>
      </c>
      <c r="V55" s="12" t="s">
        <v>121</v>
      </c>
      <c r="W55" s="12" t="s">
        <v>122</v>
      </c>
      <c r="X55" s="12" t="b">
        <v>1</v>
      </c>
      <c r="Y55" s="12" t="s">
        <v>445</v>
      </c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>
      <c r="A56" s="12" t="s">
        <v>85</v>
      </c>
      <c r="B56" s="12" t="s">
        <v>408</v>
      </c>
      <c r="C56" s="55">
        <v>46108.0</v>
      </c>
      <c r="D56" s="12" t="b">
        <v>1</v>
      </c>
      <c r="E56" s="12">
        <f t="shared" si="4"/>
        <v>7</v>
      </c>
      <c r="F56" s="12" t="s">
        <v>409</v>
      </c>
      <c r="G56" s="12" t="s">
        <v>16</v>
      </c>
      <c r="H56" s="56" t="s">
        <v>446</v>
      </c>
      <c r="I56" s="14" t="s">
        <v>447</v>
      </c>
      <c r="J56" s="14" t="s">
        <v>448</v>
      </c>
      <c r="K56" s="12" t="s">
        <v>449</v>
      </c>
      <c r="L56" s="12" t="b">
        <v>1</v>
      </c>
      <c r="M56" s="17"/>
      <c r="N56" s="12" t="b">
        <v>1</v>
      </c>
      <c r="O56" s="12" t="b">
        <v>1</v>
      </c>
      <c r="P56" s="12" t="b">
        <v>1</v>
      </c>
      <c r="Q56" s="12"/>
      <c r="R56" s="12"/>
      <c r="S56" s="12" t="s">
        <v>450</v>
      </c>
      <c r="T56" s="12">
        <v>9.98595561E9</v>
      </c>
      <c r="U56" s="12" t="s">
        <v>158</v>
      </c>
      <c r="V56" s="12" t="s">
        <v>121</v>
      </c>
      <c r="W56" s="12" t="s">
        <v>122</v>
      </c>
      <c r="X56" s="12" t="b">
        <v>1</v>
      </c>
      <c r="Y56" s="12" t="s">
        <v>451</v>
      </c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>
      <c r="A57" s="12" t="s">
        <v>85</v>
      </c>
      <c r="B57" s="12" t="s">
        <v>408</v>
      </c>
      <c r="C57" s="55">
        <v>46108.0</v>
      </c>
      <c r="D57" s="12" t="b">
        <v>1</v>
      </c>
      <c r="E57" s="12">
        <f t="shared" si="4"/>
        <v>8</v>
      </c>
      <c r="F57" s="12" t="s">
        <v>409</v>
      </c>
      <c r="G57" s="12" t="s">
        <v>16</v>
      </c>
      <c r="H57" s="56" t="s">
        <v>452</v>
      </c>
      <c r="I57" s="12" t="s">
        <v>453</v>
      </c>
      <c r="J57" s="14" t="s">
        <v>454</v>
      </c>
      <c r="K57" s="14" t="s">
        <v>455</v>
      </c>
      <c r="L57" s="12" t="b">
        <v>1</v>
      </c>
      <c r="M57" s="17"/>
      <c r="N57" s="12" t="b">
        <v>1</v>
      </c>
      <c r="O57" s="12" t="b">
        <v>1</v>
      </c>
      <c r="P57" s="12" t="b">
        <v>1</v>
      </c>
      <c r="Q57" s="12"/>
      <c r="R57" s="12"/>
      <c r="S57" s="12" t="s">
        <v>456</v>
      </c>
      <c r="T57" s="12">
        <v>9.183740043E9</v>
      </c>
      <c r="U57" s="12" t="s">
        <v>158</v>
      </c>
      <c r="V57" s="12" t="s">
        <v>121</v>
      </c>
      <c r="W57" s="12" t="s">
        <v>122</v>
      </c>
      <c r="X57" s="12" t="b">
        <v>1</v>
      </c>
      <c r="Y57" s="12" t="s">
        <v>457</v>
      </c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>
      <c r="A58" s="12" t="s">
        <v>85</v>
      </c>
      <c r="B58" s="12" t="s">
        <v>408</v>
      </c>
      <c r="C58" s="55">
        <v>46108.0</v>
      </c>
      <c r="D58" s="12" t="b">
        <v>1</v>
      </c>
      <c r="E58" s="12">
        <f t="shared" si="4"/>
        <v>9</v>
      </c>
      <c r="F58" s="12" t="s">
        <v>409</v>
      </c>
      <c r="G58" s="12" t="s">
        <v>16</v>
      </c>
      <c r="H58" s="56" t="s">
        <v>458</v>
      </c>
      <c r="I58" s="14" t="s">
        <v>459</v>
      </c>
      <c r="J58" s="14" t="s">
        <v>460</v>
      </c>
      <c r="K58" s="14" t="s">
        <v>461</v>
      </c>
      <c r="L58" s="12" t="b">
        <v>1</v>
      </c>
      <c r="M58" s="19"/>
      <c r="N58" s="12" t="b">
        <v>1</v>
      </c>
      <c r="O58" s="12" t="b">
        <v>1</v>
      </c>
      <c r="P58" s="12" t="b">
        <v>1</v>
      </c>
      <c r="Q58" s="12"/>
      <c r="R58" s="12"/>
      <c r="S58" s="12" t="s">
        <v>462</v>
      </c>
      <c r="T58" s="12">
        <v>9.648132244E9</v>
      </c>
      <c r="U58" s="12" t="s">
        <v>158</v>
      </c>
      <c r="V58" s="12" t="s">
        <v>121</v>
      </c>
      <c r="W58" s="12" t="s">
        <v>122</v>
      </c>
      <c r="X58" s="12" t="b">
        <v>1</v>
      </c>
      <c r="Y58" s="12" t="s">
        <v>463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>
      <c r="A59" s="12" t="s">
        <v>85</v>
      </c>
      <c r="B59" s="51" t="s">
        <v>464</v>
      </c>
      <c r="C59" s="52">
        <v>46119.0</v>
      </c>
      <c r="D59" s="12" t="b">
        <v>1</v>
      </c>
      <c r="E59" s="51">
        <v>1.0</v>
      </c>
      <c r="F59" s="51" t="s">
        <v>465</v>
      </c>
      <c r="G59" s="51" t="s">
        <v>466</v>
      </c>
      <c r="H59" s="58" t="s">
        <v>467</v>
      </c>
      <c r="I59" s="54" t="s">
        <v>468</v>
      </c>
      <c r="J59" s="34" t="s">
        <v>469</v>
      </c>
      <c r="K59" s="33" t="s">
        <v>470</v>
      </c>
      <c r="L59" s="12" t="b">
        <v>1</v>
      </c>
      <c r="M59" s="19"/>
      <c r="N59" s="12" t="b">
        <v>1</v>
      </c>
      <c r="O59" s="12" t="b">
        <v>1</v>
      </c>
      <c r="P59" s="12" t="b">
        <v>1</v>
      </c>
      <c r="Q59" s="51"/>
      <c r="R59" s="51"/>
      <c r="S59" s="51" t="s">
        <v>471</v>
      </c>
      <c r="T59" s="33">
        <v>9.158881234E9</v>
      </c>
      <c r="U59" s="33" t="s">
        <v>158</v>
      </c>
      <c r="V59" s="12" t="s">
        <v>472</v>
      </c>
      <c r="W59" s="33" t="s">
        <v>473</v>
      </c>
      <c r="X59" s="33" t="s">
        <v>473</v>
      </c>
      <c r="Y59" s="33" t="s">
        <v>473</v>
      </c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</row>
    <row r="60">
      <c r="A60" s="12" t="s">
        <v>85</v>
      </c>
      <c r="B60" s="51" t="s">
        <v>464</v>
      </c>
      <c r="C60" s="52">
        <v>46119.0</v>
      </c>
      <c r="D60" s="12" t="b">
        <v>1</v>
      </c>
      <c r="E60" s="51">
        <v>2.0</v>
      </c>
      <c r="F60" s="51" t="s">
        <v>465</v>
      </c>
      <c r="G60" s="51" t="s">
        <v>28</v>
      </c>
      <c r="H60" s="53" t="s">
        <v>474</v>
      </c>
      <c r="I60" s="51" t="s">
        <v>475</v>
      </c>
      <c r="J60" s="33" t="s">
        <v>476</v>
      </c>
      <c r="K60" s="51" t="s">
        <v>477</v>
      </c>
      <c r="L60" s="12" t="b">
        <v>1</v>
      </c>
      <c r="M60" s="19"/>
      <c r="N60" s="12" t="b">
        <v>1</v>
      </c>
      <c r="O60" s="12" t="b">
        <v>1</v>
      </c>
      <c r="P60" s="12" t="b">
        <v>1</v>
      </c>
      <c r="Q60" s="51"/>
      <c r="R60" s="51"/>
      <c r="S60" s="51" t="s">
        <v>478</v>
      </c>
      <c r="T60" s="33">
        <v>9.189876543E9</v>
      </c>
      <c r="U60" s="33" t="s">
        <v>158</v>
      </c>
      <c r="V60" s="12" t="s">
        <v>472</v>
      </c>
      <c r="W60" s="33" t="s">
        <v>473</v>
      </c>
      <c r="X60" s="33" t="s">
        <v>473</v>
      </c>
      <c r="Y60" s="33" t="s">
        <v>473</v>
      </c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</row>
    <row r="61">
      <c r="A61" s="12" t="s">
        <v>85</v>
      </c>
      <c r="B61" s="51" t="s">
        <v>479</v>
      </c>
      <c r="C61" s="52">
        <v>46112.0</v>
      </c>
      <c r="D61" s="12" t="b">
        <v>1</v>
      </c>
      <c r="E61" s="51">
        <v>1.0</v>
      </c>
      <c r="F61" s="12" t="s">
        <v>480</v>
      </c>
      <c r="G61" s="51" t="s">
        <v>28</v>
      </c>
      <c r="H61" s="53" t="s">
        <v>147</v>
      </c>
      <c r="I61" s="12" t="s">
        <v>481</v>
      </c>
      <c r="J61" s="14" t="s">
        <v>482</v>
      </c>
      <c r="K61" s="51" t="s">
        <v>150</v>
      </c>
      <c r="L61" s="12" t="b">
        <v>1</v>
      </c>
      <c r="M61" s="19"/>
      <c r="N61" s="12" t="b">
        <v>1</v>
      </c>
      <c r="O61" s="12" t="b">
        <v>1</v>
      </c>
      <c r="P61" s="12" t="b">
        <v>1</v>
      </c>
      <c r="Q61" s="51"/>
      <c r="R61" s="51"/>
      <c r="S61" s="51" t="s">
        <v>483</v>
      </c>
      <c r="T61" s="51">
        <v>9.225551212E9</v>
      </c>
      <c r="U61" s="33" t="s">
        <v>158</v>
      </c>
      <c r="V61" s="12" t="s">
        <v>121</v>
      </c>
      <c r="W61" s="12" t="s">
        <v>484</v>
      </c>
      <c r="X61" s="12" t="b">
        <v>1</v>
      </c>
      <c r="Y61" s="51" t="s">
        <v>485</v>
      </c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</row>
    <row r="62">
      <c r="A62" s="12" t="s">
        <v>85</v>
      </c>
      <c r="B62" s="51" t="s">
        <v>479</v>
      </c>
      <c r="C62" s="52">
        <v>46112.0</v>
      </c>
      <c r="D62" s="12" t="b">
        <v>1</v>
      </c>
      <c r="E62" s="51">
        <v>2.0</v>
      </c>
      <c r="F62" s="12" t="s">
        <v>480</v>
      </c>
      <c r="G62" s="51" t="s">
        <v>28</v>
      </c>
      <c r="H62" s="53" t="s">
        <v>135</v>
      </c>
      <c r="I62" s="14" t="s">
        <v>486</v>
      </c>
      <c r="J62" s="14" t="s">
        <v>487</v>
      </c>
      <c r="K62" s="33" t="s">
        <v>139</v>
      </c>
      <c r="L62" s="12" t="b">
        <v>1</v>
      </c>
      <c r="M62" s="19"/>
      <c r="N62" s="12" t="b">
        <v>1</v>
      </c>
      <c r="O62" s="12" t="b">
        <v>1</v>
      </c>
      <c r="P62" s="12" t="b">
        <v>1</v>
      </c>
      <c r="Q62" s="51"/>
      <c r="R62" s="51"/>
      <c r="S62" s="51" t="s">
        <v>488</v>
      </c>
      <c r="T62" s="51">
        <v>9.453338888E9</v>
      </c>
      <c r="U62" s="33" t="s">
        <v>158</v>
      </c>
      <c r="V62" s="12" t="s">
        <v>121</v>
      </c>
      <c r="W62" s="12" t="s">
        <v>484</v>
      </c>
      <c r="X62" s="12" t="b">
        <v>1</v>
      </c>
      <c r="Y62" s="51" t="s">
        <v>489</v>
      </c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</row>
    <row r="63">
      <c r="A63" s="12" t="s">
        <v>85</v>
      </c>
      <c r="B63" s="51" t="s">
        <v>490</v>
      </c>
      <c r="C63" s="52">
        <v>46118.0</v>
      </c>
      <c r="D63" s="12" t="b">
        <v>1</v>
      </c>
      <c r="E63" s="51">
        <v>1.0</v>
      </c>
      <c r="F63" s="51" t="s">
        <v>491</v>
      </c>
      <c r="G63" s="51" t="s">
        <v>466</v>
      </c>
      <c r="H63" s="53" t="s">
        <v>492</v>
      </c>
      <c r="I63" s="51" t="s">
        <v>493</v>
      </c>
      <c r="J63" s="33" t="s">
        <v>494</v>
      </c>
      <c r="K63" s="33" t="s">
        <v>495</v>
      </c>
      <c r="L63" s="12" t="b">
        <v>1</v>
      </c>
      <c r="M63" s="12"/>
      <c r="N63" s="12" t="b">
        <v>1</v>
      </c>
      <c r="O63" s="12" t="b">
        <v>1</v>
      </c>
      <c r="P63" s="12" t="b">
        <v>1</v>
      </c>
      <c r="Q63" s="51"/>
      <c r="R63" s="51"/>
      <c r="S63" s="51" t="s">
        <v>496</v>
      </c>
      <c r="T63" s="51">
        <v>9.614442211E9</v>
      </c>
      <c r="U63" s="33" t="s">
        <v>158</v>
      </c>
      <c r="V63" s="12" t="s">
        <v>121</v>
      </c>
      <c r="W63" s="12" t="s">
        <v>484</v>
      </c>
      <c r="X63" s="12" t="b">
        <v>1</v>
      </c>
      <c r="Y63" s="51" t="s">
        <v>497</v>
      </c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</row>
    <row r="64">
      <c r="A64" s="12" t="s">
        <v>85</v>
      </c>
      <c r="B64" s="51" t="s">
        <v>490</v>
      </c>
      <c r="C64" s="52">
        <v>46118.0</v>
      </c>
      <c r="D64" s="12" t="b">
        <v>1</v>
      </c>
      <c r="E64" s="51">
        <v>2.0</v>
      </c>
      <c r="F64" s="51" t="s">
        <v>491</v>
      </c>
      <c r="G64" s="51" t="s">
        <v>466</v>
      </c>
      <c r="H64" s="56" t="s">
        <v>498</v>
      </c>
      <c r="I64" s="12" t="s">
        <v>499</v>
      </c>
      <c r="J64" s="12" t="s">
        <v>500</v>
      </c>
      <c r="K64" s="33" t="s">
        <v>501</v>
      </c>
      <c r="L64" s="12" t="b">
        <v>1</v>
      </c>
      <c r="M64" s="12"/>
      <c r="N64" s="12" t="b">
        <v>1</v>
      </c>
      <c r="O64" s="12" t="b">
        <v>1</v>
      </c>
      <c r="P64" s="12" t="b">
        <v>1</v>
      </c>
      <c r="Q64" s="51"/>
      <c r="R64" s="51"/>
      <c r="S64" s="51" t="s">
        <v>502</v>
      </c>
      <c r="T64" s="12">
        <v>9.0677799E9</v>
      </c>
      <c r="U64" s="33" t="s">
        <v>158</v>
      </c>
      <c r="V64" s="12" t="s">
        <v>121</v>
      </c>
      <c r="W64" s="12" t="s">
        <v>484</v>
      </c>
      <c r="X64" s="12" t="b">
        <v>1</v>
      </c>
      <c r="Y64" s="12" t="s">
        <v>503</v>
      </c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>
      <c r="A65" s="12" t="s">
        <v>85</v>
      </c>
      <c r="B65" s="12" t="s">
        <v>504</v>
      </c>
      <c r="C65" s="55">
        <v>46125.0</v>
      </c>
      <c r="D65" s="12" t="b">
        <v>1</v>
      </c>
      <c r="E65" s="51">
        <v>1.0</v>
      </c>
      <c r="F65" s="12" t="s">
        <v>505</v>
      </c>
      <c r="G65" s="51" t="s">
        <v>466</v>
      </c>
      <c r="H65" s="56" t="s">
        <v>506</v>
      </c>
      <c r="I65" s="12" t="s">
        <v>507</v>
      </c>
      <c r="J65" s="12" t="s">
        <v>508</v>
      </c>
      <c r="K65" s="12" t="s">
        <v>509</v>
      </c>
      <c r="L65" s="12" t="b">
        <v>1</v>
      </c>
      <c r="M65" s="12"/>
      <c r="N65" s="12" t="b">
        <v>1</v>
      </c>
      <c r="O65" s="12" t="b">
        <v>1</v>
      </c>
      <c r="P65" s="12" t="b">
        <v>1</v>
      </c>
      <c r="Q65" s="12"/>
      <c r="R65" s="12"/>
      <c r="S65" s="12" t="s">
        <v>510</v>
      </c>
      <c r="T65" s="12">
        <v>9.157890123E9</v>
      </c>
      <c r="U65" s="12" t="s">
        <v>158</v>
      </c>
      <c r="V65" s="12" t="s">
        <v>121</v>
      </c>
      <c r="W65" s="12" t="s">
        <v>484</v>
      </c>
      <c r="X65" s="12" t="b">
        <v>1</v>
      </c>
      <c r="Y65" s="12" t="s">
        <v>511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>
      <c r="A66" s="12" t="s">
        <v>85</v>
      </c>
      <c r="B66" s="12" t="s">
        <v>504</v>
      </c>
      <c r="C66" s="55">
        <v>46125.0</v>
      </c>
      <c r="D66" s="12" t="b">
        <v>1</v>
      </c>
      <c r="E66" s="51">
        <v>2.0</v>
      </c>
      <c r="F66" s="12" t="s">
        <v>505</v>
      </c>
      <c r="G66" s="51" t="s">
        <v>466</v>
      </c>
      <c r="H66" s="56" t="s">
        <v>512</v>
      </c>
      <c r="I66" s="51" t="s">
        <v>513</v>
      </c>
      <c r="J66" s="51" t="s">
        <v>514</v>
      </c>
      <c r="K66" s="12" t="s">
        <v>515</v>
      </c>
      <c r="L66" s="12" t="b">
        <v>1</v>
      </c>
      <c r="M66" s="12"/>
      <c r="N66" s="12" t="b">
        <v>1</v>
      </c>
      <c r="O66" s="12" t="b">
        <v>1</v>
      </c>
      <c r="P66" s="12" t="b">
        <v>1</v>
      </c>
      <c r="Q66" s="12"/>
      <c r="R66" s="12"/>
      <c r="S66" s="12" t="s">
        <v>516</v>
      </c>
      <c r="T66" s="12">
        <v>9.157890124E9</v>
      </c>
      <c r="U66" s="12" t="s">
        <v>158</v>
      </c>
      <c r="V66" s="12" t="s">
        <v>121</v>
      </c>
      <c r="W66" s="12" t="s">
        <v>484</v>
      </c>
      <c r="X66" s="12" t="b">
        <v>1</v>
      </c>
      <c r="Y66" s="12" t="s">
        <v>517</v>
      </c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>
      <c r="A67" s="12" t="s">
        <v>85</v>
      </c>
      <c r="B67" s="12" t="s">
        <v>518</v>
      </c>
      <c r="C67" s="55">
        <v>46129.0</v>
      </c>
      <c r="D67" s="12" t="b">
        <v>1</v>
      </c>
      <c r="E67" s="12">
        <v>1.0</v>
      </c>
      <c r="F67" s="12" t="s">
        <v>519</v>
      </c>
      <c r="G67" s="12" t="s">
        <v>28</v>
      </c>
      <c r="H67" s="56" t="s">
        <v>402</v>
      </c>
      <c r="I67" s="12" t="s">
        <v>403</v>
      </c>
      <c r="J67" s="12" t="s">
        <v>520</v>
      </c>
      <c r="K67" s="12" t="s">
        <v>521</v>
      </c>
      <c r="L67" s="12" t="b">
        <v>1</v>
      </c>
      <c r="M67" s="12"/>
      <c r="N67" s="12" t="b">
        <v>1</v>
      </c>
      <c r="O67" s="12" t="b">
        <v>0</v>
      </c>
      <c r="P67" s="12" t="s">
        <v>522</v>
      </c>
      <c r="Q67" s="17"/>
      <c r="R67" s="17"/>
      <c r="S67" s="17"/>
      <c r="T67" s="17"/>
      <c r="U67" s="12" t="s">
        <v>158</v>
      </c>
      <c r="V67" s="12" t="s">
        <v>121</v>
      </c>
      <c r="W67" s="12" t="s">
        <v>484</v>
      </c>
      <c r="X67" s="12" t="b">
        <v>1</v>
      </c>
      <c r="Y67" s="12" t="s">
        <v>407</v>
      </c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>
      <c r="A68" s="12" t="s">
        <v>85</v>
      </c>
      <c r="B68" s="12" t="s">
        <v>523</v>
      </c>
      <c r="C68" s="55">
        <v>46129.0</v>
      </c>
      <c r="D68" s="12" t="b">
        <v>1</v>
      </c>
      <c r="E68" s="12">
        <v>1.0</v>
      </c>
      <c r="F68" s="12" t="s">
        <v>480</v>
      </c>
      <c r="G68" s="12" t="s">
        <v>466</v>
      </c>
      <c r="H68" s="56" t="s">
        <v>524</v>
      </c>
      <c r="I68" s="51" t="s">
        <v>525</v>
      </c>
      <c r="J68" s="12" t="s">
        <v>526</v>
      </c>
      <c r="K68" s="12" t="s">
        <v>527</v>
      </c>
      <c r="L68" s="12" t="b">
        <v>1</v>
      </c>
      <c r="M68" s="12"/>
      <c r="N68" s="12" t="b">
        <v>1</v>
      </c>
      <c r="O68" s="12" t="b">
        <v>1</v>
      </c>
      <c r="P68" s="12" t="b">
        <v>1</v>
      </c>
      <c r="Q68" s="19" t="s">
        <v>528</v>
      </c>
      <c r="R68" s="19">
        <v>1.0</v>
      </c>
      <c r="S68" s="19" t="s">
        <v>529</v>
      </c>
      <c r="T68" s="19">
        <v>9.154320011E9</v>
      </c>
      <c r="U68" s="12" t="s">
        <v>158</v>
      </c>
      <c r="V68" s="12" t="s">
        <v>121</v>
      </c>
      <c r="W68" s="12" t="s">
        <v>484</v>
      </c>
      <c r="X68" s="12" t="b">
        <v>1</v>
      </c>
      <c r="Y68" s="12" t="s">
        <v>530</v>
      </c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>
      <c r="A69" s="12" t="s">
        <v>85</v>
      </c>
      <c r="B69" s="12" t="s">
        <v>523</v>
      </c>
      <c r="C69" s="55">
        <v>46129.0</v>
      </c>
      <c r="D69" s="12" t="b">
        <v>1</v>
      </c>
      <c r="E69" s="12">
        <v>2.0</v>
      </c>
      <c r="F69" s="12" t="s">
        <v>480</v>
      </c>
      <c r="G69" s="12" t="s">
        <v>466</v>
      </c>
      <c r="H69" s="56" t="s">
        <v>531</v>
      </c>
      <c r="I69" s="33" t="s">
        <v>532</v>
      </c>
      <c r="J69" s="33" t="s">
        <v>533</v>
      </c>
      <c r="K69" s="33" t="s">
        <v>534</v>
      </c>
      <c r="L69" s="12" t="b">
        <v>1</v>
      </c>
      <c r="M69" s="12"/>
      <c r="N69" s="12" t="b">
        <v>1</v>
      </c>
      <c r="O69" s="12" t="b">
        <v>1</v>
      </c>
      <c r="P69" s="12" t="b">
        <v>1</v>
      </c>
      <c r="Q69" s="19" t="s">
        <v>528</v>
      </c>
      <c r="R69" s="51">
        <v>2.0</v>
      </c>
      <c r="S69" s="19" t="s">
        <v>535</v>
      </c>
      <c r="T69" s="19">
        <v>9.154320012E9</v>
      </c>
      <c r="U69" s="12" t="s">
        <v>158</v>
      </c>
      <c r="V69" s="12" t="s">
        <v>121</v>
      </c>
      <c r="W69" s="12" t="s">
        <v>484</v>
      </c>
      <c r="X69" s="12" t="b">
        <v>1</v>
      </c>
      <c r="Y69" s="12" t="s">
        <v>536</v>
      </c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>
      <c r="A70" s="12" t="s">
        <v>85</v>
      </c>
      <c r="B70" s="51" t="s">
        <v>537</v>
      </c>
      <c r="C70" s="55">
        <v>46132.0</v>
      </c>
      <c r="D70" s="12" t="b">
        <v>1</v>
      </c>
      <c r="E70" s="12">
        <v>1.0</v>
      </c>
      <c r="F70" s="12" t="s">
        <v>538</v>
      </c>
      <c r="G70" s="12" t="s">
        <v>466</v>
      </c>
      <c r="H70" s="56" t="s">
        <v>539</v>
      </c>
      <c r="I70" s="12" t="s">
        <v>302</v>
      </c>
      <c r="J70" s="51" t="s">
        <v>540</v>
      </c>
      <c r="K70" s="33" t="s">
        <v>352</v>
      </c>
      <c r="L70" s="12" t="b">
        <v>1</v>
      </c>
      <c r="M70" s="12"/>
      <c r="N70" s="12" t="b">
        <v>1</v>
      </c>
      <c r="O70" s="12" t="b">
        <v>1</v>
      </c>
      <c r="P70" s="12" t="s">
        <v>541</v>
      </c>
      <c r="Q70" s="51"/>
      <c r="R70" s="51"/>
      <c r="S70" s="51"/>
      <c r="T70" s="51"/>
      <c r="U70" s="51"/>
      <c r="V70" s="12" t="s">
        <v>121</v>
      </c>
      <c r="W70" s="12" t="s">
        <v>484</v>
      </c>
      <c r="X70" s="12" t="b">
        <v>1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>
      <c r="A71" s="12" t="s">
        <v>85</v>
      </c>
      <c r="B71" s="51" t="s">
        <v>542</v>
      </c>
      <c r="C71" s="55">
        <v>46132.0</v>
      </c>
      <c r="D71" s="12" t="b">
        <v>1</v>
      </c>
      <c r="E71" s="12">
        <v>2.0</v>
      </c>
      <c r="F71" s="12" t="s">
        <v>538</v>
      </c>
      <c r="G71" s="12" t="s">
        <v>293</v>
      </c>
      <c r="H71" s="56" t="s">
        <v>389</v>
      </c>
      <c r="I71" s="33" t="s">
        <v>543</v>
      </c>
      <c r="J71" s="33" t="s">
        <v>544</v>
      </c>
      <c r="K71" s="12" t="s">
        <v>276</v>
      </c>
      <c r="L71" s="12" t="b">
        <v>1</v>
      </c>
      <c r="M71" s="12"/>
      <c r="N71" s="12" t="b">
        <v>1</v>
      </c>
      <c r="O71" s="12" t="b">
        <v>1</v>
      </c>
      <c r="P71" s="12" t="s">
        <v>545</v>
      </c>
      <c r="Q71" s="51"/>
      <c r="R71" s="51"/>
      <c r="S71" s="51"/>
      <c r="T71" s="51"/>
      <c r="U71" s="51"/>
      <c r="V71" s="12" t="s">
        <v>121</v>
      </c>
      <c r="W71" s="12" t="s">
        <v>484</v>
      </c>
      <c r="X71" s="12" t="b">
        <v>1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>
      <c r="A72" s="12" t="s">
        <v>85</v>
      </c>
      <c r="B72" s="51" t="s">
        <v>490</v>
      </c>
      <c r="C72" s="55">
        <v>46133.0</v>
      </c>
      <c r="D72" s="12" t="b">
        <v>1</v>
      </c>
      <c r="E72" s="12">
        <v>1.0</v>
      </c>
      <c r="F72" s="12" t="s">
        <v>546</v>
      </c>
      <c r="G72" s="33" t="s">
        <v>28</v>
      </c>
      <c r="H72" s="56" t="s">
        <v>547</v>
      </c>
      <c r="I72" s="33" t="s">
        <v>548</v>
      </c>
      <c r="J72" s="33" t="s">
        <v>549</v>
      </c>
      <c r="K72" s="12" t="s">
        <v>405</v>
      </c>
      <c r="L72" s="12" t="b">
        <v>1</v>
      </c>
      <c r="M72" s="12"/>
      <c r="N72" s="12" t="b">
        <v>1</v>
      </c>
      <c r="O72" s="12" t="b">
        <v>1</v>
      </c>
      <c r="P72" s="12" t="b">
        <v>0</v>
      </c>
      <c r="Q72" s="51"/>
      <c r="R72" s="51"/>
      <c r="S72" s="51" t="s">
        <v>550</v>
      </c>
      <c r="T72" s="51">
        <v>9.244504567E9</v>
      </c>
      <c r="U72" s="51" t="s">
        <v>158</v>
      </c>
      <c r="V72" s="12" t="s">
        <v>121</v>
      </c>
      <c r="W72" s="12" t="s">
        <v>484</v>
      </c>
      <c r="X72" s="12" t="b">
        <v>1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>
      <c r="A73" s="12" t="s">
        <v>85</v>
      </c>
      <c r="B73" s="51" t="s">
        <v>490</v>
      </c>
      <c r="C73" s="55">
        <v>46133.0</v>
      </c>
      <c r="D73" s="12" t="b">
        <v>1</v>
      </c>
      <c r="E73" s="12">
        <v>2.0</v>
      </c>
      <c r="F73" s="12" t="s">
        <v>546</v>
      </c>
      <c r="G73" s="12" t="s">
        <v>466</v>
      </c>
      <c r="H73" s="56" t="s">
        <v>551</v>
      </c>
      <c r="I73" s="33" t="s">
        <v>552</v>
      </c>
      <c r="J73" s="33" t="s">
        <v>553</v>
      </c>
      <c r="K73" s="33" t="s">
        <v>554</v>
      </c>
      <c r="L73" s="12" t="b">
        <v>1</v>
      </c>
      <c r="M73" s="12"/>
      <c r="N73" s="12" t="b">
        <v>1</v>
      </c>
      <c r="O73" s="12" t="b">
        <v>1</v>
      </c>
      <c r="P73" s="12" t="b">
        <v>0</v>
      </c>
      <c r="Q73" s="19"/>
      <c r="R73" s="19"/>
      <c r="S73" s="51" t="s">
        <v>555</v>
      </c>
      <c r="T73" s="51">
        <v>9.244504568E9</v>
      </c>
      <c r="U73" s="51" t="s">
        <v>158</v>
      </c>
      <c r="V73" s="12" t="s">
        <v>121</v>
      </c>
      <c r="W73" s="12" t="s">
        <v>484</v>
      </c>
      <c r="X73" s="12" t="b">
        <v>1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>
      <c r="A74" s="12" t="s">
        <v>556</v>
      </c>
      <c r="B74" s="12" t="s">
        <v>557</v>
      </c>
      <c r="C74" s="55">
        <v>46135.0</v>
      </c>
      <c r="D74" s="12" t="b">
        <v>1</v>
      </c>
      <c r="E74" s="12">
        <v>1.0</v>
      </c>
      <c r="F74" s="51" t="s">
        <v>465</v>
      </c>
      <c r="G74" s="12" t="s">
        <v>466</v>
      </c>
      <c r="H74" s="56" t="s">
        <v>558</v>
      </c>
      <c r="I74" s="33" t="s">
        <v>559</v>
      </c>
      <c r="J74" s="33" t="s">
        <v>473</v>
      </c>
      <c r="K74" s="12">
        <v>2.0250925018E11</v>
      </c>
      <c r="L74" s="12" t="b">
        <v>1</v>
      </c>
      <c r="M74" s="12"/>
      <c r="N74" s="12" t="b">
        <v>1</v>
      </c>
      <c r="O74" s="12" t="b">
        <v>1</v>
      </c>
      <c r="P74" s="12" t="b">
        <v>1</v>
      </c>
      <c r="Q74" s="51"/>
      <c r="R74" s="51"/>
      <c r="S74" s="51" t="s">
        <v>560</v>
      </c>
      <c r="T74" s="51">
        <v>9.234504567E9</v>
      </c>
      <c r="U74" s="51" t="s">
        <v>158</v>
      </c>
      <c r="V74" s="17"/>
      <c r="W74" s="17"/>
      <c r="X74" s="12" t="b">
        <v>1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>
      <c r="A75" s="12" t="s">
        <v>556</v>
      </c>
      <c r="B75" s="12" t="s">
        <v>557</v>
      </c>
      <c r="C75" s="55">
        <v>46135.0</v>
      </c>
      <c r="D75" s="12" t="b">
        <v>1</v>
      </c>
      <c r="E75" s="12">
        <v>2.0</v>
      </c>
      <c r="F75" s="51" t="s">
        <v>465</v>
      </c>
      <c r="G75" s="12" t="s">
        <v>161</v>
      </c>
      <c r="H75" s="56" t="s">
        <v>561</v>
      </c>
      <c r="I75" s="33" t="s">
        <v>562</v>
      </c>
      <c r="J75" s="33" t="s">
        <v>473</v>
      </c>
      <c r="K75" s="12">
        <v>2.02509250157E11</v>
      </c>
      <c r="L75" s="12" t="b">
        <v>1</v>
      </c>
      <c r="M75" s="12"/>
      <c r="N75" s="12" t="b">
        <v>1</v>
      </c>
      <c r="O75" s="12" t="b">
        <v>1</v>
      </c>
      <c r="P75" s="12" t="b">
        <v>1</v>
      </c>
      <c r="Q75" s="51"/>
      <c r="R75" s="51"/>
      <c r="S75" s="51" t="s">
        <v>563</v>
      </c>
      <c r="T75" s="51">
        <v>9.234504568E9</v>
      </c>
      <c r="U75" s="51" t="s">
        <v>158</v>
      </c>
      <c r="V75" s="17"/>
      <c r="W75" s="17"/>
      <c r="X75" s="12" t="b">
        <v>1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>
      <c r="A76" s="12" t="s">
        <v>85</v>
      </c>
      <c r="B76" s="12" t="s">
        <v>564</v>
      </c>
      <c r="C76" s="55">
        <v>46136.0</v>
      </c>
      <c r="D76" s="14" t="b">
        <v>1</v>
      </c>
      <c r="E76" s="12">
        <v>1.0</v>
      </c>
      <c r="F76" s="12" t="s">
        <v>538</v>
      </c>
      <c r="G76" s="12" t="s">
        <v>16</v>
      </c>
      <c r="H76" s="56" t="s">
        <v>36</v>
      </c>
      <c r="I76" s="33" t="s">
        <v>565</v>
      </c>
      <c r="J76" s="12" t="s">
        <v>566</v>
      </c>
      <c r="K76" s="12">
        <v>2.02509250181E11</v>
      </c>
      <c r="L76" s="12" t="b">
        <v>1</v>
      </c>
      <c r="M76" s="12"/>
      <c r="N76" s="12" t="b">
        <v>1</v>
      </c>
      <c r="O76" s="12" t="b">
        <v>1</v>
      </c>
      <c r="P76" s="12" t="b">
        <v>1</v>
      </c>
      <c r="Q76" s="19"/>
      <c r="R76" s="19"/>
      <c r="S76" s="59" t="s">
        <v>567</v>
      </c>
      <c r="T76" s="60">
        <f>+639171120957</f>
        <v>639171120957</v>
      </c>
      <c r="U76" s="51" t="s">
        <v>158</v>
      </c>
      <c r="V76" s="12" t="s">
        <v>121</v>
      </c>
      <c r="W76" s="12" t="s">
        <v>484</v>
      </c>
      <c r="X76" s="12" t="b">
        <v>1</v>
      </c>
      <c r="Y76" s="12" t="s">
        <v>568</v>
      </c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>
      <c r="A77" s="12" t="s">
        <v>85</v>
      </c>
      <c r="B77" s="12" t="s">
        <v>564</v>
      </c>
      <c r="C77" s="55">
        <v>46136.0</v>
      </c>
      <c r="D77" s="14" t="b">
        <v>1</v>
      </c>
      <c r="E77" s="17">
        <f t="shared" ref="E77:E83" si="5">E76+1</f>
        <v>2</v>
      </c>
      <c r="F77" s="12" t="s">
        <v>538</v>
      </c>
      <c r="G77" s="12" t="s">
        <v>16</v>
      </c>
      <c r="H77" s="56" t="s">
        <v>44</v>
      </c>
      <c r="I77" s="12" t="s">
        <v>569</v>
      </c>
      <c r="J77" s="12" t="s">
        <v>570</v>
      </c>
      <c r="K77" s="12" t="s">
        <v>571</v>
      </c>
      <c r="L77" s="12" t="b">
        <v>1</v>
      </c>
      <c r="M77" s="12"/>
      <c r="N77" s="12" t="b">
        <v>1</v>
      </c>
      <c r="O77" s="12" t="b">
        <v>1</v>
      </c>
      <c r="P77" s="12" t="b">
        <v>1</v>
      </c>
      <c r="Q77" s="12"/>
      <c r="R77" s="34"/>
      <c r="S77" s="59" t="s">
        <v>572</v>
      </c>
      <c r="T77" s="60">
        <f>+639178453310</f>
        <v>639178453310</v>
      </c>
      <c r="U77" s="51" t="s">
        <v>158</v>
      </c>
      <c r="V77" s="12" t="s">
        <v>121</v>
      </c>
      <c r="W77" s="12" t="s">
        <v>484</v>
      </c>
      <c r="X77" s="12" t="b">
        <v>1</v>
      </c>
      <c r="Y77" s="12" t="s">
        <v>573</v>
      </c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>
      <c r="A78" s="12" t="s">
        <v>85</v>
      </c>
      <c r="B78" s="12" t="s">
        <v>564</v>
      </c>
      <c r="C78" s="55">
        <v>46136.0</v>
      </c>
      <c r="D78" s="14" t="b">
        <v>1</v>
      </c>
      <c r="E78" s="17">
        <f t="shared" si="5"/>
        <v>3</v>
      </c>
      <c r="F78" s="12" t="s">
        <v>538</v>
      </c>
      <c r="G78" s="12" t="s">
        <v>16</v>
      </c>
      <c r="H78" s="56" t="s">
        <v>52</v>
      </c>
      <c r="I78" s="12" t="s">
        <v>574</v>
      </c>
      <c r="J78" s="12" t="s">
        <v>575</v>
      </c>
      <c r="K78" s="12">
        <v>2.02509250168E11</v>
      </c>
      <c r="L78" s="12" t="b">
        <v>1</v>
      </c>
      <c r="M78" s="12"/>
      <c r="N78" s="12" t="b">
        <v>1</v>
      </c>
      <c r="O78" s="12" t="b">
        <v>1</v>
      </c>
      <c r="P78" s="12" t="b">
        <v>1</v>
      </c>
      <c r="Q78" s="19"/>
      <c r="R78" s="12"/>
      <c r="S78" s="59" t="s">
        <v>576</v>
      </c>
      <c r="T78" s="60">
        <f>+639172091183</f>
        <v>639172091183</v>
      </c>
      <c r="U78" s="51" t="s">
        <v>158</v>
      </c>
      <c r="V78" s="12" t="s">
        <v>121</v>
      </c>
      <c r="W78" s="12" t="s">
        <v>484</v>
      </c>
      <c r="X78" s="12" t="b">
        <v>1</v>
      </c>
      <c r="Y78" s="12" t="s">
        <v>577</v>
      </c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>
      <c r="A79" s="12" t="s">
        <v>85</v>
      </c>
      <c r="B79" s="12" t="s">
        <v>564</v>
      </c>
      <c r="C79" s="55">
        <v>46136.0</v>
      </c>
      <c r="D79" s="14" t="b">
        <v>1</v>
      </c>
      <c r="E79" s="17">
        <f t="shared" si="5"/>
        <v>4</v>
      </c>
      <c r="F79" s="12" t="s">
        <v>538</v>
      </c>
      <c r="G79" s="12" t="s">
        <v>16</v>
      </c>
      <c r="H79" s="56" t="s">
        <v>59</v>
      </c>
      <c r="I79" s="12" t="s">
        <v>578</v>
      </c>
      <c r="J79" s="12" t="s">
        <v>579</v>
      </c>
      <c r="K79" s="12">
        <v>2.02509250183E11</v>
      </c>
      <c r="L79" s="12" t="b">
        <v>1</v>
      </c>
      <c r="M79" s="12"/>
      <c r="N79" s="12" t="b">
        <v>1</v>
      </c>
      <c r="O79" s="12" t="b">
        <v>1</v>
      </c>
      <c r="P79" s="12" t="b">
        <v>1</v>
      </c>
      <c r="Q79" s="12"/>
      <c r="R79" s="12"/>
      <c r="S79" s="59" t="s">
        <v>580</v>
      </c>
      <c r="T79" s="60">
        <f>+639174775629</f>
        <v>639174775629</v>
      </c>
      <c r="U79" s="51" t="s">
        <v>158</v>
      </c>
      <c r="V79" s="12" t="s">
        <v>121</v>
      </c>
      <c r="W79" s="12" t="s">
        <v>484</v>
      </c>
      <c r="X79" s="12" t="b">
        <v>1</v>
      </c>
      <c r="Y79" s="12" t="s">
        <v>581</v>
      </c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>
      <c r="A80" s="12" t="s">
        <v>85</v>
      </c>
      <c r="B80" s="12" t="s">
        <v>564</v>
      </c>
      <c r="C80" s="55">
        <v>46136.0</v>
      </c>
      <c r="D80" s="14" t="b">
        <v>1</v>
      </c>
      <c r="E80" s="17">
        <f t="shared" si="5"/>
        <v>5</v>
      </c>
      <c r="F80" s="12" t="s">
        <v>538</v>
      </c>
      <c r="G80" s="12" t="s">
        <v>16</v>
      </c>
      <c r="H80" s="56" t="s">
        <v>69</v>
      </c>
      <c r="I80" s="12" t="s">
        <v>582</v>
      </c>
      <c r="J80" s="12" t="s">
        <v>583</v>
      </c>
      <c r="K80" s="12" t="s">
        <v>584</v>
      </c>
      <c r="L80" s="12" t="b">
        <v>1</v>
      </c>
      <c r="M80" s="12"/>
      <c r="N80" s="12" t="b">
        <v>1</v>
      </c>
      <c r="O80" s="12" t="b">
        <v>1</v>
      </c>
      <c r="P80" s="12" t="b">
        <v>1</v>
      </c>
      <c r="Q80" s="17"/>
      <c r="R80" s="17"/>
      <c r="S80" s="59" t="s">
        <v>585</v>
      </c>
      <c r="T80" s="60">
        <f>+639176134092</f>
        <v>639176134092</v>
      </c>
      <c r="U80" s="51" t="s">
        <v>158</v>
      </c>
      <c r="V80" s="12" t="s">
        <v>121</v>
      </c>
      <c r="W80" s="12" t="s">
        <v>484</v>
      </c>
      <c r="X80" s="12" t="b">
        <v>1</v>
      </c>
      <c r="Y80" s="12" t="s">
        <v>586</v>
      </c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>
      <c r="A81" s="12" t="s">
        <v>85</v>
      </c>
      <c r="B81" s="12" t="s">
        <v>564</v>
      </c>
      <c r="C81" s="55">
        <v>46136.0</v>
      </c>
      <c r="D81" s="14" t="b">
        <v>1</v>
      </c>
      <c r="E81" s="17">
        <f t="shared" si="5"/>
        <v>6</v>
      </c>
      <c r="F81" s="12" t="s">
        <v>538</v>
      </c>
      <c r="G81" s="12" t="s">
        <v>16</v>
      </c>
      <c r="H81" s="56" t="s">
        <v>83</v>
      </c>
      <c r="I81" s="12" t="s">
        <v>155</v>
      </c>
      <c r="J81" s="12" t="s">
        <v>154</v>
      </c>
      <c r="K81" s="12" t="s">
        <v>156</v>
      </c>
      <c r="L81" s="12" t="b">
        <v>1</v>
      </c>
      <c r="M81" s="12"/>
      <c r="N81" s="12" t="b">
        <v>1</v>
      </c>
      <c r="O81" s="12" t="b">
        <v>1</v>
      </c>
      <c r="P81" s="12" t="b">
        <v>1</v>
      </c>
      <c r="Q81" s="17"/>
      <c r="R81" s="17"/>
      <c r="S81" s="59" t="s">
        <v>587</v>
      </c>
      <c r="T81" s="60">
        <f>+639178824415</f>
        <v>639178824415</v>
      </c>
      <c r="U81" s="51" t="s">
        <v>158</v>
      </c>
      <c r="V81" s="12" t="s">
        <v>121</v>
      </c>
      <c r="W81" s="12" t="s">
        <v>484</v>
      </c>
      <c r="X81" s="12" t="b">
        <v>1</v>
      </c>
      <c r="Y81" s="12" t="s">
        <v>588</v>
      </c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>
      <c r="A82" s="12" t="s">
        <v>85</v>
      </c>
      <c r="B82" s="12" t="s">
        <v>564</v>
      </c>
      <c r="C82" s="55">
        <v>46136.0</v>
      </c>
      <c r="D82" s="14" t="b">
        <v>1</v>
      </c>
      <c r="E82" s="17">
        <f t="shared" si="5"/>
        <v>7</v>
      </c>
      <c r="F82" s="12" t="s">
        <v>538</v>
      </c>
      <c r="G82" s="12" t="s">
        <v>87</v>
      </c>
      <c r="H82" s="56" t="s">
        <v>88</v>
      </c>
      <c r="I82" s="12" t="s">
        <v>589</v>
      </c>
      <c r="J82" s="12" t="s">
        <v>590</v>
      </c>
      <c r="K82" s="12">
        <v>2.02509250167E11</v>
      </c>
      <c r="L82" s="12" t="b">
        <v>1</v>
      </c>
      <c r="M82" s="12"/>
      <c r="N82" s="12" t="b">
        <v>1</v>
      </c>
      <c r="O82" s="12" t="b">
        <v>1</v>
      </c>
      <c r="P82" s="12" t="b">
        <v>1</v>
      </c>
      <c r="Q82" s="17"/>
      <c r="R82" s="17"/>
      <c r="S82" s="59" t="s">
        <v>591</v>
      </c>
      <c r="T82" s="60">
        <f>+639173307568</f>
        <v>639173307568</v>
      </c>
      <c r="U82" s="51" t="s">
        <v>158</v>
      </c>
      <c r="V82" s="12" t="s">
        <v>121</v>
      </c>
      <c r="W82" s="12" t="s">
        <v>484</v>
      </c>
      <c r="X82" s="12" t="b">
        <v>1</v>
      </c>
      <c r="Y82" s="12" t="s">
        <v>592</v>
      </c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>
      <c r="A83" s="12" t="s">
        <v>85</v>
      </c>
      <c r="B83" s="12" t="s">
        <v>564</v>
      </c>
      <c r="C83" s="55">
        <v>46136.0</v>
      </c>
      <c r="D83" s="14" t="b">
        <v>1</v>
      </c>
      <c r="E83" s="17">
        <f t="shared" si="5"/>
        <v>8</v>
      </c>
      <c r="F83" s="12" t="s">
        <v>538</v>
      </c>
      <c r="G83" s="12" t="s">
        <v>87</v>
      </c>
      <c r="H83" s="56" t="s">
        <v>91</v>
      </c>
      <c r="I83" s="12" t="s">
        <v>593</v>
      </c>
      <c r="J83" s="12" t="s">
        <v>594</v>
      </c>
      <c r="K83" s="12">
        <v>2.0250925016E11</v>
      </c>
      <c r="L83" s="12" t="b">
        <v>1</v>
      </c>
      <c r="M83" s="12"/>
      <c r="N83" s="12" t="b">
        <v>1</v>
      </c>
      <c r="O83" s="12" t="b">
        <v>1</v>
      </c>
      <c r="P83" s="12" t="b">
        <v>1</v>
      </c>
      <c r="Q83" s="17"/>
      <c r="R83" s="17"/>
      <c r="S83" s="59" t="s">
        <v>595</v>
      </c>
      <c r="T83" s="61">
        <f>+639179152234</f>
        <v>639179152234</v>
      </c>
      <c r="U83" s="51" t="s">
        <v>158</v>
      </c>
      <c r="V83" s="12" t="s">
        <v>121</v>
      </c>
      <c r="W83" s="12" t="s">
        <v>484</v>
      </c>
      <c r="X83" s="12" t="b">
        <v>1</v>
      </c>
      <c r="Y83" s="12" t="s">
        <v>596</v>
      </c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>
      <c r="A84" s="12" t="s">
        <v>85</v>
      </c>
      <c r="B84" s="12" t="s">
        <v>597</v>
      </c>
      <c r="C84" s="55">
        <v>46139.0</v>
      </c>
      <c r="D84" s="14" t="b">
        <v>1</v>
      </c>
      <c r="E84" s="12">
        <v>1.0</v>
      </c>
      <c r="F84" s="12" t="s">
        <v>538</v>
      </c>
      <c r="G84" s="12" t="s">
        <v>28</v>
      </c>
      <c r="H84" s="56" t="s">
        <v>135</v>
      </c>
      <c r="I84" s="12" t="s">
        <v>598</v>
      </c>
      <c r="J84" s="12" t="s">
        <v>599</v>
      </c>
      <c r="K84" s="12" t="s">
        <v>600</v>
      </c>
      <c r="L84" s="12" t="b">
        <v>1</v>
      </c>
      <c r="M84" s="12"/>
      <c r="N84" s="12" t="b">
        <v>1</v>
      </c>
      <c r="O84" s="12" t="b">
        <v>1</v>
      </c>
      <c r="P84" s="12" t="b">
        <v>1</v>
      </c>
      <c r="Q84" s="17"/>
      <c r="R84" s="17"/>
      <c r="S84" s="12" t="s">
        <v>601</v>
      </c>
      <c r="T84" s="61">
        <f>+639199152234</f>
        <v>639199152234</v>
      </c>
      <c r="U84" s="51" t="s">
        <v>158</v>
      </c>
      <c r="V84" s="12" t="s">
        <v>121</v>
      </c>
      <c r="W84" s="12" t="s">
        <v>484</v>
      </c>
      <c r="X84" s="12" t="b">
        <v>1</v>
      </c>
      <c r="Y84" s="12" t="s">
        <v>489</v>
      </c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>
      <c r="A85" s="12" t="s">
        <v>85</v>
      </c>
      <c r="B85" s="12" t="s">
        <v>602</v>
      </c>
      <c r="C85" s="55">
        <v>46142.0</v>
      </c>
      <c r="D85" s="14" t="b">
        <v>1</v>
      </c>
      <c r="E85" s="12">
        <v>1.0</v>
      </c>
      <c r="F85" s="12" t="s">
        <v>505</v>
      </c>
      <c r="G85" s="12" t="s">
        <v>161</v>
      </c>
      <c r="H85" s="56" t="s">
        <v>603</v>
      </c>
      <c r="I85" s="12" t="s">
        <v>562</v>
      </c>
      <c r="J85" s="12" t="s">
        <v>604</v>
      </c>
      <c r="K85" s="12" t="s">
        <v>501</v>
      </c>
      <c r="L85" s="12" t="b">
        <v>1</v>
      </c>
      <c r="M85" s="12"/>
      <c r="N85" s="12" t="b">
        <v>1</v>
      </c>
      <c r="O85" s="12" t="b">
        <v>1</v>
      </c>
      <c r="P85" s="12" t="b">
        <v>1</v>
      </c>
      <c r="Q85" s="12" t="s">
        <v>602</v>
      </c>
      <c r="R85" s="12">
        <v>3.0</v>
      </c>
      <c r="S85" s="12" t="s">
        <v>605</v>
      </c>
      <c r="T85" s="12">
        <v>9.178737637E9</v>
      </c>
      <c r="U85" s="12" t="s">
        <v>158</v>
      </c>
      <c r="V85" s="12" t="s">
        <v>121</v>
      </c>
      <c r="W85" s="12" t="s">
        <v>484</v>
      </c>
      <c r="X85" s="12" t="b">
        <v>1</v>
      </c>
      <c r="Y85" s="12" t="s">
        <v>606</v>
      </c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>
      <c r="A86" s="12" t="s">
        <v>85</v>
      </c>
      <c r="B86" s="12" t="s">
        <v>607</v>
      </c>
      <c r="C86" s="55">
        <v>46146.0</v>
      </c>
      <c r="D86" s="14" t="b">
        <v>1</v>
      </c>
      <c r="E86" s="12">
        <v>1.0</v>
      </c>
      <c r="F86" s="12" t="s">
        <v>608</v>
      </c>
      <c r="G86" s="12" t="s">
        <v>28</v>
      </c>
      <c r="H86" s="56" t="s">
        <v>547</v>
      </c>
      <c r="I86" s="33" t="s">
        <v>549</v>
      </c>
      <c r="J86" s="33" t="s">
        <v>548</v>
      </c>
      <c r="K86" s="12" t="s">
        <v>405</v>
      </c>
      <c r="L86" s="12" t="b">
        <v>1</v>
      </c>
      <c r="M86" s="12"/>
      <c r="N86" s="12" t="b">
        <v>1</v>
      </c>
      <c r="O86" s="12" t="b">
        <v>1</v>
      </c>
      <c r="P86" s="12" t="b">
        <v>1</v>
      </c>
      <c r="Q86" s="12" t="s">
        <v>607</v>
      </c>
      <c r="R86" s="12">
        <v>2.0</v>
      </c>
      <c r="S86" s="12" t="s">
        <v>609</v>
      </c>
      <c r="T86" s="12">
        <v>9.178737638E9</v>
      </c>
      <c r="U86" s="12" t="s">
        <v>158</v>
      </c>
      <c r="V86" s="12" t="s">
        <v>121</v>
      </c>
      <c r="W86" s="12" t="s">
        <v>610</v>
      </c>
      <c r="X86" s="12" t="b">
        <v>1</v>
      </c>
      <c r="Y86" s="12" t="s">
        <v>611</v>
      </c>
      <c r="Z86" s="17"/>
      <c r="AA86" s="17"/>
      <c r="AB86" s="17"/>
      <c r="AC86" s="17"/>
      <c r="AD86" s="62" t="s">
        <v>612</v>
      </c>
      <c r="AE86" s="62">
        <v>1.06107106E8</v>
      </c>
      <c r="AF86" s="17"/>
      <c r="AG86" s="17"/>
      <c r="AH86" s="17"/>
      <c r="AI86" s="17"/>
      <c r="AJ86" s="17"/>
      <c r="AK86" s="17"/>
      <c r="AL86" s="17"/>
      <c r="AM86" s="17"/>
    </row>
    <row r="87">
      <c r="A87" s="12" t="s">
        <v>85</v>
      </c>
      <c r="B87" s="17" t="s">
        <v>613</v>
      </c>
      <c r="C87" s="63">
        <v>46147.0</v>
      </c>
      <c r="D87" s="14" t="b">
        <v>1</v>
      </c>
      <c r="E87" s="12">
        <v>1.0</v>
      </c>
      <c r="F87" s="12" t="s">
        <v>614</v>
      </c>
      <c r="G87" s="17" t="s">
        <v>615</v>
      </c>
      <c r="H87" s="64" t="s">
        <v>616</v>
      </c>
      <c r="I87" s="14" t="s">
        <v>617</v>
      </c>
      <c r="J87" s="12" t="s">
        <v>618</v>
      </c>
      <c r="K87" s="12" t="s">
        <v>372</v>
      </c>
      <c r="L87" s="12" t="b">
        <v>1</v>
      </c>
      <c r="M87" s="12"/>
      <c r="N87" s="12" t="b">
        <v>1</v>
      </c>
      <c r="O87" s="12" t="b">
        <v>1</v>
      </c>
      <c r="P87" s="12" t="b">
        <v>1</v>
      </c>
      <c r="Q87" s="12" t="s">
        <v>619</v>
      </c>
      <c r="R87" s="12">
        <v>1.0</v>
      </c>
      <c r="S87" s="12" t="s">
        <v>620</v>
      </c>
      <c r="T87" s="12">
        <v>9.346504567E9</v>
      </c>
      <c r="U87" s="12" t="s">
        <v>158</v>
      </c>
      <c r="V87" s="17"/>
      <c r="W87" s="17"/>
      <c r="X87" s="17"/>
      <c r="Y87" s="17" t="s">
        <v>621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>
      <c r="A88" s="12" t="s">
        <v>85</v>
      </c>
      <c r="B88" s="17" t="s">
        <v>613</v>
      </c>
      <c r="C88" s="63">
        <v>46147.0</v>
      </c>
      <c r="D88" s="14" t="b">
        <v>1</v>
      </c>
      <c r="E88" s="12">
        <v>2.0</v>
      </c>
      <c r="F88" s="12" t="s">
        <v>614</v>
      </c>
      <c r="G88" s="17" t="s">
        <v>622</v>
      </c>
      <c r="H88" s="64" t="s">
        <v>147</v>
      </c>
      <c r="I88" s="14" t="s">
        <v>482</v>
      </c>
      <c r="J88" s="12" t="s">
        <v>481</v>
      </c>
      <c r="K88" s="12" t="s">
        <v>150</v>
      </c>
      <c r="L88" s="12" t="b">
        <v>1</v>
      </c>
      <c r="M88" s="12"/>
      <c r="N88" s="12" t="b">
        <v>1</v>
      </c>
      <c r="O88" s="12" t="b">
        <v>1</v>
      </c>
      <c r="P88" s="12" t="b">
        <v>1</v>
      </c>
      <c r="Q88" s="12" t="s">
        <v>619</v>
      </c>
      <c r="R88" s="12">
        <v>2.0</v>
      </c>
      <c r="S88" s="12" t="s">
        <v>623</v>
      </c>
      <c r="T88" s="12">
        <v>9.346504568E9</v>
      </c>
      <c r="U88" s="12" t="s">
        <v>158</v>
      </c>
      <c r="V88" s="17"/>
      <c r="W88" s="17"/>
      <c r="X88" s="17"/>
      <c r="Y88" s="17" t="s">
        <v>485</v>
      </c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>
      <c r="A89" s="12" t="s">
        <v>624</v>
      </c>
      <c r="B89" s="17" t="s">
        <v>625</v>
      </c>
      <c r="C89" s="65">
        <v>46150.0</v>
      </c>
      <c r="D89" s="12" t="b">
        <v>1</v>
      </c>
      <c r="E89" s="12">
        <v>1.0</v>
      </c>
      <c r="F89" s="12" t="s">
        <v>388</v>
      </c>
      <c r="G89" s="17" t="s">
        <v>626</v>
      </c>
      <c r="H89" s="64" t="s">
        <v>335</v>
      </c>
      <c r="I89" s="12" t="s">
        <v>627</v>
      </c>
      <c r="J89" s="12" t="s">
        <v>128</v>
      </c>
      <c r="K89" s="12" t="s">
        <v>366</v>
      </c>
      <c r="L89" s="12" t="b">
        <v>1</v>
      </c>
      <c r="M89" s="12"/>
      <c r="N89" s="12" t="b">
        <v>1</v>
      </c>
      <c r="O89" s="12" t="b">
        <v>1</v>
      </c>
      <c r="P89" s="12" t="b">
        <v>1</v>
      </c>
      <c r="Q89" s="17"/>
      <c r="R89" s="17"/>
      <c r="S89" s="66" t="s">
        <v>628</v>
      </c>
      <c r="T89" s="66">
        <v>9.124501579E9</v>
      </c>
      <c r="U89" s="12" t="s">
        <v>158</v>
      </c>
      <c r="V89" s="17"/>
      <c r="W89" s="17"/>
      <c r="X89" s="17"/>
      <c r="Y89" s="17" t="s">
        <v>340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>
      <c r="A90" s="12" t="s">
        <v>85</v>
      </c>
      <c r="B90" s="17" t="s">
        <v>625</v>
      </c>
      <c r="C90" s="65">
        <v>46150.0</v>
      </c>
      <c r="D90" s="12" t="b">
        <v>1</v>
      </c>
      <c r="E90" s="17">
        <f t="shared" ref="E90:E93" si="6">E89+1</f>
        <v>2</v>
      </c>
      <c r="F90" s="12" t="s">
        <v>388</v>
      </c>
      <c r="G90" s="17" t="s">
        <v>626</v>
      </c>
      <c r="H90" s="64" t="s">
        <v>328</v>
      </c>
      <c r="I90" s="12" t="s">
        <v>629</v>
      </c>
      <c r="J90" s="12" t="s">
        <v>630</v>
      </c>
      <c r="K90" s="12" t="s">
        <v>631</v>
      </c>
      <c r="L90" s="12" t="b">
        <v>1</v>
      </c>
      <c r="M90" s="12"/>
      <c r="N90" s="12" t="b">
        <v>1</v>
      </c>
      <c r="O90" s="12" t="b">
        <v>1</v>
      </c>
      <c r="P90" s="12" t="b">
        <v>1</v>
      </c>
      <c r="Q90" s="17"/>
      <c r="R90" s="17"/>
      <c r="S90" s="66" t="s">
        <v>632</v>
      </c>
      <c r="T90" s="66">
        <v>9.10450158E9</v>
      </c>
      <c r="U90" s="12" t="s">
        <v>158</v>
      </c>
      <c r="V90" s="17"/>
      <c r="W90" s="17"/>
      <c r="X90" s="17"/>
      <c r="Y90" s="17" t="s">
        <v>333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>
      <c r="A91" s="12" t="s">
        <v>85</v>
      </c>
      <c r="B91" s="17" t="s">
        <v>625</v>
      </c>
      <c r="C91" s="65">
        <v>46150.0</v>
      </c>
      <c r="D91" s="12" t="b">
        <v>1</v>
      </c>
      <c r="E91" s="17">
        <f t="shared" si="6"/>
        <v>3</v>
      </c>
      <c r="F91" s="12" t="s">
        <v>388</v>
      </c>
      <c r="G91" s="17" t="s">
        <v>626</v>
      </c>
      <c r="H91" s="64" t="s">
        <v>633</v>
      </c>
      <c r="I91" s="12" t="s">
        <v>634</v>
      </c>
      <c r="J91" s="12" t="s">
        <v>635</v>
      </c>
      <c r="K91" s="12" t="s">
        <v>331</v>
      </c>
      <c r="L91" s="12" t="b">
        <v>1</v>
      </c>
      <c r="M91" s="12"/>
      <c r="N91" s="12" t="b">
        <v>1</v>
      </c>
      <c r="O91" s="12" t="b">
        <v>1</v>
      </c>
      <c r="P91" s="12" t="b">
        <v>1</v>
      </c>
      <c r="Q91" s="17"/>
      <c r="R91" s="17"/>
      <c r="S91" s="66" t="s">
        <v>636</v>
      </c>
      <c r="T91" s="66">
        <v>9.104501581E9</v>
      </c>
      <c r="U91" s="12" t="s">
        <v>158</v>
      </c>
      <c r="V91" s="17"/>
      <c r="W91" s="17"/>
      <c r="X91" s="17"/>
      <c r="Y91" s="17" t="s">
        <v>354</v>
      </c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>
      <c r="A92" s="12" t="s">
        <v>85</v>
      </c>
      <c r="B92" s="17" t="s">
        <v>625</v>
      </c>
      <c r="C92" s="65">
        <v>46150.0</v>
      </c>
      <c r="D92" s="12" t="b">
        <v>1</v>
      </c>
      <c r="E92" s="17">
        <f t="shared" si="6"/>
        <v>4</v>
      </c>
      <c r="F92" s="12" t="s">
        <v>388</v>
      </c>
      <c r="G92" s="17" t="s">
        <v>626</v>
      </c>
      <c r="H92" s="64" t="s">
        <v>342</v>
      </c>
      <c r="I92" s="12" t="s">
        <v>336</v>
      </c>
      <c r="J92" s="12" t="s">
        <v>526</v>
      </c>
      <c r="K92" s="12" t="s">
        <v>345</v>
      </c>
      <c r="L92" s="12" t="b">
        <v>1</v>
      </c>
      <c r="M92" s="12"/>
      <c r="N92" s="12" t="b">
        <v>1</v>
      </c>
      <c r="O92" s="12" t="b">
        <v>1</v>
      </c>
      <c r="P92" s="12" t="b">
        <v>1</v>
      </c>
      <c r="Q92" s="17"/>
      <c r="R92" s="17"/>
      <c r="S92" s="66" t="s">
        <v>637</v>
      </c>
      <c r="T92" s="66">
        <v>9.104501582E9</v>
      </c>
      <c r="U92" s="12" t="s">
        <v>158</v>
      </c>
      <c r="V92" s="17"/>
      <c r="W92" s="17"/>
      <c r="X92" s="17"/>
      <c r="Y92" s="17" t="s">
        <v>347</v>
      </c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>
      <c r="A93" s="12" t="s">
        <v>85</v>
      </c>
      <c r="B93" s="17" t="s">
        <v>625</v>
      </c>
      <c r="C93" s="65">
        <v>46150.0</v>
      </c>
      <c r="D93" s="12" t="b">
        <v>1</v>
      </c>
      <c r="E93" s="17">
        <f t="shared" si="6"/>
        <v>5</v>
      </c>
      <c r="F93" s="12" t="s">
        <v>388</v>
      </c>
      <c r="G93" s="17" t="s">
        <v>626</v>
      </c>
      <c r="H93" s="64" t="s">
        <v>363</v>
      </c>
      <c r="I93" s="12" t="s">
        <v>638</v>
      </c>
      <c r="J93" s="12" t="s">
        <v>639</v>
      </c>
      <c r="K93" s="12" t="s">
        <v>640</v>
      </c>
      <c r="L93" s="12" t="b">
        <v>1</v>
      </c>
      <c r="M93" s="12"/>
      <c r="N93" s="12" t="b">
        <v>1</v>
      </c>
      <c r="O93" s="12" t="b">
        <v>1</v>
      </c>
      <c r="P93" s="12" t="b">
        <v>1</v>
      </c>
      <c r="Q93" s="17"/>
      <c r="R93" s="17"/>
      <c r="S93" s="17" t="s">
        <v>641</v>
      </c>
      <c r="T93" s="66">
        <v>9.104501583E9</v>
      </c>
      <c r="U93" s="12" t="s">
        <v>158</v>
      </c>
      <c r="V93" s="17"/>
      <c r="W93" s="17"/>
      <c r="X93" s="17"/>
      <c r="Y93" s="17" t="s">
        <v>368</v>
      </c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>
      <c r="A94" s="12" t="s">
        <v>85</v>
      </c>
      <c r="B94" s="17" t="s">
        <v>642</v>
      </c>
      <c r="C94" s="63">
        <v>46149.0</v>
      </c>
      <c r="D94" s="12" t="b">
        <v>1</v>
      </c>
      <c r="E94" s="12">
        <v>1.0</v>
      </c>
      <c r="F94" s="12" t="s">
        <v>643</v>
      </c>
      <c r="G94" s="17" t="s">
        <v>626</v>
      </c>
      <c r="H94" s="64" t="s">
        <v>644</v>
      </c>
      <c r="I94" s="12" t="s">
        <v>645</v>
      </c>
      <c r="J94" s="12" t="s">
        <v>646</v>
      </c>
      <c r="K94" s="12">
        <v>2.02509250169E11</v>
      </c>
      <c r="L94" s="12" t="b">
        <v>1</v>
      </c>
      <c r="M94" s="12"/>
      <c r="N94" s="12" t="b">
        <v>1</v>
      </c>
      <c r="O94" s="12" t="b">
        <v>1</v>
      </c>
      <c r="P94" s="12" t="b">
        <v>1</v>
      </c>
      <c r="Q94" s="17" t="s">
        <v>647</v>
      </c>
      <c r="R94" s="12">
        <v>1.0</v>
      </c>
      <c r="S94" s="12" t="s">
        <v>648</v>
      </c>
      <c r="T94" s="12">
        <v>9.17150156E9</v>
      </c>
      <c r="U94" s="12" t="s">
        <v>158</v>
      </c>
      <c r="V94" s="17"/>
      <c r="W94" s="13"/>
      <c r="X94" s="17"/>
      <c r="Y94" s="17" t="s">
        <v>649</v>
      </c>
      <c r="Z94" s="17"/>
      <c r="AA94" s="17"/>
      <c r="AB94" s="17"/>
      <c r="AC94" s="17" t="s">
        <v>647</v>
      </c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>
      <c r="A95" s="12" t="s">
        <v>85</v>
      </c>
      <c r="B95" s="17" t="s">
        <v>642</v>
      </c>
      <c r="C95" s="63">
        <v>46149.0</v>
      </c>
      <c r="D95" s="12" t="b">
        <v>1</v>
      </c>
      <c r="E95" s="17">
        <f t="shared" ref="E95:E110" si="7">E94+1</f>
        <v>2</v>
      </c>
      <c r="F95" s="12" t="s">
        <v>643</v>
      </c>
      <c r="G95" s="17" t="s">
        <v>650</v>
      </c>
      <c r="H95" s="64" t="s">
        <v>651</v>
      </c>
      <c r="I95" s="12" t="s">
        <v>652</v>
      </c>
      <c r="J95" s="12" t="s">
        <v>653</v>
      </c>
      <c r="K95" s="12">
        <v>2.02509258157E11</v>
      </c>
      <c r="L95" s="12" t="b">
        <v>1</v>
      </c>
      <c r="M95" s="12"/>
      <c r="N95" s="12" t="b">
        <v>1</v>
      </c>
      <c r="O95" s="12" t="b">
        <v>1</v>
      </c>
      <c r="P95" s="12" t="b">
        <v>1</v>
      </c>
      <c r="Q95" s="17" t="s">
        <v>647</v>
      </c>
      <c r="R95" s="12">
        <v>2.0</v>
      </c>
      <c r="S95" s="12" t="s">
        <v>654</v>
      </c>
      <c r="T95" s="12">
        <v>9.171501561E9</v>
      </c>
      <c r="U95" s="12" t="s">
        <v>158</v>
      </c>
      <c r="V95" s="17"/>
      <c r="W95" s="17"/>
      <c r="X95" s="17"/>
      <c r="Y95" s="17" t="s">
        <v>655</v>
      </c>
      <c r="Z95" s="17"/>
      <c r="AA95" s="17"/>
      <c r="AB95" s="17"/>
      <c r="AC95" s="17" t="s">
        <v>647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>
      <c r="A96" s="12" t="s">
        <v>85</v>
      </c>
      <c r="B96" s="17" t="s">
        <v>642</v>
      </c>
      <c r="C96" s="63">
        <v>46149.0</v>
      </c>
      <c r="D96" s="12" t="b">
        <v>1</v>
      </c>
      <c r="E96" s="17">
        <f t="shared" si="7"/>
        <v>3</v>
      </c>
      <c r="F96" s="12" t="s">
        <v>643</v>
      </c>
      <c r="G96" s="17" t="s">
        <v>626</v>
      </c>
      <c r="H96" s="64" t="s">
        <v>656</v>
      </c>
      <c r="I96" s="12" t="s">
        <v>657</v>
      </c>
      <c r="J96" s="12" t="s">
        <v>658</v>
      </c>
      <c r="K96" s="12">
        <v>2.02509250158E11</v>
      </c>
      <c r="L96" s="12" t="b">
        <v>1</v>
      </c>
      <c r="M96" s="12"/>
      <c r="N96" s="12" t="b">
        <v>1</v>
      </c>
      <c r="O96" s="12" t="b">
        <v>1</v>
      </c>
      <c r="P96" s="12" t="b">
        <v>1</v>
      </c>
      <c r="Q96" s="17" t="s">
        <v>659</v>
      </c>
      <c r="R96" s="12">
        <v>1.0</v>
      </c>
      <c r="S96" s="12" t="s">
        <v>660</v>
      </c>
      <c r="T96" s="12">
        <v>9.171501562E9</v>
      </c>
      <c r="U96" s="12" t="s">
        <v>158</v>
      </c>
      <c r="V96" s="17"/>
      <c r="W96" s="13"/>
      <c r="X96" s="17"/>
      <c r="Y96" s="17" t="s">
        <v>661</v>
      </c>
      <c r="Z96" s="17"/>
      <c r="AA96" s="17"/>
      <c r="AB96" s="17"/>
      <c r="AC96" s="17" t="s">
        <v>659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>
      <c r="A97" s="12" t="s">
        <v>85</v>
      </c>
      <c r="B97" s="17" t="s">
        <v>642</v>
      </c>
      <c r="C97" s="63">
        <v>46149.0</v>
      </c>
      <c r="D97" s="12" t="b">
        <v>1</v>
      </c>
      <c r="E97" s="17">
        <f t="shared" si="7"/>
        <v>4</v>
      </c>
      <c r="F97" s="12" t="s">
        <v>643</v>
      </c>
      <c r="G97" s="17" t="s">
        <v>650</v>
      </c>
      <c r="H97" s="64" t="s">
        <v>662</v>
      </c>
      <c r="I97" s="12" t="s">
        <v>663</v>
      </c>
      <c r="J97" s="12" t="s">
        <v>664</v>
      </c>
      <c r="K97" s="12">
        <v>2.0250925018E11</v>
      </c>
      <c r="L97" s="12" t="b">
        <v>1</v>
      </c>
      <c r="M97" s="12"/>
      <c r="N97" s="12" t="b">
        <v>1</v>
      </c>
      <c r="O97" s="12" t="b">
        <v>1</v>
      </c>
      <c r="P97" s="12" t="b">
        <v>1</v>
      </c>
      <c r="Q97" s="17" t="s">
        <v>659</v>
      </c>
      <c r="R97" s="12">
        <v>2.0</v>
      </c>
      <c r="S97" s="12" t="s">
        <v>665</v>
      </c>
      <c r="T97" s="12">
        <v>9.171501563E9</v>
      </c>
      <c r="U97" s="12" t="s">
        <v>158</v>
      </c>
      <c r="V97" s="17"/>
      <c r="W97" s="17"/>
      <c r="X97" s="17"/>
      <c r="Y97" s="17" t="s">
        <v>666</v>
      </c>
      <c r="Z97" s="17"/>
      <c r="AA97" s="17"/>
      <c r="AB97" s="17"/>
      <c r="AC97" s="17" t="s">
        <v>659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>
      <c r="A98" s="12" t="s">
        <v>85</v>
      </c>
      <c r="B98" s="17" t="s">
        <v>642</v>
      </c>
      <c r="C98" s="63">
        <v>46149.0</v>
      </c>
      <c r="D98" s="12" t="b">
        <v>1</v>
      </c>
      <c r="E98" s="17">
        <f t="shared" si="7"/>
        <v>5</v>
      </c>
      <c r="F98" s="12" t="s">
        <v>643</v>
      </c>
      <c r="G98" s="17" t="s">
        <v>626</v>
      </c>
      <c r="H98" s="64" t="s">
        <v>667</v>
      </c>
      <c r="I98" s="12" t="s">
        <v>668</v>
      </c>
      <c r="J98" s="12" t="s">
        <v>669</v>
      </c>
      <c r="K98" s="12" t="s">
        <v>670</v>
      </c>
      <c r="L98" s="12" t="b">
        <v>1</v>
      </c>
      <c r="M98" s="12"/>
      <c r="N98" s="12" t="b">
        <v>1</v>
      </c>
      <c r="O98" s="12" t="b">
        <v>1</v>
      </c>
      <c r="P98" s="12" t="b">
        <v>1</v>
      </c>
      <c r="Q98" s="17" t="s">
        <v>671</v>
      </c>
      <c r="R98" s="12">
        <v>1.0</v>
      </c>
      <c r="S98" s="12" t="s">
        <v>672</v>
      </c>
      <c r="T98" s="12">
        <v>9.171501564E9</v>
      </c>
      <c r="U98" s="12" t="s">
        <v>158</v>
      </c>
      <c r="V98" s="17"/>
      <c r="W98" s="17"/>
      <c r="X98" s="17"/>
      <c r="Y98" s="17" t="s">
        <v>673</v>
      </c>
      <c r="Z98" s="17"/>
      <c r="AA98" s="17"/>
      <c r="AB98" s="17"/>
      <c r="AC98" s="17" t="s">
        <v>671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>
      <c r="A99" s="12" t="s">
        <v>85</v>
      </c>
      <c r="B99" s="17" t="s">
        <v>642</v>
      </c>
      <c r="C99" s="63">
        <v>46149.0</v>
      </c>
      <c r="D99" s="12" t="b">
        <v>1</v>
      </c>
      <c r="E99" s="17">
        <f t="shared" si="7"/>
        <v>6</v>
      </c>
      <c r="F99" s="12" t="s">
        <v>643</v>
      </c>
      <c r="G99" s="17" t="s">
        <v>626</v>
      </c>
      <c r="H99" s="64" t="s">
        <v>674</v>
      </c>
      <c r="I99" s="12" t="s">
        <v>675</v>
      </c>
      <c r="J99" s="12" t="s">
        <v>676</v>
      </c>
      <c r="K99" s="12">
        <v>2.02509250176E11</v>
      </c>
      <c r="L99" s="12" t="b">
        <v>1</v>
      </c>
      <c r="M99" s="12"/>
      <c r="N99" s="12" t="b">
        <v>1</v>
      </c>
      <c r="O99" s="12" t="b">
        <v>1</v>
      </c>
      <c r="P99" s="12" t="b">
        <v>1</v>
      </c>
      <c r="Q99" s="17" t="s">
        <v>671</v>
      </c>
      <c r="R99" s="12">
        <v>2.0</v>
      </c>
      <c r="S99" s="12" t="s">
        <v>677</v>
      </c>
      <c r="T99" s="12">
        <v>9.171501565E9</v>
      </c>
      <c r="U99" s="12" t="s">
        <v>158</v>
      </c>
      <c r="V99" s="17"/>
      <c r="W99" s="17"/>
      <c r="X99" s="17"/>
      <c r="Y99" s="17" t="s">
        <v>678</v>
      </c>
      <c r="Z99" s="17"/>
      <c r="AA99" s="17"/>
      <c r="AB99" s="17"/>
      <c r="AC99" s="17" t="s">
        <v>671</v>
      </c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>
      <c r="A100" s="12" t="s">
        <v>85</v>
      </c>
      <c r="B100" s="17" t="s">
        <v>642</v>
      </c>
      <c r="C100" s="63">
        <v>46149.0</v>
      </c>
      <c r="D100" s="12" t="b">
        <v>1</v>
      </c>
      <c r="E100" s="17">
        <f t="shared" si="7"/>
        <v>7</v>
      </c>
      <c r="F100" s="12" t="s">
        <v>643</v>
      </c>
      <c r="G100" s="17" t="s">
        <v>650</v>
      </c>
      <c r="H100" s="64" t="s">
        <v>679</v>
      </c>
      <c r="I100" s="12" t="s">
        <v>680</v>
      </c>
      <c r="J100" s="12" t="s">
        <v>681</v>
      </c>
      <c r="K100" s="12">
        <v>2.02509250165E11</v>
      </c>
      <c r="L100" s="12" t="b">
        <v>1</v>
      </c>
      <c r="M100" s="12"/>
      <c r="N100" s="12" t="b">
        <v>1</v>
      </c>
      <c r="O100" s="12" t="b">
        <v>1</v>
      </c>
      <c r="P100" s="12" t="b">
        <v>1</v>
      </c>
      <c r="Q100" s="17" t="s">
        <v>671</v>
      </c>
      <c r="R100" s="12">
        <v>3.0</v>
      </c>
      <c r="S100" s="12" t="s">
        <v>682</v>
      </c>
      <c r="T100" s="12">
        <v>9.171501566E9</v>
      </c>
      <c r="U100" s="12" t="s">
        <v>158</v>
      </c>
      <c r="V100" s="17"/>
      <c r="W100" s="17"/>
      <c r="X100" s="17"/>
      <c r="Y100" s="17" t="s">
        <v>683</v>
      </c>
      <c r="Z100" s="17"/>
      <c r="AA100" s="17"/>
      <c r="AB100" s="17"/>
      <c r="AC100" s="17" t="s">
        <v>671</v>
      </c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</row>
    <row r="101">
      <c r="A101" s="12" t="s">
        <v>85</v>
      </c>
      <c r="B101" s="17" t="s">
        <v>642</v>
      </c>
      <c r="C101" s="63">
        <v>46149.0</v>
      </c>
      <c r="D101" s="12" t="b">
        <v>1</v>
      </c>
      <c r="E101" s="17">
        <f t="shared" si="7"/>
        <v>8</v>
      </c>
      <c r="F101" s="12" t="s">
        <v>643</v>
      </c>
      <c r="G101" s="17" t="s">
        <v>626</v>
      </c>
      <c r="H101" s="64" t="s">
        <v>684</v>
      </c>
      <c r="I101" s="12" t="s">
        <v>685</v>
      </c>
      <c r="J101" s="12" t="s">
        <v>686</v>
      </c>
      <c r="K101" s="12" t="s">
        <v>324</v>
      </c>
      <c r="L101" s="12" t="b">
        <v>1</v>
      </c>
      <c r="M101" s="12"/>
      <c r="N101" s="12" t="b">
        <v>1</v>
      </c>
      <c r="O101" s="12" t="b">
        <v>1</v>
      </c>
      <c r="P101" s="12" t="b">
        <v>1</v>
      </c>
      <c r="Q101" s="17" t="s">
        <v>687</v>
      </c>
      <c r="R101" s="12">
        <v>1.0</v>
      </c>
      <c r="S101" s="12" t="s">
        <v>688</v>
      </c>
      <c r="T101" s="12">
        <v>9.171501567E9</v>
      </c>
      <c r="U101" s="12" t="s">
        <v>158</v>
      </c>
      <c r="V101" s="17"/>
      <c r="W101" s="17"/>
      <c r="X101" s="17"/>
      <c r="Y101" s="17" t="s">
        <v>689</v>
      </c>
      <c r="Z101" s="17"/>
      <c r="AA101" s="17"/>
      <c r="AB101" s="17"/>
      <c r="AC101" s="17" t="s">
        <v>687</v>
      </c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</row>
    <row r="102">
      <c r="A102" s="12" t="s">
        <v>85</v>
      </c>
      <c r="B102" s="17" t="s">
        <v>642</v>
      </c>
      <c r="C102" s="63">
        <v>46149.0</v>
      </c>
      <c r="D102" s="12" t="b">
        <v>1</v>
      </c>
      <c r="E102" s="17">
        <f t="shared" si="7"/>
        <v>9</v>
      </c>
      <c r="F102" s="12" t="s">
        <v>643</v>
      </c>
      <c r="G102" s="17" t="s">
        <v>650</v>
      </c>
      <c r="H102" s="64" t="s">
        <v>690</v>
      </c>
      <c r="I102" s="12" t="s">
        <v>691</v>
      </c>
      <c r="J102" s="12" t="s">
        <v>692</v>
      </c>
      <c r="K102" s="12">
        <v>2.02509250054E11</v>
      </c>
      <c r="L102" s="12" t="b">
        <v>1</v>
      </c>
      <c r="M102" s="12"/>
      <c r="N102" s="12" t="b">
        <v>1</v>
      </c>
      <c r="O102" s="12" t="b">
        <v>1</v>
      </c>
      <c r="P102" s="12" t="b">
        <v>1</v>
      </c>
      <c r="Q102" s="17" t="s">
        <v>687</v>
      </c>
      <c r="R102" s="12">
        <v>2.0</v>
      </c>
      <c r="S102" s="12" t="s">
        <v>693</v>
      </c>
      <c r="T102" s="12">
        <v>9.171501568E9</v>
      </c>
      <c r="U102" s="12" t="s">
        <v>158</v>
      </c>
      <c r="V102" s="17"/>
      <c r="W102" s="17"/>
      <c r="X102" s="17"/>
      <c r="Y102" s="17" t="s">
        <v>694</v>
      </c>
      <c r="Z102" s="17"/>
      <c r="AA102" s="17"/>
      <c r="AB102" s="17"/>
      <c r="AC102" s="17" t="s">
        <v>687</v>
      </c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</row>
    <row r="103">
      <c r="A103" s="12" t="s">
        <v>85</v>
      </c>
      <c r="B103" s="17" t="s">
        <v>642</v>
      </c>
      <c r="C103" s="63">
        <v>46149.0</v>
      </c>
      <c r="D103" s="12" t="b">
        <v>1</v>
      </c>
      <c r="E103" s="17">
        <f t="shared" si="7"/>
        <v>10</v>
      </c>
      <c r="F103" s="12" t="s">
        <v>643</v>
      </c>
      <c r="G103" s="17" t="s">
        <v>626</v>
      </c>
      <c r="H103" s="64" t="s">
        <v>695</v>
      </c>
      <c r="I103" s="12" t="s">
        <v>696</v>
      </c>
      <c r="J103" s="12" t="s">
        <v>697</v>
      </c>
      <c r="K103" s="12">
        <v>2.02509250164E11</v>
      </c>
      <c r="L103" s="12" t="b">
        <v>1</v>
      </c>
      <c r="M103" s="12"/>
      <c r="N103" s="12" t="b">
        <v>1</v>
      </c>
      <c r="O103" s="12" t="b">
        <v>1</v>
      </c>
      <c r="P103" s="12" t="b">
        <v>1</v>
      </c>
      <c r="Q103" s="17" t="s">
        <v>698</v>
      </c>
      <c r="R103" s="12">
        <v>1.0</v>
      </c>
      <c r="S103" s="12" t="s">
        <v>699</v>
      </c>
      <c r="T103" s="12">
        <v>9.171501569E9</v>
      </c>
      <c r="U103" s="12" t="s">
        <v>158</v>
      </c>
      <c r="V103" s="17"/>
      <c r="W103" s="17"/>
      <c r="X103" s="17"/>
      <c r="Y103" s="17" t="s">
        <v>700</v>
      </c>
      <c r="Z103" s="17"/>
      <c r="AA103" s="17"/>
      <c r="AB103" s="17"/>
      <c r="AC103" s="17" t="s">
        <v>698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</row>
    <row r="104">
      <c r="A104" s="12" t="s">
        <v>85</v>
      </c>
      <c r="B104" s="17" t="s">
        <v>642</v>
      </c>
      <c r="C104" s="63">
        <v>46149.0</v>
      </c>
      <c r="D104" s="12" t="b">
        <v>1</v>
      </c>
      <c r="E104" s="17">
        <f t="shared" si="7"/>
        <v>11</v>
      </c>
      <c r="F104" s="12" t="s">
        <v>643</v>
      </c>
      <c r="G104" s="17" t="s">
        <v>626</v>
      </c>
      <c r="H104" s="64" t="s">
        <v>701</v>
      </c>
      <c r="I104" s="12" t="s">
        <v>702</v>
      </c>
      <c r="J104" s="12" t="s">
        <v>559</v>
      </c>
      <c r="K104" s="12" t="s">
        <v>703</v>
      </c>
      <c r="L104" s="12" t="b">
        <v>1</v>
      </c>
      <c r="M104" s="12"/>
      <c r="N104" s="12" t="b">
        <v>1</v>
      </c>
      <c r="O104" s="12" t="b">
        <v>1</v>
      </c>
      <c r="P104" s="12" t="b">
        <v>1</v>
      </c>
      <c r="Q104" s="17" t="s">
        <v>704</v>
      </c>
      <c r="R104" s="12">
        <v>2.0</v>
      </c>
      <c r="S104" s="12" t="s">
        <v>705</v>
      </c>
      <c r="T104" s="12">
        <v>9.17150157E9</v>
      </c>
      <c r="U104" s="12" t="s">
        <v>158</v>
      </c>
      <c r="V104" s="17"/>
      <c r="W104" s="17"/>
      <c r="X104" s="17"/>
      <c r="Y104" s="17" t="s">
        <v>706</v>
      </c>
      <c r="Z104" s="17"/>
      <c r="AA104" s="17"/>
      <c r="AB104" s="17"/>
      <c r="AC104" s="17" t="s">
        <v>704</v>
      </c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</row>
    <row r="105">
      <c r="A105" s="12" t="s">
        <v>85</v>
      </c>
      <c r="B105" s="17" t="s">
        <v>642</v>
      </c>
      <c r="C105" s="63">
        <v>46149.0</v>
      </c>
      <c r="D105" s="12" t="b">
        <v>1</v>
      </c>
      <c r="E105" s="17">
        <f t="shared" si="7"/>
        <v>12</v>
      </c>
      <c r="F105" s="12" t="s">
        <v>643</v>
      </c>
      <c r="G105" s="17" t="s">
        <v>626</v>
      </c>
      <c r="H105" s="64" t="s">
        <v>707</v>
      </c>
      <c r="I105" s="12" t="s">
        <v>708</v>
      </c>
      <c r="J105" s="12" t="s">
        <v>709</v>
      </c>
      <c r="K105" s="12">
        <v>2.02509250174E11</v>
      </c>
      <c r="L105" s="12" t="b">
        <v>1</v>
      </c>
      <c r="M105" s="12"/>
      <c r="N105" s="12" t="b">
        <v>1</v>
      </c>
      <c r="O105" s="12" t="b">
        <v>1</v>
      </c>
      <c r="P105" s="12" t="b">
        <v>1</v>
      </c>
      <c r="Q105" s="17" t="s">
        <v>710</v>
      </c>
      <c r="R105" s="12">
        <v>3.0</v>
      </c>
      <c r="S105" s="12" t="s">
        <v>711</v>
      </c>
      <c r="T105" s="12">
        <v>9.171501571E9</v>
      </c>
      <c r="U105" s="12" t="s">
        <v>158</v>
      </c>
      <c r="V105" s="17"/>
      <c r="W105" s="17"/>
      <c r="X105" s="17"/>
      <c r="Y105" s="17" t="s">
        <v>712</v>
      </c>
      <c r="Z105" s="17"/>
      <c r="AA105" s="17"/>
      <c r="AB105" s="17"/>
      <c r="AC105" s="17" t="s">
        <v>710</v>
      </c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>
      <c r="A106" s="12" t="s">
        <v>85</v>
      </c>
      <c r="B106" s="17" t="s">
        <v>642</v>
      </c>
      <c r="C106" s="63">
        <v>46149.0</v>
      </c>
      <c r="D106" s="12" t="b">
        <v>1</v>
      </c>
      <c r="E106" s="17">
        <f t="shared" si="7"/>
        <v>13</v>
      </c>
      <c r="F106" s="12" t="s">
        <v>643</v>
      </c>
      <c r="G106" s="17" t="s">
        <v>626</v>
      </c>
      <c r="H106" s="64" t="s">
        <v>713</v>
      </c>
      <c r="I106" s="12" t="s">
        <v>714</v>
      </c>
      <c r="J106" s="12" t="s">
        <v>715</v>
      </c>
      <c r="K106" s="12" t="s">
        <v>495</v>
      </c>
      <c r="L106" s="12" t="b">
        <v>1</v>
      </c>
      <c r="M106" s="12"/>
      <c r="N106" s="12" t="b">
        <v>1</v>
      </c>
      <c r="O106" s="12" t="b">
        <v>1</v>
      </c>
      <c r="P106" s="12" t="b">
        <v>1</v>
      </c>
      <c r="Q106" s="17" t="s">
        <v>716</v>
      </c>
      <c r="R106" s="12">
        <v>4.0</v>
      </c>
      <c r="S106" s="12" t="s">
        <v>717</v>
      </c>
      <c r="T106" s="12">
        <v>9.171501572E9</v>
      </c>
      <c r="U106" s="12" t="s">
        <v>158</v>
      </c>
      <c r="V106" s="17"/>
      <c r="W106" s="17"/>
      <c r="X106" s="17"/>
      <c r="Y106" s="17" t="s">
        <v>718</v>
      </c>
      <c r="Z106" s="17"/>
      <c r="AA106" s="17"/>
      <c r="AB106" s="17"/>
      <c r="AC106" s="17" t="s">
        <v>716</v>
      </c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</row>
    <row r="107">
      <c r="A107" s="12" t="s">
        <v>85</v>
      </c>
      <c r="B107" s="17" t="s">
        <v>642</v>
      </c>
      <c r="C107" s="63">
        <v>46149.0</v>
      </c>
      <c r="D107" s="12" t="b">
        <v>1</v>
      </c>
      <c r="E107" s="17">
        <f t="shared" si="7"/>
        <v>14</v>
      </c>
      <c r="F107" s="12" t="s">
        <v>643</v>
      </c>
      <c r="G107" s="17" t="s">
        <v>626</v>
      </c>
      <c r="H107" s="64" t="s">
        <v>356</v>
      </c>
      <c r="I107" s="12" t="s">
        <v>719</v>
      </c>
      <c r="J107" s="12" t="s">
        <v>720</v>
      </c>
      <c r="K107" s="12" t="s">
        <v>359</v>
      </c>
      <c r="L107" s="12" t="b">
        <v>1</v>
      </c>
      <c r="M107" s="12"/>
      <c r="N107" s="12" t="b">
        <v>1</v>
      </c>
      <c r="O107" s="12" t="b">
        <v>1</v>
      </c>
      <c r="P107" s="12" t="b">
        <v>1</v>
      </c>
      <c r="Q107" s="17" t="s">
        <v>721</v>
      </c>
      <c r="R107" s="12">
        <v>5.0</v>
      </c>
      <c r="S107" s="12" t="s">
        <v>722</v>
      </c>
      <c r="T107" s="12">
        <v>9.171501573E9</v>
      </c>
      <c r="U107" s="12" t="s">
        <v>158</v>
      </c>
      <c r="V107" s="17"/>
      <c r="W107" s="17"/>
      <c r="X107" s="17"/>
      <c r="Y107" s="17" t="s">
        <v>361</v>
      </c>
      <c r="Z107" s="17"/>
      <c r="AA107" s="17"/>
      <c r="AB107" s="17"/>
      <c r="AC107" s="17" t="s">
        <v>721</v>
      </c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</row>
    <row r="108">
      <c r="A108" s="12" t="s">
        <v>85</v>
      </c>
      <c r="B108" s="17" t="s">
        <v>642</v>
      </c>
      <c r="C108" s="63">
        <v>46149.0</v>
      </c>
      <c r="D108" s="12" t="b">
        <v>1</v>
      </c>
      <c r="E108" s="17">
        <f t="shared" si="7"/>
        <v>15</v>
      </c>
      <c r="F108" s="12" t="s">
        <v>643</v>
      </c>
      <c r="G108" s="17" t="s">
        <v>626</v>
      </c>
      <c r="H108" s="64" t="s">
        <v>723</v>
      </c>
      <c r="I108" s="12" t="s">
        <v>724</v>
      </c>
      <c r="J108" s="12" t="s">
        <v>725</v>
      </c>
      <c r="K108" s="12" t="s">
        <v>726</v>
      </c>
      <c r="L108" s="12" t="b">
        <v>1</v>
      </c>
      <c r="M108" s="12"/>
      <c r="N108" s="12" t="b">
        <v>1</v>
      </c>
      <c r="O108" s="12" t="b">
        <v>1</v>
      </c>
      <c r="P108" s="12" t="b">
        <v>1</v>
      </c>
      <c r="Q108" s="17" t="s">
        <v>727</v>
      </c>
      <c r="R108" s="12">
        <v>6.0</v>
      </c>
      <c r="S108" s="12" t="s">
        <v>728</v>
      </c>
      <c r="T108" s="12">
        <v>9.171501574E9</v>
      </c>
      <c r="U108" s="12" t="s">
        <v>158</v>
      </c>
      <c r="V108" s="17"/>
      <c r="W108" s="17"/>
      <c r="X108" s="17"/>
      <c r="Y108" s="17" t="s">
        <v>729</v>
      </c>
      <c r="Z108" s="17"/>
      <c r="AA108" s="17"/>
      <c r="AB108" s="17"/>
      <c r="AC108" s="17" t="s">
        <v>727</v>
      </c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</row>
    <row r="109">
      <c r="A109" s="12" t="s">
        <v>85</v>
      </c>
      <c r="B109" s="17" t="s">
        <v>642</v>
      </c>
      <c r="C109" s="63">
        <v>46149.0</v>
      </c>
      <c r="D109" s="12" t="b">
        <v>1</v>
      </c>
      <c r="E109" s="17">
        <f t="shared" si="7"/>
        <v>16</v>
      </c>
      <c r="F109" s="12" t="s">
        <v>643</v>
      </c>
      <c r="G109" s="17" t="s">
        <v>626</v>
      </c>
      <c r="H109" s="64" t="s">
        <v>274</v>
      </c>
      <c r="I109" s="12" t="s">
        <v>730</v>
      </c>
      <c r="J109" s="12" t="s">
        <v>731</v>
      </c>
      <c r="K109" s="12">
        <v>2.02509250036E11</v>
      </c>
      <c r="L109" s="12" t="b">
        <v>1</v>
      </c>
      <c r="M109" s="12"/>
      <c r="N109" s="12" t="b">
        <v>1</v>
      </c>
      <c r="O109" s="12" t="b">
        <v>1</v>
      </c>
      <c r="P109" s="12" t="b">
        <v>1</v>
      </c>
      <c r="Q109" s="17" t="s">
        <v>732</v>
      </c>
      <c r="R109" s="12">
        <v>1.0</v>
      </c>
      <c r="S109" s="12" t="s">
        <v>733</v>
      </c>
      <c r="T109" s="12">
        <v>9.171501575E9</v>
      </c>
      <c r="U109" s="12" t="s">
        <v>158</v>
      </c>
      <c r="V109" s="17"/>
      <c r="W109" s="17"/>
      <c r="X109" s="17"/>
      <c r="Y109" s="17" t="s">
        <v>734</v>
      </c>
      <c r="Z109" s="17"/>
      <c r="AA109" s="17"/>
      <c r="AB109" s="17"/>
      <c r="AC109" s="17" t="s">
        <v>732</v>
      </c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>
      <c r="A110" s="12" t="s">
        <v>85</v>
      </c>
      <c r="B110" s="17" t="s">
        <v>642</v>
      </c>
      <c r="C110" s="63">
        <v>46149.0</v>
      </c>
      <c r="D110" s="12" t="b">
        <v>1</v>
      </c>
      <c r="E110" s="17">
        <f t="shared" si="7"/>
        <v>17</v>
      </c>
      <c r="F110" s="12" t="s">
        <v>643</v>
      </c>
      <c r="G110" s="17" t="s">
        <v>650</v>
      </c>
      <c r="H110" s="64" t="s">
        <v>735</v>
      </c>
      <c r="I110" s="12" t="s">
        <v>736</v>
      </c>
      <c r="J110" s="12" t="s">
        <v>737</v>
      </c>
      <c r="K110" s="12">
        <v>2.02509250179E11</v>
      </c>
      <c r="L110" s="12" t="b">
        <v>1</v>
      </c>
      <c r="M110" s="12"/>
      <c r="N110" s="12" t="b">
        <v>1</v>
      </c>
      <c r="O110" s="12" t="b">
        <v>1</v>
      </c>
      <c r="P110" s="12" t="b">
        <v>1</v>
      </c>
      <c r="Q110" s="17" t="s">
        <v>732</v>
      </c>
      <c r="R110" s="12">
        <v>2.0</v>
      </c>
      <c r="S110" s="12" t="s">
        <v>738</v>
      </c>
      <c r="T110" s="12">
        <v>9.171501576E9</v>
      </c>
      <c r="U110" s="12" t="s">
        <v>158</v>
      </c>
      <c r="V110" s="17"/>
      <c r="W110" s="17"/>
      <c r="X110" s="17"/>
      <c r="Y110" s="17" t="s">
        <v>739</v>
      </c>
      <c r="Z110" s="17"/>
      <c r="AA110" s="17"/>
      <c r="AB110" s="17"/>
      <c r="AC110" s="17" t="s">
        <v>732</v>
      </c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>
      <c r="A111" s="12" t="s">
        <v>85</v>
      </c>
      <c r="B111" s="17" t="s">
        <v>740</v>
      </c>
      <c r="C111" s="63">
        <v>46149.0</v>
      </c>
      <c r="D111" s="12" t="b">
        <v>1</v>
      </c>
      <c r="E111" s="12">
        <v>1.0</v>
      </c>
      <c r="F111" s="51" t="s">
        <v>465</v>
      </c>
      <c r="G111" s="17" t="s">
        <v>626</v>
      </c>
      <c r="H111" s="56" t="s">
        <v>741</v>
      </c>
      <c r="I111" s="12" t="s">
        <v>742</v>
      </c>
      <c r="J111" s="12" t="s">
        <v>743</v>
      </c>
      <c r="K111" s="12">
        <v>2.02509250047E11</v>
      </c>
      <c r="L111" s="12" t="b">
        <v>1</v>
      </c>
      <c r="M111" s="12"/>
      <c r="N111" s="12" t="b">
        <v>1</v>
      </c>
      <c r="O111" s="12" t="b">
        <v>1</v>
      </c>
      <c r="P111" s="12" t="b">
        <v>1</v>
      </c>
      <c r="Q111" s="12" t="s">
        <v>740</v>
      </c>
      <c r="R111" s="17"/>
      <c r="S111" s="12" t="s">
        <v>744</v>
      </c>
      <c r="T111" s="12">
        <v>9.234504588E9</v>
      </c>
      <c r="U111" s="12" t="s">
        <v>158</v>
      </c>
      <c r="V111" s="17"/>
      <c r="W111" s="12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>
      <c r="A112" s="12" t="s">
        <v>85</v>
      </c>
      <c r="B112" s="17" t="s">
        <v>745</v>
      </c>
      <c r="C112" s="65">
        <v>46150.0</v>
      </c>
      <c r="D112" s="12" t="b">
        <v>1</v>
      </c>
      <c r="E112" s="12">
        <v>1.0</v>
      </c>
      <c r="F112" s="12" t="s">
        <v>388</v>
      </c>
      <c r="G112" s="17" t="s">
        <v>746</v>
      </c>
      <c r="H112" s="64" t="s">
        <v>20</v>
      </c>
      <c r="I112" s="12" t="s">
        <v>747</v>
      </c>
      <c r="J112" s="12" t="s">
        <v>154</v>
      </c>
      <c r="K112" s="12">
        <v>2.02509250068E11</v>
      </c>
      <c r="L112" s="12" t="b">
        <v>1</v>
      </c>
      <c r="M112" s="12"/>
      <c r="N112" s="12" t="b">
        <v>1</v>
      </c>
      <c r="O112" s="12" t="b">
        <v>1</v>
      </c>
      <c r="P112" s="12" t="b">
        <v>1</v>
      </c>
      <c r="Q112" s="17"/>
      <c r="R112" s="17"/>
      <c r="S112" s="17" t="s">
        <v>748</v>
      </c>
      <c r="T112" s="17">
        <v>9.124501567E9</v>
      </c>
      <c r="U112" s="12" t="s">
        <v>749</v>
      </c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</row>
    <row r="113">
      <c r="A113" s="12" t="s">
        <v>85</v>
      </c>
      <c r="B113" s="17" t="s">
        <v>745</v>
      </c>
      <c r="C113" s="65">
        <v>46150.0</v>
      </c>
      <c r="D113" s="12" t="b">
        <v>1</v>
      </c>
      <c r="E113" s="17">
        <f t="shared" ref="E113:E123" si="8">E112+1</f>
        <v>2</v>
      </c>
      <c r="F113" s="12" t="s">
        <v>388</v>
      </c>
      <c r="G113" s="17" t="s">
        <v>750</v>
      </c>
      <c r="H113" s="64" t="s">
        <v>30</v>
      </c>
      <c r="I113" s="14" t="s">
        <v>751</v>
      </c>
      <c r="J113" s="14" t="s">
        <v>752</v>
      </c>
      <c r="K113" s="12">
        <v>2.02509250066E11</v>
      </c>
      <c r="L113" s="12" t="b">
        <v>1</v>
      </c>
      <c r="M113" s="12"/>
      <c r="N113" s="12" t="b">
        <v>1</v>
      </c>
      <c r="O113" s="12" t="b">
        <v>1</v>
      </c>
      <c r="P113" s="12" t="b">
        <v>1</v>
      </c>
      <c r="Q113" s="17"/>
      <c r="R113" s="17"/>
      <c r="S113" s="17" t="s">
        <v>753</v>
      </c>
      <c r="T113" s="17">
        <v>9.124501568E9</v>
      </c>
      <c r="U113" s="12" t="s">
        <v>749</v>
      </c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>
      <c r="A114" s="12" t="s">
        <v>85</v>
      </c>
      <c r="B114" s="17" t="s">
        <v>745</v>
      </c>
      <c r="C114" s="65">
        <v>46150.0</v>
      </c>
      <c r="D114" s="12" t="b">
        <v>1</v>
      </c>
      <c r="E114" s="17">
        <f t="shared" si="8"/>
        <v>3</v>
      </c>
      <c r="F114" s="12" t="s">
        <v>388</v>
      </c>
      <c r="G114" s="17" t="s">
        <v>750</v>
      </c>
      <c r="H114" s="64" t="s">
        <v>37</v>
      </c>
      <c r="I114" s="14" t="s">
        <v>754</v>
      </c>
      <c r="J114" s="14" t="s">
        <v>755</v>
      </c>
      <c r="K114" s="12">
        <v>2.02609250065E11</v>
      </c>
      <c r="L114" s="12" t="b">
        <v>1</v>
      </c>
      <c r="M114" s="12"/>
      <c r="N114" s="12" t="b">
        <v>1</v>
      </c>
      <c r="O114" s="12" t="b">
        <v>1</v>
      </c>
      <c r="P114" s="12" t="b">
        <v>1</v>
      </c>
      <c r="Q114" s="17"/>
      <c r="R114" s="17"/>
      <c r="S114" s="17" t="s">
        <v>756</v>
      </c>
      <c r="T114" s="17">
        <v>9.124501569E9</v>
      </c>
      <c r="U114" s="12" t="s">
        <v>749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>
      <c r="A115" s="12" t="s">
        <v>85</v>
      </c>
      <c r="B115" s="17" t="s">
        <v>745</v>
      </c>
      <c r="C115" s="65">
        <v>46150.0</v>
      </c>
      <c r="D115" s="12" t="b">
        <v>1</v>
      </c>
      <c r="E115" s="17">
        <f t="shared" si="8"/>
        <v>4</v>
      </c>
      <c r="F115" s="12" t="s">
        <v>388</v>
      </c>
      <c r="G115" s="17" t="s">
        <v>750</v>
      </c>
      <c r="H115" s="64" t="s">
        <v>47</v>
      </c>
      <c r="I115" s="14" t="s">
        <v>757</v>
      </c>
      <c r="J115" s="14" t="s">
        <v>758</v>
      </c>
      <c r="K115" s="12">
        <v>2.02509250099E11</v>
      </c>
      <c r="L115" s="12" t="b">
        <v>1</v>
      </c>
      <c r="M115" s="12"/>
      <c r="N115" s="12" t="b">
        <v>1</v>
      </c>
      <c r="O115" s="12" t="b">
        <v>1</v>
      </c>
      <c r="P115" s="12" t="b">
        <v>1</v>
      </c>
      <c r="Q115" s="17"/>
      <c r="R115" s="17"/>
      <c r="S115" s="17" t="s">
        <v>759</v>
      </c>
      <c r="T115" s="17">
        <v>9.12450157E9</v>
      </c>
      <c r="U115" s="12" t="s">
        <v>749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>
      <c r="A116" s="12" t="s">
        <v>85</v>
      </c>
      <c r="B116" s="17" t="s">
        <v>745</v>
      </c>
      <c r="C116" s="65">
        <v>46150.0</v>
      </c>
      <c r="D116" s="12" t="b">
        <v>1</v>
      </c>
      <c r="E116" s="17">
        <f t="shared" si="8"/>
        <v>5</v>
      </c>
      <c r="F116" s="12" t="s">
        <v>388</v>
      </c>
      <c r="G116" s="17" t="s">
        <v>750</v>
      </c>
      <c r="H116" s="64" t="s">
        <v>53</v>
      </c>
      <c r="I116" s="14" t="s">
        <v>760</v>
      </c>
      <c r="J116" s="14" t="s">
        <v>761</v>
      </c>
      <c r="K116" s="14">
        <v>2.02609250037E11</v>
      </c>
      <c r="L116" s="12" t="b">
        <v>1</v>
      </c>
      <c r="M116" s="12"/>
      <c r="N116" s="12" t="b">
        <v>1</v>
      </c>
      <c r="O116" s="12" t="b">
        <v>1</v>
      </c>
      <c r="P116" s="12" t="b">
        <v>1</v>
      </c>
      <c r="Q116" s="17"/>
      <c r="R116" s="17"/>
      <c r="S116" s="17" t="s">
        <v>762</v>
      </c>
      <c r="T116" s="17">
        <v>9.124501571E9</v>
      </c>
      <c r="U116" s="12" t="s">
        <v>749</v>
      </c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>
      <c r="A117" s="12" t="s">
        <v>85</v>
      </c>
      <c r="B117" s="17" t="s">
        <v>745</v>
      </c>
      <c r="C117" s="65">
        <v>46150.0</v>
      </c>
      <c r="D117" s="12" t="b">
        <v>1</v>
      </c>
      <c r="E117" s="17">
        <f t="shared" si="8"/>
        <v>6</v>
      </c>
      <c r="F117" s="12" t="s">
        <v>388</v>
      </c>
      <c r="G117" s="17" t="s">
        <v>750</v>
      </c>
      <c r="H117" s="64" t="s">
        <v>60</v>
      </c>
      <c r="I117" s="14" t="s">
        <v>763</v>
      </c>
      <c r="J117" s="14" t="s">
        <v>764</v>
      </c>
      <c r="K117" s="14">
        <v>2.02509250012E11</v>
      </c>
      <c r="L117" s="12" t="b">
        <v>1</v>
      </c>
      <c r="M117" s="12"/>
      <c r="N117" s="12" t="b">
        <v>1</v>
      </c>
      <c r="O117" s="12" t="b">
        <v>1</v>
      </c>
      <c r="P117" s="12" t="b">
        <v>1</v>
      </c>
      <c r="Q117" s="17"/>
      <c r="R117" s="17"/>
      <c r="S117" s="17" t="s">
        <v>765</v>
      </c>
      <c r="T117" s="17">
        <v>9.124501572E9</v>
      </c>
      <c r="U117" s="12" t="s">
        <v>749</v>
      </c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>
      <c r="A118" s="12" t="s">
        <v>85</v>
      </c>
      <c r="B118" s="17" t="s">
        <v>745</v>
      </c>
      <c r="C118" s="65">
        <v>46150.0</v>
      </c>
      <c r="D118" s="12" t="b">
        <v>1</v>
      </c>
      <c r="E118" s="17">
        <f t="shared" si="8"/>
        <v>7</v>
      </c>
      <c r="F118" s="12" t="s">
        <v>388</v>
      </c>
      <c r="G118" s="17" t="s">
        <v>750</v>
      </c>
      <c r="H118" s="64" t="s">
        <v>72</v>
      </c>
      <c r="I118" s="14" t="s">
        <v>766</v>
      </c>
      <c r="J118" s="14" t="s">
        <v>767</v>
      </c>
      <c r="K118" s="14">
        <v>2.0250925014E11</v>
      </c>
      <c r="L118" s="12" t="b">
        <v>1</v>
      </c>
      <c r="M118" s="12"/>
      <c r="N118" s="12" t="b">
        <v>1</v>
      </c>
      <c r="O118" s="12" t="b">
        <v>1</v>
      </c>
      <c r="P118" s="12" t="b">
        <v>1</v>
      </c>
      <c r="Q118" s="17"/>
      <c r="R118" s="17"/>
      <c r="S118" s="17" t="s">
        <v>768</v>
      </c>
      <c r="T118" s="17">
        <v>9.124501573E9</v>
      </c>
      <c r="U118" s="12" t="s">
        <v>749</v>
      </c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</row>
    <row r="119">
      <c r="A119" s="12" t="s">
        <v>85</v>
      </c>
      <c r="B119" s="17" t="s">
        <v>745</v>
      </c>
      <c r="C119" s="65">
        <v>46150.0</v>
      </c>
      <c r="D119" s="12" t="b">
        <v>1</v>
      </c>
      <c r="E119" s="17">
        <f t="shared" si="8"/>
        <v>8</v>
      </c>
      <c r="F119" s="12" t="s">
        <v>388</v>
      </c>
      <c r="G119" s="17" t="s">
        <v>750</v>
      </c>
      <c r="H119" s="64" t="s">
        <v>84</v>
      </c>
      <c r="I119" s="14" t="s">
        <v>769</v>
      </c>
      <c r="J119" s="14" t="s">
        <v>770</v>
      </c>
      <c r="K119" s="12">
        <v>2.02509250107E11</v>
      </c>
      <c r="L119" s="12" t="b">
        <v>1</v>
      </c>
      <c r="M119" s="12"/>
      <c r="N119" s="12" t="b">
        <v>1</v>
      </c>
      <c r="O119" s="12" t="b">
        <v>1</v>
      </c>
      <c r="P119" s="12" t="b">
        <v>1</v>
      </c>
      <c r="Q119" s="17"/>
      <c r="R119" s="17"/>
      <c r="S119" s="17" t="s">
        <v>771</v>
      </c>
      <c r="T119" s="17">
        <v>9.124501574E9</v>
      </c>
      <c r="U119" s="12" t="s">
        <v>749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</row>
    <row r="120">
      <c r="A120" s="12" t="s">
        <v>85</v>
      </c>
      <c r="B120" s="17" t="s">
        <v>745</v>
      </c>
      <c r="C120" s="65">
        <v>46150.0</v>
      </c>
      <c r="D120" s="12" t="b">
        <v>1</v>
      </c>
      <c r="E120" s="17">
        <f t="shared" si="8"/>
        <v>9</v>
      </c>
      <c r="F120" s="12" t="s">
        <v>388</v>
      </c>
      <c r="G120" s="17" t="s">
        <v>750</v>
      </c>
      <c r="H120" s="64" t="s">
        <v>89</v>
      </c>
      <c r="I120" s="12" t="s">
        <v>772</v>
      </c>
      <c r="J120" s="12" t="s">
        <v>773</v>
      </c>
      <c r="K120" s="12">
        <v>2.02509250184E11</v>
      </c>
      <c r="L120" s="12" t="b">
        <v>1</v>
      </c>
      <c r="M120" s="12"/>
      <c r="N120" s="12" t="b">
        <v>1</v>
      </c>
      <c r="O120" s="12" t="b">
        <v>1</v>
      </c>
      <c r="P120" s="12" t="b">
        <v>1</v>
      </c>
      <c r="Q120" s="17"/>
      <c r="R120" s="17"/>
      <c r="S120" s="17" t="s">
        <v>774</v>
      </c>
      <c r="T120" s="17">
        <v>9.124501575E9</v>
      </c>
      <c r="U120" s="12" t="s">
        <v>749</v>
      </c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</row>
    <row r="121">
      <c r="A121" s="12" t="s">
        <v>85</v>
      </c>
      <c r="B121" s="17" t="s">
        <v>745</v>
      </c>
      <c r="C121" s="65">
        <v>46150.0</v>
      </c>
      <c r="D121" s="12" t="b">
        <v>1</v>
      </c>
      <c r="E121" s="17">
        <f t="shared" si="8"/>
        <v>10</v>
      </c>
      <c r="F121" s="12" t="s">
        <v>388</v>
      </c>
      <c r="G121" s="17" t="s">
        <v>750</v>
      </c>
      <c r="H121" s="64" t="s">
        <v>92</v>
      </c>
      <c r="I121" s="14" t="s">
        <v>775</v>
      </c>
      <c r="J121" s="14" t="s">
        <v>776</v>
      </c>
      <c r="K121" s="14">
        <v>2.02509250072E11</v>
      </c>
      <c r="L121" s="12" t="b">
        <v>1</v>
      </c>
      <c r="M121" s="12"/>
      <c r="N121" s="12" t="b">
        <v>1</v>
      </c>
      <c r="O121" s="12" t="b">
        <v>1</v>
      </c>
      <c r="P121" s="12" t="b">
        <v>1</v>
      </c>
      <c r="Q121" s="17"/>
      <c r="R121" s="17"/>
      <c r="S121" s="17" t="s">
        <v>777</v>
      </c>
      <c r="T121" s="17">
        <v>9.124501576E9</v>
      </c>
      <c r="U121" s="12" t="s">
        <v>749</v>
      </c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</row>
    <row r="122">
      <c r="A122" s="12" t="s">
        <v>85</v>
      </c>
      <c r="B122" s="17" t="s">
        <v>745</v>
      </c>
      <c r="C122" s="65">
        <v>46150.0</v>
      </c>
      <c r="D122" s="12" t="b">
        <v>1</v>
      </c>
      <c r="E122" s="17">
        <f t="shared" si="8"/>
        <v>11</v>
      </c>
      <c r="F122" s="12" t="s">
        <v>388</v>
      </c>
      <c r="G122" s="17" t="s">
        <v>750</v>
      </c>
      <c r="H122" s="64" t="s">
        <v>98</v>
      </c>
      <c r="I122" s="12" t="s">
        <v>778</v>
      </c>
      <c r="J122" s="12" t="s">
        <v>779</v>
      </c>
      <c r="K122" s="12">
        <v>2.02509250001E11</v>
      </c>
      <c r="L122" s="12" t="b">
        <v>1</v>
      </c>
      <c r="M122" s="12"/>
      <c r="N122" s="12" t="b">
        <v>1</v>
      </c>
      <c r="O122" s="12" t="b">
        <v>1</v>
      </c>
      <c r="P122" s="12" t="b">
        <v>1</v>
      </c>
      <c r="Q122" s="17"/>
      <c r="R122" s="17"/>
      <c r="S122" s="17" t="s">
        <v>780</v>
      </c>
      <c r="T122" s="17">
        <v>9.124501577E9</v>
      </c>
      <c r="U122" s="12" t="s">
        <v>749</v>
      </c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</row>
    <row r="123">
      <c r="A123" s="12" t="s">
        <v>85</v>
      </c>
      <c r="B123" s="17" t="s">
        <v>745</v>
      </c>
      <c r="C123" s="65">
        <v>46150.0</v>
      </c>
      <c r="D123" s="12" t="b">
        <v>1</v>
      </c>
      <c r="E123" s="17">
        <f t="shared" si="8"/>
        <v>12</v>
      </c>
      <c r="F123" s="12" t="s">
        <v>388</v>
      </c>
      <c r="G123" s="12" t="s">
        <v>650</v>
      </c>
      <c r="H123" s="64" t="s">
        <v>101</v>
      </c>
      <c r="I123" s="12" t="s">
        <v>138</v>
      </c>
      <c r="J123" s="12" t="s">
        <v>391</v>
      </c>
      <c r="K123" s="12">
        <v>2.02509250182E11</v>
      </c>
      <c r="L123" s="12" t="b">
        <v>1</v>
      </c>
      <c r="M123" s="12"/>
      <c r="N123" s="12" t="b">
        <v>1</v>
      </c>
      <c r="O123" s="12" t="b">
        <v>1</v>
      </c>
      <c r="P123" s="12" t="b">
        <v>1</v>
      </c>
      <c r="Q123" s="17"/>
      <c r="R123" s="17"/>
      <c r="S123" s="17" t="s">
        <v>781</v>
      </c>
      <c r="T123" s="17">
        <v>9.124501578E9</v>
      </c>
      <c r="U123" s="12" t="s">
        <v>749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</row>
    <row r="124">
      <c r="A124" s="12" t="s">
        <v>85</v>
      </c>
      <c r="B124" s="17" t="s">
        <v>782</v>
      </c>
      <c r="C124" s="67">
        <v>46153.0</v>
      </c>
      <c r="D124" s="12" t="b">
        <v>1</v>
      </c>
      <c r="E124" s="51">
        <v>1.0</v>
      </c>
      <c r="F124" s="51" t="s">
        <v>643</v>
      </c>
      <c r="G124" s="17" t="s">
        <v>783</v>
      </c>
      <c r="H124" s="64" t="s">
        <v>492</v>
      </c>
      <c r="I124" s="51" t="s">
        <v>494</v>
      </c>
      <c r="J124" s="12" t="s">
        <v>493</v>
      </c>
      <c r="K124" s="51">
        <v>2.02509250004E11</v>
      </c>
      <c r="L124" s="12" t="b">
        <v>1</v>
      </c>
      <c r="M124" s="12"/>
      <c r="N124" s="12" t="b">
        <v>1</v>
      </c>
      <c r="O124" s="12" t="b">
        <v>1</v>
      </c>
      <c r="P124" s="12" t="b">
        <v>1</v>
      </c>
      <c r="Q124" s="17"/>
      <c r="R124" s="17"/>
      <c r="S124" s="12" t="s">
        <v>784</v>
      </c>
      <c r="T124" s="12">
        <v>9.124501579E9</v>
      </c>
      <c r="U124" s="12" t="s">
        <v>158</v>
      </c>
      <c r="V124" s="17"/>
      <c r="W124" s="17"/>
      <c r="X124" s="17"/>
      <c r="Y124" s="51" t="s">
        <v>497</v>
      </c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</row>
    <row r="125">
      <c r="A125" s="12" t="s">
        <v>85</v>
      </c>
      <c r="B125" s="12" t="s">
        <v>785</v>
      </c>
      <c r="C125" s="65">
        <v>46167.0</v>
      </c>
      <c r="D125" s="12" t="b">
        <v>1</v>
      </c>
      <c r="E125" s="12">
        <v>1.0</v>
      </c>
      <c r="F125" s="12" t="s">
        <v>388</v>
      </c>
      <c r="G125" s="17" t="s">
        <v>626</v>
      </c>
      <c r="H125" s="64" t="s">
        <v>335</v>
      </c>
      <c r="I125" s="12" t="s">
        <v>627</v>
      </c>
      <c r="J125" s="12" t="s">
        <v>128</v>
      </c>
      <c r="K125" s="12" t="s">
        <v>786</v>
      </c>
      <c r="L125" s="12" t="b">
        <v>1</v>
      </c>
      <c r="M125" s="12"/>
      <c r="N125" s="12" t="b">
        <v>1</v>
      </c>
      <c r="O125" s="12" t="b">
        <v>1</v>
      </c>
      <c r="P125" s="12" t="b">
        <v>1</v>
      </c>
      <c r="Q125" s="12" t="s">
        <v>518</v>
      </c>
      <c r="R125" s="12">
        <v>1.0</v>
      </c>
      <c r="S125" s="12" t="s">
        <v>787</v>
      </c>
      <c r="T125" s="12">
        <v>9.10217456E9</v>
      </c>
      <c r="U125" s="12" t="s">
        <v>158</v>
      </c>
      <c r="V125" s="17"/>
      <c r="W125" s="12" t="s">
        <v>75</v>
      </c>
      <c r="X125" s="12" t="b">
        <v>1</v>
      </c>
      <c r="Y125" s="12" t="s">
        <v>340</v>
      </c>
      <c r="Z125" s="17"/>
      <c r="AA125" s="17"/>
      <c r="AB125" s="17"/>
      <c r="AC125" s="17"/>
      <c r="AD125" s="12" t="s">
        <v>788</v>
      </c>
      <c r="AE125" s="68" t="s">
        <v>789</v>
      </c>
      <c r="AF125" s="17"/>
      <c r="AG125" s="17"/>
      <c r="AH125" s="17"/>
      <c r="AI125" s="17"/>
      <c r="AJ125" s="17"/>
      <c r="AK125" s="17"/>
      <c r="AL125" s="17"/>
      <c r="AM125" s="17"/>
    </row>
    <row r="126">
      <c r="A126" s="12" t="s">
        <v>85</v>
      </c>
      <c r="B126" s="12" t="s">
        <v>790</v>
      </c>
      <c r="C126" s="65">
        <v>46167.0</v>
      </c>
      <c r="D126" s="12" t="b">
        <v>1</v>
      </c>
      <c r="E126" s="12">
        <v>2.0</v>
      </c>
      <c r="F126" s="12" t="s">
        <v>388</v>
      </c>
      <c r="G126" s="17" t="s">
        <v>626</v>
      </c>
      <c r="H126" s="64" t="s">
        <v>91</v>
      </c>
      <c r="I126" s="12" t="s">
        <v>791</v>
      </c>
      <c r="J126" s="12" t="s">
        <v>242</v>
      </c>
      <c r="K126" s="12" t="s">
        <v>792</v>
      </c>
      <c r="L126" s="12" t="b">
        <v>1</v>
      </c>
      <c r="M126" s="12"/>
      <c r="N126" s="12" t="b">
        <v>1</v>
      </c>
      <c r="O126" s="12" t="b">
        <v>1</v>
      </c>
      <c r="P126" s="12" t="b">
        <v>1</v>
      </c>
      <c r="Q126" s="12" t="s">
        <v>518</v>
      </c>
      <c r="R126" s="12">
        <v>2.0</v>
      </c>
      <c r="S126" s="12" t="s">
        <v>793</v>
      </c>
      <c r="T126" s="12">
        <v>9.102174561E9</v>
      </c>
      <c r="U126" s="12" t="s">
        <v>158</v>
      </c>
      <c r="V126" s="17"/>
      <c r="W126" s="12" t="s">
        <v>75</v>
      </c>
      <c r="X126" s="12" t="b">
        <v>1</v>
      </c>
      <c r="Y126" s="12" t="s">
        <v>596</v>
      </c>
      <c r="Z126" s="17"/>
      <c r="AA126" s="17"/>
      <c r="AB126" s="17"/>
      <c r="AC126" s="17"/>
      <c r="AD126" s="12" t="s">
        <v>788</v>
      </c>
      <c r="AE126" s="68" t="s">
        <v>794</v>
      </c>
      <c r="AF126" s="17"/>
      <c r="AG126" s="17"/>
      <c r="AH126" s="17"/>
      <c r="AI126" s="17"/>
      <c r="AJ126" s="17"/>
      <c r="AK126" s="17"/>
      <c r="AL126" s="17"/>
      <c r="AM126" s="17"/>
    </row>
    <row r="127">
      <c r="A127" s="12" t="s">
        <v>85</v>
      </c>
      <c r="B127" s="12" t="s">
        <v>795</v>
      </c>
      <c r="C127" s="65">
        <v>46167.0</v>
      </c>
      <c r="D127" s="12" t="b">
        <v>1</v>
      </c>
      <c r="E127" s="12">
        <v>3.0</v>
      </c>
      <c r="F127" s="12" t="s">
        <v>388</v>
      </c>
      <c r="G127" s="17" t="s">
        <v>626</v>
      </c>
      <c r="H127" s="64" t="s">
        <v>88</v>
      </c>
      <c r="I127" s="12" t="s">
        <v>796</v>
      </c>
      <c r="J127" s="12" t="s">
        <v>797</v>
      </c>
      <c r="K127" s="12">
        <v>2.02509250167E11</v>
      </c>
      <c r="L127" s="12" t="b">
        <v>1</v>
      </c>
      <c r="M127" s="12"/>
      <c r="N127" s="12" t="b">
        <v>1</v>
      </c>
      <c r="O127" s="12" t="b">
        <v>1</v>
      </c>
      <c r="P127" s="12" t="b">
        <v>1</v>
      </c>
      <c r="Q127" s="12" t="s">
        <v>518</v>
      </c>
      <c r="R127" s="12">
        <v>3.0</v>
      </c>
      <c r="S127" s="12" t="s">
        <v>798</v>
      </c>
      <c r="T127" s="12">
        <v>9.102174562E9</v>
      </c>
      <c r="U127" s="12" t="s">
        <v>158</v>
      </c>
      <c r="V127" s="17"/>
      <c r="W127" s="12" t="s">
        <v>75</v>
      </c>
      <c r="X127" s="12" t="b">
        <v>1</v>
      </c>
      <c r="Y127" s="12" t="s">
        <v>592</v>
      </c>
      <c r="Z127" s="17"/>
      <c r="AA127" s="17"/>
      <c r="AB127" s="17"/>
      <c r="AC127" s="17"/>
      <c r="AD127" s="12" t="s">
        <v>799</v>
      </c>
      <c r="AE127" s="68" t="s">
        <v>800</v>
      </c>
      <c r="AF127" s="17"/>
      <c r="AG127" s="17"/>
      <c r="AH127" s="17"/>
      <c r="AI127" s="17"/>
      <c r="AJ127" s="17"/>
      <c r="AK127" s="17"/>
      <c r="AL127" s="17"/>
      <c r="AM127" s="17"/>
    </row>
    <row r="128">
      <c r="A128" s="12" t="s">
        <v>624</v>
      </c>
      <c r="B128" s="12" t="s">
        <v>801</v>
      </c>
      <c r="C128" s="65">
        <v>46163.0</v>
      </c>
      <c r="D128" s="12" t="b">
        <v>1</v>
      </c>
      <c r="E128" s="12">
        <v>1.0</v>
      </c>
      <c r="F128" s="12" t="s">
        <v>160</v>
      </c>
      <c r="G128" s="12" t="s">
        <v>650</v>
      </c>
      <c r="H128" s="56" t="s">
        <v>17</v>
      </c>
      <c r="I128" s="14" t="s">
        <v>802</v>
      </c>
      <c r="J128" s="12" t="s">
        <v>118</v>
      </c>
      <c r="K128" s="12" t="s">
        <v>803</v>
      </c>
      <c r="L128" s="12" t="b">
        <v>1</v>
      </c>
      <c r="M128" s="12"/>
      <c r="N128" s="12" t="b">
        <v>1</v>
      </c>
      <c r="O128" s="12" t="b">
        <v>1</v>
      </c>
      <c r="P128" s="12" t="b">
        <v>1</v>
      </c>
      <c r="Q128" s="12" t="s">
        <v>804</v>
      </c>
      <c r="R128" s="12">
        <v>1.0</v>
      </c>
      <c r="S128" s="12" t="s">
        <v>805</v>
      </c>
      <c r="T128" s="12">
        <v>9.102174563E9</v>
      </c>
      <c r="U128" s="12" t="s">
        <v>158</v>
      </c>
      <c r="V128" s="17"/>
      <c r="W128" s="12" t="s">
        <v>75</v>
      </c>
      <c r="X128" s="12" t="b">
        <v>1</v>
      </c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>
      <c r="A129" s="12" t="s">
        <v>624</v>
      </c>
      <c r="B129" s="12" t="s">
        <v>801</v>
      </c>
      <c r="C129" s="65">
        <v>46163.0</v>
      </c>
      <c r="D129" s="12" t="b">
        <v>1</v>
      </c>
      <c r="E129" s="17">
        <f t="shared" ref="E129:E130" si="9">E128+1</f>
        <v>2</v>
      </c>
      <c r="F129" s="12" t="s">
        <v>160</v>
      </c>
      <c r="G129" s="12" t="s">
        <v>650</v>
      </c>
      <c r="H129" s="56" t="s">
        <v>36</v>
      </c>
      <c r="I129" s="14" t="s">
        <v>806</v>
      </c>
      <c r="J129" s="12" t="s">
        <v>807</v>
      </c>
      <c r="K129" s="12">
        <v>2.02509250181E11</v>
      </c>
      <c r="L129" s="12" t="b">
        <v>1</v>
      </c>
      <c r="M129" s="12"/>
      <c r="N129" s="12" t="b">
        <v>1</v>
      </c>
      <c r="O129" s="12" t="b">
        <v>1</v>
      </c>
      <c r="P129" s="12" t="b">
        <v>1</v>
      </c>
      <c r="Q129" s="12" t="s">
        <v>804</v>
      </c>
      <c r="R129" s="12">
        <v>2.0</v>
      </c>
      <c r="S129" s="12" t="s">
        <v>808</v>
      </c>
      <c r="T129" s="12">
        <v>9.102174564E9</v>
      </c>
      <c r="U129" s="12" t="s">
        <v>158</v>
      </c>
      <c r="V129" s="17"/>
      <c r="W129" s="12" t="s">
        <v>75</v>
      </c>
      <c r="X129" s="12" t="b">
        <v>1</v>
      </c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</row>
    <row r="130">
      <c r="A130" s="12" t="s">
        <v>624</v>
      </c>
      <c r="B130" s="12" t="s">
        <v>801</v>
      </c>
      <c r="C130" s="65">
        <v>46163.0</v>
      </c>
      <c r="D130" s="12" t="b">
        <v>1</v>
      </c>
      <c r="E130" s="17">
        <f t="shared" si="9"/>
        <v>3</v>
      </c>
      <c r="F130" s="12" t="s">
        <v>160</v>
      </c>
      <c r="G130" s="12" t="s">
        <v>650</v>
      </c>
      <c r="H130" s="56" t="s">
        <v>26</v>
      </c>
      <c r="I130" s="14" t="s">
        <v>809</v>
      </c>
      <c r="J130" s="12" t="s">
        <v>579</v>
      </c>
      <c r="K130" s="12" t="s">
        <v>810</v>
      </c>
      <c r="L130" s="12" t="b">
        <v>1</v>
      </c>
      <c r="M130" s="12"/>
      <c r="N130" s="12" t="b">
        <v>1</v>
      </c>
      <c r="O130" s="12" t="b">
        <v>1</v>
      </c>
      <c r="P130" s="12" t="b">
        <v>1</v>
      </c>
      <c r="Q130" s="12" t="s">
        <v>804</v>
      </c>
      <c r="R130" s="12">
        <v>3.0</v>
      </c>
      <c r="S130" s="12" t="s">
        <v>811</v>
      </c>
      <c r="T130" s="12">
        <v>9.102174565E9</v>
      </c>
      <c r="U130" s="12" t="s">
        <v>158</v>
      </c>
      <c r="V130" s="17"/>
      <c r="W130" s="12" t="s">
        <v>75</v>
      </c>
      <c r="X130" s="12" t="b">
        <v>1</v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>
      <c r="A131" s="12" t="s">
        <v>85</v>
      </c>
      <c r="B131" s="12" t="s">
        <v>523</v>
      </c>
      <c r="C131" s="65">
        <v>46164.0</v>
      </c>
      <c r="D131" s="12" t="b">
        <v>1</v>
      </c>
      <c r="E131" s="12">
        <v>1.0</v>
      </c>
      <c r="F131" s="12" t="s">
        <v>160</v>
      </c>
      <c r="G131" s="12" t="s">
        <v>650</v>
      </c>
      <c r="H131" s="56" t="s">
        <v>59</v>
      </c>
      <c r="I131" s="12" t="s">
        <v>365</v>
      </c>
      <c r="J131" s="12" t="s">
        <v>812</v>
      </c>
      <c r="K131" s="12">
        <v>2.02509250183E11</v>
      </c>
      <c r="L131" s="12" t="b">
        <v>1</v>
      </c>
      <c r="M131" s="12"/>
      <c r="N131" s="12" t="b">
        <v>1</v>
      </c>
      <c r="O131" s="12" t="b">
        <v>1</v>
      </c>
      <c r="P131" s="12" t="b">
        <v>1</v>
      </c>
      <c r="Q131" s="12" t="s">
        <v>523</v>
      </c>
      <c r="R131" s="12">
        <v>1.0</v>
      </c>
      <c r="S131" s="12" t="s">
        <v>813</v>
      </c>
      <c r="T131" s="12">
        <v>9.102174566E9</v>
      </c>
      <c r="U131" s="12" t="s">
        <v>158</v>
      </c>
      <c r="V131" s="17"/>
      <c r="W131" s="12" t="s">
        <v>75</v>
      </c>
      <c r="X131" s="12" t="b">
        <v>1</v>
      </c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>
      <c r="A132" s="12" t="s">
        <v>85</v>
      </c>
      <c r="B132" s="12" t="s">
        <v>523</v>
      </c>
      <c r="C132" s="65">
        <v>46164.0</v>
      </c>
      <c r="D132" s="12" t="b">
        <v>1</v>
      </c>
      <c r="E132" s="12">
        <v>2.0</v>
      </c>
      <c r="F132" s="12" t="s">
        <v>160</v>
      </c>
      <c r="G132" s="12" t="s">
        <v>650</v>
      </c>
      <c r="H132" s="56" t="s">
        <v>83</v>
      </c>
      <c r="I132" s="12" t="s">
        <v>814</v>
      </c>
      <c r="J132" s="12" t="s">
        <v>815</v>
      </c>
      <c r="K132" s="12" t="s">
        <v>816</v>
      </c>
      <c r="L132" s="12" t="b">
        <v>1</v>
      </c>
      <c r="M132" s="12"/>
      <c r="N132" s="12" t="b">
        <v>1</v>
      </c>
      <c r="O132" s="12" t="b">
        <v>1</v>
      </c>
      <c r="P132" s="12" t="b">
        <v>1</v>
      </c>
      <c r="Q132" s="12" t="s">
        <v>523</v>
      </c>
      <c r="R132" s="12">
        <v>2.0</v>
      </c>
      <c r="S132" s="12" t="s">
        <v>817</v>
      </c>
      <c r="T132" s="12">
        <v>9.102174567E9</v>
      </c>
      <c r="U132" s="12" t="s">
        <v>158</v>
      </c>
      <c r="V132" s="17"/>
      <c r="W132" s="12" t="s">
        <v>75</v>
      </c>
      <c r="X132" s="12" t="b">
        <v>1</v>
      </c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>
      <c r="A133" s="12" t="s">
        <v>85</v>
      </c>
      <c r="B133" s="12" t="s">
        <v>818</v>
      </c>
      <c r="C133" s="65">
        <v>46164.0</v>
      </c>
      <c r="D133" s="12" t="b">
        <v>1</v>
      </c>
      <c r="E133" s="12">
        <v>1.0</v>
      </c>
      <c r="F133" s="12" t="s">
        <v>160</v>
      </c>
      <c r="G133" s="17" t="s">
        <v>750</v>
      </c>
      <c r="H133" s="56" t="s">
        <v>819</v>
      </c>
      <c r="I133" s="12" t="s">
        <v>820</v>
      </c>
      <c r="J133" s="12" t="s">
        <v>821</v>
      </c>
      <c r="K133" s="12" t="s">
        <v>822</v>
      </c>
      <c r="L133" s="12" t="b">
        <v>1</v>
      </c>
      <c r="M133" s="12"/>
      <c r="N133" s="12" t="b">
        <v>1</v>
      </c>
      <c r="O133" s="12" t="b">
        <v>1</v>
      </c>
      <c r="P133" s="12" t="b">
        <v>1</v>
      </c>
      <c r="Q133" s="12" t="s">
        <v>823</v>
      </c>
      <c r="R133" s="12">
        <v>1.0</v>
      </c>
      <c r="S133" s="12" t="s">
        <v>824</v>
      </c>
      <c r="T133" s="12">
        <v>9.190011241E9</v>
      </c>
      <c r="U133" s="12" t="s">
        <v>158</v>
      </c>
      <c r="V133" s="17"/>
      <c r="W133" s="12" t="s">
        <v>825</v>
      </c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</row>
    <row r="134">
      <c r="A134" s="12" t="s">
        <v>85</v>
      </c>
      <c r="B134" s="12" t="s">
        <v>818</v>
      </c>
      <c r="C134" s="65">
        <v>46164.0</v>
      </c>
      <c r="D134" s="12" t="b">
        <v>1</v>
      </c>
      <c r="E134" s="17">
        <f t="shared" ref="E134:E138" si="10">E133+1</f>
        <v>2</v>
      </c>
      <c r="F134" s="12" t="s">
        <v>160</v>
      </c>
      <c r="G134" s="17" t="s">
        <v>750</v>
      </c>
      <c r="H134" s="56" t="s">
        <v>826</v>
      </c>
      <c r="I134" s="14" t="s">
        <v>827</v>
      </c>
      <c r="J134" s="12" t="s">
        <v>828</v>
      </c>
      <c r="K134" s="12" t="s">
        <v>829</v>
      </c>
      <c r="L134" s="12" t="b">
        <v>1</v>
      </c>
      <c r="M134" s="12"/>
      <c r="N134" s="12" t="b">
        <v>1</v>
      </c>
      <c r="O134" s="12" t="b">
        <v>1</v>
      </c>
      <c r="P134" s="12" t="b">
        <v>1</v>
      </c>
      <c r="Q134" s="12" t="s">
        <v>823</v>
      </c>
      <c r="R134" s="12">
        <v>2.0</v>
      </c>
      <c r="S134" s="12" t="s">
        <v>830</v>
      </c>
      <c r="T134" s="12">
        <v>9.190011242E9</v>
      </c>
      <c r="U134" s="12" t="s">
        <v>158</v>
      </c>
      <c r="V134" s="17"/>
      <c r="W134" s="12" t="s">
        <v>825</v>
      </c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>
      <c r="A135" s="12" t="s">
        <v>85</v>
      </c>
      <c r="B135" s="12" t="s">
        <v>818</v>
      </c>
      <c r="C135" s="65">
        <v>46164.0</v>
      </c>
      <c r="D135" s="12" t="b">
        <v>1</v>
      </c>
      <c r="E135" s="17">
        <f t="shared" si="10"/>
        <v>3</v>
      </c>
      <c r="F135" s="12" t="s">
        <v>160</v>
      </c>
      <c r="G135" s="17" t="s">
        <v>750</v>
      </c>
      <c r="H135" s="56" t="s">
        <v>831</v>
      </c>
      <c r="I135" s="14" t="s">
        <v>832</v>
      </c>
      <c r="J135" s="14" t="s">
        <v>833</v>
      </c>
      <c r="K135" s="14" t="s">
        <v>834</v>
      </c>
      <c r="L135" s="12" t="b">
        <v>1</v>
      </c>
      <c r="M135" s="12"/>
      <c r="N135" s="12" t="b">
        <v>1</v>
      </c>
      <c r="O135" s="12" t="b">
        <v>1</v>
      </c>
      <c r="P135" s="12" t="b">
        <v>1</v>
      </c>
      <c r="Q135" s="12" t="s">
        <v>823</v>
      </c>
      <c r="R135" s="12">
        <v>3.0</v>
      </c>
      <c r="S135" s="12" t="s">
        <v>835</v>
      </c>
      <c r="T135" s="12">
        <v>9.190011243E9</v>
      </c>
      <c r="U135" s="12" t="s">
        <v>158</v>
      </c>
      <c r="V135" s="17"/>
      <c r="W135" s="12" t="s">
        <v>825</v>
      </c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</row>
    <row r="136">
      <c r="A136" s="12" t="s">
        <v>85</v>
      </c>
      <c r="B136" s="12" t="s">
        <v>818</v>
      </c>
      <c r="C136" s="65">
        <v>46164.0</v>
      </c>
      <c r="D136" s="12" t="b">
        <v>1</v>
      </c>
      <c r="E136" s="17">
        <f t="shared" si="10"/>
        <v>4</v>
      </c>
      <c r="F136" s="12" t="s">
        <v>160</v>
      </c>
      <c r="G136" s="12" t="s">
        <v>650</v>
      </c>
      <c r="H136" s="56" t="s">
        <v>44</v>
      </c>
      <c r="I136" s="14" t="s">
        <v>836</v>
      </c>
      <c r="J136" s="12" t="s">
        <v>837</v>
      </c>
      <c r="K136" s="12" t="s">
        <v>838</v>
      </c>
      <c r="L136" s="12" t="b">
        <v>1</v>
      </c>
      <c r="M136" s="12"/>
      <c r="N136" s="12" t="b">
        <v>1</v>
      </c>
      <c r="O136" s="12" t="b">
        <v>1</v>
      </c>
      <c r="P136" s="12" t="b">
        <v>1</v>
      </c>
      <c r="Q136" s="12" t="s">
        <v>823</v>
      </c>
      <c r="R136" s="12">
        <v>4.0</v>
      </c>
      <c r="S136" s="12" t="s">
        <v>839</v>
      </c>
      <c r="T136" s="12">
        <v>9.190011244E9</v>
      </c>
      <c r="U136" s="12" t="s">
        <v>158</v>
      </c>
      <c r="V136" s="17"/>
      <c r="W136" s="12" t="s">
        <v>75</v>
      </c>
      <c r="X136" s="12" t="b">
        <v>1</v>
      </c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>
      <c r="A137" s="12" t="s">
        <v>85</v>
      </c>
      <c r="B137" s="12" t="s">
        <v>818</v>
      </c>
      <c r="C137" s="65">
        <v>46164.0</v>
      </c>
      <c r="D137" s="12" t="b">
        <v>1</v>
      </c>
      <c r="E137" s="17">
        <f t="shared" si="10"/>
        <v>5</v>
      </c>
      <c r="F137" s="12" t="s">
        <v>160</v>
      </c>
      <c r="G137" s="12" t="s">
        <v>650</v>
      </c>
      <c r="H137" s="56" t="s">
        <v>52</v>
      </c>
      <c r="I137" s="14" t="s">
        <v>840</v>
      </c>
      <c r="J137" s="14" t="s">
        <v>351</v>
      </c>
      <c r="K137" s="12" t="s">
        <v>841</v>
      </c>
      <c r="L137" s="12" t="b">
        <v>1</v>
      </c>
      <c r="M137" s="12"/>
      <c r="N137" s="12" t="b">
        <v>1</v>
      </c>
      <c r="O137" s="12" t="b">
        <v>1</v>
      </c>
      <c r="P137" s="12" t="b">
        <v>1</v>
      </c>
      <c r="Q137" s="12" t="s">
        <v>823</v>
      </c>
      <c r="R137" s="12">
        <v>5.0</v>
      </c>
      <c r="S137" s="12" t="s">
        <v>842</v>
      </c>
      <c r="T137" s="12">
        <v>9.190011245E9</v>
      </c>
      <c r="U137" s="12" t="s">
        <v>158</v>
      </c>
      <c r="V137" s="17"/>
      <c r="W137" s="12" t="s">
        <v>75</v>
      </c>
      <c r="X137" s="12" t="b">
        <v>1</v>
      </c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>
      <c r="A138" s="12" t="s">
        <v>85</v>
      </c>
      <c r="B138" s="12" t="s">
        <v>818</v>
      </c>
      <c r="C138" s="65">
        <v>46164.0</v>
      </c>
      <c r="D138" s="12" t="b">
        <v>1</v>
      </c>
      <c r="E138" s="17">
        <f t="shared" si="10"/>
        <v>6</v>
      </c>
      <c r="F138" s="12" t="s">
        <v>160</v>
      </c>
      <c r="G138" s="12" t="s">
        <v>650</v>
      </c>
      <c r="H138" s="56" t="s">
        <v>69</v>
      </c>
      <c r="I138" s="14" t="s">
        <v>843</v>
      </c>
      <c r="J138" s="14" t="s">
        <v>844</v>
      </c>
      <c r="K138" s="14" t="s">
        <v>845</v>
      </c>
      <c r="L138" s="12" t="b">
        <v>1</v>
      </c>
      <c r="M138" s="12"/>
      <c r="N138" s="12" t="b">
        <v>1</v>
      </c>
      <c r="O138" s="12" t="b">
        <v>1</v>
      </c>
      <c r="P138" s="12" t="b">
        <v>1</v>
      </c>
      <c r="Q138" s="12" t="s">
        <v>823</v>
      </c>
      <c r="R138" s="12">
        <v>6.0</v>
      </c>
      <c r="S138" s="12" t="s">
        <v>846</v>
      </c>
      <c r="T138" s="12">
        <v>9.190011246E9</v>
      </c>
      <c r="U138" s="12" t="s">
        <v>158</v>
      </c>
      <c r="V138" s="17"/>
      <c r="W138" s="12" t="s">
        <v>75</v>
      </c>
      <c r="X138" s="12" t="b">
        <v>1</v>
      </c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>
      <c r="A139" s="12" t="s">
        <v>85</v>
      </c>
      <c r="B139" s="12" t="s">
        <v>818</v>
      </c>
      <c r="C139" s="65">
        <v>46167.0</v>
      </c>
      <c r="D139" s="12" t="b">
        <v>1</v>
      </c>
      <c r="E139" s="12">
        <v>1.0</v>
      </c>
      <c r="F139" s="12" t="s">
        <v>160</v>
      </c>
      <c r="G139" s="17" t="s">
        <v>750</v>
      </c>
      <c r="H139" s="56" t="s">
        <v>147</v>
      </c>
      <c r="I139" s="12" t="s">
        <v>482</v>
      </c>
      <c r="J139" s="12" t="s">
        <v>481</v>
      </c>
      <c r="K139" s="12" t="s">
        <v>150</v>
      </c>
      <c r="L139" s="12" t="b">
        <v>1</v>
      </c>
      <c r="M139" s="12"/>
      <c r="N139" s="12" t="b">
        <v>1</v>
      </c>
      <c r="O139" s="12" t="b">
        <v>1</v>
      </c>
      <c r="P139" s="12" t="b">
        <v>1</v>
      </c>
      <c r="Q139" s="12" t="s">
        <v>823</v>
      </c>
      <c r="R139" s="12">
        <v>7.0</v>
      </c>
      <c r="S139" s="12" t="s">
        <v>847</v>
      </c>
      <c r="T139" s="12">
        <v>9.190011247E9</v>
      </c>
      <c r="U139" s="12" t="s">
        <v>158</v>
      </c>
      <c r="V139" s="17"/>
      <c r="W139" s="17"/>
      <c r="X139" s="17"/>
      <c r="Y139" s="12" t="s">
        <v>485</v>
      </c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>
      <c r="A140" s="12" t="s">
        <v>85</v>
      </c>
      <c r="B140" s="12" t="s">
        <v>818</v>
      </c>
      <c r="C140" s="65">
        <v>46167.0</v>
      </c>
      <c r="D140" s="12" t="b">
        <v>1</v>
      </c>
      <c r="E140" s="12">
        <v>2.0</v>
      </c>
      <c r="F140" s="12" t="s">
        <v>160</v>
      </c>
      <c r="G140" s="12" t="s">
        <v>650</v>
      </c>
      <c r="H140" s="56" t="s">
        <v>17</v>
      </c>
      <c r="I140" s="14" t="s">
        <v>802</v>
      </c>
      <c r="J140" s="14" t="s">
        <v>118</v>
      </c>
      <c r="K140" s="14" t="s">
        <v>130</v>
      </c>
      <c r="L140" s="12" t="b">
        <v>1</v>
      </c>
      <c r="M140" s="12"/>
      <c r="N140" s="12" t="b">
        <v>1</v>
      </c>
      <c r="O140" s="12" t="b">
        <v>1</v>
      </c>
      <c r="P140" s="12" t="b">
        <v>1</v>
      </c>
      <c r="Q140" s="12" t="s">
        <v>823</v>
      </c>
      <c r="R140" s="12">
        <v>8.0</v>
      </c>
      <c r="S140" s="12" t="s">
        <v>848</v>
      </c>
      <c r="T140" s="12">
        <v>9.190011248E9</v>
      </c>
      <c r="U140" s="12" t="s">
        <v>158</v>
      </c>
      <c r="V140" s="17"/>
      <c r="W140" s="17"/>
      <c r="X140" s="17"/>
      <c r="Y140" s="12" t="s">
        <v>849</v>
      </c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>
      <c r="A141" s="12" t="s">
        <v>85</v>
      </c>
      <c r="B141" s="12" t="s">
        <v>818</v>
      </c>
      <c r="C141" s="65">
        <v>46167.0</v>
      </c>
      <c r="D141" s="12" t="b">
        <v>1</v>
      </c>
      <c r="E141" s="12">
        <v>3.0</v>
      </c>
      <c r="F141" s="12" t="s">
        <v>160</v>
      </c>
      <c r="G141" s="12" t="s">
        <v>650</v>
      </c>
      <c r="H141" s="56" t="s">
        <v>36</v>
      </c>
      <c r="I141" s="14" t="s">
        <v>806</v>
      </c>
      <c r="J141" s="14" t="s">
        <v>807</v>
      </c>
      <c r="K141" s="14" t="s">
        <v>850</v>
      </c>
      <c r="L141" s="12" t="b">
        <v>1</v>
      </c>
      <c r="M141" s="12"/>
      <c r="N141" s="12" t="b">
        <v>1</v>
      </c>
      <c r="O141" s="12" t="b">
        <v>1</v>
      </c>
      <c r="P141" s="12" t="b">
        <v>1</v>
      </c>
      <c r="Q141" s="12" t="s">
        <v>823</v>
      </c>
      <c r="R141" s="12">
        <v>9.0</v>
      </c>
      <c r="S141" s="12" t="s">
        <v>851</v>
      </c>
      <c r="T141" s="12">
        <v>9.190011249E9</v>
      </c>
      <c r="U141" s="12" t="s">
        <v>158</v>
      </c>
      <c r="V141" s="69"/>
      <c r="W141" s="69"/>
      <c r="X141" s="44"/>
      <c r="Y141" s="14" t="s">
        <v>568</v>
      </c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>
      <c r="A142" s="70" t="s">
        <v>624</v>
      </c>
      <c r="B142" s="70" t="s">
        <v>801</v>
      </c>
      <c r="C142" s="71">
        <v>46176.0</v>
      </c>
      <c r="D142" s="70" t="b">
        <v>1</v>
      </c>
      <c r="E142" s="70">
        <v>1.0</v>
      </c>
      <c r="F142" s="12" t="s">
        <v>160</v>
      </c>
      <c r="G142" s="12" t="s">
        <v>650</v>
      </c>
      <c r="H142" s="56" t="s">
        <v>52</v>
      </c>
      <c r="I142" s="14" t="s">
        <v>840</v>
      </c>
      <c r="J142" s="14" t="s">
        <v>351</v>
      </c>
      <c r="K142" s="12" t="s">
        <v>852</v>
      </c>
      <c r="L142" s="70" t="b">
        <v>1</v>
      </c>
      <c r="M142" s="70"/>
      <c r="N142" s="70" t="b">
        <v>1</v>
      </c>
      <c r="O142" s="70" t="b">
        <v>1</v>
      </c>
      <c r="P142" s="70" t="b">
        <v>1</v>
      </c>
      <c r="Q142" s="70" t="s">
        <v>804</v>
      </c>
      <c r="R142" s="70">
        <v>1.0</v>
      </c>
      <c r="S142" s="70" t="s">
        <v>805</v>
      </c>
      <c r="T142" s="70">
        <v>9.102174563E9</v>
      </c>
      <c r="U142" s="70" t="s">
        <v>158</v>
      </c>
      <c r="V142" s="72"/>
      <c r="W142" s="70" t="s">
        <v>75</v>
      </c>
      <c r="X142" s="70" t="b">
        <v>1</v>
      </c>
      <c r="Y142" s="73" t="s">
        <v>853</v>
      </c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>
      <c r="A143" s="12" t="s">
        <v>85</v>
      </c>
      <c r="B143" s="70" t="s">
        <v>854</v>
      </c>
      <c r="C143" s="71">
        <v>46178.0</v>
      </c>
      <c r="D143" s="70" t="b">
        <v>1</v>
      </c>
      <c r="E143" s="70">
        <v>1.0</v>
      </c>
      <c r="F143" s="12" t="s">
        <v>388</v>
      </c>
      <c r="G143" s="12" t="s">
        <v>855</v>
      </c>
      <c r="H143" s="56" t="s">
        <v>856</v>
      </c>
      <c r="I143" s="14" t="s">
        <v>857</v>
      </c>
      <c r="J143" s="14" t="s">
        <v>858</v>
      </c>
      <c r="K143" s="12" t="s">
        <v>859</v>
      </c>
      <c r="L143" s="70" t="b">
        <v>1</v>
      </c>
      <c r="M143" s="70"/>
      <c r="N143" s="70" t="b">
        <v>1</v>
      </c>
      <c r="O143" s="70" t="b">
        <v>1</v>
      </c>
      <c r="P143" s="70" t="b">
        <v>1</v>
      </c>
      <c r="Q143" s="70" t="s">
        <v>860</v>
      </c>
      <c r="R143" s="74" t="s">
        <v>861</v>
      </c>
      <c r="S143" s="74" t="s">
        <v>862</v>
      </c>
      <c r="T143" s="75"/>
      <c r="U143" s="70" t="s">
        <v>158</v>
      </c>
      <c r="V143" s="76"/>
      <c r="W143" s="70" t="s">
        <v>75</v>
      </c>
      <c r="X143" s="70" t="b">
        <v>1</v>
      </c>
      <c r="Y143" s="73" t="s">
        <v>863</v>
      </c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</row>
    <row r="144">
      <c r="A144" s="12" t="s">
        <v>85</v>
      </c>
      <c r="B144" s="12" t="s">
        <v>602</v>
      </c>
      <c r="C144" s="55">
        <v>46183.0</v>
      </c>
      <c r="D144" s="70" t="b">
        <v>1</v>
      </c>
      <c r="E144" s="12">
        <v>1.0</v>
      </c>
      <c r="F144" s="12" t="s">
        <v>388</v>
      </c>
      <c r="G144" s="12" t="s">
        <v>855</v>
      </c>
      <c r="H144" s="56" t="s">
        <v>864</v>
      </c>
      <c r="I144" s="14" t="s">
        <v>865</v>
      </c>
      <c r="J144" s="12" t="s">
        <v>866</v>
      </c>
      <c r="K144" s="12">
        <v>2.02509250171E11</v>
      </c>
      <c r="L144" s="70" t="b">
        <v>1</v>
      </c>
      <c r="M144" s="70"/>
      <c r="N144" s="70" t="b">
        <v>1</v>
      </c>
      <c r="O144" s="70" t="b">
        <v>1</v>
      </c>
      <c r="P144" s="70" t="b">
        <v>1</v>
      </c>
      <c r="Q144" s="12" t="s">
        <v>602</v>
      </c>
      <c r="R144" s="12">
        <v>4.0</v>
      </c>
      <c r="S144" s="12" t="s">
        <v>867</v>
      </c>
      <c r="T144" s="12"/>
      <c r="U144" s="70" t="s">
        <v>158</v>
      </c>
      <c r="V144" s="12" t="s">
        <v>121</v>
      </c>
      <c r="W144" s="77"/>
      <c r="X144" s="44"/>
      <c r="Y144" s="14" t="s">
        <v>868</v>
      </c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</row>
    <row r="145">
      <c r="A145" s="12" t="s">
        <v>85</v>
      </c>
      <c r="B145" s="12" t="s">
        <v>602</v>
      </c>
      <c r="C145" s="55">
        <v>46183.0</v>
      </c>
      <c r="D145" s="70" t="b">
        <v>1</v>
      </c>
      <c r="E145" s="17">
        <f t="shared" ref="E145:E147" si="11">E144+1</f>
        <v>2</v>
      </c>
      <c r="F145" s="12" t="s">
        <v>388</v>
      </c>
      <c r="G145" s="12" t="s">
        <v>855</v>
      </c>
      <c r="H145" s="56" t="s">
        <v>869</v>
      </c>
      <c r="I145" s="14" t="s">
        <v>870</v>
      </c>
      <c r="J145" s="14" t="s">
        <v>871</v>
      </c>
      <c r="K145" s="12">
        <v>2.02509250081E11</v>
      </c>
      <c r="L145" s="70" t="b">
        <v>1</v>
      </c>
      <c r="M145" s="70"/>
      <c r="N145" s="70" t="b">
        <v>1</v>
      </c>
      <c r="O145" s="70" t="b">
        <v>1</v>
      </c>
      <c r="P145" s="70" t="b">
        <v>1</v>
      </c>
      <c r="Q145" s="12" t="s">
        <v>602</v>
      </c>
      <c r="R145" s="12">
        <v>5.0</v>
      </c>
      <c r="S145" s="12" t="s">
        <v>872</v>
      </c>
      <c r="T145" s="12"/>
      <c r="U145" s="70" t="s">
        <v>158</v>
      </c>
      <c r="V145" s="12" t="s">
        <v>121</v>
      </c>
      <c r="W145" s="77"/>
      <c r="X145" s="44"/>
      <c r="Y145" s="14" t="s">
        <v>873</v>
      </c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>
      <c r="A146" s="12" t="s">
        <v>85</v>
      </c>
      <c r="B146" s="12" t="s">
        <v>602</v>
      </c>
      <c r="C146" s="55">
        <v>46183.0</v>
      </c>
      <c r="D146" s="70" t="b">
        <v>1</v>
      </c>
      <c r="E146" s="17">
        <f t="shared" si="11"/>
        <v>3</v>
      </c>
      <c r="F146" s="12" t="s">
        <v>388</v>
      </c>
      <c r="G146" s="12" t="s">
        <v>855</v>
      </c>
      <c r="H146" s="56" t="s">
        <v>874</v>
      </c>
      <c r="I146" s="14" t="s">
        <v>875</v>
      </c>
      <c r="J146" s="14" t="s">
        <v>876</v>
      </c>
      <c r="K146" s="12">
        <v>2.02509250141E11</v>
      </c>
      <c r="L146" s="70" t="b">
        <v>1</v>
      </c>
      <c r="M146" s="70"/>
      <c r="N146" s="70" t="b">
        <v>1</v>
      </c>
      <c r="O146" s="70" t="b">
        <v>1</v>
      </c>
      <c r="P146" s="70" t="b">
        <v>1</v>
      </c>
      <c r="Q146" s="12" t="s">
        <v>602</v>
      </c>
      <c r="R146" s="12">
        <v>6.0</v>
      </c>
      <c r="S146" s="12" t="s">
        <v>877</v>
      </c>
      <c r="T146" s="12"/>
      <c r="U146" s="70" t="s">
        <v>158</v>
      </c>
      <c r="V146" s="12" t="s">
        <v>121</v>
      </c>
      <c r="W146" s="77"/>
      <c r="X146" s="44"/>
      <c r="Y146" s="14" t="s">
        <v>878</v>
      </c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</row>
    <row r="147">
      <c r="A147" s="12" t="s">
        <v>85</v>
      </c>
      <c r="B147" s="12" t="s">
        <v>602</v>
      </c>
      <c r="C147" s="55">
        <v>46183.0</v>
      </c>
      <c r="D147" s="70" t="b">
        <v>1</v>
      </c>
      <c r="E147" s="17">
        <f t="shared" si="11"/>
        <v>4</v>
      </c>
      <c r="F147" s="12" t="s">
        <v>388</v>
      </c>
      <c r="G147" s="12" t="s">
        <v>855</v>
      </c>
      <c r="H147" s="56" t="s">
        <v>879</v>
      </c>
      <c r="I147" s="12" t="s">
        <v>880</v>
      </c>
      <c r="J147" s="12" t="s">
        <v>881</v>
      </c>
      <c r="K147" s="12">
        <v>2.02509250091E11</v>
      </c>
      <c r="L147" s="70" t="b">
        <v>1</v>
      </c>
      <c r="M147" s="70"/>
      <c r="N147" s="70" t="b">
        <v>1</v>
      </c>
      <c r="O147" s="70" t="b">
        <v>1</v>
      </c>
      <c r="P147" s="70" t="b">
        <v>1</v>
      </c>
      <c r="Q147" s="12" t="s">
        <v>602</v>
      </c>
      <c r="R147" s="12">
        <v>7.0</v>
      </c>
      <c r="S147" s="12" t="s">
        <v>882</v>
      </c>
      <c r="T147" s="17"/>
      <c r="U147" s="70" t="s">
        <v>158</v>
      </c>
      <c r="V147" s="12" t="s">
        <v>121</v>
      </c>
      <c r="W147" s="77"/>
      <c r="X147" s="44"/>
      <c r="Y147" s="14" t="s">
        <v>883</v>
      </c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</row>
    <row r="148">
      <c r="A148" s="12" t="s">
        <v>85</v>
      </c>
      <c r="B148" s="12" t="s">
        <v>818</v>
      </c>
      <c r="C148" s="55">
        <v>46183.0</v>
      </c>
      <c r="D148" s="70" t="b">
        <v>1</v>
      </c>
      <c r="E148" s="12">
        <v>1.0</v>
      </c>
      <c r="F148" s="12" t="s">
        <v>160</v>
      </c>
      <c r="G148" s="17" t="s">
        <v>750</v>
      </c>
      <c r="H148" s="56" t="s">
        <v>98</v>
      </c>
      <c r="I148" s="14" t="s">
        <v>778</v>
      </c>
      <c r="J148" s="14" t="s">
        <v>779</v>
      </c>
      <c r="K148" s="14">
        <v>2.02509250001E11</v>
      </c>
      <c r="L148" s="70" t="b">
        <v>1</v>
      </c>
      <c r="M148" s="70"/>
      <c r="N148" s="70" t="b">
        <v>1</v>
      </c>
      <c r="O148" s="70" t="b">
        <v>1</v>
      </c>
      <c r="P148" s="70" t="b">
        <v>1</v>
      </c>
      <c r="Q148" s="12" t="s">
        <v>823</v>
      </c>
      <c r="R148" s="12">
        <v>10.0</v>
      </c>
      <c r="S148" s="12" t="s">
        <v>884</v>
      </c>
      <c r="T148" s="17"/>
      <c r="U148" s="70" t="s">
        <v>158</v>
      </c>
      <c r="V148" s="12" t="s">
        <v>121</v>
      </c>
      <c r="W148" s="77"/>
      <c r="X148" s="44"/>
      <c r="Y148" s="14" t="s">
        <v>885</v>
      </c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</row>
    <row r="149">
      <c r="A149" s="12" t="s">
        <v>85</v>
      </c>
      <c r="B149" s="12" t="s">
        <v>818</v>
      </c>
      <c r="C149" s="55">
        <v>46183.0</v>
      </c>
      <c r="D149" s="70" t="b">
        <v>1</v>
      </c>
      <c r="E149" s="17">
        <f t="shared" ref="E149:E150" si="12">E148+1</f>
        <v>2</v>
      </c>
      <c r="F149" s="12" t="s">
        <v>160</v>
      </c>
      <c r="G149" s="17" t="s">
        <v>626</v>
      </c>
      <c r="H149" s="56" t="s">
        <v>363</v>
      </c>
      <c r="I149" s="12" t="s">
        <v>886</v>
      </c>
      <c r="J149" s="12" t="s">
        <v>887</v>
      </c>
      <c r="K149" s="14" t="s">
        <v>888</v>
      </c>
      <c r="L149" s="70" t="b">
        <v>1</v>
      </c>
      <c r="M149" s="70"/>
      <c r="N149" s="70" t="b">
        <v>1</v>
      </c>
      <c r="O149" s="70" t="b">
        <v>1</v>
      </c>
      <c r="P149" s="70" t="b">
        <v>1</v>
      </c>
      <c r="Q149" s="12" t="s">
        <v>823</v>
      </c>
      <c r="R149" s="12">
        <v>11.0</v>
      </c>
      <c r="S149" s="12" t="s">
        <v>889</v>
      </c>
      <c r="T149" s="17"/>
      <c r="U149" s="70" t="s">
        <v>158</v>
      </c>
      <c r="V149" s="12" t="s">
        <v>121</v>
      </c>
      <c r="W149" s="77"/>
      <c r="X149" s="44"/>
      <c r="Y149" s="14" t="s">
        <v>368</v>
      </c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</row>
    <row r="150">
      <c r="A150" s="12" t="s">
        <v>85</v>
      </c>
      <c r="B150" s="12" t="s">
        <v>818</v>
      </c>
      <c r="C150" s="55">
        <v>46183.0</v>
      </c>
      <c r="D150" s="70" t="b">
        <v>1</v>
      </c>
      <c r="E150" s="17">
        <f t="shared" si="12"/>
        <v>3</v>
      </c>
      <c r="F150" s="12" t="s">
        <v>160</v>
      </c>
      <c r="G150" s="17" t="s">
        <v>626</v>
      </c>
      <c r="H150" s="56" t="s">
        <v>328</v>
      </c>
      <c r="I150" s="12" t="s">
        <v>429</v>
      </c>
      <c r="J150" s="12" t="s">
        <v>589</v>
      </c>
      <c r="K150" s="14" t="s">
        <v>890</v>
      </c>
      <c r="L150" s="70" t="b">
        <v>1</v>
      </c>
      <c r="M150" s="70"/>
      <c r="N150" s="70" t="b">
        <v>1</v>
      </c>
      <c r="O150" s="70" t="b">
        <v>1</v>
      </c>
      <c r="P150" s="70" t="b">
        <v>1</v>
      </c>
      <c r="Q150" s="12" t="s">
        <v>823</v>
      </c>
      <c r="R150" s="12">
        <v>12.0</v>
      </c>
      <c r="S150" s="12" t="s">
        <v>891</v>
      </c>
      <c r="T150" s="17"/>
      <c r="U150" s="70" t="s">
        <v>158</v>
      </c>
      <c r="V150" s="12" t="s">
        <v>121</v>
      </c>
      <c r="W150" s="77"/>
      <c r="X150" s="44"/>
      <c r="Y150" s="14" t="s">
        <v>333</v>
      </c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</row>
    <row r="151">
      <c r="A151" s="12" t="s">
        <v>85</v>
      </c>
      <c r="B151" s="12" t="s">
        <v>892</v>
      </c>
      <c r="C151" s="55">
        <v>46186.0</v>
      </c>
      <c r="D151" s="70" t="b">
        <v>1</v>
      </c>
      <c r="E151" s="12">
        <v>1.0</v>
      </c>
      <c r="F151" s="12" t="s">
        <v>160</v>
      </c>
      <c r="G151" s="17" t="s">
        <v>750</v>
      </c>
      <c r="H151" s="56" t="s">
        <v>30</v>
      </c>
      <c r="I151" s="12" t="s">
        <v>751</v>
      </c>
      <c r="J151" s="12" t="s">
        <v>752</v>
      </c>
      <c r="K151" s="14">
        <v>2.02509250066E11</v>
      </c>
      <c r="L151" s="70" t="b">
        <v>1</v>
      </c>
      <c r="M151" s="70"/>
      <c r="N151" s="70" t="b">
        <v>1</v>
      </c>
      <c r="O151" s="70" t="b">
        <v>1</v>
      </c>
      <c r="P151" s="70" t="b">
        <v>1</v>
      </c>
      <c r="Q151" s="12" t="s">
        <v>893</v>
      </c>
      <c r="R151" s="12">
        <v>1.0</v>
      </c>
      <c r="S151" s="12" t="s">
        <v>894</v>
      </c>
      <c r="T151" s="17"/>
      <c r="U151" s="70" t="s">
        <v>158</v>
      </c>
      <c r="V151" s="78"/>
      <c r="W151" s="77"/>
      <c r="X151" s="44"/>
      <c r="Y151" s="14" t="s">
        <v>895</v>
      </c>
      <c r="Z151" s="17"/>
      <c r="AA151" s="17"/>
      <c r="AB151" s="17"/>
      <c r="AC151" s="17"/>
      <c r="AD151" s="12" t="s">
        <v>896</v>
      </c>
      <c r="AE151" s="68" t="s">
        <v>897</v>
      </c>
      <c r="AF151" s="17"/>
      <c r="AG151" s="17"/>
      <c r="AH151" s="17"/>
      <c r="AI151" s="17"/>
      <c r="AJ151" s="17"/>
      <c r="AK151" s="17"/>
      <c r="AL151" s="17"/>
      <c r="AM151" s="17"/>
    </row>
    <row r="152">
      <c r="A152" s="12" t="s">
        <v>85</v>
      </c>
      <c r="B152" s="12" t="s">
        <v>892</v>
      </c>
      <c r="C152" s="55">
        <v>46186.0</v>
      </c>
      <c r="D152" s="70" t="b">
        <v>1</v>
      </c>
      <c r="E152" s="17">
        <f t="shared" ref="E152:E170" si="13">E151+1</f>
        <v>2</v>
      </c>
      <c r="F152" s="12" t="s">
        <v>160</v>
      </c>
      <c r="G152" s="17" t="s">
        <v>750</v>
      </c>
      <c r="H152" s="56" t="s">
        <v>60</v>
      </c>
      <c r="I152" s="12" t="s">
        <v>775</v>
      </c>
      <c r="J152" s="14" t="s">
        <v>764</v>
      </c>
      <c r="K152" s="14">
        <v>2.02509250012E11</v>
      </c>
      <c r="L152" s="70" t="b">
        <v>1</v>
      </c>
      <c r="M152" s="70"/>
      <c r="N152" s="70" t="b">
        <v>1</v>
      </c>
      <c r="O152" s="70" t="b">
        <v>1</v>
      </c>
      <c r="P152" s="70" t="b">
        <v>1</v>
      </c>
      <c r="Q152" s="12" t="s">
        <v>893</v>
      </c>
      <c r="R152" s="12">
        <v>2.0</v>
      </c>
      <c r="S152" s="12" t="s">
        <v>898</v>
      </c>
      <c r="T152" s="17"/>
      <c r="U152" s="70" t="s">
        <v>158</v>
      </c>
      <c r="V152" s="78"/>
      <c r="W152" s="77"/>
      <c r="X152" s="44"/>
      <c r="Y152" s="14" t="s">
        <v>899</v>
      </c>
      <c r="Z152" s="17"/>
      <c r="AA152" s="17"/>
      <c r="AB152" s="17"/>
      <c r="AC152" s="17"/>
      <c r="AD152" s="12" t="s">
        <v>900</v>
      </c>
      <c r="AE152" s="68" t="s">
        <v>901</v>
      </c>
      <c r="AF152" s="17"/>
      <c r="AG152" s="17"/>
      <c r="AH152" s="17"/>
      <c r="AI152" s="17"/>
      <c r="AJ152" s="17"/>
      <c r="AK152" s="17"/>
      <c r="AL152" s="17"/>
      <c r="AM152" s="17"/>
    </row>
    <row r="153">
      <c r="A153" s="12" t="s">
        <v>85</v>
      </c>
      <c r="B153" s="12" t="s">
        <v>892</v>
      </c>
      <c r="C153" s="55">
        <v>46186.0</v>
      </c>
      <c r="D153" s="70" t="b">
        <v>1</v>
      </c>
      <c r="E153" s="17">
        <f t="shared" si="13"/>
        <v>3</v>
      </c>
      <c r="F153" s="12" t="s">
        <v>160</v>
      </c>
      <c r="G153" s="17" t="s">
        <v>750</v>
      </c>
      <c r="H153" s="56" t="s">
        <v>89</v>
      </c>
      <c r="I153" s="14" t="s">
        <v>772</v>
      </c>
      <c r="J153" s="14" t="s">
        <v>773</v>
      </c>
      <c r="K153" s="12">
        <v>2.02509250184E11</v>
      </c>
      <c r="L153" s="70" t="b">
        <v>1</v>
      </c>
      <c r="M153" s="70"/>
      <c r="N153" s="70" t="b">
        <v>1</v>
      </c>
      <c r="O153" s="70" t="b">
        <v>1</v>
      </c>
      <c r="P153" s="70" t="b">
        <v>1</v>
      </c>
      <c r="Q153" s="12" t="s">
        <v>893</v>
      </c>
      <c r="R153" s="12">
        <v>3.0</v>
      </c>
      <c r="S153" s="12" t="s">
        <v>902</v>
      </c>
      <c r="T153" s="17"/>
      <c r="U153" s="70" t="s">
        <v>158</v>
      </c>
      <c r="V153" s="78"/>
      <c r="W153" s="77"/>
      <c r="X153" s="44"/>
      <c r="Y153" s="14" t="s">
        <v>903</v>
      </c>
      <c r="Z153" s="17"/>
      <c r="AA153" s="17"/>
      <c r="AB153" s="17"/>
      <c r="AC153" s="17"/>
      <c r="AD153" s="12" t="s">
        <v>904</v>
      </c>
      <c r="AE153" s="68" t="s">
        <v>905</v>
      </c>
      <c r="AF153" s="17"/>
      <c r="AG153" s="17"/>
      <c r="AH153" s="17"/>
      <c r="AI153" s="17"/>
      <c r="AJ153" s="17"/>
      <c r="AK153" s="17"/>
      <c r="AL153" s="17"/>
      <c r="AM153" s="17"/>
    </row>
    <row r="154">
      <c r="A154" s="12" t="s">
        <v>906</v>
      </c>
      <c r="B154" s="12" t="s">
        <v>892</v>
      </c>
      <c r="C154" s="55"/>
      <c r="D154" s="70" t="b">
        <v>0</v>
      </c>
      <c r="E154" s="17">
        <f t="shared" si="13"/>
        <v>4</v>
      </c>
      <c r="F154" s="12" t="s">
        <v>160</v>
      </c>
      <c r="G154" s="17" t="s">
        <v>750</v>
      </c>
      <c r="H154" s="56" t="s">
        <v>47</v>
      </c>
      <c r="I154" s="14" t="s">
        <v>404</v>
      </c>
      <c r="J154" s="12" t="s">
        <v>907</v>
      </c>
      <c r="K154" s="12">
        <v>2.02509250099E11</v>
      </c>
      <c r="L154" s="70" t="b">
        <v>1</v>
      </c>
      <c r="M154" s="70"/>
      <c r="N154" s="70" t="b">
        <v>1</v>
      </c>
      <c r="O154" s="70" t="b">
        <v>1</v>
      </c>
      <c r="P154" s="70" t="b">
        <v>1</v>
      </c>
      <c r="Q154" s="12" t="s">
        <v>893</v>
      </c>
      <c r="R154" s="12">
        <v>4.0</v>
      </c>
      <c r="S154" s="12" t="s">
        <v>908</v>
      </c>
      <c r="T154" s="17"/>
      <c r="U154" s="70" t="s">
        <v>158</v>
      </c>
      <c r="V154" s="78"/>
      <c r="W154" s="77"/>
      <c r="X154" s="44"/>
      <c r="Y154" s="14" t="s">
        <v>909</v>
      </c>
      <c r="Z154" s="17"/>
      <c r="AA154" s="17"/>
      <c r="AB154" s="17"/>
      <c r="AC154" s="17"/>
      <c r="AD154" s="12" t="s">
        <v>910</v>
      </c>
      <c r="AE154" s="68" t="s">
        <v>911</v>
      </c>
      <c r="AF154" s="17"/>
      <c r="AG154" s="17"/>
      <c r="AH154" s="17"/>
      <c r="AI154" s="17"/>
      <c r="AJ154" s="17"/>
      <c r="AK154" s="17"/>
      <c r="AL154" s="17"/>
      <c r="AM154" s="17"/>
    </row>
    <row r="155">
      <c r="A155" s="12" t="s">
        <v>85</v>
      </c>
      <c r="B155" s="12" t="s">
        <v>892</v>
      </c>
      <c r="C155" s="55">
        <v>46186.0</v>
      </c>
      <c r="D155" s="70" t="b">
        <v>1</v>
      </c>
      <c r="E155" s="17">
        <f t="shared" si="13"/>
        <v>5</v>
      </c>
      <c r="F155" s="12" t="s">
        <v>160</v>
      </c>
      <c r="G155" s="17" t="s">
        <v>750</v>
      </c>
      <c r="H155" s="56" t="s">
        <v>84</v>
      </c>
      <c r="I155" s="14" t="s">
        <v>769</v>
      </c>
      <c r="J155" s="14" t="s">
        <v>770</v>
      </c>
      <c r="K155" s="14">
        <v>2.02509250107E11</v>
      </c>
      <c r="L155" s="70" t="b">
        <v>1</v>
      </c>
      <c r="M155" s="70"/>
      <c r="N155" s="70" t="b">
        <v>1</v>
      </c>
      <c r="O155" s="70" t="b">
        <v>1</v>
      </c>
      <c r="P155" s="70" t="b">
        <v>1</v>
      </c>
      <c r="Q155" s="12" t="s">
        <v>893</v>
      </c>
      <c r="R155" s="12">
        <v>5.0</v>
      </c>
      <c r="S155" s="12" t="s">
        <v>912</v>
      </c>
      <c r="T155" s="17"/>
      <c r="U155" s="70" t="s">
        <v>158</v>
      </c>
      <c r="V155" s="79" t="str">
        <f t="shared" ref="V155:V156" si="14">H155</f>
        <v>R5FBMX0B4RL000441</v>
      </c>
      <c r="W155" s="77" t="str">
        <f t="shared" ref="W155:W156" si="15">Y155</f>
        <v>N126WC</v>
      </c>
      <c r="X155" s="44"/>
      <c r="Y155" s="14" t="s">
        <v>913</v>
      </c>
      <c r="Z155" s="17"/>
      <c r="AA155" s="17"/>
      <c r="AB155" s="17"/>
      <c r="AC155" s="17"/>
      <c r="AD155" s="12" t="s">
        <v>914</v>
      </c>
      <c r="AE155" s="68" t="s">
        <v>915</v>
      </c>
      <c r="AF155" s="17"/>
      <c r="AG155" s="17"/>
      <c r="AH155" s="17"/>
      <c r="AI155" s="17"/>
      <c r="AJ155" s="17"/>
      <c r="AK155" s="17"/>
      <c r="AL155" s="17"/>
      <c r="AM155" s="17"/>
    </row>
    <row r="156">
      <c r="A156" s="12" t="s">
        <v>906</v>
      </c>
      <c r="B156" s="12" t="s">
        <v>892</v>
      </c>
      <c r="C156" s="55"/>
      <c r="D156" s="70" t="b">
        <v>0</v>
      </c>
      <c r="E156" s="17">
        <f t="shared" si="13"/>
        <v>6</v>
      </c>
      <c r="F156" s="12" t="s">
        <v>160</v>
      </c>
      <c r="G156" s="44" t="s">
        <v>750</v>
      </c>
      <c r="H156" s="64" t="s">
        <v>37</v>
      </c>
      <c r="I156" s="44" t="s">
        <v>412</v>
      </c>
      <c r="J156" s="44" t="s">
        <v>417</v>
      </c>
      <c r="K156" s="44" t="s">
        <v>916</v>
      </c>
      <c r="L156" s="70" t="b">
        <v>1</v>
      </c>
      <c r="M156" s="70"/>
      <c r="N156" s="70" t="b">
        <v>1</v>
      </c>
      <c r="O156" s="70" t="b">
        <v>1</v>
      </c>
      <c r="P156" s="70" t="b">
        <v>1</v>
      </c>
      <c r="Q156" s="12" t="s">
        <v>893</v>
      </c>
      <c r="R156" s="12">
        <v>6.0</v>
      </c>
      <c r="S156" s="12" t="s">
        <v>917</v>
      </c>
      <c r="T156" s="77"/>
      <c r="U156" s="70" t="s">
        <v>158</v>
      </c>
      <c r="V156" s="79" t="str">
        <f t="shared" si="14"/>
        <v>R5FBMX0B0RL000405</v>
      </c>
      <c r="W156" s="77" t="str">
        <f t="shared" si="15"/>
        <v>N152WC</v>
      </c>
      <c r="X156" s="44"/>
      <c r="Y156" s="44" t="s">
        <v>918</v>
      </c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>
      <c r="A157" s="12" t="s">
        <v>85</v>
      </c>
      <c r="B157" s="12" t="s">
        <v>919</v>
      </c>
      <c r="C157" s="55">
        <v>46189.0</v>
      </c>
      <c r="D157" s="70" t="b">
        <v>0</v>
      </c>
      <c r="E157" s="17">
        <f t="shared" si="13"/>
        <v>7</v>
      </c>
      <c r="F157" s="12" t="s">
        <v>160</v>
      </c>
      <c r="G157" s="44" t="s">
        <v>750</v>
      </c>
      <c r="H157" s="64" t="s">
        <v>53</v>
      </c>
      <c r="I157" s="44" t="s">
        <v>760</v>
      </c>
      <c r="J157" s="44" t="s">
        <v>761</v>
      </c>
      <c r="K157" s="44" t="s">
        <v>920</v>
      </c>
      <c r="L157" s="70" t="b">
        <v>1</v>
      </c>
      <c r="M157" s="70"/>
      <c r="N157" s="70" t="b">
        <v>1</v>
      </c>
      <c r="O157" s="70" t="b">
        <v>1</v>
      </c>
      <c r="P157" s="70" t="b">
        <v>1</v>
      </c>
      <c r="Q157" s="12" t="s">
        <v>893</v>
      </c>
      <c r="R157" s="12">
        <v>7.0</v>
      </c>
      <c r="S157" s="12" t="s">
        <v>921</v>
      </c>
      <c r="T157" s="77"/>
      <c r="U157" s="70" t="s">
        <v>158</v>
      </c>
      <c r="V157" s="77"/>
      <c r="W157" s="77"/>
      <c r="X157" s="44"/>
      <c r="Y157" s="44" t="s">
        <v>922</v>
      </c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</row>
    <row r="158">
      <c r="A158" s="12" t="s">
        <v>85</v>
      </c>
      <c r="B158" s="12" t="s">
        <v>919</v>
      </c>
      <c r="C158" s="55">
        <v>46189.0</v>
      </c>
      <c r="D158" s="70" t="b">
        <v>0</v>
      </c>
      <c r="E158" s="17">
        <f t="shared" si="13"/>
        <v>8</v>
      </c>
      <c r="F158" s="12" t="s">
        <v>160</v>
      </c>
      <c r="G158" s="44" t="s">
        <v>750</v>
      </c>
      <c r="H158" s="64" t="s">
        <v>72</v>
      </c>
      <c r="I158" s="44" t="s">
        <v>923</v>
      </c>
      <c r="J158" s="44" t="s">
        <v>924</v>
      </c>
      <c r="K158" s="44" t="s">
        <v>925</v>
      </c>
      <c r="L158" s="70" t="b">
        <v>1</v>
      </c>
      <c r="M158" s="70"/>
      <c r="N158" s="70" t="b">
        <v>1</v>
      </c>
      <c r="O158" s="70" t="b">
        <v>1</v>
      </c>
      <c r="P158" s="70" t="b">
        <v>1</v>
      </c>
      <c r="Q158" s="12" t="s">
        <v>893</v>
      </c>
      <c r="R158" s="12">
        <v>8.0</v>
      </c>
      <c r="S158" s="12" t="s">
        <v>926</v>
      </c>
      <c r="T158" s="77"/>
      <c r="U158" s="70" t="s">
        <v>158</v>
      </c>
      <c r="V158" s="77"/>
      <c r="W158" s="77"/>
      <c r="X158" s="44"/>
      <c r="Y158" s="44" t="s">
        <v>927</v>
      </c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</row>
    <row r="159">
      <c r="A159" s="80" t="s">
        <v>85</v>
      </c>
      <c r="B159" s="80" t="s">
        <v>928</v>
      </c>
      <c r="C159" s="81">
        <v>46189.0</v>
      </c>
      <c r="D159" s="82" t="b">
        <v>0</v>
      </c>
      <c r="E159" s="83">
        <f t="shared" si="13"/>
        <v>9</v>
      </c>
      <c r="F159" s="80" t="s">
        <v>160</v>
      </c>
      <c r="G159" s="84" t="s">
        <v>750</v>
      </c>
      <c r="H159" s="85" t="s">
        <v>92</v>
      </c>
      <c r="I159" s="83" t="s">
        <v>766</v>
      </c>
      <c r="J159" s="83" t="s">
        <v>635</v>
      </c>
      <c r="K159" s="84" t="s">
        <v>929</v>
      </c>
      <c r="L159" s="70" t="b">
        <v>1</v>
      </c>
      <c r="M159" s="70"/>
      <c r="N159" s="70" t="b">
        <v>1</v>
      </c>
      <c r="O159" s="70" t="b">
        <v>1</v>
      </c>
      <c r="P159" s="70" t="b">
        <v>1</v>
      </c>
      <c r="Q159" s="80" t="s">
        <v>893</v>
      </c>
      <c r="R159" s="80">
        <v>9.0</v>
      </c>
      <c r="S159" s="80" t="s">
        <v>930</v>
      </c>
      <c r="T159" s="83"/>
      <c r="U159" s="82" t="s">
        <v>158</v>
      </c>
      <c r="V159" s="86"/>
      <c r="W159" s="83"/>
      <c r="X159" s="83"/>
      <c r="Y159" s="83" t="s">
        <v>931</v>
      </c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</row>
    <row r="160">
      <c r="A160" s="12" t="s">
        <v>906</v>
      </c>
      <c r="B160" s="12" t="s">
        <v>892</v>
      </c>
      <c r="C160" s="55"/>
      <c r="D160" s="70" t="b">
        <v>0</v>
      </c>
      <c r="E160" s="17">
        <f t="shared" si="13"/>
        <v>10</v>
      </c>
      <c r="F160" s="12" t="s">
        <v>160</v>
      </c>
      <c r="G160" s="12" t="s">
        <v>650</v>
      </c>
      <c r="H160" s="64" t="s">
        <v>395</v>
      </c>
      <c r="I160" s="17" t="s">
        <v>932</v>
      </c>
      <c r="J160" s="17" t="s">
        <v>933</v>
      </c>
      <c r="K160" s="17" t="s">
        <v>934</v>
      </c>
      <c r="L160" s="70" t="b">
        <v>1</v>
      </c>
      <c r="M160" s="70"/>
      <c r="N160" s="70" t="b">
        <v>1</v>
      </c>
      <c r="O160" s="70" t="b">
        <v>1</v>
      </c>
      <c r="P160" s="70" t="b">
        <v>1</v>
      </c>
      <c r="Q160" s="12" t="s">
        <v>893</v>
      </c>
      <c r="R160" s="12">
        <v>10.0</v>
      </c>
      <c r="S160" s="12" t="s">
        <v>935</v>
      </c>
      <c r="T160" s="17"/>
      <c r="U160" s="70" t="s">
        <v>158</v>
      </c>
      <c r="V160" s="78"/>
      <c r="W160" s="77"/>
      <c r="X160" s="17"/>
      <c r="Y160" s="17" t="s">
        <v>400</v>
      </c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</row>
    <row r="161">
      <c r="A161" s="12" t="s">
        <v>906</v>
      </c>
      <c r="B161" s="12" t="s">
        <v>892</v>
      </c>
      <c r="C161" s="55"/>
      <c r="D161" s="70" t="b">
        <v>0</v>
      </c>
      <c r="E161" s="17">
        <f t="shared" si="13"/>
        <v>11</v>
      </c>
      <c r="F161" s="12" t="s">
        <v>160</v>
      </c>
      <c r="G161" s="12" t="s">
        <v>650</v>
      </c>
      <c r="H161" s="64" t="s">
        <v>44</v>
      </c>
      <c r="I161" s="17" t="s">
        <v>836</v>
      </c>
      <c r="J161" s="17" t="s">
        <v>837</v>
      </c>
      <c r="K161" s="17" t="s">
        <v>936</v>
      </c>
      <c r="L161" s="70" t="b">
        <v>1</v>
      </c>
      <c r="M161" s="70"/>
      <c r="N161" s="70" t="b">
        <v>1</v>
      </c>
      <c r="O161" s="70" t="b">
        <v>1</v>
      </c>
      <c r="P161" s="70" t="b">
        <v>1</v>
      </c>
      <c r="Q161" s="12" t="s">
        <v>893</v>
      </c>
      <c r="R161" s="12">
        <v>11.0</v>
      </c>
      <c r="S161" s="12" t="s">
        <v>937</v>
      </c>
      <c r="T161" s="17"/>
      <c r="U161" s="70" t="s">
        <v>158</v>
      </c>
      <c r="V161" s="78"/>
      <c r="W161" s="77"/>
      <c r="X161" s="17"/>
      <c r="Y161" s="17" t="s">
        <v>573</v>
      </c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</row>
    <row r="162">
      <c r="A162" s="12" t="s">
        <v>906</v>
      </c>
      <c r="B162" s="12" t="s">
        <v>892</v>
      </c>
      <c r="C162" s="55"/>
      <c r="D162" s="70" t="b">
        <v>0</v>
      </c>
      <c r="E162" s="17">
        <f t="shared" si="13"/>
        <v>12</v>
      </c>
      <c r="F162" s="12" t="s">
        <v>160</v>
      </c>
      <c r="G162" s="12" t="s">
        <v>650</v>
      </c>
      <c r="H162" s="64" t="s">
        <v>69</v>
      </c>
      <c r="I162" s="17" t="s">
        <v>843</v>
      </c>
      <c r="J162" s="17" t="s">
        <v>844</v>
      </c>
      <c r="K162" s="17" t="s">
        <v>938</v>
      </c>
      <c r="L162" s="70" t="b">
        <v>1</v>
      </c>
      <c r="M162" s="70"/>
      <c r="N162" s="70" t="b">
        <v>1</v>
      </c>
      <c r="O162" s="70" t="b">
        <v>1</v>
      </c>
      <c r="P162" s="70" t="b">
        <v>1</v>
      </c>
      <c r="Q162" s="12" t="s">
        <v>893</v>
      </c>
      <c r="R162" s="12">
        <v>12.0</v>
      </c>
      <c r="S162" s="12" t="s">
        <v>939</v>
      </c>
      <c r="T162" s="17"/>
      <c r="U162" s="70" t="s">
        <v>158</v>
      </c>
      <c r="V162" s="78"/>
      <c r="W162" s="77"/>
      <c r="X162" s="17"/>
      <c r="Y162" s="17" t="s">
        <v>586</v>
      </c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</row>
    <row r="163">
      <c r="A163" s="12" t="s">
        <v>906</v>
      </c>
      <c r="B163" s="12" t="s">
        <v>892</v>
      </c>
      <c r="C163" s="55"/>
      <c r="D163" s="70" t="b">
        <v>0</v>
      </c>
      <c r="E163" s="17">
        <f t="shared" si="13"/>
        <v>13</v>
      </c>
      <c r="F163" s="12" t="s">
        <v>160</v>
      </c>
      <c r="G163" s="12" t="s">
        <v>650</v>
      </c>
      <c r="H163" s="64" t="s">
        <v>59</v>
      </c>
      <c r="I163" s="17" t="s">
        <v>940</v>
      </c>
      <c r="J163" s="17" t="s">
        <v>941</v>
      </c>
      <c r="K163" s="17" t="s">
        <v>942</v>
      </c>
      <c r="L163" s="70" t="b">
        <v>1</v>
      </c>
      <c r="M163" s="70"/>
      <c r="N163" s="70" t="b">
        <v>1</v>
      </c>
      <c r="O163" s="70" t="b">
        <v>1</v>
      </c>
      <c r="P163" s="70" t="b">
        <v>1</v>
      </c>
      <c r="Q163" s="12" t="s">
        <v>893</v>
      </c>
      <c r="R163" s="12">
        <v>13.0</v>
      </c>
      <c r="S163" s="12" t="s">
        <v>943</v>
      </c>
      <c r="T163" s="17"/>
      <c r="U163" s="70" t="s">
        <v>158</v>
      </c>
      <c r="V163" s="78"/>
      <c r="W163" s="77"/>
      <c r="X163" s="17"/>
      <c r="Y163" s="17" t="s">
        <v>581</v>
      </c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</row>
    <row r="164">
      <c r="A164" s="12" t="s">
        <v>906</v>
      </c>
      <c r="B164" s="12" t="s">
        <v>892</v>
      </c>
      <c r="C164" s="55"/>
      <c r="D164" s="70" t="b">
        <v>0</v>
      </c>
      <c r="E164" s="17">
        <f t="shared" si="13"/>
        <v>14</v>
      </c>
      <c r="F164" s="12" t="s">
        <v>160</v>
      </c>
      <c r="G164" s="12" t="s">
        <v>650</v>
      </c>
      <c r="H164" s="64" t="s">
        <v>26</v>
      </c>
      <c r="I164" s="17" t="s">
        <v>809</v>
      </c>
      <c r="J164" s="17" t="s">
        <v>579</v>
      </c>
      <c r="K164" s="17" t="s">
        <v>944</v>
      </c>
      <c r="L164" s="70" t="b">
        <v>1</v>
      </c>
      <c r="M164" s="70"/>
      <c r="N164" s="70" t="b">
        <v>1</v>
      </c>
      <c r="O164" s="70" t="b">
        <v>1</v>
      </c>
      <c r="P164" s="70" t="b">
        <v>1</v>
      </c>
      <c r="Q164" s="12" t="s">
        <v>893</v>
      </c>
      <c r="R164" s="12">
        <v>14.0</v>
      </c>
      <c r="S164" s="12" t="s">
        <v>945</v>
      </c>
      <c r="T164" s="17"/>
      <c r="U164" s="70" t="s">
        <v>158</v>
      </c>
      <c r="V164" s="78"/>
      <c r="W164" s="77"/>
      <c r="X164" s="17"/>
      <c r="Y164" s="17" t="s">
        <v>946</v>
      </c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</row>
    <row r="165">
      <c r="A165" s="12" t="s">
        <v>906</v>
      </c>
      <c r="B165" s="12" t="s">
        <v>892</v>
      </c>
      <c r="C165" s="55"/>
      <c r="D165" s="70" t="b">
        <v>0</v>
      </c>
      <c r="E165" s="17">
        <f t="shared" si="13"/>
        <v>15</v>
      </c>
      <c r="F165" s="12" t="s">
        <v>160</v>
      </c>
      <c r="G165" s="12" t="s">
        <v>650</v>
      </c>
      <c r="H165" s="64" t="s">
        <v>947</v>
      </c>
      <c r="I165" s="17" t="s">
        <v>948</v>
      </c>
      <c r="J165" s="17" t="s">
        <v>949</v>
      </c>
      <c r="K165" s="17" t="s">
        <v>950</v>
      </c>
      <c r="L165" s="70" t="b">
        <v>1</v>
      </c>
      <c r="M165" s="70"/>
      <c r="N165" s="70" t="b">
        <v>1</v>
      </c>
      <c r="O165" s="70" t="b">
        <v>1</v>
      </c>
      <c r="P165" s="70" t="b">
        <v>1</v>
      </c>
      <c r="Q165" s="12" t="s">
        <v>893</v>
      </c>
      <c r="R165" s="12">
        <v>15.0</v>
      </c>
      <c r="S165" s="12" t="s">
        <v>951</v>
      </c>
      <c r="T165" s="17"/>
      <c r="U165" s="70" t="s">
        <v>158</v>
      </c>
      <c r="V165" s="78"/>
      <c r="W165" s="77"/>
      <c r="X165" s="17"/>
      <c r="Y165" s="17" t="s">
        <v>952</v>
      </c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>
      <c r="A166" s="12" t="s">
        <v>906</v>
      </c>
      <c r="B166" s="12" t="s">
        <v>892</v>
      </c>
      <c r="C166" s="55"/>
      <c r="D166" s="70" t="b">
        <v>0</v>
      </c>
      <c r="E166" s="17">
        <f t="shared" si="13"/>
        <v>16</v>
      </c>
      <c r="F166" s="12" t="s">
        <v>160</v>
      </c>
      <c r="G166" s="12" t="s">
        <v>650</v>
      </c>
      <c r="H166" s="64" t="s">
        <v>953</v>
      </c>
      <c r="I166" s="17" t="s">
        <v>954</v>
      </c>
      <c r="J166" s="17" t="s">
        <v>955</v>
      </c>
      <c r="K166" s="17" t="s">
        <v>956</v>
      </c>
      <c r="L166" s="70" t="b">
        <v>1</v>
      </c>
      <c r="M166" s="70"/>
      <c r="N166" s="70" t="b">
        <v>1</v>
      </c>
      <c r="O166" s="70" t="b">
        <v>1</v>
      </c>
      <c r="P166" s="70" t="b">
        <v>1</v>
      </c>
      <c r="Q166" s="12" t="s">
        <v>893</v>
      </c>
      <c r="R166" s="12">
        <v>16.0</v>
      </c>
      <c r="S166" s="12" t="s">
        <v>957</v>
      </c>
      <c r="T166" s="17"/>
      <c r="U166" s="70" t="s">
        <v>158</v>
      </c>
      <c r="V166" s="78"/>
      <c r="W166" s="77"/>
      <c r="X166" s="17"/>
      <c r="Y166" s="17" t="s">
        <v>958</v>
      </c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</row>
    <row r="167">
      <c r="A167" s="12" t="s">
        <v>906</v>
      </c>
      <c r="B167" s="12" t="s">
        <v>892</v>
      </c>
      <c r="C167" s="55"/>
      <c r="D167" s="70" t="b">
        <v>0</v>
      </c>
      <c r="E167" s="17">
        <f t="shared" si="13"/>
        <v>17</v>
      </c>
      <c r="F167" s="12" t="s">
        <v>160</v>
      </c>
      <c r="G167" s="12" t="s">
        <v>650</v>
      </c>
      <c r="H167" s="64" t="s">
        <v>959</v>
      </c>
      <c r="I167" s="17" t="s">
        <v>960</v>
      </c>
      <c r="J167" s="17" t="s">
        <v>961</v>
      </c>
      <c r="K167" s="17" t="s">
        <v>962</v>
      </c>
      <c r="L167" s="70" t="b">
        <v>1</v>
      </c>
      <c r="M167" s="70"/>
      <c r="N167" s="70" t="b">
        <v>1</v>
      </c>
      <c r="O167" s="70" t="b">
        <v>1</v>
      </c>
      <c r="P167" s="70" t="b">
        <v>1</v>
      </c>
      <c r="Q167" s="12" t="s">
        <v>893</v>
      </c>
      <c r="R167" s="12">
        <v>17.0</v>
      </c>
      <c r="S167" s="12" t="s">
        <v>963</v>
      </c>
      <c r="T167" s="17"/>
      <c r="U167" s="70" t="s">
        <v>158</v>
      </c>
      <c r="V167" s="78"/>
      <c r="W167" s="77"/>
      <c r="X167" s="17"/>
      <c r="Y167" s="17" t="s">
        <v>964</v>
      </c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</row>
    <row r="168">
      <c r="A168" s="12" t="s">
        <v>906</v>
      </c>
      <c r="B168" s="12" t="s">
        <v>892</v>
      </c>
      <c r="C168" s="55"/>
      <c r="D168" s="70" t="b">
        <v>0</v>
      </c>
      <c r="E168" s="17">
        <f t="shared" si="13"/>
        <v>18</v>
      </c>
      <c r="F168" s="12" t="s">
        <v>160</v>
      </c>
      <c r="G168" s="12" t="s">
        <v>650</v>
      </c>
      <c r="H168" s="64" t="s">
        <v>965</v>
      </c>
      <c r="I168" s="17" t="s">
        <v>966</v>
      </c>
      <c r="J168" s="17" t="s">
        <v>967</v>
      </c>
      <c r="K168" s="17" t="s">
        <v>968</v>
      </c>
      <c r="L168" s="70" t="b">
        <v>1</v>
      </c>
      <c r="M168" s="70"/>
      <c r="N168" s="70" t="b">
        <v>1</v>
      </c>
      <c r="O168" s="70" t="b">
        <v>1</v>
      </c>
      <c r="P168" s="70" t="b">
        <v>1</v>
      </c>
      <c r="Q168" s="12" t="s">
        <v>893</v>
      </c>
      <c r="R168" s="12">
        <v>18.0</v>
      </c>
      <c r="S168" s="12" t="s">
        <v>969</v>
      </c>
      <c r="T168" s="17"/>
      <c r="U168" s="70" t="s">
        <v>158</v>
      </c>
      <c r="V168" s="78"/>
      <c r="W168" s="77"/>
      <c r="X168" s="17"/>
      <c r="Y168" s="17" t="s">
        <v>970</v>
      </c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</row>
    <row r="169">
      <c r="A169" s="12" t="s">
        <v>906</v>
      </c>
      <c r="B169" s="12" t="s">
        <v>892</v>
      </c>
      <c r="C169" s="55"/>
      <c r="D169" s="70" t="b">
        <v>0</v>
      </c>
      <c r="E169" s="17">
        <f t="shared" si="13"/>
        <v>19</v>
      </c>
      <c r="F169" s="12" t="s">
        <v>160</v>
      </c>
      <c r="G169" s="12" t="s">
        <v>650</v>
      </c>
      <c r="H169" s="64" t="s">
        <v>135</v>
      </c>
      <c r="I169" s="17" t="s">
        <v>971</v>
      </c>
      <c r="J169" s="17" t="s">
        <v>526</v>
      </c>
      <c r="K169" s="17" t="s">
        <v>972</v>
      </c>
      <c r="L169" s="70" t="b">
        <v>1</v>
      </c>
      <c r="M169" s="70"/>
      <c r="N169" s="70" t="b">
        <v>1</v>
      </c>
      <c r="O169" s="70" t="b">
        <v>1</v>
      </c>
      <c r="P169" s="70" t="b">
        <v>1</v>
      </c>
      <c r="Q169" s="12" t="s">
        <v>893</v>
      </c>
      <c r="R169" s="12">
        <v>19.0</v>
      </c>
      <c r="S169" s="12" t="s">
        <v>973</v>
      </c>
      <c r="T169" s="17"/>
      <c r="U169" s="70" t="s">
        <v>158</v>
      </c>
      <c r="V169" s="78"/>
      <c r="W169" s="77"/>
      <c r="X169" s="17"/>
      <c r="Y169" s="12" t="s">
        <v>489</v>
      </c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</row>
    <row r="170">
      <c r="A170" s="12" t="s">
        <v>906</v>
      </c>
      <c r="B170" s="12" t="s">
        <v>892</v>
      </c>
      <c r="C170" s="55"/>
      <c r="D170" s="70" t="b">
        <v>0</v>
      </c>
      <c r="E170" s="17">
        <f t="shared" si="13"/>
        <v>20</v>
      </c>
      <c r="F170" s="12" t="s">
        <v>160</v>
      </c>
      <c r="G170" s="12" t="s">
        <v>650</v>
      </c>
      <c r="H170" s="64" t="s">
        <v>974</v>
      </c>
      <c r="I170" s="17" t="s">
        <v>975</v>
      </c>
      <c r="J170" s="17" t="s">
        <v>976</v>
      </c>
      <c r="K170" s="17" t="s">
        <v>977</v>
      </c>
      <c r="L170" s="70" t="b">
        <v>1</v>
      </c>
      <c r="M170" s="70"/>
      <c r="N170" s="70" t="b">
        <v>1</v>
      </c>
      <c r="O170" s="70" t="b">
        <v>1</v>
      </c>
      <c r="P170" s="70" t="b">
        <v>1</v>
      </c>
      <c r="Q170" s="12" t="s">
        <v>893</v>
      </c>
      <c r="R170" s="12">
        <v>20.0</v>
      </c>
      <c r="S170" s="12" t="s">
        <v>978</v>
      </c>
      <c r="T170" s="17"/>
      <c r="U170" s="70" t="s">
        <v>158</v>
      </c>
      <c r="V170" s="78"/>
      <c r="W170" s="77"/>
      <c r="X170" s="17"/>
      <c r="Y170" s="17" t="s">
        <v>979</v>
      </c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</row>
    <row r="171">
      <c r="A171" s="78" t="s">
        <v>85</v>
      </c>
      <c r="B171" s="12" t="s">
        <v>980</v>
      </c>
      <c r="C171" s="55">
        <v>46199.0</v>
      </c>
      <c r="D171" s="70" t="b">
        <v>1</v>
      </c>
      <c r="E171" s="12">
        <v>1.0</v>
      </c>
      <c r="F171" s="12" t="s">
        <v>160</v>
      </c>
      <c r="G171" s="12" t="s">
        <v>981</v>
      </c>
      <c r="H171" s="64" t="s">
        <v>982</v>
      </c>
      <c r="I171" s="17" t="s">
        <v>983</v>
      </c>
      <c r="J171" s="17" t="s">
        <v>984</v>
      </c>
      <c r="K171" s="17" t="s">
        <v>985</v>
      </c>
      <c r="L171" s="70" t="b">
        <v>1</v>
      </c>
      <c r="M171" s="70"/>
      <c r="N171" s="70" t="b">
        <v>1</v>
      </c>
      <c r="O171" s="70" t="b">
        <v>1</v>
      </c>
      <c r="P171" s="70" t="b">
        <v>1</v>
      </c>
      <c r="Q171" s="12" t="s">
        <v>986</v>
      </c>
      <c r="R171" s="12">
        <v>1.0</v>
      </c>
      <c r="S171" s="12" t="s">
        <v>987</v>
      </c>
      <c r="T171" s="70">
        <v>9.10217413E9</v>
      </c>
      <c r="U171" s="12" t="s">
        <v>158</v>
      </c>
      <c r="V171" s="64" t="str">
        <f t="shared" ref="V171:V176" si="16">H171</f>
        <v>R5FBMX0B3SL000565</v>
      </c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</row>
    <row r="172">
      <c r="A172" s="78" t="s">
        <v>85</v>
      </c>
      <c r="B172" s="12" t="s">
        <v>980</v>
      </c>
      <c r="C172" s="55">
        <v>46199.0</v>
      </c>
      <c r="D172" s="70" t="b">
        <v>1</v>
      </c>
      <c r="E172" s="12">
        <v>2.0</v>
      </c>
      <c r="F172" s="12" t="s">
        <v>160</v>
      </c>
      <c r="G172" s="12" t="s">
        <v>981</v>
      </c>
      <c r="H172" s="64" t="s">
        <v>988</v>
      </c>
      <c r="I172" s="17" t="s">
        <v>989</v>
      </c>
      <c r="J172" s="17" t="s">
        <v>990</v>
      </c>
      <c r="K172" s="12">
        <v>2.02509250111E11</v>
      </c>
      <c r="L172" s="70" t="b">
        <v>1</v>
      </c>
      <c r="M172" s="70"/>
      <c r="N172" s="70" t="b">
        <v>1</v>
      </c>
      <c r="O172" s="70" t="b">
        <v>1</v>
      </c>
      <c r="P172" s="70" t="b">
        <v>1</v>
      </c>
      <c r="Q172" s="12" t="s">
        <v>986</v>
      </c>
      <c r="R172" s="12">
        <v>2.0</v>
      </c>
      <c r="S172" s="12" t="s">
        <v>991</v>
      </c>
      <c r="T172" s="70">
        <v>9.102174131E9</v>
      </c>
      <c r="U172" s="12" t="s">
        <v>158</v>
      </c>
      <c r="V172" s="64" t="str">
        <f t="shared" si="16"/>
        <v>R5FBMX0B0SL000538</v>
      </c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</row>
    <row r="173">
      <c r="A173" s="78" t="s">
        <v>85</v>
      </c>
      <c r="B173" s="12" t="s">
        <v>980</v>
      </c>
      <c r="C173" s="55">
        <v>46199.0</v>
      </c>
      <c r="D173" s="70" t="b">
        <v>1</v>
      </c>
      <c r="E173" s="12">
        <v>3.0</v>
      </c>
      <c r="F173" s="12" t="s">
        <v>160</v>
      </c>
      <c r="G173" s="12" t="s">
        <v>981</v>
      </c>
      <c r="H173" s="64" t="s">
        <v>992</v>
      </c>
      <c r="I173" s="17" t="s">
        <v>993</v>
      </c>
      <c r="J173" s="17" t="s">
        <v>994</v>
      </c>
      <c r="K173" s="17" t="s">
        <v>995</v>
      </c>
      <c r="L173" s="70" t="b">
        <v>1</v>
      </c>
      <c r="M173" s="70"/>
      <c r="N173" s="70" t="b">
        <v>1</v>
      </c>
      <c r="O173" s="70" t="b">
        <v>1</v>
      </c>
      <c r="P173" s="70" t="b">
        <v>1</v>
      </c>
      <c r="Q173" s="12" t="s">
        <v>986</v>
      </c>
      <c r="R173" s="12">
        <v>3.0</v>
      </c>
      <c r="S173" s="12" t="s">
        <v>996</v>
      </c>
      <c r="T173" s="70">
        <v>9.102174132E9</v>
      </c>
      <c r="U173" s="12" t="s">
        <v>158</v>
      </c>
      <c r="V173" s="64" t="str">
        <f t="shared" si="16"/>
        <v>R5FBMX0B4SL000560</v>
      </c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>
      <c r="A174" s="78" t="s">
        <v>85</v>
      </c>
      <c r="B174" s="12" t="s">
        <v>980</v>
      </c>
      <c r="C174" s="55">
        <v>46199.0</v>
      </c>
      <c r="D174" s="70" t="b">
        <v>1</v>
      </c>
      <c r="E174" s="12">
        <v>4.0</v>
      </c>
      <c r="F174" s="12" t="s">
        <v>160</v>
      </c>
      <c r="G174" s="12" t="s">
        <v>650</v>
      </c>
      <c r="H174" s="64" t="s">
        <v>83</v>
      </c>
      <c r="I174" s="87" t="s">
        <v>815</v>
      </c>
      <c r="J174" s="17" t="s">
        <v>997</v>
      </c>
      <c r="K174" s="44" t="s">
        <v>998</v>
      </c>
      <c r="L174" s="70" t="b">
        <v>1</v>
      </c>
      <c r="M174" s="70"/>
      <c r="N174" s="70" t="b">
        <v>1</v>
      </c>
      <c r="O174" s="70" t="b">
        <v>1</v>
      </c>
      <c r="P174" s="70" t="b">
        <v>1</v>
      </c>
      <c r="Q174" s="12" t="s">
        <v>986</v>
      </c>
      <c r="R174" s="12">
        <v>4.0</v>
      </c>
      <c r="S174" s="12" t="s">
        <v>999</v>
      </c>
      <c r="T174" s="70">
        <v>9.102174133E9</v>
      </c>
      <c r="U174" s="12" t="s">
        <v>158</v>
      </c>
      <c r="V174" s="64" t="str">
        <f t="shared" si="16"/>
        <v>R5FBMX0B8RL000491</v>
      </c>
      <c r="W174" s="17"/>
      <c r="X174" s="17"/>
      <c r="Y174" s="17" t="s">
        <v>588</v>
      </c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</row>
    <row r="175">
      <c r="A175" s="78" t="s">
        <v>85</v>
      </c>
      <c r="B175" s="12" t="s">
        <v>980</v>
      </c>
      <c r="C175" s="55">
        <v>46199.0</v>
      </c>
      <c r="D175" s="70" t="b">
        <v>1</v>
      </c>
      <c r="E175" s="12">
        <v>5.0</v>
      </c>
      <c r="F175" s="12" t="s">
        <v>160</v>
      </c>
      <c r="G175" s="12" t="s">
        <v>650</v>
      </c>
      <c r="H175" s="64" t="s">
        <v>101</v>
      </c>
      <c r="I175" s="87" t="s">
        <v>391</v>
      </c>
      <c r="J175" s="17" t="s">
        <v>138</v>
      </c>
      <c r="K175" s="44" t="s">
        <v>1000</v>
      </c>
      <c r="L175" s="70" t="b">
        <v>1</v>
      </c>
      <c r="M175" s="70"/>
      <c r="N175" s="70" t="b">
        <v>1</v>
      </c>
      <c r="O175" s="70" t="b">
        <v>1</v>
      </c>
      <c r="P175" s="70" t="b">
        <v>1</v>
      </c>
      <c r="Q175" s="12" t="s">
        <v>986</v>
      </c>
      <c r="R175" s="12">
        <v>5.0</v>
      </c>
      <c r="S175" s="12" t="s">
        <v>1001</v>
      </c>
      <c r="T175" s="70">
        <v>9.102174134E9</v>
      </c>
      <c r="U175" s="12" t="s">
        <v>158</v>
      </c>
      <c r="V175" s="64" t="str">
        <f t="shared" si="16"/>
        <v>R5FBMX0B7RL000529</v>
      </c>
      <c r="W175" s="17"/>
      <c r="X175" s="17"/>
      <c r="Y175" s="17" t="s">
        <v>1002</v>
      </c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</row>
    <row r="176">
      <c r="A176" s="78" t="s">
        <v>85</v>
      </c>
      <c r="B176" s="12" t="s">
        <v>980</v>
      </c>
      <c r="C176" s="55">
        <v>46199.0</v>
      </c>
      <c r="D176" s="70" t="b">
        <v>1</v>
      </c>
      <c r="E176" s="12">
        <v>6.0</v>
      </c>
      <c r="F176" s="12" t="s">
        <v>160</v>
      </c>
      <c r="G176" s="12" t="s">
        <v>650</v>
      </c>
      <c r="H176" s="64" t="s">
        <v>52</v>
      </c>
      <c r="I176" s="87" t="s">
        <v>840</v>
      </c>
      <c r="J176" s="17" t="s">
        <v>351</v>
      </c>
      <c r="K176" s="44" t="s">
        <v>1003</v>
      </c>
      <c r="L176" s="70" t="b">
        <v>1</v>
      </c>
      <c r="M176" s="70"/>
      <c r="N176" s="70" t="b">
        <v>1</v>
      </c>
      <c r="O176" s="70" t="b">
        <v>1</v>
      </c>
      <c r="P176" s="70" t="b">
        <v>1</v>
      </c>
      <c r="Q176" s="12" t="s">
        <v>986</v>
      </c>
      <c r="R176" s="12">
        <v>6.0</v>
      </c>
      <c r="S176" s="12" t="s">
        <v>1004</v>
      </c>
      <c r="T176" s="70">
        <v>9.102174135E9</v>
      </c>
      <c r="U176" s="12" t="s">
        <v>158</v>
      </c>
      <c r="V176" s="64" t="str">
        <f t="shared" si="16"/>
        <v>R5FBMX0B8RL000488</v>
      </c>
      <c r="W176" s="17"/>
      <c r="X176" s="17"/>
      <c r="Y176" s="17" t="s">
        <v>577</v>
      </c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</row>
    <row r="177">
      <c r="A177" s="46" t="s">
        <v>85</v>
      </c>
      <c r="B177" s="12" t="s">
        <v>1005</v>
      </c>
      <c r="C177" s="29">
        <v>46189.0</v>
      </c>
      <c r="D177" s="70" t="b">
        <v>1</v>
      </c>
      <c r="E177" s="12">
        <v>1.0</v>
      </c>
      <c r="F177" s="77" t="s">
        <v>160</v>
      </c>
      <c r="G177" s="17" t="s">
        <v>750</v>
      </c>
      <c r="H177" s="88" t="s">
        <v>1006</v>
      </c>
      <c r="I177" s="87" t="s">
        <v>1007</v>
      </c>
      <c r="J177" s="17" t="s">
        <v>1008</v>
      </c>
      <c r="K177" s="44" t="s">
        <v>1009</v>
      </c>
      <c r="L177" s="70" t="b">
        <v>1</v>
      </c>
      <c r="M177" s="70"/>
      <c r="N177" s="70" t="b">
        <v>1</v>
      </c>
      <c r="O177" s="70" t="b">
        <v>1</v>
      </c>
      <c r="P177" s="70" t="b">
        <v>1</v>
      </c>
      <c r="Q177" s="12" t="s">
        <v>597</v>
      </c>
      <c r="R177" s="12">
        <v>1.0</v>
      </c>
      <c r="S177" s="12" t="s">
        <v>1010</v>
      </c>
      <c r="T177" s="70">
        <v>9.102174136E9</v>
      </c>
      <c r="U177" s="12" t="s">
        <v>158</v>
      </c>
      <c r="V177" s="17"/>
      <c r="W177" s="17"/>
      <c r="X177" s="17"/>
      <c r="Y177" s="89" t="s">
        <v>1011</v>
      </c>
      <c r="Z177" s="17"/>
      <c r="AA177" s="17"/>
      <c r="AB177" s="17"/>
      <c r="AC177" s="17"/>
      <c r="AD177" s="12" t="s">
        <v>1012</v>
      </c>
      <c r="AE177" s="12">
        <v>1.20662704E8</v>
      </c>
      <c r="AF177" s="17"/>
      <c r="AG177" s="17"/>
      <c r="AH177" s="17"/>
      <c r="AI177" s="17"/>
      <c r="AJ177" s="17"/>
      <c r="AK177" s="17"/>
      <c r="AL177" s="17"/>
      <c r="AM177" s="17"/>
    </row>
    <row r="178">
      <c r="A178" s="46" t="s">
        <v>85</v>
      </c>
      <c r="B178" s="12" t="s">
        <v>1005</v>
      </c>
      <c r="C178" s="29">
        <v>46189.0</v>
      </c>
      <c r="D178" s="70" t="b">
        <v>1</v>
      </c>
      <c r="E178" s="17">
        <f t="shared" ref="E178:E190" si="17">E177+1</f>
        <v>2</v>
      </c>
      <c r="F178" s="77" t="s">
        <v>160</v>
      </c>
      <c r="G178" s="17" t="s">
        <v>750</v>
      </c>
      <c r="H178" s="88" t="s">
        <v>1013</v>
      </c>
      <c r="I178" s="87" t="s">
        <v>1014</v>
      </c>
      <c r="J178" s="17" t="s">
        <v>1015</v>
      </c>
      <c r="K178" s="44" t="s">
        <v>1016</v>
      </c>
      <c r="L178" s="70" t="b">
        <v>1</v>
      </c>
      <c r="M178" s="70"/>
      <c r="N178" s="70" t="b">
        <v>1</v>
      </c>
      <c r="O178" s="70" t="b">
        <v>1</v>
      </c>
      <c r="P178" s="70" t="b">
        <v>1</v>
      </c>
      <c r="Q178" s="12" t="s">
        <v>597</v>
      </c>
      <c r="R178" s="12">
        <v>2.0</v>
      </c>
      <c r="S178" s="12" t="s">
        <v>1017</v>
      </c>
      <c r="T178" s="70">
        <v>9.102174137E9</v>
      </c>
      <c r="U178" s="12" t="s">
        <v>158</v>
      </c>
      <c r="V178" s="17"/>
      <c r="W178" s="17"/>
      <c r="X178" s="17"/>
      <c r="Y178" s="89" t="s">
        <v>1018</v>
      </c>
      <c r="Z178" s="17"/>
      <c r="AA178" s="17"/>
      <c r="AB178" s="17"/>
      <c r="AC178" s="17"/>
      <c r="AD178" s="12" t="s">
        <v>1019</v>
      </c>
      <c r="AE178" s="12">
        <v>1.20662715E8</v>
      </c>
      <c r="AF178" s="17"/>
      <c r="AG178" s="17"/>
      <c r="AH178" s="17"/>
      <c r="AI178" s="17"/>
      <c r="AJ178" s="17"/>
      <c r="AK178" s="17"/>
      <c r="AL178" s="17"/>
      <c r="AM178" s="17"/>
    </row>
    <row r="179">
      <c r="A179" s="46" t="s">
        <v>85</v>
      </c>
      <c r="B179" s="12" t="s">
        <v>1005</v>
      </c>
      <c r="C179" s="29">
        <v>46189.0</v>
      </c>
      <c r="D179" s="70" t="b">
        <v>1</v>
      </c>
      <c r="E179" s="17">
        <f t="shared" si="17"/>
        <v>3</v>
      </c>
      <c r="F179" s="77" t="s">
        <v>160</v>
      </c>
      <c r="G179" s="17" t="s">
        <v>750</v>
      </c>
      <c r="H179" s="88" t="s">
        <v>1020</v>
      </c>
      <c r="I179" s="87" t="s">
        <v>1021</v>
      </c>
      <c r="J179" s="87" t="s">
        <v>1022</v>
      </c>
      <c r="K179" s="44" t="s">
        <v>1023</v>
      </c>
      <c r="L179" s="70" t="b">
        <v>1</v>
      </c>
      <c r="M179" s="70"/>
      <c r="N179" s="70" t="b">
        <v>1</v>
      </c>
      <c r="O179" s="70" t="b">
        <v>1</v>
      </c>
      <c r="P179" s="70" t="b">
        <v>1</v>
      </c>
      <c r="Q179" s="12" t="s">
        <v>597</v>
      </c>
      <c r="R179" s="12">
        <v>3.0</v>
      </c>
      <c r="S179" s="12" t="s">
        <v>1024</v>
      </c>
      <c r="T179" s="70">
        <v>9.102174138E9</v>
      </c>
      <c r="U179" s="12" t="s">
        <v>158</v>
      </c>
      <c r="V179" s="17"/>
      <c r="W179" s="17"/>
      <c r="X179" s="17"/>
      <c r="Y179" s="89" t="s">
        <v>1025</v>
      </c>
      <c r="Z179" s="17"/>
      <c r="AA179" s="17"/>
      <c r="AB179" s="17"/>
      <c r="AC179" s="17"/>
      <c r="AD179" s="12" t="s">
        <v>1026</v>
      </c>
      <c r="AE179" s="12">
        <v>1.20662726E8</v>
      </c>
      <c r="AF179" s="17"/>
      <c r="AG179" s="17"/>
      <c r="AH179" s="17"/>
      <c r="AI179" s="17"/>
      <c r="AJ179" s="17"/>
      <c r="AK179" s="17"/>
      <c r="AL179" s="17"/>
      <c r="AM179" s="17"/>
    </row>
    <row r="180">
      <c r="A180" s="78" t="s">
        <v>85</v>
      </c>
      <c r="B180" s="90" t="s">
        <v>1005</v>
      </c>
      <c r="C180" s="91">
        <v>46190.0</v>
      </c>
      <c r="D180" s="73" t="b">
        <v>1</v>
      </c>
      <c r="E180" s="77">
        <f t="shared" si="17"/>
        <v>4</v>
      </c>
      <c r="F180" s="77" t="s">
        <v>160</v>
      </c>
      <c r="G180" s="77" t="s">
        <v>750</v>
      </c>
      <c r="H180" s="92" t="s">
        <v>1027</v>
      </c>
      <c r="I180" s="93" t="s">
        <v>1028</v>
      </c>
      <c r="J180" s="93" t="s">
        <v>1029</v>
      </c>
      <c r="K180" s="77" t="s">
        <v>1030</v>
      </c>
      <c r="L180" s="70" t="b">
        <v>1</v>
      </c>
      <c r="M180" s="70"/>
      <c r="N180" s="70" t="b">
        <v>1</v>
      </c>
      <c r="O180" s="70" t="b">
        <v>1</v>
      </c>
      <c r="P180" s="70" t="b">
        <v>1</v>
      </c>
      <c r="Q180" s="12" t="s">
        <v>597</v>
      </c>
      <c r="R180" s="12">
        <v>4.0</v>
      </c>
      <c r="S180" s="12" t="s">
        <v>1031</v>
      </c>
      <c r="T180" s="94"/>
      <c r="U180" s="12" t="s">
        <v>158</v>
      </c>
      <c r="V180" s="94"/>
      <c r="W180" s="94"/>
      <c r="X180" s="94"/>
      <c r="Y180" s="95" t="s">
        <v>1032</v>
      </c>
      <c r="Z180" s="94"/>
      <c r="AA180" s="94"/>
      <c r="AB180" s="94"/>
      <c r="AC180" s="94"/>
      <c r="AD180" s="96" t="s">
        <v>1033</v>
      </c>
      <c r="AE180" s="96">
        <v>1.20662748E8</v>
      </c>
      <c r="AF180" s="94"/>
      <c r="AG180" s="94"/>
      <c r="AH180" s="94"/>
      <c r="AI180" s="94"/>
      <c r="AJ180" s="94"/>
      <c r="AK180" s="94"/>
      <c r="AL180" s="94"/>
      <c r="AM180" s="94"/>
    </row>
    <row r="181">
      <c r="A181" s="78" t="s">
        <v>85</v>
      </c>
      <c r="B181" s="90" t="s">
        <v>1005</v>
      </c>
      <c r="C181" s="91">
        <v>46190.0</v>
      </c>
      <c r="D181" s="73" t="b">
        <v>1</v>
      </c>
      <c r="E181" s="77">
        <f t="shared" si="17"/>
        <v>5</v>
      </c>
      <c r="F181" s="77" t="s">
        <v>160</v>
      </c>
      <c r="G181" s="77" t="s">
        <v>750</v>
      </c>
      <c r="H181" s="92" t="s">
        <v>1034</v>
      </c>
      <c r="I181" s="93" t="s">
        <v>1035</v>
      </c>
      <c r="J181" s="93" t="s">
        <v>1036</v>
      </c>
      <c r="K181" s="77" t="s">
        <v>1037</v>
      </c>
      <c r="L181" s="70" t="b">
        <v>1</v>
      </c>
      <c r="M181" s="70"/>
      <c r="N181" s="70" t="b">
        <v>1</v>
      </c>
      <c r="O181" s="70" t="b">
        <v>1</v>
      </c>
      <c r="P181" s="70" t="b">
        <v>1</v>
      </c>
      <c r="Q181" s="12" t="s">
        <v>597</v>
      </c>
      <c r="R181" s="12">
        <v>5.0</v>
      </c>
      <c r="S181" s="12" t="s">
        <v>1038</v>
      </c>
      <c r="T181" s="94"/>
      <c r="U181" s="12" t="s">
        <v>158</v>
      </c>
      <c r="V181" s="94"/>
      <c r="W181" s="94"/>
      <c r="X181" s="94"/>
      <c r="Y181" s="95" t="s">
        <v>1039</v>
      </c>
      <c r="Z181" s="94"/>
      <c r="AA181" s="94"/>
      <c r="AB181" s="94"/>
      <c r="AC181" s="94"/>
      <c r="AD181" s="96" t="s">
        <v>1040</v>
      </c>
      <c r="AE181" s="96">
        <v>1.20784743E8</v>
      </c>
      <c r="AF181" s="94"/>
      <c r="AG181" s="94"/>
      <c r="AH181" s="94"/>
      <c r="AI181" s="94"/>
      <c r="AJ181" s="94"/>
      <c r="AK181" s="94"/>
      <c r="AL181" s="94"/>
      <c r="AM181" s="94"/>
    </row>
    <row r="182">
      <c r="A182" s="78" t="s">
        <v>85</v>
      </c>
      <c r="B182" s="90" t="s">
        <v>1005</v>
      </c>
      <c r="C182" s="91">
        <v>46190.0</v>
      </c>
      <c r="D182" s="73" t="b">
        <v>1</v>
      </c>
      <c r="E182" s="77">
        <f t="shared" si="17"/>
        <v>6</v>
      </c>
      <c r="F182" s="77" t="s">
        <v>160</v>
      </c>
      <c r="G182" s="77" t="s">
        <v>750</v>
      </c>
      <c r="H182" s="92" t="s">
        <v>1041</v>
      </c>
      <c r="I182" s="93" t="s">
        <v>1042</v>
      </c>
      <c r="J182" s="93" t="s">
        <v>1043</v>
      </c>
      <c r="K182" s="77" t="s">
        <v>1044</v>
      </c>
      <c r="L182" s="70" t="b">
        <v>1</v>
      </c>
      <c r="M182" s="70"/>
      <c r="N182" s="70" t="b">
        <v>1</v>
      </c>
      <c r="O182" s="70" t="b">
        <v>1</v>
      </c>
      <c r="P182" s="70" t="b">
        <v>1</v>
      </c>
      <c r="Q182" s="12" t="s">
        <v>597</v>
      </c>
      <c r="R182" s="12">
        <v>6.0</v>
      </c>
      <c r="S182" s="12" t="s">
        <v>1045</v>
      </c>
      <c r="T182" s="94"/>
      <c r="U182" s="12" t="s">
        <v>158</v>
      </c>
      <c r="V182" s="94"/>
      <c r="W182" s="94"/>
      <c r="X182" s="94"/>
      <c r="Y182" s="95" t="s">
        <v>1046</v>
      </c>
      <c r="Z182" s="94"/>
      <c r="AA182" s="94"/>
      <c r="AB182" s="94"/>
      <c r="AC182" s="94"/>
      <c r="AD182" s="96" t="s">
        <v>1047</v>
      </c>
      <c r="AE182" s="96">
        <v>1.20784754E8</v>
      </c>
      <c r="AF182" s="94"/>
      <c r="AG182" s="94"/>
      <c r="AH182" s="94"/>
      <c r="AI182" s="94"/>
      <c r="AJ182" s="94"/>
      <c r="AK182" s="94"/>
      <c r="AL182" s="94"/>
      <c r="AM182" s="94"/>
    </row>
    <row r="183">
      <c r="A183" s="78" t="s">
        <v>85</v>
      </c>
      <c r="B183" s="90" t="s">
        <v>1005</v>
      </c>
      <c r="C183" s="97">
        <v>46191.0</v>
      </c>
      <c r="D183" s="73" t="b">
        <v>1</v>
      </c>
      <c r="E183" s="77">
        <f t="shared" si="17"/>
        <v>7</v>
      </c>
      <c r="F183" s="77" t="s">
        <v>160</v>
      </c>
      <c r="G183" s="77" t="s">
        <v>750</v>
      </c>
      <c r="H183" s="92" t="s">
        <v>1048</v>
      </c>
      <c r="I183" s="93" t="s">
        <v>1049</v>
      </c>
      <c r="J183" s="93" t="s">
        <v>1050</v>
      </c>
      <c r="K183" s="77" t="s">
        <v>1051</v>
      </c>
      <c r="L183" s="70" t="b">
        <v>1</v>
      </c>
      <c r="M183" s="70"/>
      <c r="N183" s="70" t="b">
        <v>1</v>
      </c>
      <c r="O183" s="70" t="b">
        <v>1</v>
      </c>
      <c r="P183" s="70" t="b">
        <v>1</v>
      </c>
      <c r="Q183" s="90" t="s">
        <v>597</v>
      </c>
      <c r="R183" s="90">
        <v>8.0</v>
      </c>
      <c r="S183" s="90" t="s">
        <v>1052</v>
      </c>
      <c r="T183" s="94"/>
      <c r="U183" s="12" t="s">
        <v>158</v>
      </c>
      <c r="V183" s="94"/>
      <c r="W183" s="94"/>
      <c r="X183" s="94"/>
      <c r="Y183" s="98" t="s">
        <v>1053</v>
      </c>
      <c r="Z183" s="94"/>
      <c r="AA183" s="94"/>
      <c r="AB183" s="94"/>
      <c r="AC183" s="94"/>
      <c r="AD183" s="96" t="s">
        <v>1054</v>
      </c>
      <c r="AE183" s="96">
        <v>1.20662759E8</v>
      </c>
      <c r="AF183" s="94"/>
      <c r="AG183" s="94"/>
      <c r="AH183" s="94"/>
      <c r="AI183" s="94"/>
      <c r="AJ183" s="94"/>
      <c r="AK183" s="94"/>
      <c r="AL183" s="94"/>
      <c r="AM183" s="94"/>
    </row>
    <row r="184">
      <c r="A184" s="78" t="s">
        <v>85</v>
      </c>
      <c r="B184" s="90" t="s">
        <v>1005</v>
      </c>
      <c r="C184" s="97">
        <v>46191.0</v>
      </c>
      <c r="D184" s="73" t="b">
        <v>1</v>
      </c>
      <c r="E184" s="77">
        <f t="shared" si="17"/>
        <v>8</v>
      </c>
      <c r="F184" s="77" t="s">
        <v>160</v>
      </c>
      <c r="G184" s="77" t="s">
        <v>750</v>
      </c>
      <c r="H184" s="92" t="s">
        <v>1055</v>
      </c>
      <c r="I184" s="93" t="s">
        <v>1056</v>
      </c>
      <c r="J184" s="93" t="s">
        <v>1057</v>
      </c>
      <c r="K184" s="77" t="s">
        <v>1058</v>
      </c>
      <c r="L184" s="70" t="b">
        <v>1</v>
      </c>
      <c r="M184" s="70"/>
      <c r="N184" s="70" t="b">
        <v>1</v>
      </c>
      <c r="O184" s="70" t="b">
        <v>1</v>
      </c>
      <c r="P184" s="70" t="b">
        <v>1</v>
      </c>
      <c r="Q184" s="90" t="s">
        <v>597</v>
      </c>
      <c r="R184" s="90">
        <v>10.0</v>
      </c>
      <c r="S184" s="90" t="s">
        <v>1059</v>
      </c>
      <c r="T184" s="94"/>
      <c r="U184" s="12" t="s">
        <v>158</v>
      </c>
      <c r="V184" s="94"/>
      <c r="W184" s="94"/>
      <c r="X184" s="94"/>
      <c r="Y184" s="98" t="s">
        <v>1060</v>
      </c>
      <c r="Z184" s="94"/>
      <c r="AA184" s="94"/>
      <c r="AB184" s="94"/>
      <c r="AC184" s="94"/>
      <c r="AD184" s="96" t="s">
        <v>1061</v>
      </c>
      <c r="AE184" s="96">
        <v>1.2066276E8</v>
      </c>
      <c r="AF184" s="94"/>
      <c r="AG184" s="94"/>
      <c r="AH184" s="94"/>
      <c r="AI184" s="94"/>
      <c r="AJ184" s="94"/>
      <c r="AK184" s="94"/>
      <c r="AL184" s="94"/>
      <c r="AM184" s="94"/>
    </row>
    <row r="185">
      <c r="A185" s="78" t="s">
        <v>85</v>
      </c>
      <c r="B185" s="90" t="s">
        <v>1005</v>
      </c>
      <c r="C185" s="97">
        <v>46191.0</v>
      </c>
      <c r="D185" s="73" t="b">
        <v>1</v>
      </c>
      <c r="E185" s="77">
        <f t="shared" si="17"/>
        <v>9</v>
      </c>
      <c r="F185" s="77" t="s">
        <v>160</v>
      </c>
      <c r="G185" s="77" t="s">
        <v>750</v>
      </c>
      <c r="H185" s="92" t="s">
        <v>1062</v>
      </c>
      <c r="I185" s="93" t="s">
        <v>1063</v>
      </c>
      <c r="J185" s="93" t="s">
        <v>1064</v>
      </c>
      <c r="K185" s="77" t="s">
        <v>1065</v>
      </c>
      <c r="L185" s="70" t="b">
        <v>1</v>
      </c>
      <c r="M185" s="70"/>
      <c r="N185" s="70" t="b">
        <v>1</v>
      </c>
      <c r="O185" s="70" t="b">
        <v>1</v>
      </c>
      <c r="P185" s="70" t="b">
        <v>1</v>
      </c>
      <c r="Q185" s="90" t="s">
        <v>597</v>
      </c>
      <c r="R185" s="90">
        <v>13.0</v>
      </c>
      <c r="S185" s="90" t="s">
        <v>1066</v>
      </c>
      <c r="T185" s="94"/>
      <c r="U185" s="90" t="s">
        <v>158</v>
      </c>
      <c r="V185" s="94"/>
      <c r="W185" s="94"/>
      <c r="X185" s="94"/>
      <c r="Y185" s="98" t="s">
        <v>1067</v>
      </c>
      <c r="Z185" s="94"/>
      <c r="AA185" s="94"/>
      <c r="AB185" s="94"/>
      <c r="AC185" s="94"/>
      <c r="AD185" s="96" t="s">
        <v>1068</v>
      </c>
      <c r="AE185" s="96">
        <v>1.20662782E8</v>
      </c>
      <c r="AF185" s="94"/>
      <c r="AG185" s="94"/>
      <c r="AH185" s="94"/>
      <c r="AI185" s="94"/>
      <c r="AJ185" s="94"/>
      <c r="AK185" s="94"/>
      <c r="AL185" s="94"/>
      <c r="AM185" s="94"/>
    </row>
    <row r="186">
      <c r="A186" s="78" t="s">
        <v>85</v>
      </c>
      <c r="B186" s="12" t="s">
        <v>1005</v>
      </c>
      <c r="C186" s="29">
        <v>46192.0</v>
      </c>
      <c r="D186" s="73" t="b">
        <v>1</v>
      </c>
      <c r="E186" s="77">
        <f t="shared" si="17"/>
        <v>10</v>
      </c>
      <c r="F186" s="77" t="s">
        <v>160</v>
      </c>
      <c r="G186" s="17" t="s">
        <v>750</v>
      </c>
      <c r="H186" s="88" t="s">
        <v>1069</v>
      </c>
      <c r="I186" s="87" t="s">
        <v>1070</v>
      </c>
      <c r="J186" s="87" t="s">
        <v>1071</v>
      </c>
      <c r="K186" s="44" t="s">
        <v>1072</v>
      </c>
      <c r="L186" s="70" t="b">
        <v>1</v>
      </c>
      <c r="M186" s="70"/>
      <c r="N186" s="70" t="b">
        <v>1</v>
      </c>
      <c r="O186" s="70" t="b">
        <v>1</v>
      </c>
      <c r="P186" s="70" t="b">
        <v>1</v>
      </c>
      <c r="Q186" s="12" t="s">
        <v>597</v>
      </c>
      <c r="R186" s="12">
        <v>7.0</v>
      </c>
      <c r="S186" s="12" t="s">
        <v>1073</v>
      </c>
      <c r="T186" s="17"/>
      <c r="U186" s="12" t="s">
        <v>158</v>
      </c>
      <c r="V186" s="94"/>
      <c r="W186" s="17"/>
      <c r="X186" s="17"/>
      <c r="Y186" s="98" t="s">
        <v>1074</v>
      </c>
      <c r="Z186" s="17"/>
      <c r="AA186" s="17"/>
      <c r="AB186" s="17"/>
      <c r="AC186" s="17"/>
      <c r="AD186" s="12" t="s">
        <v>1075</v>
      </c>
      <c r="AE186" s="12">
        <v>1.20662737E8</v>
      </c>
      <c r="AF186" s="17"/>
      <c r="AG186" s="17"/>
      <c r="AH186" s="17"/>
      <c r="AI186" s="17"/>
      <c r="AJ186" s="17"/>
      <c r="AK186" s="17"/>
      <c r="AL186" s="17"/>
      <c r="AM186" s="17"/>
    </row>
    <row r="187">
      <c r="A187" s="78" t="s">
        <v>85</v>
      </c>
      <c r="B187" s="12" t="s">
        <v>1005</v>
      </c>
      <c r="C187" s="29">
        <v>46192.0</v>
      </c>
      <c r="D187" s="73" t="b">
        <v>1</v>
      </c>
      <c r="E187" s="77">
        <f t="shared" si="17"/>
        <v>11</v>
      </c>
      <c r="F187" s="77" t="s">
        <v>160</v>
      </c>
      <c r="G187" s="17" t="s">
        <v>750</v>
      </c>
      <c r="H187" s="88" t="s">
        <v>1076</v>
      </c>
      <c r="I187" s="87" t="s">
        <v>1077</v>
      </c>
      <c r="J187" s="87" t="s">
        <v>1078</v>
      </c>
      <c r="K187" s="44" t="s">
        <v>1079</v>
      </c>
      <c r="L187" s="70" t="b">
        <v>1</v>
      </c>
      <c r="M187" s="70"/>
      <c r="N187" s="70" t="b">
        <v>1</v>
      </c>
      <c r="O187" s="70" t="b">
        <v>1</v>
      </c>
      <c r="P187" s="70" t="b">
        <v>1</v>
      </c>
      <c r="Q187" s="12" t="s">
        <v>597</v>
      </c>
      <c r="R187" s="12">
        <v>9.0</v>
      </c>
      <c r="S187" s="12" t="s">
        <v>1080</v>
      </c>
      <c r="T187" s="17"/>
      <c r="U187" s="12" t="s">
        <v>158</v>
      </c>
      <c r="V187" s="94"/>
      <c r="W187" s="17"/>
      <c r="X187" s="17"/>
      <c r="Y187" s="98" t="s">
        <v>1081</v>
      </c>
      <c r="Z187" s="17"/>
      <c r="AA187" s="17"/>
      <c r="AB187" s="17"/>
      <c r="AC187" s="17"/>
      <c r="AD187" s="12" t="s">
        <v>1082</v>
      </c>
      <c r="AE187" s="12">
        <v>1.20784732E8</v>
      </c>
      <c r="AF187" s="17"/>
      <c r="AG187" s="17"/>
      <c r="AH187" s="17"/>
      <c r="AI187" s="17"/>
      <c r="AJ187" s="17"/>
      <c r="AK187" s="17"/>
      <c r="AL187" s="17"/>
      <c r="AM187" s="17"/>
    </row>
    <row r="188">
      <c r="A188" s="78" t="s">
        <v>85</v>
      </c>
      <c r="B188" s="12" t="s">
        <v>1005</v>
      </c>
      <c r="C188" s="29">
        <v>46192.0</v>
      </c>
      <c r="D188" s="73" t="b">
        <v>1</v>
      </c>
      <c r="E188" s="77">
        <f t="shared" si="17"/>
        <v>12</v>
      </c>
      <c r="F188" s="77" t="s">
        <v>160</v>
      </c>
      <c r="G188" s="17" t="s">
        <v>750</v>
      </c>
      <c r="H188" s="88" t="s">
        <v>1083</v>
      </c>
      <c r="I188" s="87" t="s">
        <v>1084</v>
      </c>
      <c r="J188" s="17" t="s">
        <v>1085</v>
      </c>
      <c r="K188" s="44" t="s">
        <v>1086</v>
      </c>
      <c r="L188" s="70" t="b">
        <v>1</v>
      </c>
      <c r="M188" s="70"/>
      <c r="N188" s="70" t="b">
        <v>1</v>
      </c>
      <c r="O188" s="70" t="b">
        <v>1</v>
      </c>
      <c r="P188" s="70" t="b">
        <v>1</v>
      </c>
      <c r="Q188" s="12" t="s">
        <v>597</v>
      </c>
      <c r="R188" s="12">
        <v>11.0</v>
      </c>
      <c r="S188" s="12" t="s">
        <v>1087</v>
      </c>
      <c r="T188" s="17"/>
      <c r="U188" s="12" t="s">
        <v>158</v>
      </c>
      <c r="V188" s="94"/>
      <c r="W188" s="17"/>
      <c r="X188" s="17"/>
      <c r="Y188" s="98" t="s">
        <v>1088</v>
      </c>
      <c r="Z188" s="17"/>
      <c r="AA188" s="17"/>
      <c r="AB188" s="17"/>
      <c r="AC188" s="17"/>
      <c r="AD188" s="12" t="s">
        <v>1089</v>
      </c>
      <c r="AE188" s="12">
        <v>1.20662771E8</v>
      </c>
      <c r="AF188" s="17"/>
      <c r="AG188" s="17"/>
      <c r="AH188" s="17"/>
      <c r="AI188" s="17"/>
      <c r="AJ188" s="17"/>
      <c r="AK188" s="17"/>
      <c r="AL188" s="17"/>
      <c r="AM188" s="17"/>
    </row>
    <row r="189">
      <c r="A189" s="78" t="s">
        <v>85</v>
      </c>
      <c r="B189" s="12" t="s">
        <v>1005</v>
      </c>
      <c r="C189" s="29">
        <v>46192.0</v>
      </c>
      <c r="D189" s="73" t="b">
        <v>1</v>
      </c>
      <c r="E189" s="77">
        <f t="shared" si="17"/>
        <v>13</v>
      </c>
      <c r="F189" s="77" t="s">
        <v>160</v>
      </c>
      <c r="G189" s="17" t="s">
        <v>750</v>
      </c>
      <c r="H189" s="88" t="s">
        <v>1090</v>
      </c>
      <c r="I189" s="87" t="s">
        <v>1091</v>
      </c>
      <c r="J189" s="17" t="s">
        <v>1092</v>
      </c>
      <c r="K189" s="44" t="s">
        <v>1093</v>
      </c>
      <c r="L189" s="70" t="b">
        <v>1</v>
      </c>
      <c r="M189" s="70"/>
      <c r="N189" s="70" t="b">
        <v>1</v>
      </c>
      <c r="O189" s="70" t="b">
        <v>1</v>
      </c>
      <c r="P189" s="70" t="b">
        <v>1</v>
      </c>
      <c r="Q189" s="12" t="s">
        <v>597</v>
      </c>
      <c r="R189" s="12">
        <v>12.0</v>
      </c>
      <c r="S189" s="12" t="s">
        <v>1094</v>
      </c>
      <c r="T189" s="17"/>
      <c r="U189" s="12" t="s">
        <v>158</v>
      </c>
      <c r="V189" s="94"/>
      <c r="W189" s="17"/>
      <c r="X189" s="17"/>
      <c r="Y189" s="98" t="s">
        <v>1095</v>
      </c>
      <c r="Z189" s="17"/>
      <c r="AA189" s="17"/>
      <c r="AB189" s="17"/>
      <c r="AC189" s="17"/>
      <c r="AD189" s="12" t="s">
        <v>1096</v>
      </c>
      <c r="AE189" s="12">
        <v>1.20784765E8</v>
      </c>
      <c r="AF189" s="17"/>
      <c r="AG189" s="17"/>
      <c r="AH189" s="17"/>
      <c r="AI189" s="17"/>
      <c r="AJ189" s="17"/>
      <c r="AK189" s="17"/>
      <c r="AL189" s="17"/>
      <c r="AM189" s="17"/>
    </row>
    <row r="190">
      <c r="A190" s="78" t="s">
        <v>85</v>
      </c>
      <c r="B190" s="12" t="s">
        <v>1005</v>
      </c>
      <c r="C190" s="29">
        <v>46192.0</v>
      </c>
      <c r="D190" s="73" t="b">
        <v>1</v>
      </c>
      <c r="E190" s="77">
        <f t="shared" si="17"/>
        <v>14</v>
      </c>
      <c r="F190" s="77" t="s">
        <v>160</v>
      </c>
      <c r="G190" s="17" t="s">
        <v>750</v>
      </c>
      <c r="H190" s="88" t="s">
        <v>1097</v>
      </c>
      <c r="I190" s="87" t="s">
        <v>1098</v>
      </c>
      <c r="J190" s="17" t="s">
        <v>1099</v>
      </c>
      <c r="K190" s="44" t="s">
        <v>1100</v>
      </c>
      <c r="L190" s="70" t="b">
        <v>1</v>
      </c>
      <c r="M190" s="70"/>
      <c r="N190" s="70" t="b">
        <v>1</v>
      </c>
      <c r="O190" s="70" t="b">
        <v>1</v>
      </c>
      <c r="P190" s="70" t="b">
        <v>1</v>
      </c>
      <c r="Q190" s="12" t="s">
        <v>597</v>
      </c>
      <c r="R190" s="12">
        <v>14.0</v>
      </c>
      <c r="S190" s="12" t="s">
        <v>1101</v>
      </c>
      <c r="T190" s="17"/>
      <c r="U190" s="12" t="s">
        <v>158</v>
      </c>
      <c r="V190" s="94"/>
      <c r="W190" s="17"/>
      <c r="X190" s="17"/>
      <c r="Y190" s="98" t="s">
        <v>1102</v>
      </c>
      <c r="Z190" s="17"/>
      <c r="AA190" s="17"/>
      <c r="AB190" s="17"/>
      <c r="AC190" s="17"/>
      <c r="AD190" s="12" t="s">
        <v>1103</v>
      </c>
      <c r="AE190" s="12">
        <v>1.20662793E8</v>
      </c>
      <c r="AF190" s="17"/>
      <c r="AG190" s="17"/>
      <c r="AH190" s="17"/>
      <c r="AI190" s="17"/>
      <c r="AJ190" s="17"/>
      <c r="AK190" s="17"/>
      <c r="AL190" s="17"/>
      <c r="AM190" s="17"/>
    </row>
    <row r="191">
      <c r="A191" s="12" t="s">
        <v>85</v>
      </c>
      <c r="B191" s="12" t="s">
        <v>1104</v>
      </c>
      <c r="C191" s="99">
        <v>46197.0</v>
      </c>
      <c r="D191" s="70" t="b">
        <v>1</v>
      </c>
      <c r="E191" s="12">
        <v>1.0</v>
      </c>
      <c r="F191" s="12" t="s">
        <v>1105</v>
      </c>
      <c r="G191" s="12" t="s">
        <v>750</v>
      </c>
      <c r="H191" s="56" t="s">
        <v>1106</v>
      </c>
      <c r="I191" s="12" t="s">
        <v>1107</v>
      </c>
      <c r="J191" s="12" t="s">
        <v>344</v>
      </c>
      <c r="K191" s="14">
        <v>2.02509250051E11</v>
      </c>
      <c r="L191" s="70" t="b">
        <v>1</v>
      </c>
      <c r="M191" s="70"/>
      <c r="N191" s="70" t="b">
        <v>1</v>
      </c>
      <c r="O191" s="70" t="b">
        <v>1</v>
      </c>
      <c r="P191" s="70" t="b">
        <v>1</v>
      </c>
      <c r="Q191" s="12" t="s">
        <v>1104</v>
      </c>
      <c r="R191" s="12">
        <v>1.0</v>
      </c>
      <c r="S191" s="12" t="s">
        <v>1108</v>
      </c>
      <c r="T191" s="17"/>
      <c r="U191" s="12" t="s">
        <v>158</v>
      </c>
      <c r="V191" s="17"/>
      <c r="W191" s="17"/>
      <c r="X191" s="17"/>
      <c r="Y191" s="12" t="s">
        <v>1109</v>
      </c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</row>
    <row r="192">
      <c r="A192" s="12" t="s">
        <v>85</v>
      </c>
      <c r="B192" s="12" t="s">
        <v>1104</v>
      </c>
      <c r="C192" s="99">
        <v>46197.0</v>
      </c>
      <c r="D192" s="70" t="b">
        <v>1</v>
      </c>
      <c r="E192" s="17">
        <f>E191+1</f>
        <v>2</v>
      </c>
      <c r="F192" s="12" t="s">
        <v>1105</v>
      </c>
      <c r="G192" s="12" t="s">
        <v>1110</v>
      </c>
      <c r="H192" s="56" t="s">
        <v>1111</v>
      </c>
      <c r="I192" s="12" t="s">
        <v>1112</v>
      </c>
      <c r="J192" s="12" t="s">
        <v>1113</v>
      </c>
      <c r="K192" s="14">
        <v>2.02509250002E11</v>
      </c>
      <c r="L192" s="70" t="b">
        <v>1</v>
      </c>
      <c r="M192" s="70"/>
      <c r="N192" s="70" t="b">
        <v>1</v>
      </c>
      <c r="O192" s="70" t="b">
        <v>1</v>
      </c>
      <c r="P192" s="70" t="b">
        <v>1</v>
      </c>
      <c r="Q192" s="12" t="s">
        <v>1104</v>
      </c>
      <c r="R192" s="12">
        <v>2.0</v>
      </c>
      <c r="S192" s="12" t="s">
        <v>1114</v>
      </c>
      <c r="T192" s="17"/>
      <c r="U192" s="12" t="s">
        <v>158</v>
      </c>
      <c r="V192" s="17"/>
      <c r="W192" s="17"/>
      <c r="X192" s="17"/>
      <c r="Y192" s="12" t="s">
        <v>1115</v>
      </c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</row>
    <row r="193">
      <c r="A193" s="12" t="s">
        <v>85</v>
      </c>
      <c r="B193" s="12" t="s">
        <v>1116</v>
      </c>
      <c r="C193" s="99">
        <v>46196.0</v>
      </c>
      <c r="D193" s="70" t="b">
        <v>1</v>
      </c>
      <c r="E193" s="12">
        <v>1.0</v>
      </c>
      <c r="F193" s="12" t="s">
        <v>1117</v>
      </c>
      <c r="G193" s="12" t="s">
        <v>750</v>
      </c>
      <c r="H193" s="56" t="s">
        <v>831</v>
      </c>
      <c r="I193" s="12" t="s">
        <v>832</v>
      </c>
      <c r="J193" s="12" t="s">
        <v>833</v>
      </c>
      <c r="K193" s="14">
        <v>2.0250925005E11</v>
      </c>
      <c r="L193" s="70" t="b">
        <v>1</v>
      </c>
      <c r="M193" s="70"/>
      <c r="N193" s="70" t="b">
        <v>1</v>
      </c>
      <c r="O193" s="70" t="b">
        <v>1</v>
      </c>
      <c r="P193" s="70" t="b">
        <v>1</v>
      </c>
      <c r="Q193" s="12" t="s">
        <v>1118</v>
      </c>
      <c r="R193" s="12" t="s">
        <v>1119</v>
      </c>
      <c r="S193" s="100" t="s">
        <v>1120</v>
      </c>
      <c r="T193" s="17"/>
      <c r="U193" s="12" t="s">
        <v>158</v>
      </c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</row>
    <row r="194">
      <c r="A194" s="12" t="s">
        <v>85</v>
      </c>
      <c r="B194" s="12" t="s">
        <v>1121</v>
      </c>
      <c r="C194" s="101">
        <v>46203.0</v>
      </c>
      <c r="D194" s="12" t="b">
        <v>1</v>
      </c>
      <c r="E194" s="12">
        <v>1.0</v>
      </c>
      <c r="F194" s="12" t="s">
        <v>160</v>
      </c>
      <c r="G194" s="12" t="s">
        <v>626</v>
      </c>
      <c r="H194" s="64" t="s">
        <v>1122</v>
      </c>
      <c r="I194" s="17" t="s">
        <v>1123</v>
      </c>
      <c r="J194" s="34" t="s">
        <v>1124</v>
      </c>
      <c r="K194" s="34" t="s">
        <v>1125</v>
      </c>
      <c r="L194" s="12" t="b">
        <v>1</v>
      </c>
      <c r="M194" s="17"/>
      <c r="N194" s="12" t="b">
        <v>1</v>
      </c>
      <c r="O194" s="12" t="b">
        <v>1</v>
      </c>
      <c r="P194" s="12" t="b">
        <v>1</v>
      </c>
      <c r="Q194" s="12" t="s">
        <v>1121</v>
      </c>
      <c r="R194" s="12">
        <v>1.0</v>
      </c>
      <c r="S194" s="12" t="s">
        <v>1126</v>
      </c>
      <c r="T194" s="17"/>
      <c r="U194" s="12" t="s">
        <v>158</v>
      </c>
      <c r="V194" s="17"/>
      <c r="W194" s="17"/>
      <c r="X194" s="17"/>
      <c r="Y194" s="17" t="s">
        <v>1127</v>
      </c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</row>
    <row r="195">
      <c r="A195" s="12" t="s">
        <v>85</v>
      </c>
      <c r="B195" s="12" t="s">
        <v>1121</v>
      </c>
      <c r="C195" s="101">
        <v>46203.0</v>
      </c>
      <c r="D195" s="12" t="b">
        <v>1</v>
      </c>
      <c r="E195" s="17">
        <f t="shared" ref="E195:E196" si="18">E194+1</f>
        <v>2</v>
      </c>
      <c r="F195" s="12" t="s">
        <v>160</v>
      </c>
      <c r="G195" s="12" t="s">
        <v>626</v>
      </c>
      <c r="H195" s="64" t="s">
        <v>1128</v>
      </c>
      <c r="I195" s="17" t="s">
        <v>1129</v>
      </c>
      <c r="J195" s="33" t="s">
        <v>1130</v>
      </c>
      <c r="K195" s="34" t="s">
        <v>1131</v>
      </c>
      <c r="L195" s="12" t="b">
        <v>1</v>
      </c>
      <c r="M195" s="17"/>
      <c r="N195" s="12" t="b">
        <v>1</v>
      </c>
      <c r="O195" s="12" t="b">
        <v>1</v>
      </c>
      <c r="P195" s="12" t="b">
        <v>1</v>
      </c>
      <c r="Q195" s="12" t="s">
        <v>1121</v>
      </c>
      <c r="R195" s="12">
        <v>2.0</v>
      </c>
      <c r="S195" s="12" t="s">
        <v>1132</v>
      </c>
      <c r="T195" s="17"/>
      <c r="U195" s="12" t="s">
        <v>158</v>
      </c>
      <c r="V195" s="17"/>
      <c r="W195" s="17"/>
      <c r="X195" s="17"/>
      <c r="Y195" s="17" t="s">
        <v>1133</v>
      </c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</row>
    <row r="196">
      <c r="A196" s="12" t="s">
        <v>85</v>
      </c>
      <c r="B196" s="12" t="s">
        <v>1121</v>
      </c>
      <c r="C196" s="101">
        <v>46203.0</v>
      </c>
      <c r="D196" s="12" t="b">
        <v>1</v>
      </c>
      <c r="E196" s="17">
        <f t="shared" si="18"/>
        <v>3</v>
      </c>
      <c r="F196" s="12" t="s">
        <v>160</v>
      </c>
      <c r="G196" s="12" t="s">
        <v>626</v>
      </c>
      <c r="H196" s="64" t="s">
        <v>1134</v>
      </c>
      <c r="I196" s="17" t="s">
        <v>1135</v>
      </c>
      <c r="J196" s="34" t="s">
        <v>1136</v>
      </c>
      <c r="K196" s="34" t="s">
        <v>1137</v>
      </c>
      <c r="L196" s="12" t="b">
        <v>1</v>
      </c>
      <c r="M196" s="17"/>
      <c r="N196" s="12" t="b">
        <v>1</v>
      </c>
      <c r="O196" s="12" t="b">
        <v>1</v>
      </c>
      <c r="P196" s="12" t="b">
        <v>1</v>
      </c>
      <c r="Q196" s="12" t="s">
        <v>1121</v>
      </c>
      <c r="R196" s="12">
        <v>3.0</v>
      </c>
      <c r="S196" s="12" t="s">
        <v>1138</v>
      </c>
      <c r="T196" s="17"/>
      <c r="U196" s="12" t="s">
        <v>158</v>
      </c>
      <c r="V196" s="17"/>
      <c r="W196" s="17"/>
      <c r="X196" s="17"/>
      <c r="Y196" s="17" t="s">
        <v>1139</v>
      </c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>
      <c r="A197" s="12" t="s">
        <v>85</v>
      </c>
      <c r="B197" s="12" t="s">
        <v>1140</v>
      </c>
      <c r="C197" s="102">
        <v>46202.0</v>
      </c>
      <c r="D197" s="70" t="b">
        <v>1</v>
      </c>
      <c r="E197" s="12">
        <v>1.0</v>
      </c>
      <c r="F197" s="12" t="s">
        <v>1141</v>
      </c>
      <c r="G197" s="12" t="s">
        <v>626</v>
      </c>
      <c r="H197" s="64" t="s">
        <v>1142</v>
      </c>
      <c r="I197" s="17" t="s">
        <v>1143</v>
      </c>
      <c r="J197" s="42" t="s">
        <v>1144</v>
      </c>
      <c r="K197" s="4" t="s">
        <v>1145</v>
      </c>
      <c r="L197" s="70" t="b">
        <v>1</v>
      </c>
      <c r="M197" s="17"/>
      <c r="N197" s="70" t="b">
        <v>1</v>
      </c>
      <c r="O197" s="70" t="b">
        <v>1</v>
      </c>
      <c r="P197" s="70" t="b">
        <v>1</v>
      </c>
      <c r="Q197" s="12" t="s">
        <v>1140</v>
      </c>
      <c r="R197" s="12">
        <v>1.0</v>
      </c>
      <c r="S197" s="12" t="s">
        <v>1146</v>
      </c>
      <c r="T197" s="17"/>
      <c r="U197" s="12" t="s">
        <v>158</v>
      </c>
      <c r="V197" s="17"/>
      <c r="W197" s="17"/>
      <c r="X197" s="17"/>
      <c r="Y197" s="17" t="s">
        <v>1147</v>
      </c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</row>
    <row r="198">
      <c r="A198" s="12" t="s">
        <v>85</v>
      </c>
      <c r="B198" s="12" t="s">
        <v>1148</v>
      </c>
      <c r="C198" s="102">
        <v>46203.0</v>
      </c>
      <c r="D198" s="70" t="b">
        <v>1</v>
      </c>
      <c r="E198" s="12">
        <v>1.0</v>
      </c>
      <c r="F198" s="12" t="s">
        <v>1149</v>
      </c>
      <c r="G198" s="12" t="s">
        <v>1110</v>
      </c>
      <c r="H198" s="56" t="s">
        <v>616</v>
      </c>
      <c r="I198" s="103" t="s">
        <v>618</v>
      </c>
      <c r="J198" s="12" t="s">
        <v>617</v>
      </c>
      <c r="K198" s="103">
        <v>2.025092500136E12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2" t="s">
        <v>621</v>
      </c>
      <c r="Z198" s="17"/>
      <c r="AA198" s="17"/>
      <c r="AB198" s="17"/>
      <c r="AC198" s="17"/>
      <c r="AD198" s="12" t="s">
        <v>1150</v>
      </c>
      <c r="AE198" s="17"/>
      <c r="AF198" s="17"/>
      <c r="AG198" s="17"/>
      <c r="AH198" s="17"/>
      <c r="AI198" s="17"/>
      <c r="AJ198" s="17"/>
      <c r="AK198" s="17"/>
      <c r="AL198" s="17"/>
      <c r="AM198" s="17"/>
    </row>
    <row r="199">
      <c r="A199" s="12" t="s">
        <v>85</v>
      </c>
      <c r="B199" s="12" t="s">
        <v>1151</v>
      </c>
      <c r="C199" s="102">
        <v>46203.0</v>
      </c>
      <c r="D199" s="70" t="b">
        <v>1</v>
      </c>
      <c r="E199" s="12">
        <v>2.0</v>
      </c>
      <c r="F199" s="12" t="s">
        <v>1152</v>
      </c>
      <c r="G199" s="12" t="s">
        <v>1110</v>
      </c>
      <c r="H199" s="56" t="s">
        <v>524</v>
      </c>
      <c r="I199" s="103" t="s">
        <v>1153</v>
      </c>
      <c r="J199" s="12" t="s">
        <v>1154</v>
      </c>
      <c r="K199" s="103">
        <v>2.025092500106E12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2" t="s">
        <v>530</v>
      </c>
      <c r="Z199" s="17"/>
      <c r="AA199" s="17"/>
      <c r="AB199" s="17"/>
      <c r="AC199" s="17"/>
      <c r="AD199" s="12" t="s">
        <v>1155</v>
      </c>
      <c r="AE199" s="17"/>
      <c r="AF199" s="17"/>
      <c r="AG199" s="17"/>
      <c r="AH199" s="17"/>
      <c r="AI199" s="17"/>
      <c r="AJ199" s="17"/>
      <c r="AK199" s="17"/>
      <c r="AL199" s="17"/>
      <c r="AM199" s="17"/>
    </row>
    <row r="200">
      <c r="A200" s="12" t="s">
        <v>85</v>
      </c>
      <c r="B200" s="12" t="s">
        <v>1121</v>
      </c>
      <c r="C200" s="99">
        <v>46205.0</v>
      </c>
      <c r="D200" s="12" t="b">
        <v>1</v>
      </c>
      <c r="E200" s="12">
        <v>1.0</v>
      </c>
      <c r="F200" s="12" t="s">
        <v>160</v>
      </c>
      <c r="G200" s="17" t="s">
        <v>750</v>
      </c>
      <c r="H200" s="56" t="s">
        <v>402</v>
      </c>
      <c r="I200" s="14" t="s">
        <v>447</v>
      </c>
      <c r="J200" s="12" t="s">
        <v>1156</v>
      </c>
      <c r="K200" s="14">
        <v>2.0240830014E11</v>
      </c>
      <c r="L200" s="12" t="b">
        <v>0</v>
      </c>
      <c r="M200" s="17"/>
      <c r="N200" s="12" t="b">
        <v>0</v>
      </c>
      <c r="O200" s="12" t="b">
        <v>0</v>
      </c>
      <c r="P200" s="12" t="b">
        <v>0</v>
      </c>
      <c r="Q200" s="12" t="s">
        <v>1121</v>
      </c>
      <c r="R200" s="12">
        <v>4.0</v>
      </c>
      <c r="S200" s="12" t="s">
        <v>1157</v>
      </c>
      <c r="T200" s="17"/>
      <c r="U200" s="12" t="s">
        <v>158</v>
      </c>
      <c r="V200" s="17"/>
      <c r="W200" s="17"/>
      <c r="X200" s="17"/>
      <c r="Y200" s="12" t="s">
        <v>407</v>
      </c>
      <c r="Z200" s="17"/>
      <c r="AA200" s="17"/>
      <c r="AB200" s="17"/>
      <c r="AC200" s="17"/>
      <c r="AD200" s="12" t="s">
        <v>1158</v>
      </c>
      <c r="AE200" s="12">
        <v>1.03635918E8</v>
      </c>
      <c r="AF200" s="17"/>
      <c r="AG200" s="17"/>
      <c r="AH200" s="17"/>
      <c r="AI200" s="17"/>
      <c r="AJ200" s="17"/>
      <c r="AK200" s="17"/>
      <c r="AL200" s="17"/>
      <c r="AM200" s="17"/>
    </row>
    <row r="201">
      <c r="A201" s="12" t="s">
        <v>85</v>
      </c>
      <c r="B201" s="12" t="s">
        <v>1121</v>
      </c>
      <c r="C201" s="99">
        <v>46205.0</v>
      </c>
      <c r="D201" s="12" t="b">
        <v>1</v>
      </c>
      <c r="E201" s="17">
        <f t="shared" ref="E201:E203" si="19">E200+1</f>
        <v>2</v>
      </c>
      <c r="F201" s="12" t="s">
        <v>160</v>
      </c>
      <c r="G201" s="12" t="s">
        <v>650</v>
      </c>
      <c r="H201" s="56" t="s">
        <v>284</v>
      </c>
      <c r="I201" s="12" t="s">
        <v>1159</v>
      </c>
      <c r="J201" s="12" t="s">
        <v>1160</v>
      </c>
      <c r="K201" s="14">
        <v>2.0240830005E11</v>
      </c>
      <c r="L201" s="12" t="b">
        <v>0</v>
      </c>
      <c r="M201" s="17"/>
      <c r="N201" s="12" t="b">
        <v>0</v>
      </c>
      <c r="O201" s="12" t="b">
        <v>0</v>
      </c>
      <c r="P201" s="12" t="b">
        <v>0</v>
      </c>
      <c r="Q201" s="12" t="s">
        <v>1121</v>
      </c>
      <c r="R201" s="12">
        <v>5.0</v>
      </c>
      <c r="S201" s="12" t="s">
        <v>1161</v>
      </c>
      <c r="T201" s="17"/>
      <c r="U201" s="12" t="s">
        <v>158</v>
      </c>
      <c r="V201" s="17"/>
      <c r="W201" s="17"/>
      <c r="X201" s="17"/>
      <c r="Y201" s="12" t="s">
        <v>290</v>
      </c>
      <c r="Z201" s="17"/>
      <c r="AA201" s="17"/>
      <c r="AB201" s="17"/>
      <c r="AC201" s="17"/>
      <c r="AD201" s="12" t="s">
        <v>1162</v>
      </c>
      <c r="AE201" s="12">
        <v>1.06338146E8</v>
      </c>
      <c r="AF201" s="17"/>
      <c r="AG201" s="17"/>
      <c r="AH201" s="17"/>
      <c r="AI201" s="17"/>
      <c r="AJ201" s="17"/>
      <c r="AK201" s="17"/>
      <c r="AL201" s="17"/>
      <c r="AM201" s="17"/>
    </row>
    <row r="202">
      <c r="A202" s="12" t="s">
        <v>85</v>
      </c>
      <c r="B202" s="12" t="s">
        <v>1121</v>
      </c>
      <c r="C202" s="99">
        <v>46205.0</v>
      </c>
      <c r="D202" s="12" t="b">
        <v>1</v>
      </c>
      <c r="E202" s="17">
        <f t="shared" si="19"/>
        <v>3</v>
      </c>
      <c r="F202" s="12" t="s">
        <v>160</v>
      </c>
      <c r="G202" s="12" t="s">
        <v>626</v>
      </c>
      <c r="H202" s="56" t="s">
        <v>1163</v>
      </c>
      <c r="I202" s="12" t="s">
        <v>1164</v>
      </c>
      <c r="J202" s="12" t="s">
        <v>1165</v>
      </c>
      <c r="K202" s="14">
        <v>2.02408300098E11</v>
      </c>
      <c r="L202" s="12" t="b">
        <v>0</v>
      </c>
      <c r="M202" s="17"/>
      <c r="N202" s="12" t="b">
        <v>0</v>
      </c>
      <c r="O202" s="12" t="b">
        <v>0</v>
      </c>
      <c r="P202" s="12" t="b">
        <v>0</v>
      </c>
      <c r="Q202" s="12" t="s">
        <v>1121</v>
      </c>
      <c r="R202" s="12">
        <v>6.0</v>
      </c>
      <c r="S202" s="12" t="s">
        <v>1166</v>
      </c>
      <c r="T202" s="17"/>
      <c r="U202" s="12" t="s">
        <v>158</v>
      </c>
      <c r="V202" s="17"/>
      <c r="W202" s="17"/>
      <c r="X202" s="17"/>
      <c r="Y202" s="12" t="s">
        <v>1167</v>
      </c>
      <c r="Z202" s="17"/>
      <c r="AA202" s="17"/>
      <c r="AB202" s="17"/>
      <c r="AC202" s="17"/>
      <c r="AD202" s="12" t="s">
        <v>1168</v>
      </c>
      <c r="AE202" s="12">
        <v>1.20662669E8</v>
      </c>
      <c r="AF202" s="17"/>
      <c r="AG202" s="17"/>
      <c r="AH202" s="17"/>
      <c r="AI202" s="17"/>
      <c r="AJ202" s="17"/>
      <c r="AK202" s="17"/>
      <c r="AL202" s="17"/>
      <c r="AM202" s="17"/>
    </row>
    <row r="203">
      <c r="A203" s="12" t="s">
        <v>85</v>
      </c>
      <c r="B203" s="12" t="s">
        <v>1121</v>
      </c>
      <c r="C203" s="99">
        <v>46205.0</v>
      </c>
      <c r="D203" s="12" t="b">
        <v>1</v>
      </c>
      <c r="E203" s="17">
        <f t="shared" si="19"/>
        <v>4</v>
      </c>
      <c r="F203" s="12" t="s">
        <v>160</v>
      </c>
      <c r="G203" s="12" t="s">
        <v>626</v>
      </c>
      <c r="H203" s="56" t="s">
        <v>1169</v>
      </c>
      <c r="I203" s="12" t="s">
        <v>828</v>
      </c>
      <c r="J203" s="12" t="s">
        <v>396</v>
      </c>
      <c r="K203" s="14">
        <v>2.02408300048E11</v>
      </c>
      <c r="L203" s="12" t="b">
        <v>0</v>
      </c>
      <c r="M203" s="17"/>
      <c r="N203" s="12" t="b">
        <v>0</v>
      </c>
      <c r="O203" s="12" t="b">
        <v>0</v>
      </c>
      <c r="P203" s="12" t="b">
        <v>0</v>
      </c>
      <c r="Q203" s="12" t="s">
        <v>1121</v>
      </c>
      <c r="R203" s="12">
        <v>7.0</v>
      </c>
      <c r="S203" s="12" t="s">
        <v>1170</v>
      </c>
      <c r="T203" s="17"/>
      <c r="U203" s="12" t="s">
        <v>158</v>
      </c>
      <c r="V203" s="17"/>
      <c r="W203" s="17"/>
      <c r="X203" s="17"/>
      <c r="Y203" s="12" t="s">
        <v>1171</v>
      </c>
      <c r="Z203" s="17"/>
      <c r="AA203" s="17"/>
      <c r="AB203" s="17"/>
      <c r="AC203" s="17"/>
      <c r="AD203" s="12" t="s">
        <v>1172</v>
      </c>
      <c r="AE203" s="12" t="s">
        <v>1173</v>
      </c>
      <c r="AF203" s="17"/>
      <c r="AG203" s="17"/>
      <c r="AH203" s="17"/>
      <c r="AI203" s="17"/>
      <c r="AJ203" s="17"/>
      <c r="AK203" s="17"/>
      <c r="AL203" s="17"/>
      <c r="AM203" s="17"/>
    </row>
    <row r="204">
      <c r="A204" s="12" t="s">
        <v>85</v>
      </c>
      <c r="B204" s="12" t="s">
        <v>1174</v>
      </c>
      <c r="C204" s="104">
        <v>46203.0</v>
      </c>
      <c r="D204" s="70" t="b">
        <v>1</v>
      </c>
      <c r="E204" s="12">
        <v>1.0</v>
      </c>
      <c r="F204" s="12" t="s">
        <v>1175</v>
      </c>
      <c r="G204" s="12" t="s">
        <v>750</v>
      </c>
      <c r="H204" s="56" t="s">
        <v>1176</v>
      </c>
      <c r="I204" s="12" t="s">
        <v>1177</v>
      </c>
      <c r="J204" s="12" t="s">
        <v>767</v>
      </c>
      <c r="K204" s="14">
        <v>2.02408300033E11</v>
      </c>
      <c r="L204" s="70" t="b">
        <v>0</v>
      </c>
      <c r="M204" s="17"/>
      <c r="N204" s="70" t="b">
        <v>0</v>
      </c>
      <c r="O204" s="70" t="b">
        <v>0</v>
      </c>
      <c r="P204" s="70" t="b">
        <v>0</v>
      </c>
      <c r="Q204" s="12" t="s">
        <v>1178</v>
      </c>
      <c r="R204" s="12">
        <v>1.0</v>
      </c>
      <c r="S204" s="12" t="s">
        <v>1179</v>
      </c>
      <c r="T204" s="17"/>
      <c r="U204" s="70" t="s">
        <v>158</v>
      </c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>
      <c r="A205" s="12" t="s">
        <v>85</v>
      </c>
      <c r="B205" s="12" t="s">
        <v>1174</v>
      </c>
      <c r="C205" s="104">
        <v>46203.0</v>
      </c>
      <c r="D205" s="70" t="b">
        <v>1</v>
      </c>
      <c r="E205" s="17">
        <f t="shared" ref="E205:E209" si="20">E204+1</f>
        <v>2</v>
      </c>
      <c r="F205" s="12" t="s">
        <v>1175</v>
      </c>
      <c r="G205" s="12" t="s">
        <v>750</v>
      </c>
      <c r="H205" s="56" t="s">
        <v>1180</v>
      </c>
      <c r="I205" s="12" t="s">
        <v>1181</v>
      </c>
      <c r="J205" s="12" t="s">
        <v>1182</v>
      </c>
      <c r="K205" s="14">
        <v>2.02408300022E11</v>
      </c>
      <c r="L205" s="70" t="b">
        <v>0</v>
      </c>
      <c r="M205" s="17"/>
      <c r="N205" s="70" t="b">
        <v>0</v>
      </c>
      <c r="O205" s="70" t="b">
        <v>0</v>
      </c>
      <c r="P205" s="70" t="b">
        <v>0</v>
      </c>
      <c r="Q205" s="12" t="s">
        <v>1178</v>
      </c>
      <c r="R205" s="12">
        <v>2.0</v>
      </c>
      <c r="S205" s="12" t="s">
        <v>1183</v>
      </c>
      <c r="T205" s="17"/>
      <c r="U205" s="70" t="s">
        <v>158</v>
      </c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</row>
    <row r="206">
      <c r="A206" s="12" t="s">
        <v>85</v>
      </c>
      <c r="B206" s="12" t="s">
        <v>1174</v>
      </c>
      <c r="C206" s="104">
        <v>46203.0</v>
      </c>
      <c r="D206" s="70" t="b">
        <v>1</v>
      </c>
      <c r="E206" s="17">
        <f t="shared" si="20"/>
        <v>3</v>
      </c>
      <c r="F206" s="12" t="s">
        <v>1175</v>
      </c>
      <c r="G206" s="12" t="s">
        <v>626</v>
      </c>
      <c r="H206" s="56" t="s">
        <v>633</v>
      </c>
      <c r="I206" s="12" t="s">
        <v>1184</v>
      </c>
      <c r="J206" s="12" t="s">
        <v>1185</v>
      </c>
      <c r="K206" s="14">
        <v>2.02408300025E11</v>
      </c>
      <c r="L206" s="70" t="b">
        <v>0</v>
      </c>
      <c r="M206" s="17"/>
      <c r="N206" s="70" t="b">
        <v>0</v>
      </c>
      <c r="O206" s="70" t="b">
        <v>0</v>
      </c>
      <c r="P206" s="70" t="b">
        <v>0</v>
      </c>
      <c r="Q206" s="12" t="s">
        <v>1178</v>
      </c>
      <c r="R206" s="12">
        <v>3.0</v>
      </c>
      <c r="S206" s="12" t="s">
        <v>1186</v>
      </c>
      <c r="T206" s="17"/>
      <c r="U206" s="70" t="s">
        <v>158</v>
      </c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</row>
    <row r="207">
      <c r="A207" s="12" t="s">
        <v>85</v>
      </c>
      <c r="B207" s="12" t="s">
        <v>1174</v>
      </c>
      <c r="C207" s="104">
        <v>46203.0</v>
      </c>
      <c r="D207" s="70" t="b">
        <v>1</v>
      </c>
      <c r="E207" s="17">
        <f t="shared" si="20"/>
        <v>4</v>
      </c>
      <c r="F207" s="12" t="s">
        <v>1175</v>
      </c>
      <c r="G207" s="12" t="s">
        <v>626</v>
      </c>
      <c r="H207" s="56" t="s">
        <v>342</v>
      </c>
      <c r="I207" s="12" t="s">
        <v>1187</v>
      </c>
      <c r="J207" s="12" t="s">
        <v>1188</v>
      </c>
      <c r="K207" s="14">
        <v>2.02408300229E11</v>
      </c>
      <c r="L207" s="70" t="b">
        <v>0</v>
      </c>
      <c r="M207" s="17"/>
      <c r="N207" s="70" t="b">
        <v>0</v>
      </c>
      <c r="O207" s="70" t="b">
        <v>0</v>
      </c>
      <c r="P207" s="70" t="b">
        <v>0</v>
      </c>
      <c r="Q207" s="12" t="s">
        <v>1178</v>
      </c>
      <c r="R207" s="12">
        <v>4.0</v>
      </c>
      <c r="S207" s="12" t="s">
        <v>1189</v>
      </c>
      <c r="T207" s="17"/>
      <c r="U207" s="70" t="s">
        <v>158</v>
      </c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</row>
    <row r="208">
      <c r="A208" s="12" t="s">
        <v>85</v>
      </c>
      <c r="B208" s="12" t="s">
        <v>1174</v>
      </c>
      <c r="C208" s="104">
        <v>46203.0</v>
      </c>
      <c r="D208" s="70" t="b">
        <v>1</v>
      </c>
      <c r="E208" s="17">
        <f t="shared" si="20"/>
        <v>5</v>
      </c>
      <c r="F208" s="12" t="s">
        <v>1175</v>
      </c>
      <c r="G208" s="12" t="s">
        <v>855</v>
      </c>
      <c r="H208" s="56" t="s">
        <v>321</v>
      </c>
      <c r="I208" s="12" t="s">
        <v>1190</v>
      </c>
      <c r="J208" s="12" t="s">
        <v>1191</v>
      </c>
      <c r="K208" s="14">
        <v>2.02509250152E11</v>
      </c>
      <c r="L208" s="70" t="b">
        <v>0</v>
      </c>
      <c r="M208" s="17"/>
      <c r="N208" s="70" t="b">
        <v>0</v>
      </c>
      <c r="O208" s="70" t="b">
        <v>0</v>
      </c>
      <c r="P208" s="70" t="b">
        <v>0</v>
      </c>
      <c r="Q208" s="12" t="s">
        <v>1178</v>
      </c>
      <c r="R208" s="12">
        <v>5.0</v>
      </c>
      <c r="S208" s="12" t="s">
        <v>1192</v>
      </c>
      <c r="T208" s="17"/>
      <c r="U208" s="70" t="s">
        <v>158</v>
      </c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</row>
    <row r="209">
      <c r="A209" s="12" t="s">
        <v>85</v>
      </c>
      <c r="B209" s="12" t="s">
        <v>1174</v>
      </c>
      <c r="C209" s="104">
        <v>46203.0</v>
      </c>
      <c r="D209" s="70" t="b">
        <v>1</v>
      </c>
      <c r="E209" s="17">
        <f t="shared" si="20"/>
        <v>6</v>
      </c>
      <c r="F209" s="12" t="s">
        <v>1175</v>
      </c>
      <c r="G209" s="12" t="s">
        <v>855</v>
      </c>
      <c r="H209" s="56" t="s">
        <v>307</v>
      </c>
      <c r="I209" s="12" t="s">
        <v>575</v>
      </c>
      <c r="J209" s="12" t="s">
        <v>763</v>
      </c>
      <c r="K209" s="14">
        <v>2.02509250149E11</v>
      </c>
      <c r="L209" s="70" t="b">
        <v>0</v>
      </c>
      <c r="M209" s="17"/>
      <c r="N209" s="70" t="b">
        <v>0</v>
      </c>
      <c r="O209" s="70" t="b">
        <v>0</v>
      </c>
      <c r="P209" s="70" t="b">
        <v>0</v>
      </c>
      <c r="Q209" s="12" t="s">
        <v>1178</v>
      </c>
      <c r="R209" s="12">
        <v>6.0</v>
      </c>
      <c r="S209" s="12" t="s">
        <v>1193</v>
      </c>
      <c r="T209" s="17"/>
      <c r="U209" s="70" t="s">
        <v>158</v>
      </c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</row>
    <row r="210">
      <c r="A210" s="12" t="s">
        <v>85</v>
      </c>
      <c r="B210" s="12" t="s">
        <v>854</v>
      </c>
      <c r="C210" s="105">
        <v>46206.0</v>
      </c>
      <c r="D210" s="70" t="b">
        <v>1</v>
      </c>
      <c r="E210" s="12">
        <v>1.0</v>
      </c>
      <c r="F210" s="12" t="s">
        <v>1194</v>
      </c>
      <c r="G210" s="17" t="s">
        <v>750</v>
      </c>
      <c r="H210" s="64" t="s">
        <v>1106</v>
      </c>
      <c r="I210" s="87" t="s">
        <v>1107</v>
      </c>
      <c r="J210" s="17" t="s">
        <v>344</v>
      </c>
      <c r="K210" s="106" t="s">
        <v>1195</v>
      </c>
      <c r="L210" s="70" t="b">
        <v>0</v>
      </c>
      <c r="M210" s="17"/>
      <c r="N210" s="70" t="b">
        <v>0</v>
      </c>
      <c r="O210" s="70" t="b">
        <v>0</v>
      </c>
      <c r="P210" s="70" t="b">
        <v>0</v>
      </c>
      <c r="Q210" s="12" t="s">
        <v>854</v>
      </c>
      <c r="R210" s="12">
        <v>1.0</v>
      </c>
      <c r="S210" s="12" t="s">
        <v>1196</v>
      </c>
      <c r="T210" s="17"/>
      <c r="U210" s="70" t="s">
        <v>158</v>
      </c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</row>
    <row r="211">
      <c r="A211" s="12" t="s">
        <v>85</v>
      </c>
      <c r="B211" s="12" t="s">
        <v>1121</v>
      </c>
      <c r="C211" s="107">
        <v>46213.0</v>
      </c>
      <c r="D211" s="12" t="b">
        <v>1</v>
      </c>
      <c r="E211" s="12">
        <v>1.0</v>
      </c>
      <c r="F211" s="12" t="s">
        <v>1194</v>
      </c>
      <c r="G211" s="12" t="s">
        <v>855</v>
      </c>
      <c r="H211" s="56" t="s">
        <v>864</v>
      </c>
      <c r="I211" s="12" t="s">
        <v>866</v>
      </c>
      <c r="J211" s="12" t="s">
        <v>865</v>
      </c>
      <c r="K211" s="14">
        <v>2.02509250171E11</v>
      </c>
      <c r="L211" s="70" t="b">
        <v>0</v>
      </c>
      <c r="M211" s="17"/>
      <c r="N211" s="70" t="b">
        <v>0</v>
      </c>
      <c r="O211" s="70" t="b">
        <v>0</v>
      </c>
      <c r="P211" s="70" t="b">
        <v>0</v>
      </c>
      <c r="Q211" s="12" t="s">
        <v>1121</v>
      </c>
      <c r="R211" s="12">
        <v>1.0</v>
      </c>
      <c r="S211" s="12" t="s">
        <v>1197</v>
      </c>
      <c r="T211" s="17"/>
      <c r="U211" s="70" t="s">
        <v>158</v>
      </c>
      <c r="V211" s="12"/>
      <c r="W211" s="17"/>
      <c r="X211" s="17"/>
      <c r="Y211" s="12" t="s">
        <v>868</v>
      </c>
      <c r="Z211" s="17"/>
      <c r="AA211" s="17"/>
      <c r="AB211" s="17"/>
      <c r="AC211" s="17"/>
      <c r="AD211" s="12" t="s">
        <v>1198</v>
      </c>
      <c r="AE211" s="12">
        <v>1.12667407E8</v>
      </c>
      <c r="AF211" s="17"/>
      <c r="AG211" s="17"/>
      <c r="AH211" s="17"/>
      <c r="AI211" s="17"/>
      <c r="AJ211" s="17"/>
      <c r="AK211" s="17"/>
      <c r="AL211" s="17"/>
      <c r="AM211" s="17"/>
    </row>
    <row r="212">
      <c r="A212" s="12" t="s">
        <v>85</v>
      </c>
      <c r="B212" s="12" t="s">
        <v>1121</v>
      </c>
      <c r="C212" s="107">
        <v>46213.0</v>
      </c>
      <c r="D212" s="12" t="b">
        <v>1</v>
      </c>
      <c r="E212" s="12">
        <v>2.0</v>
      </c>
      <c r="F212" s="12" t="s">
        <v>1194</v>
      </c>
      <c r="G212" s="12" t="s">
        <v>1110</v>
      </c>
      <c r="H212" s="56" t="s">
        <v>1111</v>
      </c>
      <c r="I212" s="12" t="s">
        <v>1112</v>
      </c>
      <c r="J212" s="12" t="s">
        <v>1113</v>
      </c>
      <c r="K212" s="14">
        <v>2.02509250002E11</v>
      </c>
      <c r="L212" s="70" t="b">
        <v>0</v>
      </c>
      <c r="M212" s="17"/>
      <c r="N212" s="70" t="b">
        <v>0</v>
      </c>
      <c r="O212" s="70" t="b">
        <v>0</v>
      </c>
      <c r="P212" s="70" t="b">
        <v>0</v>
      </c>
      <c r="Q212" s="12" t="s">
        <v>1121</v>
      </c>
      <c r="R212" s="12">
        <v>2.0</v>
      </c>
      <c r="S212" s="12" t="s">
        <v>1199</v>
      </c>
      <c r="T212" s="17"/>
      <c r="U212" s="70" t="s">
        <v>158</v>
      </c>
      <c r="V212" s="12"/>
      <c r="W212" s="17"/>
      <c r="X212" s="17"/>
      <c r="Y212" s="12" t="s">
        <v>1115</v>
      </c>
      <c r="Z212" s="17"/>
      <c r="AA212" s="17"/>
      <c r="AB212" s="17"/>
      <c r="AC212" s="17"/>
      <c r="AD212" s="12" t="s">
        <v>1200</v>
      </c>
      <c r="AE212" s="12">
        <v>1.08070084E8</v>
      </c>
      <c r="AF212" s="17"/>
      <c r="AG212" s="17"/>
      <c r="AH212" s="17"/>
      <c r="AI212" s="17"/>
      <c r="AJ212" s="17"/>
      <c r="AK212" s="17"/>
      <c r="AL212" s="17"/>
      <c r="AM212" s="17"/>
    </row>
    <row r="213">
      <c r="A213" s="12" t="s">
        <v>85</v>
      </c>
      <c r="B213" s="12" t="s">
        <v>1201</v>
      </c>
      <c r="C213" s="107">
        <v>46217.0</v>
      </c>
      <c r="D213" s="12" t="b">
        <v>1</v>
      </c>
      <c r="E213" s="12">
        <v>1.0</v>
      </c>
      <c r="F213" s="12" t="s">
        <v>1202</v>
      </c>
      <c r="G213" s="17" t="s">
        <v>750</v>
      </c>
      <c r="H213" s="56" t="s">
        <v>831</v>
      </c>
      <c r="I213" s="12" t="s">
        <v>481</v>
      </c>
      <c r="J213" s="12" t="s">
        <v>779</v>
      </c>
      <c r="K213" s="14">
        <v>2.0250925005E11</v>
      </c>
      <c r="L213" s="70" t="b">
        <v>1</v>
      </c>
      <c r="M213" s="17"/>
      <c r="N213" s="70" t="b">
        <v>1</v>
      </c>
      <c r="O213" s="70" t="b">
        <v>1</v>
      </c>
      <c r="P213" s="70" t="b">
        <v>1</v>
      </c>
      <c r="Q213" s="12" t="s">
        <v>1201</v>
      </c>
      <c r="R213" s="12">
        <v>1.0</v>
      </c>
      <c r="S213" s="12" t="s">
        <v>1203</v>
      </c>
      <c r="T213" s="17"/>
      <c r="U213" s="70" t="s">
        <v>158</v>
      </c>
      <c r="V213" s="12"/>
      <c r="W213" s="17"/>
      <c r="X213" s="62"/>
      <c r="Y213" s="12" t="s">
        <v>1204</v>
      </c>
      <c r="Z213" s="17"/>
      <c r="AA213" s="17"/>
      <c r="AB213" s="17"/>
      <c r="AC213" s="17"/>
      <c r="AD213" s="64" t="s">
        <v>1205</v>
      </c>
      <c r="AE213" s="64" t="s">
        <v>1206</v>
      </c>
      <c r="AF213" s="17"/>
      <c r="AG213" s="17"/>
      <c r="AH213" s="17"/>
      <c r="AI213" s="17"/>
      <c r="AJ213" s="17"/>
      <c r="AK213" s="17"/>
      <c r="AL213" s="17"/>
      <c r="AM213" s="17"/>
    </row>
    <row r="214">
      <c r="A214" s="12" t="s">
        <v>85</v>
      </c>
      <c r="B214" s="12" t="s">
        <v>1207</v>
      </c>
      <c r="C214" s="107">
        <v>46219.0</v>
      </c>
      <c r="D214" s="12" t="b">
        <v>1</v>
      </c>
      <c r="E214" s="12">
        <v>1.0</v>
      </c>
      <c r="F214" s="12" t="s">
        <v>465</v>
      </c>
      <c r="G214" s="12" t="s">
        <v>1110</v>
      </c>
      <c r="H214" s="56" t="s">
        <v>1208</v>
      </c>
      <c r="I214" s="12" t="s">
        <v>1209</v>
      </c>
      <c r="J214" s="12" t="s">
        <v>1210</v>
      </c>
      <c r="K214" s="14">
        <v>2.02509250038E11</v>
      </c>
      <c r="L214" s="70" t="b">
        <v>1</v>
      </c>
      <c r="M214" s="17"/>
      <c r="N214" s="70" t="b">
        <v>1</v>
      </c>
      <c r="O214" s="70" t="b">
        <v>1</v>
      </c>
      <c r="P214" s="70" t="b">
        <v>1</v>
      </c>
      <c r="Q214" s="12" t="s">
        <v>1207</v>
      </c>
      <c r="R214" s="12">
        <v>1.0</v>
      </c>
      <c r="S214" s="12" t="s">
        <v>1211</v>
      </c>
      <c r="T214" s="12">
        <v>9.234504589E9</v>
      </c>
      <c r="U214" s="12" t="s">
        <v>158</v>
      </c>
      <c r="V214" s="12"/>
      <c r="W214" s="17"/>
      <c r="X214" s="17"/>
      <c r="Y214" s="12" t="s">
        <v>473</v>
      </c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</row>
    <row r="215">
      <c r="A215" s="12" t="s">
        <v>85</v>
      </c>
      <c r="B215" s="12" t="s">
        <v>1207</v>
      </c>
      <c r="C215" s="107">
        <v>46219.0</v>
      </c>
      <c r="D215" s="12" t="b">
        <v>1</v>
      </c>
      <c r="E215" s="12">
        <v>2.0</v>
      </c>
      <c r="F215" s="12" t="s">
        <v>465</v>
      </c>
      <c r="G215" s="12" t="s">
        <v>855</v>
      </c>
      <c r="H215" s="56" t="s">
        <v>1212</v>
      </c>
      <c r="I215" s="12" t="s">
        <v>1213</v>
      </c>
      <c r="J215" s="12" t="s">
        <v>1214</v>
      </c>
      <c r="K215" s="14">
        <v>2.02509250139E11</v>
      </c>
      <c r="L215" s="70" t="b">
        <v>1</v>
      </c>
      <c r="M215" s="17"/>
      <c r="N215" s="70" t="b">
        <v>1</v>
      </c>
      <c r="O215" s="70" t="b">
        <v>1</v>
      </c>
      <c r="P215" s="70" t="b">
        <v>1</v>
      </c>
      <c r="Q215" s="12" t="s">
        <v>1207</v>
      </c>
      <c r="R215" s="12">
        <v>2.0</v>
      </c>
      <c r="S215" s="12" t="s">
        <v>1215</v>
      </c>
      <c r="T215" s="12">
        <v>9.23450459E9</v>
      </c>
      <c r="U215" s="12" t="s">
        <v>158</v>
      </c>
      <c r="V215" s="12"/>
      <c r="W215" s="17"/>
      <c r="X215" s="17"/>
      <c r="Y215" s="12" t="s">
        <v>473</v>
      </c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>
      <c r="A216" s="12" t="s">
        <v>85</v>
      </c>
      <c r="B216" s="12" t="s">
        <v>1216</v>
      </c>
      <c r="C216" s="107">
        <v>46219.0</v>
      </c>
      <c r="D216" s="12" t="b">
        <v>1</v>
      </c>
      <c r="E216" s="12">
        <v>1.0</v>
      </c>
      <c r="F216" s="12" t="s">
        <v>388</v>
      </c>
      <c r="G216" s="12" t="s">
        <v>855</v>
      </c>
      <c r="H216" s="56" t="s">
        <v>879</v>
      </c>
      <c r="I216" s="12" t="s">
        <v>880</v>
      </c>
      <c r="J216" s="12" t="s">
        <v>881</v>
      </c>
      <c r="K216" s="14">
        <v>2.02509250091E11</v>
      </c>
      <c r="L216" s="70" t="b">
        <v>1</v>
      </c>
      <c r="M216" s="17"/>
      <c r="N216" s="70"/>
      <c r="O216" s="70"/>
      <c r="P216" s="70"/>
      <c r="Q216" s="12"/>
      <c r="R216" s="12">
        <v>1.0</v>
      </c>
      <c r="S216" s="17"/>
      <c r="T216" s="17"/>
      <c r="U216" s="17"/>
      <c r="V216" s="12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</row>
    <row r="217">
      <c r="A217" s="12" t="s">
        <v>85</v>
      </c>
      <c r="B217" s="12" t="s">
        <v>1217</v>
      </c>
      <c r="C217" s="107">
        <v>46221.0</v>
      </c>
      <c r="D217" s="12" t="b">
        <v>1</v>
      </c>
      <c r="E217" s="12">
        <v>1.0</v>
      </c>
      <c r="F217" s="12" t="s">
        <v>1218</v>
      </c>
      <c r="G217" s="12" t="s">
        <v>1219</v>
      </c>
      <c r="H217" s="56" t="s">
        <v>1220</v>
      </c>
      <c r="I217" s="12" t="s">
        <v>1221</v>
      </c>
      <c r="J217" s="12" t="s">
        <v>1222</v>
      </c>
      <c r="K217" s="14">
        <v>2.02509250191E11</v>
      </c>
      <c r="L217" s="70" t="b">
        <v>0</v>
      </c>
      <c r="M217" s="17"/>
      <c r="N217" s="70" t="b">
        <v>0</v>
      </c>
      <c r="O217" s="70" t="b">
        <v>0</v>
      </c>
      <c r="P217" s="70" t="b">
        <v>0</v>
      </c>
      <c r="Q217" s="12" t="s">
        <v>1217</v>
      </c>
      <c r="R217" s="12">
        <v>1.0</v>
      </c>
      <c r="S217" s="12" t="s">
        <v>1223</v>
      </c>
      <c r="T217" s="17"/>
      <c r="U217" s="12" t="s">
        <v>158</v>
      </c>
      <c r="V217" s="12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</row>
    <row r="218">
      <c r="A218" s="12"/>
      <c r="B218" s="12"/>
      <c r="C218" s="44"/>
      <c r="D218" s="12"/>
      <c r="E218" s="12"/>
      <c r="F218" s="17"/>
      <c r="G218" s="12"/>
      <c r="H218" s="56"/>
      <c r="I218" s="12"/>
      <c r="J218" s="12"/>
      <c r="K218" s="14"/>
      <c r="L218" s="70"/>
      <c r="M218" s="17"/>
      <c r="N218" s="70"/>
      <c r="O218" s="70"/>
      <c r="P218" s="70"/>
      <c r="Q218" s="12"/>
      <c r="R218" s="12"/>
      <c r="S218" s="17"/>
      <c r="T218" s="17"/>
      <c r="U218" s="17"/>
      <c r="V218" s="12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</row>
    <row r="219">
      <c r="A219" s="12"/>
      <c r="B219" s="12"/>
      <c r="C219" s="44"/>
      <c r="D219" s="12"/>
      <c r="E219" s="12"/>
      <c r="F219" s="17"/>
      <c r="G219" s="12"/>
      <c r="H219" s="56"/>
      <c r="I219" s="12"/>
      <c r="J219" s="12"/>
      <c r="K219" s="14"/>
      <c r="L219" s="70"/>
      <c r="M219" s="17"/>
      <c r="N219" s="70"/>
      <c r="O219" s="70"/>
      <c r="P219" s="70"/>
      <c r="Q219" s="12"/>
      <c r="R219" s="12"/>
      <c r="S219" s="17"/>
      <c r="T219" s="17"/>
      <c r="U219" s="17"/>
      <c r="V219" s="12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>
      <c r="A220" s="12"/>
      <c r="B220" s="12"/>
      <c r="C220" s="44"/>
      <c r="D220" s="12"/>
      <c r="E220" s="12"/>
      <c r="F220" s="17"/>
      <c r="G220" s="12"/>
      <c r="H220" s="56"/>
      <c r="I220" s="12"/>
      <c r="J220" s="12"/>
      <c r="K220" s="14"/>
      <c r="L220" s="70"/>
      <c r="M220" s="17"/>
      <c r="N220" s="70"/>
      <c r="O220" s="70"/>
      <c r="P220" s="70"/>
      <c r="Q220" s="12"/>
      <c r="R220" s="12"/>
      <c r="S220" s="17"/>
      <c r="T220" s="17"/>
      <c r="U220" s="17"/>
      <c r="V220" s="12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</row>
    <row r="221">
      <c r="A221" s="12"/>
      <c r="B221" s="12"/>
      <c r="C221" s="44"/>
      <c r="D221" s="12"/>
      <c r="E221" s="12"/>
      <c r="F221" s="17"/>
      <c r="G221" s="12"/>
      <c r="H221" s="56"/>
      <c r="I221" s="12"/>
      <c r="J221" s="12"/>
      <c r="K221" s="14"/>
      <c r="L221" s="70"/>
      <c r="M221" s="17"/>
      <c r="N221" s="70"/>
      <c r="O221" s="70"/>
      <c r="P221" s="70"/>
      <c r="Q221" s="12"/>
      <c r="R221" s="12"/>
      <c r="S221" s="17"/>
      <c r="T221" s="17"/>
      <c r="U221" s="17"/>
      <c r="V221" s="12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</row>
    <row r="222">
      <c r="A222" s="12" t="s">
        <v>906</v>
      </c>
      <c r="B222" s="12" t="s">
        <v>818</v>
      </c>
      <c r="C222" s="44"/>
      <c r="D222" s="12" t="b">
        <v>0</v>
      </c>
      <c r="E222" s="12">
        <v>1.0</v>
      </c>
      <c r="F222" s="17"/>
      <c r="G222" s="12" t="s">
        <v>1110</v>
      </c>
      <c r="H222" s="108" t="s">
        <v>1224</v>
      </c>
      <c r="I222" s="12" t="s">
        <v>1225</v>
      </c>
      <c r="J222" s="12" t="s">
        <v>1226</v>
      </c>
      <c r="K222" s="14">
        <v>2.02509250173E11</v>
      </c>
      <c r="L222" s="70" t="b">
        <v>0</v>
      </c>
      <c r="M222" s="17"/>
      <c r="N222" s="70" t="b">
        <v>0</v>
      </c>
      <c r="O222" s="70" t="b">
        <v>0</v>
      </c>
      <c r="P222" s="70" t="b">
        <v>0</v>
      </c>
      <c r="Q222" s="12" t="s">
        <v>1227</v>
      </c>
      <c r="R222" s="12">
        <v>1.0</v>
      </c>
      <c r="S222" s="17"/>
      <c r="T222" s="17"/>
      <c r="U222" s="17"/>
      <c r="V222" s="12" t="s">
        <v>1224</v>
      </c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>
      <c r="A223" s="12" t="s">
        <v>906</v>
      </c>
      <c r="B223" s="12" t="s">
        <v>818</v>
      </c>
      <c r="C223" s="44"/>
      <c r="D223" s="12" t="b">
        <v>0</v>
      </c>
      <c r="E223" s="12">
        <v>2.0</v>
      </c>
      <c r="F223" s="17"/>
      <c r="G223" s="12" t="s">
        <v>1110</v>
      </c>
      <c r="H223" s="108" t="s">
        <v>1228</v>
      </c>
      <c r="I223" s="12" t="s">
        <v>1229</v>
      </c>
      <c r="J223" s="12" t="s">
        <v>1230</v>
      </c>
      <c r="K223" s="14">
        <v>2.02509250178E11</v>
      </c>
      <c r="L223" s="70" t="b">
        <v>0</v>
      </c>
      <c r="M223" s="17"/>
      <c r="N223" s="70" t="b">
        <v>0</v>
      </c>
      <c r="O223" s="70" t="b">
        <v>0</v>
      </c>
      <c r="P223" s="70" t="b">
        <v>0</v>
      </c>
      <c r="Q223" s="12" t="s">
        <v>1227</v>
      </c>
      <c r="R223" s="12">
        <v>2.0</v>
      </c>
      <c r="S223" s="17"/>
      <c r="T223" s="17"/>
      <c r="U223" s="17"/>
      <c r="V223" s="12" t="s">
        <v>1228</v>
      </c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>
      <c r="A224" s="12" t="s">
        <v>906</v>
      </c>
      <c r="B224" s="12" t="s">
        <v>818</v>
      </c>
      <c r="C224" s="44"/>
      <c r="D224" s="12" t="b">
        <v>0</v>
      </c>
      <c r="E224" s="12">
        <v>3.0</v>
      </c>
      <c r="F224" s="17"/>
      <c r="G224" s="12" t="s">
        <v>1110</v>
      </c>
      <c r="H224" s="108" t="s">
        <v>1231</v>
      </c>
      <c r="I224" s="12" t="s">
        <v>1232</v>
      </c>
      <c r="J224" s="12" t="s">
        <v>1233</v>
      </c>
      <c r="K224" s="14">
        <v>2.02509250162E11</v>
      </c>
      <c r="L224" s="70" t="b">
        <v>0</v>
      </c>
      <c r="M224" s="17"/>
      <c r="N224" s="70" t="b">
        <v>0</v>
      </c>
      <c r="O224" s="70" t="b">
        <v>0</v>
      </c>
      <c r="P224" s="70" t="b">
        <v>0</v>
      </c>
      <c r="Q224" s="12" t="s">
        <v>1227</v>
      </c>
      <c r="R224" s="12">
        <v>5.0</v>
      </c>
      <c r="S224" s="17"/>
      <c r="T224" s="17"/>
      <c r="U224" s="17"/>
      <c r="V224" s="12" t="s">
        <v>1231</v>
      </c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</row>
    <row r="225">
      <c r="A225" s="12" t="s">
        <v>906</v>
      </c>
      <c r="B225" s="12" t="s">
        <v>818</v>
      </c>
      <c r="C225" s="44"/>
      <c r="D225" s="12" t="b">
        <v>0</v>
      </c>
      <c r="E225" s="12">
        <v>4.0</v>
      </c>
      <c r="F225" s="17"/>
      <c r="G225" s="12" t="s">
        <v>1110</v>
      </c>
      <c r="H225" s="108" t="s">
        <v>1234</v>
      </c>
      <c r="I225" s="12" t="s">
        <v>1235</v>
      </c>
      <c r="J225" s="12" t="s">
        <v>1236</v>
      </c>
      <c r="K225" s="14">
        <v>2.02509250177E11</v>
      </c>
      <c r="L225" s="70" t="b">
        <v>0</v>
      </c>
      <c r="M225" s="17"/>
      <c r="N225" s="70" t="b">
        <v>0</v>
      </c>
      <c r="O225" s="70" t="b">
        <v>0</v>
      </c>
      <c r="P225" s="70" t="b">
        <v>0</v>
      </c>
      <c r="Q225" s="12" t="s">
        <v>1227</v>
      </c>
      <c r="R225" s="12">
        <v>6.0</v>
      </c>
      <c r="S225" s="17"/>
      <c r="T225" s="17"/>
      <c r="U225" s="17"/>
      <c r="V225" s="12" t="s">
        <v>1234</v>
      </c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</row>
    <row r="226">
      <c r="A226" s="12" t="s">
        <v>906</v>
      </c>
      <c r="B226" s="12" t="s">
        <v>818</v>
      </c>
      <c r="C226" s="44"/>
      <c r="D226" s="12" t="b">
        <v>0</v>
      </c>
      <c r="E226" s="12">
        <v>5.0</v>
      </c>
      <c r="F226" s="17"/>
      <c r="G226" s="12" t="s">
        <v>1110</v>
      </c>
      <c r="H226" s="108" t="s">
        <v>558</v>
      </c>
      <c r="I226" s="14" t="s">
        <v>1237</v>
      </c>
      <c r="J226" s="12" t="s">
        <v>1238</v>
      </c>
      <c r="K226" s="14">
        <v>2.02509250141E11</v>
      </c>
      <c r="L226" s="70" t="b">
        <v>0</v>
      </c>
      <c r="M226" s="17"/>
      <c r="N226" s="70" t="b">
        <v>0</v>
      </c>
      <c r="O226" s="70" t="b">
        <v>0</v>
      </c>
      <c r="P226" s="70" t="b">
        <v>0</v>
      </c>
      <c r="Q226" s="12" t="s">
        <v>1227</v>
      </c>
      <c r="R226" s="12">
        <v>7.0</v>
      </c>
      <c r="S226" s="17"/>
      <c r="T226" s="17"/>
      <c r="U226" s="17"/>
      <c r="V226" s="12" t="s">
        <v>558</v>
      </c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>
      <c r="A227" s="12" t="s">
        <v>906</v>
      </c>
      <c r="B227" s="12" t="s">
        <v>818</v>
      </c>
      <c r="C227" s="44"/>
      <c r="D227" s="12" t="b">
        <v>0</v>
      </c>
      <c r="E227" s="12">
        <v>6.0</v>
      </c>
      <c r="F227" s="17"/>
      <c r="G227" s="12" t="s">
        <v>1110</v>
      </c>
      <c r="H227" s="108" t="s">
        <v>1239</v>
      </c>
      <c r="I227" s="12" t="s">
        <v>1240</v>
      </c>
      <c r="J227" s="12" t="s">
        <v>1241</v>
      </c>
      <c r="K227" s="14">
        <v>2.0250925004E11</v>
      </c>
      <c r="L227" s="70" t="b">
        <v>0</v>
      </c>
      <c r="M227" s="17"/>
      <c r="N227" s="70" t="b">
        <v>0</v>
      </c>
      <c r="O227" s="70" t="b">
        <v>0</v>
      </c>
      <c r="P227" s="70" t="b">
        <v>0</v>
      </c>
      <c r="Q227" s="12" t="s">
        <v>1227</v>
      </c>
      <c r="R227" s="12">
        <v>9.0</v>
      </c>
      <c r="S227" s="17"/>
      <c r="T227" s="17"/>
      <c r="U227" s="17"/>
      <c r="V227" s="12" t="s">
        <v>1239</v>
      </c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>
      <c r="A228" s="12" t="s">
        <v>906</v>
      </c>
      <c r="B228" s="12" t="s">
        <v>818</v>
      </c>
      <c r="C228" s="44"/>
      <c r="D228" s="12" t="b">
        <v>0</v>
      </c>
      <c r="E228" s="12">
        <v>7.0</v>
      </c>
      <c r="F228" s="17"/>
      <c r="G228" s="12" t="s">
        <v>1110</v>
      </c>
      <c r="H228" s="108" t="s">
        <v>1242</v>
      </c>
      <c r="I228" s="12" t="s">
        <v>1243</v>
      </c>
      <c r="J228" s="12" t="s">
        <v>1244</v>
      </c>
      <c r="K228" s="14">
        <v>2.02509250098E11</v>
      </c>
      <c r="L228" s="70" t="b">
        <v>0</v>
      </c>
      <c r="M228" s="17"/>
      <c r="N228" s="70" t="b">
        <v>0</v>
      </c>
      <c r="O228" s="70" t="b">
        <v>0</v>
      </c>
      <c r="P228" s="70" t="b">
        <v>0</v>
      </c>
      <c r="Q228" s="12" t="s">
        <v>1227</v>
      </c>
      <c r="R228" s="12">
        <v>10.0</v>
      </c>
      <c r="S228" s="17"/>
      <c r="T228" s="17"/>
      <c r="U228" s="17"/>
      <c r="V228" s="12" t="s">
        <v>1242</v>
      </c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</row>
    <row r="229">
      <c r="A229" s="12" t="s">
        <v>906</v>
      </c>
      <c r="B229" s="12" t="s">
        <v>818</v>
      </c>
      <c r="C229" s="44"/>
      <c r="D229" s="12" t="b">
        <v>0</v>
      </c>
      <c r="E229" s="12">
        <v>8.0</v>
      </c>
      <c r="F229" s="17"/>
      <c r="G229" s="12" t="s">
        <v>1110</v>
      </c>
      <c r="H229" s="108" t="s">
        <v>1245</v>
      </c>
      <c r="I229" s="12" t="s">
        <v>1246</v>
      </c>
      <c r="J229" s="12" t="s">
        <v>1247</v>
      </c>
      <c r="K229" s="14">
        <v>2.02509250092E11</v>
      </c>
      <c r="L229" s="70" t="b">
        <v>0</v>
      </c>
      <c r="M229" s="17"/>
      <c r="N229" s="70" t="b">
        <v>0</v>
      </c>
      <c r="O229" s="70" t="b">
        <v>0</v>
      </c>
      <c r="P229" s="70" t="b">
        <v>0</v>
      </c>
      <c r="Q229" s="12" t="s">
        <v>1227</v>
      </c>
      <c r="R229" s="12">
        <v>11.0</v>
      </c>
      <c r="S229" s="17"/>
      <c r="T229" s="17"/>
      <c r="U229" s="17"/>
      <c r="V229" s="12" t="s">
        <v>1245</v>
      </c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</row>
    <row r="230">
      <c r="A230" s="12" t="s">
        <v>906</v>
      </c>
      <c r="B230" s="12" t="s">
        <v>818</v>
      </c>
      <c r="C230" s="44"/>
      <c r="D230" s="12" t="b">
        <v>0</v>
      </c>
      <c r="E230" s="12">
        <v>9.0</v>
      </c>
      <c r="F230" s="17"/>
      <c r="G230" s="12" t="s">
        <v>1110</v>
      </c>
      <c r="H230" s="108" t="s">
        <v>1208</v>
      </c>
      <c r="I230" s="12" t="s">
        <v>1209</v>
      </c>
      <c r="J230" s="12" t="s">
        <v>1210</v>
      </c>
      <c r="K230" s="14">
        <v>2.02509250038E11</v>
      </c>
      <c r="L230" s="70" t="b">
        <v>0</v>
      </c>
      <c r="M230" s="17"/>
      <c r="N230" s="70" t="b">
        <v>0</v>
      </c>
      <c r="O230" s="70" t="b">
        <v>0</v>
      </c>
      <c r="P230" s="70" t="b">
        <v>0</v>
      </c>
      <c r="Q230" s="12"/>
      <c r="R230" s="12"/>
      <c r="S230" s="17"/>
      <c r="T230" s="17"/>
      <c r="U230" s="17"/>
      <c r="V230" s="12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>
      <c r="A231" s="12" t="s">
        <v>906</v>
      </c>
      <c r="B231" s="12" t="s">
        <v>818</v>
      </c>
      <c r="C231" s="44"/>
      <c r="D231" s="12" t="b">
        <v>0</v>
      </c>
      <c r="E231" s="12">
        <v>10.0</v>
      </c>
      <c r="F231" s="17"/>
      <c r="G231" s="12" t="s">
        <v>1110</v>
      </c>
      <c r="H231" s="108" t="s">
        <v>1248</v>
      </c>
      <c r="I231" s="12" t="s">
        <v>1249</v>
      </c>
      <c r="J231" s="12" t="s">
        <v>1250</v>
      </c>
      <c r="K231" s="14">
        <v>2.02509250033E11</v>
      </c>
      <c r="L231" s="70" t="b">
        <v>0</v>
      </c>
      <c r="M231" s="17"/>
      <c r="N231" s="70" t="b">
        <v>0</v>
      </c>
      <c r="O231" s="70" t="b">
        <v>0</v>
      </c>
      <c r="P231" s="70" t="b">
        <v>0</v>
      </c>
      <c r="Q231" s="12" t="s">
        <v>1227</v>
      </c>
      <c r="R231" s="12">
        <v>13.0</v>
      </c>
      <c r="S231" s="17"/>
      <c r="T231" s="17"/>
      <c r="U231" s="17"/>
      <c r="V231" s="12" t="s">
        <v>1248</v>
      </c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>
      <c r="A232" s="12" t="s">
        <v>906</v>
      </c>
      <c r="B232" s="12" t="s">
        <v>818</v>
      </c>
      <c r="C232" s="44"/>
      <c r="D232" s="12" t="b">
        <v>0</v>
      </c>
      <c r="E232" s="12">
        <v>11.0</v>
      </c>
      <c r="F232" s="17"/>
      <c r="G232" s="12" t="s">
        <v>1110</v>
      </c>
      <c r="H232" s="108" t="s">
        <v>1251</v>
      </c>
      <c r="I232" s="12" t="s">
        <v>1252</v>
      </c>
      <c r="J232" s="12" t="s">
        <v>1253</v>
      </c>
      <c r="K232" s="14">
        <v>2.02509250144E11</v>
      </c>
      <c r="L232" s="70" t="b">
        <v>0</v>
      </c>
      <c r="M232" s="17"/>
      <c r="N232" s="70" t="b">
        <v>0</v>
      </c>
      <c r="O232" s="70" t="b">
        <v>0</v>
      </c>
      <c r="P232" s="70" t="b">
        <v>0</v>
      </c>
      <c r="Q232" s="12" t="s">
        <v>1227</v>
      </c>
      <c r="R232" s="12">
        <v>14.0</v>
      </c>
      <c r="S232" s="17"/>
      <c r="T232" s="17"/>
      <c r="U232" s="17"/>
      <c r="V232" s="12" t="s">
        <v>1251</v>
      </c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</row>
    <row r="233">
      <c r="A233" s="12" t="s">
        <v>906</v>
      </c>
      <c r="B233" s="12" t="s">
        <v>818</v>
      </c>
      <c r="C233" s="44"/>
      <c r="D233" s="12" t="b">
        <v>0</v>
      </c>
      <c r="E233" s="12">
        <v>12.0</v>
      </c>
      <c r="F233" s="17"/>
      <c r="G233" s="12" t="s">
        <v>1110</v>
      </c>
      <c r="H233" s="108" t="s">
        <v>1254</v>
      </c>
      <c r="I233" s="12" t="s">
        <v>1255</v>
      </c>
      <c r="J233" s="12" t="s">
        <v>1256</v>
      </c>
      <c r="K233" s="14">
        <v>2.02509250027E11</v>
      </c>
      <c r="L233" s="70" t="b">
        <v>0</v>
      </c>
      <c r="M233" s="17"/>
      <c r="N233" s="70" t="b">
        <v>0</v>
      </c>
      <c r="O233" s="70" t="b">
        <v>0</v>
      </c>
      <c r="P233" s="70" t="b">
        <v>0</v>
      </c>
      <c r="Q233" s="12" t="s">
        <v>1227</v>
      </c>
      <c r="R233" s="12">
        <v>15.0</v>
      </c>
      <c r="S233" s="17"/>
      <c r="T233" s="17"/>
      <c r="U233" s="17"/>
      <c r="V233" s="12" t="s">
        <v>1254</v>
      </c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</row>
    <row r="234">
      <c r="A234" s="12" t="s">
        <v>906</v>
      </c>
      <c r="B234" s="12" t="s">
        <v>818</v>
      </c>
      <c r="C234" s="44"/>
      <c r="D234" s="12" t="b">
        <v>0</v>
      </c>
      <c r="E234" s="12">
        <v>13.0</v>
      </c>
      <c r="F234" s="17"/>
      <c r="G234" s="12" t="s">
        <v>1110</v>
      </c>
      <c r="H234" s="108" t="s">
        <v>1257</v>
      </c>
      <c r="I234" s="12" t="s">
        <v>1258</v>
      </c>
      <c r="J234" s="12" t="s">
        <v>1259</v>
      </c>
      <c r="K234" s="14">
        <v>2.02509250163E11</v>
      </c>
      <c r="L234" s="70" t="b">
        <v>0</v>
      </c>
      <c r="M234" s="17"/>
      <c r="N234" s="70" t="b">
        <v>0</v>
      </c>
      <c r="O234" s="70" t="b">
        <v>0</v>
      </c>
      <c r="P234" s="70" t="b">
        <v>0</v>
      </c>
      <c r="Q234" s="12" t="s">
        <v>1227</v>
      </c>
      <c r="R234" s="12">
        <v>16.0</v>
      </c>
      <c r="S234" s="17"/>
      <c r="T234" s="17"/>
      <c r="U234" s="17"/>
      <c r="V234" s="12" t="s">
        <v>1257</v>
      </c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</row>
    <row r="235">
      <c r="A235" s="12" t="s">
        <v>906</v>
      </c>
      <c r="B235" s="12" t="s">
        <v>818</v>
      </c>
      <c r="C235" s="44"/>
      <c r="D235" s="12" t="b">
        <v>0</v>
      </c>
      <c r="E235" s="12">
        <v>14.0</v>
      </c>
      <c r="F235" s="17"/>
      <c r="G235" s="12" t="s">
        <v>1110</v>
      </c>
      <c r="H235" s="108" t="s">
        <v>1260</v>
      </c>
      <c r="I235" s="12" t="s">
        <v>1261</v>
      </c>
      <c r="J235" s="12" t="s">
        <v>1262</v>
      </c>
      <c r="K235" s="14">
        <v>2.02509250006E11</v>
      </c>
      <c r="L235" s="70" t="b">
        <v>0</v>
      </c>
      <c r="M235" s="17"/>
      <c r="N235" s="70" t="b">
        <v>0</v>
      </c>
      <c r="O235" s="70" t="b">
        <v>0</v>
      </c>
      <c r="P235" s="70" t="b">
        <v>0</v>
      </c>
      <c r="Q235" s="12" t="s">
        <v>1227</v>
      </c>
      <c r="R235" s="12">
        <v>17.0</v>
      </c>
      <c r="S235" s="17"/>
      <c r="T235" s="17"/>
      <c r="U235" s="17"/>
      <c r="V235" s="12" t="s">
        <v>1260</v>
      </c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</row>
    <row r="236">
      <c r="A236" s="12" t="s">
        <v>906</v>
      </c>
      <c r="B236" s="12" t="s">
        <v>818</v>
      </c>
      <c r="C236" s="44"/>
      <c r="D236" s="12" t="b">
        <v>0</v>
      </c>
      <c r="E236" s="12">
        <v>15.0</v>
      </c>
      <c r="F236" s="17"/>
      <c r="G236" s="12" t="s">
        <v>1110</v>
      </c>
      <c r="H236" s="108" t="s">
        <v>1263</v>
      </c>
      <c r="I236" s="12" t="s">
        <v>1264</v>
      </c>
      <c r="J236" s="12" t="s">
        <v>1265</v>
      </c>
      <c r="K236" s="14">
        <v>2.02509250048E11</v>
      </c>
      <c r="L236" s="70" t="b">
        <v>0</v>
      </c>
      <c r="M236" s="17"/>
      <c r="N236" s="70" t="b">
        <v>0</v>
      </c>
      <c r="O236" s="70" t="b">
        <v>0</v>
      </c>
      <c r="P236" s="70" t="b">
        <v>0</v>
      </c>
      <c r="Q236" s="12" t="s">
        <v>1227</v>
      </c>
      <c r="R236" s="12">
        <v>18.0</v>
      </c>
      <c r="S236" s="17"/>
      <c r="T236" s="17"/>
      <c r="U236" s="17"/>
      <c r="V236" s="12" t="s">
        <v>1263</v>
      </c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</row>
    <row r="237">
      <c r="A237" s="12" t="s">
        <v>906</v>
      </c>
      <c r="B237" s="12" t="s">
        <v>818</v>
      </c>
      <c r="C237" s="44"/>
      <c r="D237" s="12" t="b">
        <v>0</v>
      </c>
      <c r="E237" s="12">
        <v>16.0</v>
      </c>
      <c r="F237" s="17"/>
      <c r="G237" s="12" t="s">
        <v>855</v>
      </c>
      <c r="H237" s="108" t="s">
        <v>1266</v>
      </c>
      <c r="I237" s="12" t="s">
        <v>1267</v>
      </c>
      <c r="J237" s="12" t="s">
        <v>1268</v>
      </c>
      <c r="K237" s="14"/>
      <c r="L237" s="70" t="b">
        <v>0</v>
      </c>
      <c r="M237" s="17"/>
      <c r="N237" s="70" t="b">
        <v>0</v>
      </c>
      <c r="O237" s="70" t="b">
        <v>0</v>
      </c>
      <c r="P237" s="70" t="b">
        <v>0</v>
      </c>
      <c r="Q237" s="12"/>
      <c r="R237" s="12"/>
      <c r="S237" s="17"/>
      <c r="T237" s="17"/>
      <c r="U237" s="17"/>
      <c r="V237" s="12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</row>
    <row r="238">
      <c r="A238" s="12" t="s">
        <v>906</v>
      </c>
      <c r="B238" s="12" t="s">
        <v>818</v>
      </c>
      <c r="C238" s="44"/>
      <c r="D238" s="12" t="b">
        <v>0</v>
      </c>
      <c r="E238" s="12">
        <v>17.0</v>
      </c>
      <c r="F238" s="17"/>
      <c r="G238" s="12" t="s">
        <v>855</v>
      </c>
      <c r="H238" s="108" t="s">
        <v>1269</v>
      </c>
      <c r="I238" s="12" t="s">
        <v>1270</v>
      </c>
      <c r="J238" s="12" t="s">
        <v>1271</v>
      </c>
      <c r="K238" s="14"/>
      <c r="L238" s="70" t="b">
        <v>0</v>
      </c>
      <c r="M238" s="17"/>
      <c r="N238" s="70" t="b">
        <v>0</v>
      </c>
      <c r="O238" s="70" t="b">
        <v>0</v>
      </c>
      <c r="P238" s="70" t="b">
        <v>0</v>
      </c>
      <c r="Q238" s="12"/>
      <c r="R238" s="12"/>
      <c r="S238" s="17"/>
      <c r="T238" s="17"/>
      <c r="U238" s="17"/>
      <c r="V238" s="12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</row>
    <row r="239">
      <c r="A239" s="12" t="s">
        <v>906</v>
      </c>
      <c r="B239" s="12" t="s">
        <v>818</v>
      </c>
      <c r="C239" s="44"/>
      <c r="D239" s="12" t="b">
        <v>0</v>
      </c>
      <c r="E239" s="12">
        <v>18.0</v>
      </c>
      <c r="F239" s="17"/>
      <c r="G239" s="12" t="s">
        <v>855</v>
      </c>
      <c r="H239" s="108" t="s">
        <v>1272</v>
      </c>
      <c r="I239" s="12" t="s">
        <v>1273</v>
      </c>
      <c r="J239" s="12" t="s">
        <v>1274</v>
      </c>
      <c r="K239" s="14"/>
      <c r="L239" s="70" t="b">
        <v>0</v>
      </c>
      <c r="M239" s="17"/>
      <c r="N239" s="70" t="b">
        <v>0</v>
      </c>
      <c r="O239" s="70" t="b">
        <v>0</v>
      </c>
      <c r="P239" s="70" t="b">
        <v>0</v>
      </c>
      <c r="Q239" s="12"/>
      <c r="R239" s="12"/>
      <c r="S239" s="17"/>
      <c r="T239" s="17"/>
      <c r="U239" s="17"/>
      <c r="V239" s="12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</row>
    <row r="240">
      <c r="A240" s="12" t="s">
        <v>906</v>
      </c>
      <c r="B240" s="12" t="s">
        <v>818</v>
      </c>
      <c r="C240" s="44"/>
      <c r="D240" s="12" t="b">
        <v>0</v>
      </c>
      <c r="E240" s="12">
        <v>19.0</v>
      </c>
      <c r="F240" s="17"/>
      <c r="G240" s="12" t="s">
        <v>855</v>
      </c>
      <c r="H240" s="108" t="s">
        <v>1275</v>
      </c>
      <c r="I240" s="12" t="s">
        <v>1276</v>
      </c>
      <c r="J240" s="12" t="s">
        <v>1277</v>
      </c>
      <c r="K240" s="14"/>
      <c r="L240" s="70" t="b">
        <v>0</v>
      </c>
      <c r="M240" s="17"/>
      <c r="N240" s="70" t="b">
        <v>0</v>
      </c>
      <c r="O240" s="70" t="b">
        <v>0</v>
      </c>
      <c r="P240" s="70" t="b">
        <v>0</v>
      </c>
      <c r="Q240" s="12"/>
      <c r="R240" s="12"/>
      <c r="S240" s="17"/>
      <c r="T240" s="17"/>
      <c r="U240" s="17"/>
      <c r="V240" s="12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</row>
    <row r="241">
      <c r="A241" s="12" t="s">
        <v>906</v>
      </c>
      <c r="B241" s="12" t="s">
        <v>818</v>
      </c>
      <c r="C241" s="44"/>
      <c r="D241" s="12" t="b">
        <v>0</v>
      </c>
      <c r="E241" s="12">
        <v>20.0</v>
      </c>
      <c r="F241" s="17"/>
      <c r="G241" s="12" t="s">
        <v>855</v>
      </c>
      <c r="H241" s="108" t="s">
        <v>1278</v>
      </c>
      <c r="I241" s="12" t="s">
        <v>1279</v>
      </c>
      <c r="J241" s="12" t="s">
        <v>1280</v>
      </c>
      <c r="K241" s="14">
        <v>2.02509250071E11</v>
      </c>
      <c r="L241" s="70" t="b">
        <v>0</v>
      </c>
      <c r="M241" s="17"/>
      <c r="N241" s="70" t="b">
        <v>0</v>
      </c>
      <c r="O241" s="70" t="b">
        <v>0</v>
      </c>
      <c r="P241" s="70" t="b">
        <v>0</v>
      </c>
      <c r="Q241" s="12" t="s">
        <v>1227</v>
      </c>
      <c r="R241" s="12">
        <v>19.0</v>
      </c>
      <c r="S241" s="17"/>
      <c r="T241" s="17"/>
      <c r="U241" s="17"/>
      <c r="V241" s="12" t="s">
        <v>1278</v>
      </c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</row>
    <row r="242">
      <c r="A242" s="12" t="s">
        <v>906</v>
      </c>
      <c r="B242" s="12" t="s">
        <v>818</v>
      </c>
      <c r="C242" s="44"/>
      <c r="D242" s="12" t="b">
        <v>0</v>
      </c>
      <c r="E242" s="12">
        <v>21.0</v>
      </c>
      <c r="F242" s="17"/>
      <c r="G242" s="12" t="s">
        <v>855</v>
      </c>
      <c r="H242" s="108" t="s">
        <v>1281</v>
      </c>
      <c r="I242" s="12" t="s">
        <v>1282</v>
      </c>
      <c r="J242" s="12" t="s">
        <v>1283</v>
      </c>
      <c r="K242" s="14">
        <v>2.02509250039E11</v>
      </c>
      <c r="L242" s="70" t="b">
        <v>0</v>
      </c>
      <c r="M242" s="17"/>
      <c r="N242" s="70" t="b">
        <v>0</v>
      </c>
      <c r="O242" s="70" t="b">
        <v>0</v>
      </c>
      <c r="P242" s="70" t="b">
        <v>0</v>
      </c>
      <c r="Q242" s="12" t="s">
        <v>1227</v>
      </c>
      <c r="R242" s="12">
        <v>20.0</v>
      </c>
      <c r="S242" s="17"/>
      <c r="T242" s="17"/>
      <c r="U242" s="17"/>
      <c r="V242" s="12" t="s">
        <v>1281</v>
      </c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</row>
    <row r="243">
      <c r="A243" s="12" t="s">
        <v>906</v>
      </c>
      <c r="B243" s="12" t="s">
        <v>818</v>
      </c>
      <c r="C243" s="44"/>
      <c r="D243" s="12" t="b">
        <v>0</v>
      </c>
      <c r="E243" s="12">
        <v>22.0</v>
      </c>
      <c r="F243" s="17"/>
      <c r="G243" s="12" t="s">
        <v>855</v>
      </c>
      <c r="H243" s="108" t="s">
        <v>1284</v>
      </c>
      <c r="I243" s="12" t="s">
        <v>1285</v>
      </c>
      <c r="J243" s="12" t="s">
        <v>1283</v>
      </c>
      <c r="K243" s="14">
        <v>2.02509250045E11</v>
      </c>
      <c r="L243" s="70" t="b">
        <v>0</v>
      </c>
      <c r="M243" s="17"/>
      <c r="N243" s="70" t="b">
        <v>0</v>
      </c>
      <c r="O243" s="70" t="b">
        <v>0</v>
      </c>
      <c r="P243" s="70" t="b">
        <v>0</v>
      </c>
      <c r="Q243" s="12" t="s">
        <v>1227</v>
      </c>
      <c r="R243" s="12">
        <v>21.0</v>
      </c>
      <c r="S243" s="17"/>
      <c r="T243" s="17"/>
      <c r="U243" s="17"/>
      <c r="V243" s="12" t="s">
        <v>1284</v>
      </c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</row>
    <row r="244">
      <c r="A244" s="12" t="s">
        <v>906</v>
      </c>
      <c r="B244" s="12" t="s">
        <v>818</v>
      </c>
      <c r="C244" s="44"/>
      <c r="D244" s="12" t="b">
        <v>0</v>
      </c>
      <c r="E244" s="12">
        <v>23.0</v>
      </c>
      <c r="F244" s="17"/>
      <c r="G244" s="12" t="s">
        <v>855</v>
      </c>
      <c r="H244" s="108" t="s">
        <v>1286</v>
      </c>
      <c r="I244" s="12" t="s">
        <v>1287</v>
      </c>
      <c r="J244" s="12" t="s">
        <v>1288</v>
      </c>
      <c r="K244" s="14">
        <v>2.02509250063E11</v>
      </c>
      <c r="L244" s="70" t="b">
        <v>0</v>
      </c>
      <c r="M244" s="17"/>
      <c r="N244" s="70" t="b">
        <v>0</v>
      </c>
      <c r="O244" s="70" t="b">
        <v>0</v>
      </c>
      <c r="P244" s="70" t="b">
        <v>0</v>
      </c>
      <c r="Q244" s="12" t="s">
        <v>1227</v>
      </c>
      <c r="R244" s="12">
        <v>22.0</v>
      </c>
      <c r="S244" s="17"/>
      <c r="T244" s="17"/>
      <c r="U244" s="17"/>
      <c r="V244" s="12" t="s">
        <v>1286</v>
      </c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</row>
    <row r="245">
      <c r="A245" s="12" t="s">
        <v>906</v>
      </c>
      <c r="B245" s="12" t="s">
        <v>818</v>
      </c>
      <c r="C245" s="44"/>
      <c r="D245" s="12" t="b">
        <v>0</v>
      </c>
      <c r="E245" s="12">
        <v>24.0</v>
      </c>
      <c r="F245" s="17"/>
      <c r="G245" s="12" t="s">
        <v>855</v>
      </c>
      <c r="H245" s="108" t="s">
        <v>561</v>
      </c>
      <c r="I245" s="12" t="s">
        <v>1289</v>
      </c>
      <c r="J245" s="12" t="s">
        <v>1290</v>
      </c>
      <c r="K245" s="14">
        <v>2.02509250042E11</v>
      </c>
      <c r="L245" s="70" t="b">
        <v>0</v>
      </c>
      <c r="M245" s="17"/>
      <c r="N245" s="70" t="b">
        <v>0</v>
      </c>
      <c r="O245" s="70" t="b">
        <v>0</v>
      </c>
      <c r="P245" s="70" t="b">
        <v>0</v>
      </c>
      <c r="Q245" s="12" t="s">
        <v>1227</v>
      </c>
      <c r="R245" s="12">
        <v>23.0</v>
      </c>
      <c r="S245" s="17"/>
      <c r="T245" s="17"/>
      <c r="U245" s="17"/>
      <c r="V245" s="12" t="s">
        <v>561</v>
      </c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</row>
    <row r="246">
      <c r="A246" s="12" t="s">
        <v>906</v>
      </c>
      <c r="B246" s="12" t="s">
        <v>818</v>
      </c>
      <c r="C246" s="44"/>
      <c r="D246" s="12" t="b">
        <v>0</v>
      </c>
      <c r="E246" s="12">
        <v>25.0</v>
      </c>
      <c r="F246" s="17"/>
      <c r="G246" s="12" t="s">
        <v>855</v>
      </c>
      <c r="H246" s="108" t="s">
        <v>1291</v>
      </c>
      <c r="I246" s="12" t="s">
        <v>1292</v>
      </c>
      <c r="J246" s="12" t="s">
        <v>1293</v>
      </c>
      <c r="K246" s="14">
        <v>2.02509250101E11</v>
      </c>
      <c r="L246" s="70" t="b">
        <v>0</v>
      </c>
      <c r="M246" s="17"/>
      <c r="N246" s="70" t="b">
        <v>0</v>
      </c>
      <c r="O246" s="70" t="b">
        <v>0</v>
      </c>
      <c r="P246" s="70" t="b">
        <v>0</v>
      </c>
      <c r="Q246" s="12" t="s">
        <v>1227</v>
      </c>
      <c r="R246" s="12">
        <v>24.0</v>
      </c>
      <c r="S246" s="17"/>
      <c r="T246" s="17"/>
      <c r="U246" s="17"/>
      <c r="V246" s="12" t="s">
        <v>1291</v>
      </c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</row>
    <row r="247">
      <c r="A247" s="12" t="s">
        <v>906</v>
      </c>
      <c r="B247" s="12" t="s">
        <v>818</v>
      </c>
      <c r="C247" s="44"/>
      <c r="D247" s="12" t="b">
        <v>0</v>
      </c>
      <c r="E247" s="12">
        <v>26.0</v>
      </c>
      <c r="F247" s="17"/>
      <c r="G247" s="12" t="s">
        <v>855</v>
      </c>
      <c r="H247" s="108" t="s">
        <v>1294</v>
      </c>
      <c r="I247" s="12" t="s">
        <v>1295</v>
      </c>
      <c r="J247" s="12" t="s">
        <v>1296</v>
      </c>
      <c r="K247" s="14">
        <v>2.02509250067E11</v>
      </c>
      <c r="L247" s="70" t="b">
        <v>0</v>
      </c>
      <c r="M247" s="17"/>
      <c r="N247" s="70" t="b">
        <v>0</v>
      </c>
      <c r="O247" s="70" t="b">
        <v>0</v>
      </c>
      <c r="P247" s="70" t="b">
        <v>0</v>
      </c>
      <c r="Q247" s="12" t="s">
        <v>1227</v>
      </c>
      <c r="R247" s="12">
        <v>25.0</v>
      </c>
      <c r="S247" s="17"/>
      <c r="T247" s="17"/>
      <c r="U247" s="17"/>
      <c r="V247" s="12" t="s">
        <v>1294</v>
      </c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</row>
    <row r="248">
      <c r="A248" s="12" t="s">
        <v>906</v>
      </c>
      <c r="B248" s="12" t="s">
        <v>818</v>
      </c>
      <c r="C248" s="44"/>
      <c r="D248" s="12" t="b">
        <v>0</v>
      </c>
      <c r="E248" s="12">
        <v>27.0</v>
      </c>
      <c r="F248" s="17"/>
      <c r="G248" s="12" t="s">
        <v>855</v>
      </c>
      <c r="H248" s="108" t="s">
        <v>1297</v>
      </c>
      <c r="I248" s="12" t="s">
        <v>1298</v>
      </c>
      <c r="J248" s="12" t="s">
        <v>1299</v>
      </c>
      <c r="K248" s="14">
        <v>2.02509250109E11</v>
      </c>
      <c r="L248" s="70" t="b">
        <v>0</v>
      </c>
      <c r="M248" s="17"/>
      <c r="N248" s="70" t="b">
        <v>0</v>
      </c>
      <c r="O248" s="70" t="b">
        <v>0</v>
      </c>
      <c r="P248" s="70" t="b">
        <v>0</v>
      </c>
      <c r="Q248" s="12" t="s">
        <v>1227</v>
      </c>
      <c r="R248" s="12">
        <v>26.0</v>
      </c>
      <c r="S248" s="17"/>
      <c r="T248" s="17"/>
      <c r="U248" s="17"/>
      <c r="V248" s="12" t="s">
        <v>1297</v>
      </c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</row>
    <row r="249">
      <c r="A249" s="12" t="s">
        <v>906</v>
      </c>
      <c r="B249" s="12" t="s">
        <v>818</v>
      </c>
      <c r="C249" s="44"/>
      <c r="D249" s="12" t="b">
        <v>0</v>
      </c>
      <c r="E249" s="12">
        <v>28.0</v>
      </c>
      <c r="F249" s="17"/>
      <c r="G249" s="12" t="s">
        <v>855</v>
      </c>
      <c r="H249" s="108" t="s">
        <v>1212</v>
      </c>
      <c r="I249" s="12" t="s">
        <v>1213</v>
      </c>
      <c r="J249" s="12" t="s">
        <v>1214</v>
      </c>
      <c r="K249" s="14">
        <v>2.02509250139E11</v>
      </c>
      <c r="L249" s="70" t="b">
        <v>0</v>
      </c>
      <c r="M249" s="17"/>
      <c r="N249" s="70" t="b">
        <v>0</v>
      </c>
      <c r="O249" s="70" t="b">
        <v>0</v>
      </c>
      <c r="P249" s="70" t="b">
        <v>0</v>
      </c>
      <c r="Q249" s="12" t="s">
        <v>1227</v>
      </c>
      <c r="R249" s="12">
        <v>27.0</v>
      </c>
      <c r="S249" s="17"/>
      <c r="T249" s="17"/>
      <c r="U249" s="17"/>
      <c r="V249" s="12" t="s">
        <v>1212</v>
      </c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</row>
    <row r="250">
      <c r="A250" s="12" t="s">
        <v>906</v>
      </c>
      <c r="B250" s="12" t="s">
        <v>818</v>
      </c>
      <c r="C250" s="44"/>
      <c r="D250" s="12" t="b">
        <v>0</v>
      </c>
      <c r="E250" s="12">
        <v>29.0</v>
      </c>
      <c r="F250" s="17"/>
      <c r="G250" s="12" t="s">
        <v>855</v>
      </c>
      <c r="H250" s="108" t="s">
        <v>1300</v>
      </c>
      <c r="I250" s="12" t="s">
        <v>1301</v>
      </c>
      <c r="J250" s="12" t="s">
        <v>1302</v>
      </c>
      <c r="K250" s="14">
        <v>2.02509250138E11</v>
      </c>
      <c r="L250" s="70" t="b">
        <v>0</v>
      </c>
      <c r="M250" s="17"/>
      <c r="N250" s="70" t="b">
        <v>0</v>
      </c>
      <c r="O250" s="70" t="b">
        <v>0</v>
      </c>
      <c r="P250" s="70" t="b">
        <v>0</v>
      </c>
      <c r="Q250" s="12" t="s">
        <v>1227</v>
      </c>
      <c r="R250" s="12">
        <v>28.0</v>
      </c>
      <c r="S250" s="17"/>
      <c r="T250" s="17"/>
      <c r="U250" s="17"/>
      <c r="V250" s="12" t="s">
        <v>1300</v>
      </c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</row>
    <row r="251">
      <c r="A251" s="12" t="s">
        <v>906</v>
      </c>
      <c r="B251" s="12" t="s">
        <v>818</v>
      </c>
      <c r="C251" s="44"/>
      <c r="D251" s="12" t="b">
        <v>0</v>
      </c>
      <c r="E251" s="12">
        <v>30.0</v>
      </c>
      <c r="F251" s="17"/>
      <c r="G251" s="12" t="s">
        <v>855</v>
      </c>
      <c r="H251" s="108" t="s">
        <v>1303</v>
      </c>
      <c r="I251" s="12" t="s">
        <v>1304</v>
      </c>
      <c r="J251" s="12" t="s">
        <v>1305</v>
      </c>
      <c r="K251" s="14">
        <v>2.02509250007E11</v>
      </c>
      <c r="L251" s="70" t="b">
        <v>0</v>
      </c>
      <c r="M251" s="17"/>
      <c r="N251" s="70" t="b">
        <v>0</v>
      </c>
      <c r="O251" s="70" t="b">
        <v>0</v>
      </c>
      <c r="P251" s="70" t="b">
        <v>0</v>
      </c>
      <c r="Q251" s="12" t="s">
        <v>1227</v>
      </c>
      <c r="R251" s="12">
        <v>29.0</v>
      </c>
      <c r="S251" s="17"/>
      <c r="T251" s="17"/>
      <c r="U251" s="17"/>
      <c r="V251" s="12" t="s">
        <v>1303</v>
      </c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</row>
    <row r="252">
      <c r="A252" s="12" t="s">
        <v>906</v>
      </c>
      <c r="B252" s="12" t="s">
        <v>818</v>
      </c>
      <c r="C252" s="44"/>
      <c r="D252" s="12" t="b">
        <v>0</v>
      </c>
      <c r="E252" s="12">
        <v>31.0</v>
      </c>
      <c r="F252" s="17"/>
      <c r="G252" s="12" t="s">
        <v>855</v>
      </c>
      <c r="H252" s="108" t="s">
        <v>1306</v>
      </c>
      <c r="I252" s="12" t="s">
        <v>1307</v>
      </c>
      <c r="J252" s="12" t="s">
        <v>1308</v>
      </c>
      <c r="K252" s="14">
        <v>2.02509250155E11</v>
      </c>
      <c r="L252" s="70" t="b">
        <v>0</v>
      </c>
      <c r="M252" s="17"/>
      <c r="N252" s="70" t="b">
        <v>0</v>
      </c>
      <c r="O252" s="70" t="b">
        <v>0</v>
      </c>
      <c r="P252" s="70" t="b">
        <v>0</v>
      </c>
      <c r="Q252" s="12" t="s">
        <v>1227</v>
      </c>
      <c r="R252" s="12">
        <v>30.0</v>
      </c>
      <c r="S252" s="17"/>
      <c r="T252" s="17"/>
      <c r="U252" s="17"/>
      <c r="V252" s="12" t="s">
        <v>1306</v>
      </c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</row>
    <row r="253">
      <c r="A253" s="12" t="s">
        <v>906</v>
      </c>
      <c r="B253" s="12" t="s">
        <v>818</v>
      </c>
      <c r="C253" s="44"/>
      <c r="D253" s="12" t="b">
        <v>0</v>
      </c>
      <c r="E253" s="12">
        <v>32.0</v>
      </c>
      <c r="F253" s="17"/>
      <c r="G253" s="12" t="s">
        <v>855</v>
      </c>
      <c r="H253" s="108" t="s">
        <v>879</v>
      </c>
      <c r="I253" s="12" t="s">
        <v>880</v>
      </c>
      <c r="J253" s="12" t="s">
        <v>881</v>
      </c>
      <c r="K253" s="14">
        <v>2.02509250071E11</v>
      </c>
      <c r="L253" s="70" t="b">
        <v>0</v>
      </c>
      <c r="M253" s="17"/>
      <c r="N253" s="70" t="b">
        <v>0</v>
      </c>
      <c r="O253" s="70" t="b">
        <v>0</v>
      </c>
      <c r="P253" s="70" t="b">
        <v>0</v>
      </c>
      <c r="Q253" s="12"/>
      <c r="R253" s="12"/>
      <c r="S253" s="17"/>
      <c r="T253" s="17"/>
      <c r="U253" s="17"/>
      <c r="V253" s="12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</row>
    <row r="254">
      <c r="A254" s="12" t="s">
        <v>906</v>
      </c>
      <c r="B254" s="12" t="s">
        <v>818</v>
      </c>
      <c r="C254" s="44"/>
      <c r="D254" s="12" t="b">
        <v>0</v>
      </c>
      <c r="E254" s="12">
        <v>33.0</v>
      </c>
      <c r="F254" s="17"/>
      <c r="G254" s="12" t="s">
        <v>855</v>
      </c>
      <c r="H254" s="108" t="s">
        <v>1309</v>
      </c>
      <c r="I254" s="12" t="s">
        <v>1310</v>
      </c>
      <c r="J254" s="12" t="s">
        <v>1311</v>
      </c>
      <c r="K254" s="14">
        <v>2.02509250015E11</v>
      </c>
      <c r="L254" s="70" t="b">
        <v>0</v>
      </c>
      <c r="M254" s="17"/>
      <c r="N254" s="70" t="b">
        <v>0</v>
      </c>
      <c r="O254" s="70" t="b">
        <v>0</v>
      </c>
      <c r="P254" s="70" t="b">
        <v>0</v>
      </c>
      <c r="Q254" s="12"/>
      <c r="R254" s="12"/>
      <c r="S254" s="17"/>
      <c r="T254" s="17"/>
      <c r="U254" s="17"/>
      <c r="V254" s="12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</row>
    <row r="255">
      <c r="A255" s="12" t="s">
        <v>906</v>
      </c>
      <c r="B255" s="12" t="s">
        <v>818</v>
      </c>
      <c r="C255" s="44"/>
      <c r="D255" s="12" t="b">
        <v>0</v>
      </c>
      <c r="E255" s="12">
        <v>34.0</v>
      </c>
      <c r="F255" s="17"/>
      <c r="G255" s="12" t="s">
        <v>855</v>
      </c>
      <c r="H255" s="108" t="s">
        <v>1312</v>
      </c>
      <c r="I255" s="12" t="s">
        <v>1313</v>
      </c>
      <c r="J255" s="12" t="s">
        <v>1314</v>
      </c>
      <c r="K255" s="14">
        <v>2.0250925003E11</v>
      </c>
      <c r="L255" s="70" t="b">
        <v>0</v>
      </c>
      <c r="M255" s="17"/>
      <c r="N255" s="70" t="b">
        <v>0</v>
      </c>
      <c r="O255" s="70" t="b">
        <v>0</v>
      </c>
      <c r="P255" s="70" t="b">
        <v>0</v>
      </c>
      <c r="Q255" s="12"/>
      <c r="R255" s="12"/>
      <c r="S255" s="17"/>
      <c r="T255" s="17"/>
      <c r="U255" s="17"/>
      <c r="V255" s="12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</row>
    <row r="256">
      <c r="A256" s="12" t="s">
        <v>906</v>
      </c>
      <c r="B256" s="12" t="s">
        <v>818</v>
      </c>
      <c r="C256" s="44"/>
      <c r="D256" s="12" t="b">
        <v>0</v>
      </c>
      <c r="E256" s="12">
        <v>35.0</v>
      </c>
      <c r="F256" s="17"/>
      <c r="G256" s="12" t="s">
        <v>855</v>
      </c>
      <c r="H256" s="108" t="s">
        <v>1315</v>
      </c>
      <c r="I256" s="12" t="s">
        <v>1316</v>
      </c>
      <c r="J256" s="12" t="s">
        <v>1317</v>
      </c>
      <c r="K256" s="14">
        <v>2.02509250147E11</v>
      </c>
      <c r="L256" s="70" t="b">
        <v>0</v>
      </c>
      <c r="M256" s="17"/>
      <c r="N256" s="70" t="b">
        <v>0</v>
      </c>
      <c r="O256" s="70" t="b">
        <v>0</v>
      </c>
      <c r="P256" s="70" t="b">
        <v>0</v>
      </c>
      <c r="Q256" s="12"/>
      <c r="R256" s="12"/>
      <c r="S256" s="17"/>
      <c r="T256" s="17"/>
      <c r="U256" s="17"/>
      <c r="V256" s="12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</row>
    <row r="257">
      <c r="A257" s="12" t="s">
        <v>906</v>
      </c>
      <c r="B257" s="12" t="s">
        <v>818</v>
      </c>
      <c r="C257" s="44"/>
      <c r="D257" s="12" t="b">
        <v>0</v>
      </c>
      <c r="E257" s="12">
        <v>36.0</v>
      </c>
      <c r="F257" s="17"/>
      <c r="G257" s="12" t="s">
        <v>855</v>
      </c>
      <c r="H257" s="108" t="s">
        <v>856</v>
      </c>
      <c r="I257" s="12" t="s">
        <v>933</v>
      </c>
      <c r="J257" s="12" t="s">
        <v>776</v>
      </c>
      <c r="K257" s="14">
        <v>2.02509250196E11</v>
      </c>
      <c r="L257" s="70" t="b">
        <v>0</v>
      </c>
      <c r="M257" s="17"/>
      <c r="N257" s="70" t="b">
        <v>0</v>
      </c>
      <c r="O257" s="70" t="b">
        <v>0</v>
      </c>
      <c r="P257" s="70" t="b">
        <v>0</v>
      </c>
      <c r="Q257" s="12"/>
      <c r="R257" s="12"/>
      <c r="S257" s="17"/>
      <c r="T257" s="17"/>
      <c r="U257" s="17"/>
      <c r="V257" s="12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</row>
    <row r="258">
      <c r="A258" s="12" t="s">
        <v>906</v>
      </c>
      <c r="B258" s="12" t="s">
        <v>818</v>
      </c>
      <c r="C258" s="44"/>
      <c r="D258" s="12" t="b">
        <v>0</v>
      </c>
      <c r="E258" s="12">
        <v>37.0</v>
      </c>
      <c r="F258" s="17"/>
      <c r="G258" s="12" t="s">
        <v>855</v>
      </c>
      <c r="H258" s="108" t="s">
        <v>1318</v>
      </c>
      <c r="I258" s="12" t="s">
        <v>1319</v>
      </c>
      <c r="J258" s="12" t="s">
        <v>1320</v>
      </c>
      <c r="K258" s="14">
        <v>2.0250925015E11</v>
      </c>
      <c r="L258" s="70" t="b">
        <v>0</v>
      </c>
      <c r="M258" s="17"/>
      <c r="N258" s="70" t="b">
        <v>0</v>
      </c>
      <c r="O258" s="70" t="b">
        <v>0</v>
      </c>
      <c r="P258" s="70" t="b">
        <v>0</v>
      </c>
      <c r="Q258" s="12"/>
      <c r="R258" s="12"/>
      <c r="S258" s="17"/>
      <c r="T258" s="17"/>
      <c r="U258" s="17"/>
      <c r="V258" s="12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</row>
    <row r="259">
      <c r="A259" s="12" t="s">
        <v>906</v>
      </c>
      <c r="B259" s="12" t="s">
        <v>818</v>
      </c>
      <c r="C259" s="44"/>
      <c r="D259" s="12" t="b">
        <v>0</v>
      </c>
      <c r="E259" s="12">
        <v>38.0</v>
      </c>
      <c r="F259" s="17"/>
      <c r="G259" s="12" t="s">
        <v>855</v>
      </c>
      <c r="H259" s="108" t="s">
        <v>869</v>
      </c>
      <c r="I259" s="12" t="s">
        <v>870</v>
      </c>
      <c r="J259" s="12" t="s">
        <v>871</v>
      </c>
      <c r="K259" s="14">
        <v>2.02509250081E11</v>
      </c>
      <c r="L259" s="70" t="b">
        <v>0</v>
      </c>
      <c r="M259" s="17"/>
      <c r="N259" s="70" t="b">
        <v>0</v>
      </c>
      <c r="O259" s="70" t="b">
        <v>0</v>
      </c>
      <c r="P259" s="70" t="b">
        <v>0</v>
      </c>
      <c r="Q259" s="12"/>
      <c r="R259" s="12"/>
      <c r="S259" s="17"/>
      <c r="T259" s="17"/>
      <c r="U259" s="17"/>
      <c r="V259" s="12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</row>
    <row r="260">
      <c r="A260" s="12" t="s">
        <v>906</v>
      </c>
      <c r="B260" s="12" t="s">
        <v>818</v>
      </c>
      <c r="C260" s="44"/>
      <c r="D260" s="12" t="b">
        <v>0</v>
      </c>
      <c r="E260" s="12">
        <v>39.0</v>
      </c>
      <c r="F260" s="17"/>
      <c r="G260" s="12" t="s">
        <v>855</v>
      </c>
      <c r="H260" s="108" t="s">
        <v>874</v>
      </c>
      <c r="I260" s="12" t="s">
        <v>875</v>
      </c>
      <c r="J260" s="12" t="s">
        <v>876</v>
      </c>
      <c r="K260" s="14">
        <v>2.02509250143E11</v>
      </c>
      <c r="L260" s="70" t="b">
        <v>0</v>
      </c>
      <c r="M260" s="17"/>
      <c r="N260" s="70" t="b">
        <v>0</v>
      </c>
      <c r="O260" s="70" t="b">
        <v>0</v>
      </c>
      <c r="P260" s="70" t="b">
        <v>0</v>
      </c>
      <c r="Q260" s="12"/>
      <c r="R260" s="12"/>
      <c r="S260" s="17"/>
      <c r="T260" s="17"/>
      <c r="U260" s="17"/>
      <c r="V260" s="12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</row>
    <row r="261">
      <c r="A261" s="12" t="s">
        <v>906</v>
      </c>
      <c r="B261" s="12" t="s">
        <v>818</v>
      </c>
      <c r="C261" s="44"/>
      <c r="D261" s="12" t="b">
        <v>0</v>
      </c>
      <c r="E261" s="12">
        <v>40.0</v>
      </c>
      <c r="F261" s="17"/>
      <c r="G261" s="12" t="s">
        <v>855</v>
      </c>
      <c r="H261" s="108" t="s">
        <v>314</v>
      </c>
      <c r="I261" s="12" t="s">
        <v>1321</v>
      </c>
      <c r="J261" s="12" t="s">
        <v>1322</v>
      </c>
      <c r="K261" s="14">
        <v>2.02509250079E11</v>
      </c>
      <c r="L261" s="70" t="b">
        <v>0</v>
      </c>
      <c r="M261" s="17"/>
      <c r="N261" s="70" t="b">
        <v>0</v>
      </c>
      <c r="O261" s="70" t="b">
        <v>0</v>
      </c>
      <c r="P261" s="70" t="b">
        <v>0</v>
      </c>
      <c r="Q261" s="12"/>
      <c r="R261" s="12"/>
      <c r="S261" s="17"/>
      <c r="T261" s="17"/>
      <c r="U261" s="17"/>
      <c r="V261" s="12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</row>
    <row r="262">
      <c r="A262" s="12" t="s">
        <v>906</v>
      </c>
      <c r="B262" s="12" t="s">
        <v>818</v>
      </c>
      <c r="C262" s="44"/>
      <c r="D262" s="12" t="b">
        <v>0</v>
      </c>
      <c r="E262" s="12">
        <v>41.0</v>
      </c>
      <c r="F262" s="17"/>
      <c r="G262" s="12" t="s">
        <v>1110</v>
      </c>
      <c r="H262" s="108" t="s">
        <v>551</v>
      </c>
      <c r="I262" s="12" t="s">
        <v>552</v>
      </c>
      <c r="J262" s="12" t="s">
        <v>553</v>
      </c>
      <c r="K262" s="14">
        <v>2.02509250135E11</v>
      </c>
      <c r="L262" s="70" t="b">
        <v>0</v>
      </c>
      <c r="M262" s="17"/>
      <c r="N262" s="70" t="b">
        <v>0</v>
      </c>
      <c r="O262" s="70" t="b">
        <v>0</v>
      </c>
      <c r="P262" s="70" t="b">
        <v>0</v>
      </c>
      <c r="Q262" s="12"/>
      <c r="R262" s="12"/>
      <c r="S262" s="17"/>
      <c r="T262" s="17"/>
      <c r="U262" s="17"/>
      <c r="V262" s="12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</row>
    <row r="263">
      <c r="A263" s="12" t="s">
        <v>906</v>
      </c>
      <c r="B263" s="12" t="s">
        <v>818</v>
      </c>
      <c r="C263" s="44"/>
      <c r="D263" s="12" t="b">
        <v>0</v>
      </c>
      <c r="E263" s="12">
        <v>42.0</v>
      </c>
      <c r="F263" s="17"/>
      <c r="G263" s="12" t="s">
        <v>1110</v>
      </c>
      <c r="H263" s="108" t="s">
        <v>531</v>
      </c>
      <c r="I263" s="12" t="s">
        <v>1323</v>
      </c>
      <c r="J263" s="12" t="s">
        <v>436</v>
      </c>
      <c r="K263" s="14">
        <v>2.02509250127E11</v>
      </c>
      <c r="L263" s="70" t="b">
        <v>0</v>
      </c>
      <c r="M263" s="17"/>
      <c r="N263" s="70" t="b">
        <v>0</v>
      </c>
      <c r="O263" s="70" t="b">
        <v>0</v>
      </c>
      <c r="P263" s="70" t="b">
        <v>0</v>
      </c>
      <c r="Q263" s="12"/>
      <c r="R263" s="12"/>
      <c r="S263" s="17"/>
      <c r="T263" s="17"/>
      <c r="U263" s="17"/>
      <c r="V263" s="12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</row>
    <row r="264">
      <c r="A264" s="12" t="s">
        <v>906</v>
      </c>
      <c r="B264" s="12" t="s">
        <v>818</v>
      </c>
      <c r="C264" s="44"/>
      <c r="D264" s="12" t="b">
        <v>0</v>
      </c>
      <c r="E264" s="12">
        <v>43.0</v>
      </c>
      <c r="F264" s="17"/>
      <c r="G264" s="12" t="s">
        <v>1110</v>
      </c>
      <c r="H264" s="108" t="s">
        <v>1324</v>
      </c>
      <c r="I264" s="12" t="s">
        <v>1325</v>
      </c>
      <c r="J264" s="12" t="s">
        <v>1326</v>
      </c>
      <c r="K264" s="14">
        <v>2.02509250132E11</v>
      </c>
      <c r="L264" s="70" t="b">
        <v>0</v>
      </c>
      <c r="M264" s="17"/>
      <c r="N264" s="70" t="b">
        <v>0</v>
      </c>
      <c r="O264" s="70" t="b">
        <v>0</v>
      </c>
      <c r="P264" s="70" t="b">
        <v>0</v>
      </c>
      <c r="Q264" s="12"/>
      <c r="R264" s="12"/>
      <c r="S264" s="17"/>
      <c r="T264" s="17"/>
      <c r="U264" s="17"/>
      <c r="V264" s="12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</row>
    <row r="265">
      <c r="A265" s="12" t="s">
        <v>906</v>
      </c>
      <c r="B265" s="12" t="s">
        <v>818</v>
      </c>
      <c r="C265" s="44"/>
      <c r="D265" s="12" t="b">
        <v>0</v>
      </c>
      <c r="E265" s="12">
        <v>44.0</v>
      </c>
      <c r="F265" s="17"/>
      <c r="G265" s="12" t="s">
        <v>855</v>
      </c>
      <c r="H265" s="108" t="s">
        <v>1327</v>
      </c>
      <c r="I265" s="12" t="s">
        <v>1328</v>
      </c>
      <c r="J265" s="12" t="s">
        <v>1329</v>
      </c>
      <c r="K265" s="14">
        <v>2.02408300097E11</v>
      </c>
      <c r="L265" s="70" t="b">
        <v>0</v>
      </c>
      <c r="M265" s="17"/>
      <c r="N265" s="70" t="b">
        <v>0</v>
      </c>
      <c r="O265" s="70" t="b">
        <v>0</v>
      </c>
      <c r="P265" s="70" t="b">
        <v>0</v>
      </c>
      <c r="Q265" s="12"/>
      <c r="R265" s="12"/>
      <c r="S265" s="17"/>
      <c r="T265" s="17"/>
      <c r="U265" s="17"/>
      <c r="V265" s="12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</row>
    <row r="266">
      <c r="A266" s="12" t="s">
        <v>906</v>
      </c>
      <c r="B266" s="12" t="s">
        <v>818</v>
      </c>
      <c r="C266" s="44"/>
      <c r="D266" s="12" t="b">
        <v>0</v>
      </c>
      <c r="E266" s="12">
        <v>45.0</v>
      </c>
      <c r="F266" s="17"/>
      <c r="G266" s="12" t="s">
        <v>855</v>
      </c>
      <c r="H266" s="108" t="s">
        <v>1330</v>
      </c>
      <c r="I266" s="12" t="s">
        <v>1331</v>
      </c>
      <c r="J266" s="12" t="s">
        <v>1332</v>
      </c>
      <c r="K266" s="14">
        <v>2.02408300276E11</v>
      </c>
      <c r="L266" s="70" t="b">
        <v>0</v>
      </c>
      <c r="M266" s="17"/>
      <c r="N266" s="70" t="b">
        <v>0</v>
      </c>
      <c r="O266" s="70" t="b">
        <v>0</v>
      </c>
      <c r="P266" s="70" t="b">
        <v>0</v>
      </c>
      <c r="Q266" s="12"/>
      <c r="R266" s="12"/>
      <c r="S266" s="17"/>
      <c r="T266" s="17"/>
      <c r="U266" s="17"/>
      <c r="V266" s="12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</row>
    <row r="267">
      <c r="A267" s="12" t="s">
        <v>906</v>
      </c>
      <c r="B267" s="12" t="s">
        <v>818</v>
      </c>
      <c r="C267" s="44"/>
      <c r="D267" s="12" t="b">
        <v>0</v>
      </c>
      <c r="E267" s="12">
        <v>46.0</v>
      </c>
      <c r="F267" s="17"/>
      <c r="G267" s="12" t="s">
        <v>855</v>
      </c>
      <c r="H267" s="108" t="s">
        <v>1333</v>
      </c>
      <c r="I267" s="12" t="s">
        <v>1334</v>
      </c>
      <c r="J267" s="12" t="s">
        <v>1335</v>
      </c>
      <c r="K267" s="14">
        <v>2.02408300154E11</v>
      </c>
      <c r="L267" s="70" t="b">
        <v>0</v>
      </c>
      <c r="M267" s="17"/>
      <c r="N267" s="70" t="b">
        <v>0</v>
      </c>
      <c r="O267" s="70" t="b">
        <v>0</v>
      </c>
      <c r="P267" s="70" t="b">
        <v>0</v>
      </c>
      <c r="Q267" s="12"/>
      <c r="R267" s="12"/>
      <c r="S267" s="17"/>
      <c r="T267" s="17"/>
      <c r="U267" s="17"/>
      <c r="V267" s="12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</row>
    <row r="268">
      <c r="A268" s="12" t="s">
        <v>906</v>
      </c>
      <c r="B268" s="12" t="s">
        <v>818</v>
      </c>
      <c r="C268" s="44"/>
      <c r="D268" s="12" t="b">
        <v>0</v>
      </c>
      <c r="E268" s="12">
        <v>47.0</v>
      </c>
      <c r="F268" s="17"/>
      <c r="G268" s="12" t="s">
        <v>855</v>
      </c>
      <c r="H268" s="108" t="s">
        <v>1336</v>
      </c>
      <c r="I268" s="12" t="s">
        <v>1337</v>
      </c>
      <c r="J268" s="12" t="s">
        <v>1338</v>
      </c>
      <c r="K268" s="14">
        <v>2.02408300162E11</v>
      </c>
      <c r="L268" s="70" t="b">
        <v>0</v>
      </c>
      <c r="M268" s="17"/>
      <c r="N268" s="70" t="b">
        <v>0</v>
      </c>
      <c r="O268" s="70" t="b">
        <v>0</v>
      </c>
      <c r="P268" s="70" t="b">
        <v>0</v>
      </c>
      <c r="Q268" s="12"/>
      <c r="R268" s="12"/>
      <c r="S268" s="17"/>
      <c r="T268" s="17"/>
      <c r="U268" s="17"/>
      <c r="V268" s="12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</row>
    <row r="269">
      <c r="A269" s="12" t="s">
        <v>906</v>
      </c>
      <c r="B269" s="12" t="s">
        <v>818</v>
      </c>
      <c r="C269" s="44"/>
      <c r="D269" s="12" t="b">
        <v>0</v>
      </c>
      <c r="E269" s="12">
        <v>48.0</v>
      </c>
      <c r="F269" s="17"/>
      <c r="G269" s="12" t="s">
        <v>855</v>
      </c>
      <c r="H269" s="108" t="s">
        <v>1339</v>
      </c>
      <c r="I269" s="12" t="s">
        <v>1340</v>
      </c>
      <c r="J269" s="12" t="s">
        <v>1341</v>
      </c>
      <c r="K269" s="14">
        <v>2.02408300231E11</v>
      </c>
      <c r="L269" s="70" t="b">
        <v>0</v>
      </c>
      <c r="M269" s="17"/>
      <c r="N269" s="70" t="b">
        <v>0</v>
      </c>
      <c r="O269" s="70" t="b">
        <v>0</v>
      </c>
      <c r="P269" s="70" t="b">
        <v>0</v>
      </c>
      <c r="Q269" s="12"/>
      <c r="R269" s="12"/>
      <c r="S269" s="17"/>
      <c r="T269" s="17"/>
      <c r="U269" s="17"/>
      <c r="V269" s="12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</row>
    <row r="270">
      <c r="A270" s="12" t="s">
        <v>906</v>
      </c>
      <c r="B270" s="12" t="s">
        <v>818</v>
      </c>
      <c r="C270" s="44"/>
      <c r="D270" s="12" t="b">
        <v>0</v>
      </c>
      <c r="E270" s="12">
        <v>49.0</v>
      </c>
      <c r="F270" s="17"/>
      <c r="G270" s="12" t="s">
        <v>855</v>
      </c>
      <c r="H270" s="108" t="s">
        <v>1342</v>
      </c>
      <c r="I270" s="12" t="s">
        <v>1343</v>
      </c>
      <c r="J270" s="12" t="s">
        <v>1344</v>
      </c>
      <c r="K270" s="14">
        <v>2.02408300261E11</v>
      </c>
      <c r="L270" s="70" t="b">
        <v>0</v>
      </c>
      <c r="M270" s="17"/>
      <c r="N270" s="70" t="b">
        <v>0</v>
      </c>
      <c r="O270" s="70" t="b">
        <v>0</v>
      </c>
      <c r="P270" s="70" t="b">
        <v>0</v>
      </c>
      <c r="Q270" s="12"/>
      <c r="R270" s="12"/>
      <c r="S270" s="17"/>
      <c r="T270" s="17"/>
      <c r="U270" s="17"/>
      <c r="V270" s="12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</row>
    <row r="271">
      <c r="A271" s="12" t="s">
        <v>906</v>
      </c>
      <c r="B271" s="12" t="s">
        <v>818</v>
      </c>
      <c r="C271" s="44"/>
      <c r="D271" s="12" t="b">
        <v>0</v>
      </c>
      <c r="E271" s="12">
        <v>50.0</v>
      </c>
      <c r="F271" s="17"/>
      <c r="G271" s="12" t="s">
        <v>855</v>
      </c>
      <c r="H271" s="108" t="s">
        <v>1345</v>
      </c>
      <c r="I271" s="12" t="s">
        <v>1346</v>
      </c>
      <c r="J271" s="12" t="s">
        <v>1347</v>
      </c>
      <c r="K271" s="14">
        <v>2.02509250105E11</v>
      </c>
      <c r="L271" s="70" t="b">
        <v>0</v>
      </c>
      <c r="M271" s="17"/>
      <c r="N271" s="70" t="b">
        <v>0</v>
      </c>
      <c r="O271" s="70" t="b">
        <v>0</v>
      </c>
      <c r="P271" s="70" t="b">
        <v>0</v>
      </c>
      <c r="Q271" s="12"/>
      <c r="R271" s="12"/>
      <c r="S271" s="17"/>
      <c r="T271" s="17"/>
      <c r="U271" s="17"/>
      <c r="V271" s="12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</row>
    <row r="272">
      <c r="A272" s="12" t="s">
        <v>906</v>
      </c>
      <c r="B272" s="12" t="s">
        <v>818</v>
      </c>
      <c r="C272" s="44"/>
      <c r="D272" s="12" t="b">
        <v>0</v>
      </c>
      <c r="E272" s="12">
        <v>51.0</v>
      </c>
      <c r="F272" s="17"/>
      <c r="G272" s="12" t="s">
        <v>855</v>
      </c>
      <c r="H272" s="108" t="s">
        <v>1348</v>
      </c>
      <c r="I272" s="12" t="s">
        <v>1349</v>
      </c>
      <c r="J272" s="12" t="s">
        <v>1350</v>
      </c>
      <c r="K272" s="14">
        <v>2.0240830018E11</v>
      </c>
      <c r="L272" s="70" t="b">
        <v>0</v>
      </c>
      <c r="M272" s="17"/>
      <c r="N272" s="70" t="b">
        <v>0</v>
      </c>
      <c r="O272" s="70" t="b">
        <v>0</v>
      </c>
      <c r="P272" s="70" t="b">
        <v>0</v>
      </c>
      <c r="Q272" s="12"/>
      <c r="R272" s="12"/>
      <c r="S272" s="17"/>
      <c r="T272" s="17"/>
      <c r="U272" s="17"/>
      <c r="V272" s="12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</row>
    <row r="273">
      <c r="A273" s="12" t="s">
        <v>906</v>
      </c>
      <c r="B273" s="12" t="s">
        <v>818</v>
      </c>
      <c r="C273" s="44"/>
      <c r="D273" s="12" t="b">
        <v>0</v>
      </c>
      <c r="E273" s="12">
        <v>52.0</v>
      </c>
      <c r="F273" s="17"/>
      <c r="G273" s="12" t="s">
        <v>855</v>
      </c>
      <c r="H273" s="108" t="s">
        <v>1351</v>
      </c>
      <c r="I273" s="12" t="s">
        <v>1352</v>
      </c>
      <c r="J273" s="12" t="s">
        <v>1353</v>
      </c>
      <c r="K273" s="14">
        <v>2.02408300252E11</v>
      </c>
      <c r="L273" s="70" t="b">
        <v>0</v>
      </c>
      <c r="M273" s="17"/>
      <c r="N273" s="70" t="b">
        <v>0</v>
      </c>
      <c r="O273" s="70" t="b">
        <v>0</v>
      </c>
      <c r="P273" s="70" t="b">
        <v>0</v>
      </c>
      <c r="Q273" s="12"/>
      <c r="R273" s="12"/>
      <c r="S273" s="17"/>
      <c r="T273" s="17"/>
      <c r="U273" s="17"/>
      <c r="V273" s="12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</row>
    <row r="274">
      <c r="A274" s="12" t="s">
        <v>906</v>
      </c>
      <c r="B274" s="12" t="s">
        <v>818</v>
      </c>
      <c r="C274" s="44"/>
      <c r="D274" s="12" t="b">
        <v>0</v>
      </c>
      <c r="E274" s="12">
        <v>53.0</v>
      </c>
      <c r="F274" s="17"/>
      <c r="G274" s="12" t="s">
        <v>855</v>
      </c>
      <c r="H274" s="108" t="s">
        <v>1354</v>
      </c>
      <c r="I274" s="12" t="s">
        <v>1355</v>
      </c>
      <c r="J274" s="12" t="s">
        <v>1356</v>
      </c>
      <c r="K274" s="14">
        <v>2.0240830025E11</v>
      </c>
      <c r="L274" s="70" t="b">
        <v>0</v>
      </c>
      <c r="M274" s="17"/>
      <c r="N274" s="70" t="b">
        <v>0</v>
      </c>
      <c r="O274" s="70" t="b">
        <v>0</v>
      </c>
      <c r="P274" s="70" t="b">
        <v>0</v>
      </c>
      <c r="Q274" s="12"/>
      <c r="R274" s="12"/>
      <c r="S274" s="17"/>
      <c r="T274" s="17"/>
      <c r="U274" s="17"/>
      <c r="V274" s="12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</row>
    <row r="275">
      <c r="A275" s="12" t="s">
        <v>906</v>
      </c>
      <c r="B275" s="12" t="s">
        <v>818</v>
      </c>
      <c r="C275" s="44"/>
      <c r="D275" s="12" t="b">
        <v>0</v>
      </c>
      <c r="E275" s="12">
        <v>54.0</v>
      </c>
      <c r="F275" s="17"/>
      <c r="G275" s="12" t="s">
        <v>855</v>
      </c>
      <c r="H275" s="108" t="s">
        <v>1357</v>
      </c>
      <c r="I275" s="12" t="s">
        <v>1358</v>
      </c>
      <c r="J275" s="12" t="s">
        <v>1359</v>
      </c>
      <c r="K275" s="14">
        <v>2.02408300182E11</v>
      </c>
      <c r="L275" s="70" t="b">
        <v>0</v>
      </c>
      <c r="M275" s="17"/>
      <c r="N275" s="70" t="b">
        <v>0</v>
      </c>
      <c r="O275" s="70" t="b">
        <v>0</v>
      </c>
      <c r="P275" s="70" t="b">
        <v>0</v>
      </c>
      <c r="Q275" s="12"/>
      <c r="R275" s="12"/>
      <c r="S275" s="17"/>
      <c r="T275" s="17"/>
      <c r="U275" s="17"/>
      <c r="V275" s="12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</row>
    <row r="276">
      <c r="A276" s="12" t="s">
        <v>906</v>
      </c>
      <c r="B276" s="12" t="s">
        <v>818</v>
      </c>
      <c r="C276" s="44"/>
      <c r="D276" s="12" t="b">
        <v>0</v>
      </c>
      <c r="E276" s="12">
        <v>55.0</v>
      </c>
      <c r="F276" s="17"/>
      <c r="G276" s="12" t="s">
        <v>855</v>
      </c>
      <c r="H276" s="108" t="s">
        <v>1360</v>
      </c>
      <c r="I276" s="12" t="s">
        <v>1361</v>
      </c>
      <c r="J276" s="12" t="s">
        <v>1362</v>
      </c>
      <c r="K276" s="14">
        <v>2.02509200041E11</v>
      </c>
      <c r="L276" s="70" t="b">
        <v>0</v>
      </c>
      <c r="M276" s="17"/>
      <c r="N276" s="70" t="b">
        <v>0</v>
      </c>
      <c r="O276" s="70" t="b">
        <v>0</v>
      </c>
      <c r="P276" s="70" t="b">
        <v>0</v>
      </c>
      <c r="Q276" s="12"/>
      <c r="R276" s="12"/>
      <c r="S276" s="17"/>
      <c r="T276" s="17"/>
      <c r="U276" s="17"/>
      <c r="V276" s="12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</row>
    <row r="277">
      <c r="A277" s="12" t="s">
        <v>906</v>
      </c>
      <c r="B277" s="12" t="s">
        <v>818</v>
      </c>
      <c r="C277" s="44"/>
      <c r="D277" s="12" t="b">
        <v>0</v>
      </c>
      <c r="E277" s="12">
        <v>56.0</v>
      </c>
      <c r="F277" s="17"/>
      <c r="G277" s="12" t="s">
        <v>855</v>
      </c>
      <c r="H277" s="108" t="s">
        <v>1363</v>
      </c>
      <c r="I277" s="12" t="s">
        <v>1364</v>
      </c>
      <c r="J277" s="12" t="s">
        <v>1365</v>
      </c>
      <c r="K277" s="14">
        <v>2.02509200021E11</v>
      </c>
      <c r="L277" s="70" t="b">
        <v>0</v>
      </c>
      <c r="M277" s="17"/>
      <c r="N277" s="70" t="b">
        <v>0</v>
      </c>
      <c r="O277" s="70" t="b">
        <v>0</v>
      </c>
      <c r="P277" s="70" t="b">
        <v>0</v>
      </c>
      <c r="Q277" s="12"/>
      <c r="R277" s="12"/>
      <c r="S277" s="17"/>
      <c r="T277" s="17"/>
      <c r="U277" s="17"/>
      <c r="V277" s="12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</row>
    <row r="278">
      <c r="A278" s="12" t="s">
        <v>906</v>
      </c>
      <c r="B278" s="12" t="s">
        <v>818</v>
      </c>
      <c r="C278" s="44"/>
      <c r="D278" s="12" t="b">
        <v>0</v>
      </c>
      <c r="E278" s="12">
        <v>57.0</v>
      </c>
      <c r="F278" s="17"/>
      <c r="G278" s="12" t="s">
        <v>855</v>
      </c>
      <c r="H278" s="108" t="s">
        <v>1366</v>
      </c>
      <c r="I278" s="12" t="s">
        <v>1367</v>
      </c>
      <c r="J278" s="12" t="s">
        <v>1368</v>
      </c>
      <c r="K278" s="14">
        <v>2.02509200056E11</v>
      </c>
      <c r="L278" s="70" t="b">
        <v>0</v>
      </c>
      <c r="M278" s="17"/>
      <c r="N278" s="70" t="b">
        <v>0</v>
      </c>
      <c r="O278" s="70" t="b">
        <v>0</v>
      </c>
      <c r="P278" s="70" t="b">
        <v>0</v>
      </c>
      <c r="Q278" s="12"/>
      <c r="R278" s="12"/>
      <c r="S278" s="17"/>
      <c r="T278" s="17"/>
      <c r="U278" s="17"/>
      <c r="V278" s="12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</row>
    <row r="279">
      <c r="A279" s="12" t="s">
        <v>906</v>
      </c>
      <c r="B279" s="12" t="s">
        <v>818</v>
      </c>
      <c r="C279" s="44"/>
      <c r="D279" s="12" t="b">
        <v>0</v>
      </c>
      <c r="E279" s="12">
        <v>58.0</v>
      </c>
      <c r="F279" s="17"/>
      <c r="G279" s="12" t="s">
        <v>855</v>
      </c>
      <c r="H279" s="108" t="s">
        <v>1369</v>
      </c>
      <c r="I279" s="12" t="s">
        <v>1370</v>
      </c>
      <c r="J279" s="12" t="s">
        <v>1371</v>
      </c>
      <c r="K279" s="14">
        <v>2.02509200046E11</v>
      </c>
      <c r="L279" s="70" t="b">
        <v>0</v>
      </c>
      <c r="M279" s="17"/>
      <c r="N279" s="70" t="b">
        <v>0</v>
      </c>
      <c r="O279" s="70" t="b">
        <v>0</v>
      </c>
      <c r="P279" s="70" t="b">
        <v>0</v>
      </c>
      <c r="Q279" s="12"/>
      <c r="R279" s="12"/>
      <c r="S279" s="17"/>
      <c r="T279" s="17"/>
      <c r="U279" s="17"/>
      <c r="V279" s="12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</row>
    <row r="280">
      <c r="A280" s="12" t="s">
        <v>906</v>
      </c>
      <c r="B280" s="12" t="s">
        <v>818</v>
      </c>
      <c r="C280" s="44"/>
      <c r="D280" s="12" t="b">
        <v>0</v>
      </c>
      <c r="E280" s="12">
        <v>59.0</v>
      </c>
      <c r="F280" s="17"/>
      <c r="G280" s="12" t="s">
        <v>855</v>
      </c>
      <c r="H280" s="108" t="s">
        <v>1372</v>
      </c>
      <c r="I280" s="12" t="s">
        <v>1373</v>
      </c>
      <c r="J280" s="12" t="s">
        <v>1374</v>
      </c>
      <c r="K280" s="14">
        <v>2.02509200148E11</v>
      </c>
      <c r="L280" s="70" t="b">
        <v>0</v>
      </c>
      <c r="M280" s="17"/>
      <c r="N280" s="70" t="b">
        <v>0</v>
      </c>
      <c r="O280" s="70" t="b">
        <v>0</v>
      </c>
      <c r="P280" s="70" t="b">
        <v>0</v>
      </c>
      <c r="Q280" s="12"/>
      <c r="R280" s="12"/>
      <c r="S280" s="17"/>
      <c r="T280" s="17"/>
      <c r="U280" s="17"/>
      <c r="V280" s="12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</row>
    <row r="281">
      <c r="A281" s="12" t="s">
        <v>906</v>
      </c>
      <c r="B281" s="12" t="s">
        <v>818</v>
      </c>
      <c r="C281" s="44"/>
      <c r="D281" s="12" t="b">
        <v>0</v>
      </c>
      <c r="E281" s="12">
        <v>60.0</v>
      </c>
      <c r="F281" s="17"/>
      <c r="G281" s="12" t="s">
        <v>855</v>
      </c>
      <c r="H281" s="108" t="s">
        <v>1375</v>
      </c>
      <c r="I281" s="12" t="s">
        <v>1373</v>
      </c>
      <c r="J281" s="12" t="s">
        <v>1374</v>
      </c>
      <c r="K281" s="14">
        <v>2.02509200055E11</v>
      </c>
      <c r="L281" s="70" t="b">
        <v>0</v>
      </c>
      <c r="M281" s="17"/>
      <c r="N281" s="70" t="b">
        <v>0</v>
      </c>
      <c r="O281" s="70" t="b">
        <v>0</v>
      </c>
      <c r="P281" s="70" t="b">
        <v>0</v>
      </c>
      <c r="Q281" s="12"/>
      <c r="R281" s="12"/>
      <c r="S281" s="17"/>
      <c r="T281" s="17"/>
      <c r="U281" s="17"/>
      <c r="V281" s="12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</row>
    <row r="282">
      <c r="A282" s="12" t="s">
        <v>906</v>
      </c>
      <c r="B282" s="12" t="s">
        <v>818</v>
      </c>
      <c r="C282" s="44"/>
      <c r="D282" s="12" t="b">
        <v>0</v>
      </c>
      <c r="E282" s="12">
        <v>61.0</v>
      </c>
      <c r="F282" s="17"/>
      <c r="G282" s="12" t="s">
        <v>855</v>
      </c>
      <c r="H282" s="108" t="s">
        <v>1376</v>
      </c>
      <c r="I282" s="12" t="s">
        <v>1377</v>
      </c>
      <c r="J282" s="12" t="s">
        <v>1378</v>
      </c>
      <c r="K282" s="14">
        <v>2.02408300027E11</v>
      </c>
      <c r="L282" s="70" t="b">
        <v>0</v>
      </c>
      <c r="M282" s="17"/>
      <c r="N282" s="70" t="b">
        <v>0</v>
      </c>
      <c r="O282" s="70" t="b">
        <v>0</v>
      </c>
      <c r="P282" s="70" t="b">
        <v>0</v>
      </c>
      <c r="Q282" s="12"/>
      <c r="R282" s="12"/>
      <c r="S282" s="17"/>
      <c r="T282" s="17"/>
      <c r="U282" s="17"/>
      <c r="V282" s="12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</row>
    <row r="283">
      <c r="A283" s="12" t="s">
        <v>906</v>
      </c>
      <c r="B283" s="12" t="s">
        <v>818</v>
      </c>
      <c r="C283" s="44"/>
      <c r="D283" s="12" t="b">
        <v>0</v>
      </c>
      <c r="E283" s="12">
        <v>62.0</v>
      </c>
      <c r="F283" s="17"/>
      <c r="G283" s="12" t="s">
        <v>855</v>
      </c>
      <c r="H283" s="108" t="s">
        <v>1379</v>
      </c>
      <c r="I283" s="12" t="s">
        <v>1380</v>
      </c>
      <c r="J283" s="12" t="s">
        <v>1381</v>
      </c>
      <c r="K283" s="14">
        <v>2.02408300137E11</v>
      </c>
      <c r="L283" s="70" t="b">
        <v>0</v>
      </c>
      <c r="M283" s="17"/>
      <c r="N283" s="70" t="b">
        <v>0</v>
      </c>
      <c r="O283" s="70" t="b">
        <v>0</v>
      </c>
      <c r="P283" s="70" t="b">
        <v>0</v>
      </c>
      <c r="Q283" s="12"/>
      <c r="R283" s="12"/>
      <c r="S283" s="17"/>
      <c r="T283" s="17"/>
      <c r="U283" s="17"/>
      <c r="V283" s="12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</row>
    <row r="284">
      <c r="A284" s="12" t="s">
        <v>906</v>
      </c>
      <c r="B284" s="12" t="s">
        <v>818</v>
      </c>
      <c r="C284" s="44"/>
      <c r="D284" s="12" t="b">
        <v>0</v>
      </c>
      <c r="E284" s="12">
        <v>63.0</v>
      </c>
      <c r="F284" s="17"/>
      <c r="G284" s="12" t="s">
        <v>855</v>
      </c>
      <c r="H284" s="108" t="s">
        <v>1382</v>
      </c>
      <c r="I284" s="12" t="s">
        <v>1383</v>
      </c>
      <c r="J284" s="12" t="s">
        <v>1384</v>
      </c>
      <c r="K284" s="14">
        <v>2.02408300034E11</v>
      </c>
      <c r="L284" s="70" t="b">
        <v>0</v>
      </c>
      <c r="M284" s="17"/>
      <c r="N284" s="70" t="b">
        <v>0</v>
      </c>
      <c r="O284" s="70" t="b">
        <v>0</v>
      </c>
      <c r="P284" s="70" t="b">
        <v>0</v>
      </c>
      <c r="Q284" s="12"/>
      <c r="R284" s="12"/>
      <c r="S284" s="17"/>
      <c r="T284" s="17"/>
      <c r="U284" s="17"/>
      <c r="V284" s="12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</row>
    <row r="285">
      <c r="A285" s="12" t="s">
        <v>906</v>
      </c>
      <c r="B285" s="12" t="s">
        <v>818</v>
      </c>
      <c r="C285" s="44"/>
      <c r="D285" s="12" t="b">
        <v>0</v>
      </c>
      <c r="E285" s="12">
        <v>64.0</v>
      </c>
      <c r="F285" s="17"/>
      <c r="G285" s="12" t="s">
        <v>855</v>
      </c>
      <c r="H285" s="108" t="s">
        <v>1385</v>
      </c>
      <c r="I285" s="12" t="s">
        <v>1386</v>
      </c>
      <c r="J285" s="12" t="s">
        <v>1387</v>
      </c>
      <c r="K285" s="14">
        <v>2.024083000011E12</v>
      </c>
      <c r="L285" s="70" t="b">
        <v>0</v>
      </c>
      <c r="M285" s="17"/>
      <c r="N285" s="70" t="b">
        <v>0</v>
      </c>
      <c r="O285" s="70" t="b">
        <v>0</v>
      </c>
      <c r="P285" s="70" t="b">
        <v>0</v>
      </c>
      <c r="Q285" s="12"/>
      <c r="R285" s="12"/>
      <c r="S285" s="17"/>
      <c r="T285" s="17"/>
      <c r="U285" s="17"/>
      <c r="V285" s="12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</row>
    <row r="286">
      <c r="A286" s="12" t="s">
        <v>906</v>
      </c>
      <c r="B286" s="12" t="s">
        <v>818</v>
      </c>
      <c r="C286" s="44"/>
      <c r="D286" s="12" t="b">
        <v>0</v>
      </c>
      <c r="E286" s="12">
        <v>65.0</v>
      </c>
      <c r="F286" s="17"/>
      <c r="G286" s="12" t="s">
        <v>855</v>
      </c>
      <c r="H286" s="109" t="s">
        <v>1388</v>
      </c>
      <c r="I286" s="12" t="s">
        <v>1389</v>
      </c>
      <c r="J286" s="12" t="s">
        <v>1390</v>
      </c>
      <c r="K286" s="14">
        <v>2.02509200035E11</v>
      </c>
      <c r="L286" s="70" t="b">
        <v>0</v>
      </c>
      <c r="M286" s="17"/>
      <c r="N286" s="70" t="b">
        <v>0</v>
      </c>
      <c r="O286" s="70" t="b">
        <v>0</v>
      </c>
      <c r="P286" s="70" t="b">
        <v>0</v>
      </c>
      <c r="Q286" s="12"/>
      <c r="R286" s="12"/>
      <c r="S286" s="17"/>
      <c r="T286" s="17"/>
      <c r="U286" s="17"/>
      <c r="V286" s="12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</row>
    <row r="287">
      <c r="A287" s="12" t="s">
        <v>906</v>
      </c>
      <c r="B287" s="12" t="s">
        <v>818</v>
      </c>
      <c r="C287" s="44"/>
      <c r="D287" s="12" t="b">
        <v>0</v>
      </c>
      <c r="E287" s="12">
        <v>66.0</v>
      </c>
      <c r="F287" s="17"/>
      <c r="G287" s="12" t="s">
        <v>1110</v>
      </c>
      <c r="H287" s="109" t="s">
        <v>1391</v>
      </c>
      <c r="I287" s="12" t="s">
        <v>1392</v>
      </c>
      <c r="J287" s="12" t="s">
        <v>1393</v>
      </c>
      <c r="K287" s="14">
        <v>2.02509250172E11</v>
      </c>
      <c r="L287" s="70" t="b">
        <v>0</v>
      </c>
      <c r="M287" s="17"/>
      <c r="N287" s="70" t="b">
        <v>0</v>
      </c>
      <c r="O287" s="70" t="b">
        <v>0</v>
      </c>
      <c r="P287" s="70" t="b">
        <v>0</v>
      </c>
      <c r="Q287" s="12" t="s">
        <v>1227</v>
      </c>
      <c r="R287" s="12">
        <v>3.0</v>
      </c>
      <c r="S287" s="17"/>
      <c r="T287" s="17"/>
      <c r="U287" s="17"/>
      <c r="V287" s="12" t="s">
        <v>1391</v>
      </c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</row>
    <row r="288">
      <c r="A288" s="12" t="s">
        <v>906</v>
      </c>
      <c r="B288" s="12" t="s">
        <v>818</v>
      </c>
      <c r="C288" s="44"/>
      <c r="D288" s="12" t="b">
        <v>0</v>
      </c>
      <c r="E288" s="12">
        <v>67.0</v>
      </c>
      <c r="F288" s="17"/>
      <c r="G288" s="12" t="s">
        <v>1110</v>
      </c>
      <c r="H288" s="109" t="s">
        <v>1394</v>
      </c>
      <c r="I288" s="12" t="s">
        <v>1395</v>
      </c>
      <c r="J288" s="12" t="s">
        <v>1396</v>
      </c>
      <c r="K288" s="14">
        <v>2.02509250188E11</v>
      </c>
      <c r="L288" s="70" t="b">
        <v>0</v>
      </c>
      <c r="M288" s="17"/>
      <c r="N288" s="70" t="b">
        <v>0</v>
      </c>
      <c r="O288" s="70" t="b">
        <v>0</v>
      </c>
      <c r="P288" s="70" t="b">
        <v>0</v>
      </c>
      <c r="Q288" s="12" t="s">
        <v>1227</v>
      </c>
      <c r="R288" s="12">
        <v>4.0</v>
      </c>
      <c r="S288" s="17"/>
      <c r="T288" s="17"/>
      <c r="U288" s="17"/>
      <c r="V288" s="12" t="s">
        <v>1394</v>
      </c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</row>
    <row r="289">
      <c r="A289" s="12" t="s">
        <v>906</v>
      </c>
      <c r="B289" s="12" t="s">
        <v>818</v>
      </c>
      <c r="C289" s="44"/>
      <c r="D289" s="12" t="b">
        <v>0</v>
      </c>
      <c r="E289" s="12">
        <v>68.0</v>
      </c>
      <c r="F289" s="17"/>
      <c r="G289" s="12" t="s">
        <v>855</v>
      </c>
      <c r="H289" s="109" t="s">
        <v>1397</v>
      </c>
      <c r="I289" s="12" t="s">
        <v>1398</v>
      </c>
      <c r="J289" s="12" t="s">
        <v>1399</v>
      </c>
      <c r="K289" s="14">
        <v>2.02408300007E11</v>
      </c>
      <c r="L289" s="70" t="b">
        <v>0</v>
      </c>
      <c r="M289" s="17"/>
      <c r="N289" s="70" t="b">
        <v>0</v>
      </c>
      <c r="O289" s="70" t="b">
        <v>0</v>
      </c>
      <c r="P289" s="70" t="b">
        <v>0</v>
      </c>
      <c r="Q289" s="12"/>
      <c r="R289" s="12"/>
      <c r="S289" s="17"/>
      <c r="T289" s="17"/>
      <c r="U289" s="17"/>
      <c r="V289" s="12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</row>
    <row r="290">
      <c r="A290" s="12" t="s">
        <v>906</v>
      </c>
      <c r="B290" s="12" t="s">
        <v>818</v>
      </c>
      <c r="C290" s="44"/>
      <c r="D290" s="12" t="b">
        <v>0</v>
      </c>
      <c r="E290" s="12">
        <v>69.0</v>
      </c>
      <c r="F290" s="17"/>
      <c r="G290" s="12" t="s">
        <v>855</v>
      </c>
      <c r="H290" s="109" t="s">
        <v>1400</v>
      </c>
      <c r="I290" s="12" t="s">
        <v>1401</v>
      </c>
      <c r="J290" s="12" t="s">
        <v>1402</v>
      </c>
      <c r="K290" s="14">
        <v>2.02509200156E11</v>
      </c>
      <c r="L290" s="70" t="b">
        <v>0</v>
      </c>
      <c r="M290" s="17"/>
      <c r="N290" s="70" t="b">
        <v>0</v>
      </c>
      <c r="O290" s="70" t="b">
        <v>0</v>
      </c>
      <c r="P290" s="70" t="b">
        <v>0</v>
      </c>
      <c r="Q290" s="12"/>
      <c r="R290" s="12"/>
      <c r="S290" s="17"/>
      <c r="T290" s="17"/>
      <c r="U290" s="17"/>
      <c r="V290" s="12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</row>
    <row r="291">
      <c r="A291" s="12" t="s">
        <v>906</v>
      </c>
      <c r="B291" s="12" t="s">
        <v>818</v>
      </c>
      <c r="C291" s="44"/>
      <c r="D291" s="12" t="b">
        <v>0</v>
      </c>
      <c r="E291" s="12">
        <v>70.0</v>
      </c>
      <c r="F291" s="17"/>
      <c r="G291" s="12" t="s">
        <v>1110</v>
      </c>
      <c r="H291" s="109" t="s">
        <v>1403</v>
      </c>
      <c r="I291" s="12" t="s">
        <v>1404</v>
      </c>
      <c r="J291" s="12" t="s">
        <v>1405</v>
      </c>
      <c r="K291" s="14">
        <v>2.02509250166E11</v>
      </c>
      <c r="L291" s="70" t="b">
        <v>0</v>
      </c>
      <c r="M291" s="17"/>
      <c r="N291" s="70" t="b">
        <v>0</v>
      </c>
      <c r="O291" s="70" t="b">
        <v>0</v>
      </c>
      <c r="P291" s="70" t="b">
        <v>0</v>
      </c>
      <c r="Q291" s="12" t="s">
        <v>1227</v>
      </c>
      <c r="R291" s="12">
        <v>8.0</v>
      </c>
      <c r="S291" s="17"/>
      <c r="T291" s="17"/>
      <c r="U291" s="17"/>
      <c r="V291" s="12" t="s">
        <v>1403</v>
      </c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</row>
    <row r="292">
      <c r="A292" s="12"/>
      <c r="B292" s="12"/>
      <c r="C292" s="44"/>
      <c r="D292" s="12"/>
      <c r="E292" s="12"/>
      <c r="F292" s="17"/>
      <c r="G292" s="12"/>
      <c r="H292" s="56"/>
      <c r="I292" s="12"/>
      <c r="J292" s="12"/>
      <c r="K292" s="14"/>
      <c r="L292" s="70"/>
      <c r="M292" s="17"/>
      <c r="N292" s="70"/>
      <c r="O292" s="70"/>
      <c r="P292" s="70"/>
      <c r="Q292" s="12"/>
      <c r="R292" s="12"/>
      <c r="S292" s="17"/>
      <c r="T292" s="17"/>
      <c r="U292" s="17"/>
      <c r="V292" s="12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</row>
    <row r="293">
      <c r="A293" s="17"/>
      <c r="B293" s="17"/>
      <c r="C293" s="44"/>
      <c r="D293" s="17"/>
      <c r="E293" s="17"/>
      <c r="F293" s="17"/>
      <c r="G293" s="17"/>
      <c r="H293" s="17"/>
      <c r="I293" s="87"/>
      <c r="J293" s="17"/>
      <c r="K293" s="44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</row>
    <row r="294">
      <c r="A294" s="17"/>
      <c r="B294" s="17"/>
      <c r="C294" s="44"/>
      <c r="D294" s="17"/>
      <c r="E294" s="17"/>
      <c r="F294" s="17"/>
      <c r="G294" s="17"/>
      <c r="H294" s="64"/>
      <c r="I294" s="87"/>
      <c r="J294" s="17"/>
      <c r="K294" s="44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</row>
    <row r="295">
      <c r="A295" s="17"/>
      <c r="B295" s="17"/>
      <c r="C295" s="34"/>
      <c r="D295" s="17"/>
      <c r="E295" s="17"/>
      <c r="F295" s="17"/>
      <c r="G295" s="17"/>
      <c r="H295" s="64"/>
      <c r="I295" s="87"/>
      <c r="J295" s="17"/>
      <c r="K295" s="34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</row>
    <row r="296">
      <c r="A296" s="17"/>
      <c r="B296" s="17"/>
      <c r="C296" s="34" t="str">
        <f>IFERROR(__xludf.DUMMYFUNCTION("SPLIT(H296,"" / "")"),"MC-R280")</f>
        <v>MC-R280</v>
      </c>
      <c r="D296" s="17" t="str">
        <f>IFERROR(__xludf.DUMMYFUNCTION("""COMPUTED_VALUE"""),"Sport")</f>
        <v>Sport</v>
      </c>
      <c r="E296" s="17" t="str">
        <f>IFERROR(__xludf.DUMMYFUNCTION("""COMPUTED_VALUE"""),"Blue")</f>
        <v>Blue</v>
      </c>
      <c r="F296" s="17" t="str">
        <f>IFERROR(__xludf.DUMMYFUNCTION("""COMPUTED_VALUE"""),"R5FBMGOB3RL000141")</f>
        <v>R5FBMGOB3RL000141</v>
      </c>
      <c r="G296" s="17" t="str">
        <f>IFERROR(__xludf.DUMMYFUNCTION("""COMPUTED_VALUE"""),"N108WC")</f>
        <v>N108WC</v>
      </c>
      <c r="H296" s="110" t="s">
        <v>1406</v>
      </c>
      <c r="I296" s="110" t="s">
        <v>1407</v>
      </c>
      <c r="J296" s="17" t="str">
        <f>IFERROR(__xludf.DUMMYFUNCTION("ARRAYFORMULA(TRIM(SPLIT(I296,{CHAR(10),"":""})))"),"RideBox Battery - Ampace /")</f>
        <v>RideBox Battery - Ampace /</v>
      </c>
      <c r="K296" s="34" t="str">
        <f>IFERROR(__xludf.DUMMYFUNCTION("""COMPUTED_VALUE"""),"519110002370AAXXXLJL0049")</f>
        <v>519110002370AAXXXLJL0049</v>
      </c>
      <c r="L296" s="17" t="str">
        <f>IFERROR(__xludf.DUMMYFUNCTION("""COMPUTED_VALUE"""),"519110002370AAXXXNJL0092")</f>
        <v>519110002370AAXXXNJL0092</v>
      </c>
      <c r="M296" s="17" t="str">
        <f>IFERROR(__xludf.DUMMYFUNCTION("""COMPUTED_VALUE"""),"Regular Charger: 202509250191")</f>
        <v>Regular Charger: 202509250191</v>
      </c>
      <c r="N296" s="17" t="str">
        <f t="shared" ref="N296:N299" si="21">RIGHT(M296,12)</f>
        <v>202509250191</v>
      </c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</row>
    <row r="297">
      <c r="A297" s="17"/>
      <c r="B297" s="17"/>
      <c r="C297" s="34" t="str">
        <f>IFERROR(__xludf.DUMMYFUNCTION("SPLIT(H297,"" / "")"),"MC-D400")</f>
        <v>MC-D400</v>
      </c>
      <c r="D297" s="17" t="str">
        <f>IFERROR(__xludf.DUMMYFUNCTION("""COMPUTED_VALUE"""),"Black")</f>
        <v>Black</v>
      </c>
      <c r="E297" s="17" t="str">
        <f>IFERROR(__xludf.DUMMYFUNCTION("""COMPUTED_VALUE"""),"R5FBMX0B6SL000561")</f>
        <v>R5FBMX0B6SL000561</v>
      </c>
      <c r="F297" s="17" t="str">
        <f>IFERROR(__xludf.DUMMYFUNCTION("""COMPUTED_VALUE"""),"N225WC")</f>
        <v>N225WC</v>
      </c>
      <c r="G297" s="17"/>
      <c r="H297" s="64" t="s">
        <v>1408</v>
      </c>
      <c r="I297" s="87" t="s">
        <v>1409</v>
      </c>
      <c r="J297" s="17" t="str">
        <f>IFERROR(__xludf.DUMMYFUNCTION("ARRAYFORMULA(TRIM(SPLIT(I297,{CHAR(10),"":""})))"),"RideBox Battery - Ampace /")</f>
        <v>RideBox Battery - Ampace /</v>
      </c>
      <c r="K297" s="34" t="str">
        <f>IFERROR(__xludf.DUMMYFUNCTION("""COMPUTED_VALUE"""),"519110002370AAXXXLJL0410")</f>
        <v>519110002370AAXXXLJL0410</v>
      </c>
      <c r="L297" s="17" t="str">
        <f>IFERROR(__xludf.DUMMYFUNCTION("""COMPUTED_VALUE"""),"519110002370AAXXXNJL0056")</f>
        <v>519110002370AAXXXNJL0056</v>
      </c>
      <c r="M297" s="17" t="str">
        <f>IFERROR(__xludf.DUMMYFUNCTION("""COMPUTED_VALUE"""),"Regular Charger: 202408300201")</f>
        <v>Regular Charger: 202408300201</v>
      </c>
      <c r="N297" s="17" t="str">
        <f t="shared" si="21"/>
        <v>202408300201</v>
      </c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</row>
    <row r="298">
      <c r="A298" s="17"/>
      <c r="B298" s="17"/>
      <c r="C298" s="34" t="str">
        <f>IFERROR(__xludf.DUMMYFUNCTION("SPLIT(H298,"" / "")"),"MC-D400")</f>
        <v>MC-D400</v>
      </c>
      <c r="D298" s="17" t="str">
        <f>IFERROR(__xludf.DUMMYFUNCTION("""COMPUTED_VALUE"""),"Black")</f>
        <v>Black</v>
      </c>
      <c r="E298" s="17" t="str">
        <f>IFERROR(__xludf.DUMMYFUNCTION("""COMPUTED_VALUE"""),"R5FBMX0B0SL000555")</f>
        <v>R5FBMX0B0SL000555</v>
      </c>
      <c r="F298" s="17" t="str">
        <f>IFERROR(__xludf.DUMMYFUNCTION("""COMPUTED_VALUE"""),"N207WC")</f>
        <v>N207WC</v>
      </c>
      <c r="G298" s="17"/>
      <c r="H298" s="64" t="s">
        <v>1410</v>
      </c>
      <c r="I298" s="87" t="s">
        <v>1411</v>
      </c>
      <c r="J298" s="17" t="str">
        <f>IFERROR(__xludf.DUMMYFUNCTION("ARRAYFORMULA(TRIM(SPLIT(I298,{CHAR(10),"":""})))"),"RideBox Battery - Ampace /")</f>
        <v>RideBox Battery - Ampace /</v>
      </c>
      <c r="K298" s="34" t="str">
        <f>IFERROR(__xludf.DUMMYFUNCTION("""COMPUTED_VALUE"""),"519110002370AAXXXLJL0487")</f>
        <v>519110002370AAXXXLJL0487</v>
      </c>
      <c r="L298" s="17" t="str">
        <f>IFERROR(__xludf.DUMMYFUNCTION("""COMPUTED_VALUE"""),"519110002370AAXXXLJL0324")</f>
        <v>519110002370AAXXXLJL0324</v>
      </c>
      <c r="M298" s="17" t="str">
        <f>IFERROR(__xludf.DUMMYFUNCTION("""COMPUTED_VALUE"""),"Regular Charger: 202408300175")</f>
        <v>Regular Charger: 202408300175</v>
      </c>
      <c r="N298" s="17" t="str">
        <f t="shared" si="21"/>
        <v>202408300175</v>
      </c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</row>
    <row r="299">
      <c r="A299" s="17"/>
      <c r="B299" s="17"/>
      <c r="C299" s="34" t="str">
        <f>IFERROR(__xludf.DUMMYFUNCTION("SPLIT(H299,"" / "")"),"MC-D400")</f>
        <v>MC-D400</v>
      </c>
      <c r="D299" s="17" t="str">
        <f>IFERROR(__xludf.DUMMYFUNCTION("""COMPUTED_VALUE"""),"Black")</f>
        <v>Black</v>
      </c>
      <c r="E299" s="17" t="str">
        <f>IFERROR(__xludf.DUMMYFUNCTION("""COMPUTED_VALUE"""),"R5FBMX0BXSL000546")</f>
        <v>R5FBMX0BXSL000546</v>
      </c>
      <c r="F299" s="17" t="str">
        <f>IFERROR(__xludf.DUMMYFUNCTION("""COMPUTED_VALUE"""),"N193WC")</f>
        <v>N193WC</v>
      </c>
      <c r="G299" s="17"/>
      <c r="H299" s="64" t="s">
        <v>1412</v>
      </c>
      <c r="I299" s="87" t="s">
        <v>1413</v>
      </c>
      <c r="J299" s="17" t="str">
        <f>IFERROR(__xludf.DUMMYFUNCTION("ARRAYFORMULA(TRIM(SPLIT(I299,{CHAR(10),"":""})))"),"RideBox Battery - Ampace /")</f>
        <v>RideBox Battery - Ampace /</v>
      </c>
      <c r="K299" s="34" t="str">
        <f>IFERROR(__xludf.DUMMYFUNCTION("""COMPUTED_VALUE"""),"519110002370AAXXXNJL0082")</f>
        <v>519110002370AAXXXNJL0082</v>
      </c>
      <c r="L299" s="17" t="str">
        <f>IFERROR(__xludf.DUMMYFUNCTION("""COMPUTED_VALUE"""),"519110002370AAXXXLJL0023")</f>
        <v>519110002370AAXXXLJL0023</v>
      </c>
      <c r="M299" s="17" t="str">
        <f>IFERROR(__xludf.DUMMYFUNCTION("""COMPUTED_VALUE"""),"Regular Charger: 202408300171")</f>
        <v>Regular Charger: 202408300171</v>
      </c>
      <c r="N299" s="17" t="str">
        <f t="shared" si="21"/>
        <v>202408300171</v>
      </c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</row>
    <row r="300">
      <c r="A300" s="17"/>
      <c r="B300" s="17"/>
      <c r="C300" s="34"/>
      <c r="D300" s="17"/>
      <c r="E300" s="17"/>
      <c r="F300" s="17"/>
      <c r="G300" s="17"/>
      <c r="H300" s="64"/>
      <c r="I300" s="87"/>
      <c r="J300" s="17"/>
      <c r="K300" s="34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</row>
    <row r="301">
      <c r="A301" s="17"/>
      <c r="B301" s="17"/>
      <c r="C301" s="34"/>
      <c r="D301" s="17"/>
      <c r="E301" s="17"/>
      <c r="F301" s="17"/>
      <c r="G301" s="17"/>
      <c r="H301" s="64"/>
      <c r="I301" s="87"/>
      <c r="J301" s="17"/>
      <c r="K301" s="34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</row>
    <row r="302">
      <c r="A302" s="17"/>
      <c r="B302" s="17"/>
      <c r="C302" s="34"/>
      <c r="D302" s="17"/>
      <c r="E302" s="17"/>
      <c r="F302" s="17"/>
      <c r="G302" s="17"/>
      <c r="H302" s="64"/>
      <c r="I302" s="87"/>
      <c r="J302" s="17"/>
      <c r="K302" s="34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</row>
    <row r="303">
      <c r="A303" s="17"/>
      <c r="B303" s="17"/>
      <c r="C303" s="34"/>
      <c r="D303" s="17"/>
      <c r="E303" s="17"/>
      <c r="F303" s="17"/>
      <c r="G303" s="17"/>
      <c r="H303" s="64"/>
      <c r="I303" s="111"/>
      <c r="J303" s="112"/>
      <c r="K303" s="112"/>
      <c r="L303" s="110"/>
      <c r="M303" s="12"/>
      <c r="N303" s="17"/>
      <c r="O303" s="17"/>
      <c r="P303" s="87" t="s">
        <v>1414</v>
      </c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</row>
    <row r="304">
      <c r="A304" s="17"/>
      <c r="B304" s="17"/>
      <c r="C304" s="34"/>
      <c r="D304" s="17"/>
      <c r="E304" s="17"/>
      <c r="F304" s="17"/>
      <c r="G304" s="17"/>
      <c r="H304" s="64"/>
      <c r="I304" s="87"/>
      <c r="J304" s="17"/>
      <c r="K304" s="34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</row>
    <row r="305">
      <c r="A305" s="17"/>
      <c r="B305" s="17"/>
      <c r="C305" s="34"/>
      <c r="D305" s="17"/>
      <c r="E305" s="17"/>
      <c r="F305" s="17"/>
      <c r="G305" s="17"/>
      <c r="H305" s="110"/>
      <c r="I305" s="110"/>
      <c r="J305" s="112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</row>
    <row r="306">
      <c r="A306" s="17"/>
      <c r="B306" s="17"/>
      <c r="C306" s="34"/>
      <c r="D306" s="17"/>
      <c r="E306" s="17"/>
      <c r="F306" s="17"/>
      <c r="G306" s="17"/>
      <c r="H306" s="64"/>
      <c r="I306" s="87"/>
      <c r="J306" s="17"/>
      <c r="K306" s="34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</row>
    <row r="307">
      <c r="A307" s="17"/>
      <c r="B307" s="17"/>
      <c r="C307" s="34"/>
      <c r="D307" s="17"/>
      <c r="E307" s="17"/>
      <c r="F307" s="17"/>
      <c r="G307" s="17"/>
      <c r="H307" s="64"/>
      <c r="I307" s="87"/>
      <c r="J307" s="17"/>
      <c r="K307" s="34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</row>
    <row r="308">
      <c r="A308" s="17"/>
      <c r="B308" s="17"/>
      <c r="C308" s="34"/>
      <c r="D308" s="17"/>
      <c r="E308" s="17"/>
      <c r="F308" s="17"/>
      <c r="G308" s="17"/>
      <c r="H308" s="64"/>
      <c r="I308" s="87"/>
      <c r="J308" s="17"/>
      <c r="K308" s="34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</row>
    <row r="309">
      <c r="A309" s="17"/>
      <c r="B309" s="17"/>
      <c r="C309" s="34"/>
      <c r="D309" s="17"/>
      <c r="E309" s="17"/>
      <c r="F309" s="17"/>
      <c r="G309" s="17"/>
      <c r="H309" s="64"/>
      <c r="I309" s="87"/>
      <c r="J309" s="17"/>
      <c r="K309" s="34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</row>
    <row r="310">
      <c r="A310" s="17"/>
      <c r="B310" s="17"/>
      <c r="C310" s="34"/>
      <c r="D310" s="17"/>
      <c r="E310" s="17"/>
      <c r="F310" s="17"/>
      <c r="G310" s="17"/>
      <c r="H310" s="64"/>
      <c r="I310" s="87"/>
      <c r="J310" s="17"/>
      <c r="K310" s="34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</row>
    <row r="311">
      <c r="A311" s="17"/>
      <c r="B311" s="17"/>
      <c r="C311" s="17"/>
      <c r="D311" s="17"/>
      <c r="E311" s="17"/>
      <c r="F311" s="17"/>
      <c r="G311" s="17"/>
      <c r="H311" s="64"/>
      <c r="I311" s="87"/>
      <c r="J311" s="17"/>
      <c r="K311" s="34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</row>
    <row r="312">
      <c r="A312" s="17"/>
      <c r="B312" s="17"/>
      <c r="C312" s="17"/>
      <c r="D312" s="17"/>
      <c r="E312" s="17"/>
      <c r="F312" s="17"/>
      <c r="G312" s="17"/>
      <c r="H312" s="64"/>
      <c r="I312" s="87"/>
      <c r="J312" s="17"/>
      <c r="K312" s="34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</row>
    <row r="313">
      <c r="A313" s="17"/>
      <c r="B313" s="17"/>
      <c r="C313" s="17"/>
      <c r="D313" s="17"/>
      <c r="E313" s="17"/>
      <c r="F313" s="17"/>
      <c r="G313" s="17"/>
      <c r="H313" s="64"/>
      <c r="I313" s="87"/>
      <c r="J313" s="17"/>
      <c r="K313" s="34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</row>
    <row r="314">
      <c r="A314" s="17"/>
      <c r="B314" s="17"/>
      <c r="C314" s="17"/>
      <c r="D314" s="17"/>
      <c r="E314" s="17"/>
      <c r="F314" s="17"/>
      <c r="G314" s="17"/>
      <c r="H314" s="64"/>
      <c r="I314" s="87"/>
      <c r="J314" s="17"/>
      <c r="K314" s="34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</row>
    <row r="315">
      <c r="A315" s="17"/>
      <c r="B315" s="17"/>
      <c r="C315" s="17"/>
      <c r="D315" s="17"/>
      <c r="E315" s="17"/>
      <c r="F315" s="17"/>
      <c r="G315" s="17"/>
      <c r="H315" s="64"/>
      <c r="I315" s="87"/>
      <c r="J315" s="17"/>
      <c r="K315" s="34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</row>
    <row r="316">
      <c r="A316" s="17"/>
      <c r="B316" s="17"/>
      <c r="C316" s="17"/>
      <c r="D316" s="17"/>
      <c r="E316" s="17"/>
      <c r="F316" s="17"/>
      <c r="G316" s="17"/>
      <c r="H316" s="64"/>
      <c r="I316" s="87"/>
      <c r="J316" s="17"/>
      <c r="K316" s="34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</row>
    <row r="317">
      <c r="A317" s="17"/>
      <c r="B317" s="17"/>
      <c r="C317" s="17"/>
      <c r="D317" s="17"/>
      <c r="E317" s="17"/>
      <c r="F317" s="17"/>
      <c r="G317" s="17"/>
      <c r="H317" s="64"/>
      <c r="I317" s="87"/>
      <c r="J317" s="17"/>
      <c r="K317" s="34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</row>
    <row r="318">
      <c r="A318" s="17"/>
      <c r="B318" s="17"/>
      <c r="C318" s="17"/>
      <c r="D318" s="17"/>
      <c r="E318" s="17"/>
      <c r="F318" s="17"/>
      <c r="G318" s="17"/>
      <c r="H318" s="64"/>
      <c r="I318" s="87"/>
      <c r="J318" s="17"/>
      <c r="K318" s="34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</row>
    <row r="319">
      <c r="A319" s="17"/>
      <c r="B319" s="17"/>
      <c r="C319" s="17"/>
      <c r="D319" s="17"/>
      <c r="E319" s="17"/>
      <c r="F319" s="17"/>
      <c r="G319" s="17"/>
      <c r="H319" s="64"/>
      <c r="I319" s="87"/>
      <c r="J319" s="17"/>
      <c r="K319" s="34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</row>
    <row r="320">
      <c r="A320" s="17"/>
      <c r="B320" s="17"/>
      <c r="C320" s="17"/>
      <c r="D320" s="17"/>
      <c r="E320" s="17"/>
      <c r="F320" s="17"/>
      <c r="G320" s="17"/>
      <c r="H320" s="64"/>
      <c r="I320" s="87"/>
      <c r="J320" s="17"/>
      <c r="K320" s="34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</row>
    <row r="321">
      <c r="A321" s="17"/>
      <c r="B321" s="17"/>
      <c r="C321" s="17"/>
      <c r="D321" s="17"/>
      <c r="E321" s="17"/>
      <c r="F321" s="17"/>
      <c r="G321" s="17"/>
      <c r="H321" s="64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</row>
    <row r="322">
      <c r="A322" s="17"/>
      <c r="B322" s="17"/>
      <c r="C322" s="17"/>
      <c r="D322" s="17"/>
      <c r="E322" s="17"/>
      <c r="F322" s="17"/>
      <c r="G322" s="17"/>
      <c r="H322" s="64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</row>
    <row r="323">
      <c r="A323" s="17"/>
      <c r="B323" s="17"/>
      <c r="C323" s="17"/>
      <c r="D323" s="17"/>
      <c r="E323" s="17"/>
      <c r="F323" s="17"/>
      <c r="G323" s="17"/>
      <c r="H323" s="64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</row>
    <row r="324">
      <c r="A324" s="17"/>
      <c r="B324" s="17"/>
      <c r="C324" s="17"/>
      <c r="D324" s="17"/>
      <c r="E324" s="17"/>
      <c r="F324" s="17"/>
      <c r="G324" s="17"/>
      <c r="H324" s="64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</row>
    <row r="325">
      <c r="A325" s="17"/>
      <c r="B325" s="17"/>
      <c r="C325" s="17"/>
      <c r="D325" s="17"/>
      <c r="E325" s="17"/>
      <c r="F325" s="17"/>
      <c r="G325" s="17"/>
      <c r="H325" s="64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</row>
    <row r="326">
      <c r="A326" s="17"/>
      <c r="B326" s="17"/>
      <c r="C326" s="17"/>
      <c r="D326" s="17"/>
      <c r="E326" s="17"/>
      <c r="F326" s="17"/>
      <c r="G326" s="17"/>
      <c r="H326" s="64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</row>
    <row r="327">
      <c r="A327" s="17"/>
      <c r="B327" s="17"/>
      <c r="C327" s="17"/>
      <c r="D327" s="17"/>
      <c r="E327" s="17"/>
      <c r="F327" s="17"/>
      <c r="G327" s="17"/>
      <c r="H327" s="64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</row>
    <row r="328">
      <c r="A328" s="17"/>
      <c r="B328" s="17"/>
      <c r="C328" s="17"/>
      <c r="D328" s="17"/>
      <c r="E328" s="17"/>
      <c r="F328" s="17"/>
      <c r="G328" s="17"/>
      <c r="H328" s="64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</row>
    <row r="329">
      <c r="A329" s="17"/>
      <c r="B329" s="17"/>
      <c r="C329" s="17"/>
      <c r="D329" s="17"/>
      <c r="E329" s="17"/>
      <c r="F329" s="17"/>
      <c r="G329" s="17"/>
      <c r="H329" s="64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</row>
    <row r="330">
      <c r="A330" s="17"/>
      <c r="B330" s="17"/>
      <c r="C330" s="17"/>
      <c r="D330" s="17"/>
      <c r="E330" s="17"/>
      <c r="F330" s="17"/>
      <c r="G330" s="17"/>
      <c r="H330" s="64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</row>
    <row r="331">
      <c r="A331" s="17"/>
      <c r="B331" s="17"/>
      <c r="C331" s="17"/>
      <c r="D331" s="17"/>
      <c r="E331" s="17"/>
      <c r="F331" s="17"/>
      <c r="G331" s="17"/>
      <c r="H331" s="64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</row>
    <row r="332">
      <c r="A332" s="17"/>
      <c r="B332" s="17"/>
      <c r="C332" s="17"/>
      <c r="D332" s="17"/>
      <c r="E332" s="17"/>
      <c r="F332" s="17"/>
      <c r="G332" s="17"/>
      <c r="H332" s="64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</row>
    <row r="333">
      <c r="A333" s="17"/>
      <c r="B333" s="17"/>
      <c r="C333" s="17"/>
      <c r="D333" s="17"/>
      <c r="E333" s="17"/>
      <c r="F333" s="17"/>
      <c r="G333" s="17"/>
      <c r="H333" s="64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</row>
    <row r="334">
      <c r="A334" s="17"/>
      <c r="B334" s="17"/>
      <c r="C334" s="17"/>
      <c r="D334" s="17"/>
      <c r="E334" s="17"/>
      <c r="F334" s="17"/>
      <c r="G334" s="17"/>
      <c r="H334" s="64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</row>
    <row r="335">
      <c r="A335" s="17"/>
      <c r="B335" s="17"/>
      <c r="C335" s="17"/>
      <c r="D335" s="17"/>
      <c r="E335" s="17"/>
      <c r="F335" s="17"/>
      <c r="G335" s="17"/>
      <c r="H335" s="64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</row>
    <row r="336">
      <c r="A336" s="17"/>
      <c r="B336" s="17"/>
      <c r="C336" s="17"/>
      <c r="D336" s="17"/>
      <c r="E336" s="17"/>
      <c r="F336" s="17"/>
      <c r="G336" s="17"/>
      <c r="H336" s="64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</row>
    <row r="337">
      <c r="A337" s="17"/>
      <c r="B337" s="17"/>
      <c r="C337" s="17"/>
      <c r="D337" s="17"/>
      <c r="E337" s="17"/>
      <c r="F337" s="17"/>
      <c r="G337" s="17"/>
      <c r="H337" s="64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</row>
    <row r="338">
      <c r="A338" s="17"/>
      <c r="B338" s="17"/>
      <c r="C338" s="17"/>
      <c r="D338" s="17"/>
      <c r="E338" s="17"/>
      <c r="F338" s="17"/>
      <c r="G338" s="17"/>
      <c r="H338" s="64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</row>
    <row r="339">
      <c r="A339" s="17"/>
      <c r="B339" s="17"/>
      <c r="C339" s="17"/>
      <c r="D339" s="17"/>
      <c r="E339" s="17"/>
      <c r="F339" s="17"/>
      <c r="G339" s="17"/>
      <c r="H339" s="64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</row>
    <row r="340">
      <c r="A340" s="17"/>
      <c r="B340" s="17"/>
      <c r="C340" s="17"/>
      <c r="D340" s="17"/>
      <c r="E340" s="17"/>
      <c r="F340" s="17"/>
      <c r="G340" s="17"/>
      <c r="H340" s="64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</row>
    <row r="341">
      <c r="A341" s="17"/>
      <c r="B341" s="17"/>
      <c r="C341" s="17"/>
      <c r="D341" s="17"/>
      <c r="E341" s="17"/>
      <c r="F341" s="17"/>
      <c r="G341" s="17"/>
      <c r="H341" s="64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</row>
    <row r="342">
      <c r="A342" s="17"/>
      <c r="B342" s="17"/>
      <c r="C342" s="17"/>
      <c r="D342" s="17"/>
      <c r="E342" s="17"/>
      <c r="F342" s="17"/>
      <c r="G342" s="17"/>
      <c r="H342" s="64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</row>
    <row r="343">
      <c r="A343" s="17"/>
      <c r="B343" s="17"/>
      <c r="C343" s="17"/>
      <c r="D343" s="17"/>
      <c r="E343" s="17"/>
      <c r="F343" s="17"/>
      <c r="G343" s="17"/>
      <c r="H343" s="64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</row>
    <row r="344">
      <c r="A344" s="17"/>
      <c r="B344" s="17"/>
      <c r="C344" s="17"/>
      <c r="D344" s="17"/>
      <c r="E344" s="17"/>
      <c r="F344" s="17"/>
      <c r="G344" s="17"/>
      <c r="H344" s="64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</row>
    <row r="345">
      <c r="A345" s="17"/>
      <c r="B345" s="17"/>
      <c r="C345" s="17"/>
      <c r="D345" s="17"/>
      <c r="E345" s="17"/>
      <c r="F345" s="17"/>
      <c r="G345" s="17"/>
      <c r="H345" s="64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</row>
    <row r="346">
      <c r="A346" s="17"/>
      <c r="B346" s="17"/>
      <c r="C346" s="17"/>
      <c r="D346" s="17"/>
      <c r="E346" s="17"/>
      <c r="F346" s="17"/>
      <c r="G346" s="17"/>
      <c r="H346" s="64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</row>
    <row r="347">
      <c r="A347" s="17"/>
      <c r="B347" s="17"/>
      <c r="C347" s="17"/>
      <c r="D347" s="17"/>
      <c r="E347" s="17"/>
      <c r="F347" s="17"/>
      <c r="G347" s="17"/>
      <c r="H347" s="64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</row>
    <row r="348">
      <c r="A348" s="17"/>
      <c r="B348" s="17"/>
      <c r="C348" s="17"/>
      <c r="D348" s="17"/>
      <c r="E348" s="17"/>
      <c r="F348" s="17"/>
      <c r="G348" s="17"/>
      <c r="H348" s="64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</row>
    <row r="349">
      <c r="A349" s="17"/>
      <c r="B349" s="17"/>
      <c r="C349" s="17"/>
      <c r="D349" s="17"/>
      <c r="E349" s="17"/>
      <c r="F349" s="17"/>
      <c r="G349" s="17"/>
      <c r="H349" s="64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</row>
    <row r="350">
      <c r="A350" s="17"/>
      <c r="B350" s="17"/>
      <c r="C350" s="17"/>
      <c r="D350" s="17"/>
      <c r="E350" s="17"/>
      <c r="F350" s="17"/>
      <c r="G350" s="17"/>
      <c r="H350" s="64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</row>
    <row r="351">
      <c r="A351" s="17"/>
      <c r="B351" s="17"/>
      <c r="C351" s="17"/>
      <c r="D351" s="17"/>
      <c r="E351" s="17"/>
      <c r="F351" s="17"/>
      <c r="G351" s="17"/>
      <c r="H351" s="64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</row>
    <row r="352">
      <c r="A352" s="17"/>
      <c r="B352" s="17"/>
      <c r="C352" s="17"/>
      <c r="D352" s="17"/>
      <c r="E352" s="17"/>
      <c r="F352" s="17"/>
      <c r="G352" s="17"/>
      <c r="H352" s="64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</row>
    <row r="353">
      <c r="A353" s="17"/>
      <c r="B353" s="17"/>
      <c r="C353" s="17"/>
      <c r="D353" s="17"/>
      <c r="E353" s="17"/>
      <c r="F353" s="17"/>
      <c r="G353" s="17"/>
      <c r="H353" s="64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</row>
    <row r="354">
      <c r="A354" s="17"/>
      <c r="B354" s="17"/>
      <c r="C354" s="17"/>
      <c r="D354" s="17"/>
      <c r="E354" s="17"/>
      <c r="F354" s="17"/>
      <c r="G354" s="17"/>
      <c r="H354" s="64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</row>
    <row r="355">
      <c r="A355" s="17"/>
      <c r="B355" s="17"/>
      <c r="C355" s="17"/>
      <c r="D355" s="17"/>
      <c r="E355" s="17"/>
      <c r="F355" s="17"/>
      <c r="G355" s="17"/>
      <c r="H355" s="64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</row>
    <row r="356">
      <c r="A356" s="17"/>
      <c r="B356" s="17"/>
      <c r="C356" s="17"/>
      <c r="D356" s="17"/>
      <c r="E356" s="17"/>
      <c r="F356" s="17"/>
      <c r="G356" s="17"/>
      <c r="H356" s="64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</row>
    <row r="357">
      <c r="A357" s="17"/>
      <c r="B357" s="17"/>
      <c r="C357" s="17"/>
      <c r="D357" s="17"/>
      <c r="E357" s="17"/>
      <c r="F357" s="17"/>
      <c r="G357" s="17"/>
      <c r="H357" s="64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</row>
    <row r="358">
      <c r="A358" s="17"/>
      <c r="B358" s="17"/>
      <c r="C358" s="17"/>
      <c r="D358" s="17"/>
      <c r="E358" s="17"/>
      <c r="F358" s="17"/>
      <c r="G358" s="17"/>
      <c r="H358" s="64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</row>
    <row r="359">
      <c r="A359" s="17"/>
      <c r="B359" s="17"/>
      <c r="C359" s="17"/>
      <c r="D359" s="17"/>
      <c r="E359" s="17"/>
      <c r="F359" s="17"/>
      <c r="G359" s="17"/>
      <c r="H359" s="64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</row>
    <row r="360">
      <c r="A360" s="17"/>
      <c r="B360" s="17"/>
      <c r="C360" s="17"/>
      <c r="D360" s="17"/>
      <c r="E360" s="17"/>
      <c r="F360" s="17"/>
      <c r="G360" s="17"/>
      <c r="H360" s="64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</row>
    <row r="361">
      <c r="A361" s="17"/>
      <c r="B361" s="17"/>
      <c r="C361" s="17"/>
      <c r="D361" s="17"/>
      <c r="E361" s="17"/>
      <c r="F361" s="17"/>
      <c r="G361" s="17"/>
      <c r="H361" s="64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</row>
    <row r="362">
      <c r="A362" s="17"/>
      <c r="B362" s="17"/>
      <c r="C362" s="17"/>
      <c r="D362" s="17"/>
      <c r="E362" s="17"/>
      <c r="F362" s="17"/>
      <c r="G362" s="17"/>
      <c r="H362" s="64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</row>
    <row r="363">
      <c r="A363" s="17"/>
      <c r="B363" s="17"/>
      <c r="C363" s="17"/>
      <c r="D363" s="17"/>
      <c r="E363" s="17"/>
      <c r="F363" s="17"/>
      <c r="G363" s="17"/>
      <c r="H363" s="64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</row>
    <row r="364">
      <c r="A364" s="17"/>
      <c r="B364" s="17"/>
      <c r="C364" s="17"/>
      <c r="D364" s="17"/>
      <c r="E364" s="17"/>
      <c r="F364" s="17"/>
      <c r="G364" s="17"/>
      <c r="H364" s="64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</row>
    <row r="365">
      <c r="A365" s="17"/>
      <c r="B365" s="17"/>
      <c r="C365" s="17"/>
      <c r="D365" s="17"/>
      <c r="E365" s="17"/>
      <c r="F365" s="17"/>
      <c r="G365" s="17"/>
      <c r="H365" s="64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</row>
    <row r="366">
      <c r="A366" s="17"/>
      <c r="B366" s="17"/>
      <c r="C366" s="17"/>
      <c r="D366" s="17"/>
      <c r="E366" s="17"/>
      <c r="F366" s="17"/>
      <c r="G366" s="17"/>
      <c r="H366" s="64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</row>
    <row r="367">
      <c r="A367" s="17"/>
      <c r="B367" s="17"/>
      <c r="C367" s="17"/>
      <c r="D367" s="17"/>
      <c r="E367" s="17"/>
      <c r="F367" s="17"/>
      <c r="G367" s="17"/>
      <c r="H367" s="64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</row>
    <row r="368">
      <c r="A368" s="17"/>
      <c r="B368" s="17"/>
      <c r="C368" s="17"/>
      <c r="D368" s="17"/>
      <c r="E368" s="17"/>
      <c r="F368" s="17"/>
      <c r="G368" s="17"/>
      <c r="H368" s="64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</row>
    <row r="369">
      <c r="A369" s="17"/>
      <c r="B369" s="17"/>
      <c r="C369" s="17"/>
      <c r="D369" s="17"/>
      <c r="E369" s="17"/>
      <c r="F369" s="17"/>
      <c r="G369" s="17"/>
      <c r="H369" s="64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</row>
    <row r="370">
      <c r="A370" s="17"/>
      <c r="B370" s="17"/>
      <c r="C370" s="17"/>
      <c r="D370" s="17"/>
      <c r="E370" s="17"/>
      <c r="F370" s="17"/>
      <c r="G370" s="17"/>
      <c r="H370" s="64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</row>
    <row r="371">
      <c r="A371" s="17"/>
      <c r="B371" s="17"/>
      <c r="C371" s="17"/>
      <c r="D371" s="17"/>
      <c r="E371" s="17"/>
      <c r="F371" s="17"/>
      <c r="G371" s="17"/>
      <c r="H371" s="64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</row>
    <row r="372">
      <c r="A372" s="17"/>
      <c r="B372" s="17"/>
      <c r="C372" s="17"/>
      <c r="D372" s="17"/>
      <c r="E372" s="17"/>
      <c r="F372" s="17"/>
      <c r="G372" s="17"/>
      <c r="H372" s="64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</row>
    <row r="373">
      <c r="A373" s="17"/>
      <c r="B373" s="17"/>
      <c r="C373" s="17"/>
      <c r="D373" s="17"/>
      <c r="E373" s="17"/>
      <c r="F373" s="17"/>
      <c r="G373" s="17"/>
      <c r="H373" s="64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</row>
    <row r="374">
      <c r="A374" s="17"/>
      <c r="B374" s="17"/>
      <c r="C374" s="17"/>
      <c r="D374" s="17"/>
      <c r="E374" s="17"/>
      <c r="F374" s="17"/>
      <c r="G374" s="17"/>
      <c r="H374" s="64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</row>
    <row r="375">
      <c r="A375" s="17"/>
      <c r="B375" s="17"/>
      <c r="C375" s="17"/>
      <c r="D375" s="17"/>
      <c r="E375" s="17"/>
      <c r="F375" s="17"/>
      <c r="G375" s="17"/>
      <c r="H375" s="64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</row>
    <row r="376">
      <c r="A376" s="17"/>
      <c r="B376" s="17"/>
      <c r="C376" s="17"/>
      <c r="D376" s="17"/>
      <c r="E376" s="17"/>
      <c r="F376" s="17"/>
      <c r="G376" s="17"/>
      <c r="H376" s="64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</row>
    <row r="377">
      <c r="A377" s="17"/>
      <c r="B377" s="17"/>
      <c r="C377" s="17"/>
      <c r="D377" s="17"/>
      <c r="E377" s="17"/>
      <c r="F377" s="17"/>
      <c r="G377" s="17"/>
      <c r="H377" s="64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</row>
    <row r="378">
      <c r="A378" s="17"/>
      <c r="B378" s="17"/>
      <c r="C378" s="17"/>
      <c r="D378" s="17"/>
      <c r="E378" s="17"/>
      <c r="F378" s="17"/>
      <c r="G378" s="17"/>
      <c r="H378" s="64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</row>
    <row r="379">
      <c r="A379" s="17"/>
      <c r="B379" s="17"/>
      <c r="C379" s="17"/>
      <c r="D379" s="17"/>
      <c r="E379" s="17"/>
      <c r="F379" s="17"/>
      <c r="G379" s="17"/>
      <c r="H379" s="64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</row>
    <row r="380">
      <c r="A380" s="17"/>
      <c r="B380" s="17"/>
      <c r="C380" s="17"/>
      <c r="D380" s="17"/>
      <c r="E380" s="17"/>
      <c r="F380" s="17"/>
      <c r="G380" s="17"/>
      <c r="H380" s="64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</row>
    <row r="381">
      <c r="A381" s="17"/>
      <c r="B381" s="17"/>
      <c r="C381" s="17"/>
      <c r="D381" s="17"/>
      <c r="E381" s="17"/>
      <c r="F381" s="17"/>
      <c r="G381" s="17"/>
      <c r="H381" s="64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</row>
    <row r="382">
      <c r="A382" s="17"/>
      <c r="B382" s="17"/>
      <c r="C382" s="17"/>
      <c r="D382" s="17"/>
      <c r="E382" s="17"/>
      <c r="F382" s="17"/>
      <c r="G382" s="17"/>
      <c r="H382" s="64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</row>
    <row r="383">
      <c r="A383" s="17"/>
      <c r="B383" s="17"/>
      <c r="C383" s="17"/>
      <c r="D383" s="17"/>
      <c r="E383" s="17"/>
      <c r="F383" s="17"/>
      <c r="G383" s="17"/>
      <c r="H383" s="64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</row>
    <row r="384">
      <c r="A384" s="17"/>
      <c r="B384" s="17"/>
      <c r="C384" s="17"/>
      <c r="D384" s="17"/>
      <c r="E384" s="17"/>
      <c r="F384" s="17"/>
      <c r="G384" s="17"/>
      <c r="H384" s="64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</row>
    <row r="385">
      <c r="A385" s="17"/>
      <c r="B385" s="17"/>
      <c r="C385" s="17"/>
      <c r="D385" s="17"/>
      <c r="E385" s="17"/>
      <c r="F385" s="17"/>
      <c r="G385" s="17"/>
      <c r="H385" s="64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</row>
    <row r="386">
      <c r="A386" s="17"/>
      <c r="B386" s="17"/>
      <c r="C386" s="17"/>
      <c r="D386" s="17"/>
      <c r="E386" s="17"/>
      <c r="F386" s="17"/>
      <c r="G386" s="17"/>
      <c r="H386" s="64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</row>
    <row r="387">
      <c r="A387" s="17"/>
      <c r="B387" s="17"/>
      <c r="C387" s="17"/>
      <c r="D387" s="17"/>
      <c r="E387" s="17"/>
      <c r="F387" s="17"/>
      <c r="G387" s="17"/>
      <c r="H387" s="64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</row>
    <row r="388">
      <c r="A388" s="17"/>
      <c r="B388" s="17"/>
      <c r="C388" s="17"/>
      <c r="D388" s="17"/>
      <c r="E388" s="17"/>
      <c r="F388" s="17"/>
      <c r="G388" s="17"/>
      <c r="H388" s="64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</row>
    <row r="389">
      <c r="A389" s="17"/>
      <c r="B389" s="17"/>
      <c r="C389" s="17"/>
      <c r="D389" s="17"/>
      <c r="E389" s="17"/>
      <c r="F389" s="17"/>
      <c r="G389" s="17"/>
      <c r="H389" s="64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</row>
    <row r="390">
      <c r="A390" s="17"/>
      <c r="B390" s="17"/>
      <c r="C390" s="17"/>
      <c r="D390" s="17"/>
      <c r="E390" s="17"/>
      <c r="F390" s="17"/>
      <c r="G390" s="17"/>
      <c r="H390" s="64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</row>
    <row r="391">
      <c r="A391" s="17"/>
      <c r="B391" s="17"/>
      <c r="C391" s="17"/>
      <c r="D391" s="17"/>
      <c r="E391" s="17"/>
      <c r="F391" s="17"/>
      <c r="G391" s="17"/>
      <c r="H391" s="64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</row>
    <row r="392">
      <c r="A392" s="17"/>
      <c r="B392" s="17"/>
      <c r="C392" s="17"/>
      <c r="D392" s="17"/>
      <c r="E392" s="17"/>
      <c r="F392" s="17"/>
      <c r="G392" s="17"/>
      <c r="H392" s="64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</row>
    <row r="393">
      <c r="A393" s="17"/>
      <c r="B393" s="17"/>
      <c r="C393" s="17"/>
      <c r="D393" s="17"/>
      <c r="E393" s="17"/>
      <c r="F393" s="17"/>
      <c r="G393" s="17"/>
      <c r="H393" s="64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</row>
    <row r="394">
      <c r="A394" s="17"/>
      <c r="B394" s="17"/>
      <c r="C394" s="17"/>
      <c r="D394" s="17"/>
      <c r="E394" s="17"/>
      <c r="F394" s="17"/>
      <c r="G394" s="17"/>
      <c r="H394" s="64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</row>
    <row r="395">
      <c r="A395" s="17"/>
      <c r="B395" s="17"/>
      <c r="C395" s="17"/>
      <c r="D395" s="17"/>
      <c r="E395" s="17"/>
      <c r="F395" s="17"/>
      <c r="G395" s="17"/>
      <c r="H395" s="64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</row>
    <row r="396">
      <c r="A396" s="17"/>
      <c r="B396" s="17"/>
      <c r="C396" s="17"/>
      <c r="D396" s="17"/>
      <c r="E396" s="17"/>
      <c r="F396" s="17"/>
      <c r="G396" s="17"/>
      <c r="H396" s="64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</row>
    <row r="397">
      <c r="A397" s="17"/>
      <c r="B397" s="17"/>
      <c r="C397" s="17"/>
      <c r="D397" s="17"/>
      <c r="E397" s="17"/>
      <c r="F397" s="17"/>
      <c r="G397" s="17"/>
      <c r="H397" s="64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</row>
    <row r="398">
      <c r="A398" s="17"/>
      <c r="B398" s="17"/>
      <c r="C398" s="17"/>
      <c r="D398" s="17"/>
      <c r="E398" s="17"/>
      <c r="F398" s="17"/>
      <c r="G398" s="17"/>
      <c r="H398" s="64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</row>
    <row r="399">
      <c r="A399" s="17"/>
      <c r="B399" s="17"/>
      <c r="C399" s="17"/>
      <c r="D399" s="17"/>
      <c r="E399" s="17"/>
      <c r="F399" s="17"/>
      <c r="G399" s="17"/>
      <c r="H399" s="64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</row>
    <row r="400">
      <c r="A400" s="17"/>
      <c r="B400" s="17"/>
      <c r="C400" s="17"/>
      <c r="D400" s="17"/>
      <c r="E400" s="17"/>
      <c r="F400" s="17"/>
      <c r="G400" s="17"/>
      <c r="H400" s="64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</row>
    <row r="401">
      <c r="A401" s="17"/>
      <c r="B401" s="17"/>
      <c r="C401" s="17"/>
      <c r="D401" s="17"/>
      <c r="E401" s="17"/>
      <c r="F401" s="17"/>
      <c r="G401" s="17"/>
      <c r="H401" s="64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</row>
    <row r="402">
      <c r="A402" s="17"/>
      <c r="B402" s="17"/>
      <c r="C402" s="17"/>
      <c r="D402" s="17"/>
      <c r="E402" s="17"/>
      <c r="F402" s="17"/>
      <c r="G402" s="17"/>
      <c r="H402" s="64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</row>
    <row r="403">
      <c r="A403" s="17"/>
      <c r="B403" s="17"/>
      <c r="C403" s="17"/>
      <c r="D403" s="17"/>
      <c r="E403" s="17"/>
      <c r="F403" s="17"/>
      <c r="G403" s="17"/>
      <c r="H403" s="64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</row>
    <row r="404">
      <c r="A404" s="17"/>
      <c r="B404" s="17"/>
      <c r="C404" s="17"/>
      <c r="D404" s="17"/>
      <c r="E404" s="17"/>
      <c r="F404" s="17"/>
      <c r="G404" s="17"/>
      <c r="H404" s="64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</row>
    <row r="405">
      <c r="A405" s="17"/>
      <c r="B405" s="17"/>
      <c r="C405" s="17"/>
      <c r="D405" s="17"/>
      <c r="E405" s="17"/>
      <c r="F405" s="17"/>
      <c r="G405" s="17"/>
      <c r="H405" s="64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</row>
    <row r="406">
      <c r="A406" s="17"/>
      <c r="B406" s="17"/>
      <c r="C406" s="17"/>
      <c r="D406" s="17"/>
      <c r="E406" s="17"/>
      <c r="F406" s="17"/>
      <c r="G406" s="17"/>
      <c r="H406" s="64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</row>
    <row r="407">
      <c r="A407" s="17"/>
      <c r="B407" s="17"/>
      <c r="C407" s="17"/>
      <c r="D407" s="17"/>
      <c r="E407" s="17"/>
      <c r="F407" s="17"/>
      <c r="G407" s="17"/>
      <c r="H407" s="64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</row>
    <row r="408">
      <c r="A408" s="17"/>
      <c r="B408" s="17"/>
      <c r="C408" s="17"/>
      <c r="D408" s="17"/>
      <c r="E408" s="17"/>
      <c r="F408" s="17"/>
      <c r="G408" s="17"/>
      <c r="H408" s="64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</row>
    <row r="409">
      <c r="A409" s="17"/>
      <c r="B409" s="17"/>
      <c r="C409" s="17"/>
      <c r="D409" s="17"/>
      <c r="E409" s="17"/>
      <c r="F409" s="17"/>
      <c r="G409" s="17"/>
      <c r="H409" s="64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</row>
    <row r="410">
      <c r="A410" s="17"/>
      <c r="B410" s="17"/>
      <c r="C410" s="17"/>
      <c r="D410" s="17"/>
      <c r="E410" s="17"/>
      <c r="F410" s="17"/>
      <c r="G410" s="17"/>
      <c r="H410" s="64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</row>
    <row r="411">
      <c r="A411" s="17"/>
      <c r="B411" s="17"/>
      <c r="C411" s="17"/>
      <c r="D411" s="17"/>
      <c r="E411" s="17"/>
      <c r="F411" s="17"/>
      <c r="G411" s="17"/>
      <c r="H411" s="64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</row>
    <row r="412">
      <c r="A412" s="17"/>
      <c r="B412" s="17"/>
      <c r="C412" s="17"/>
      <c r="D412" s="17"/>
      <c r="E412" s="17"/>
      <c r="F412" s="17"/>
      <c r="G412" s="17"/>
      <c r="H412" s="64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</row>
    <row r="413">
      <c r="A413" s="17"/>
      <c r="B413" s="17"/>
      <c r="C413" s="17"/>
      <c r="D413" s="17"/>
      <c r="E413" s="17"/>
      <c r="F413" s="17"/>
      <c r="G413" s="17"/>
      <c r="H413" s="64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</row>
    <row r="414">
      <c r="A414" s="17"/>
      <c r="B414" s="17"/>
      <c r="C414" s="17"/>
      <c r="D414" s="17"/>
      <c r="E414" s="17"/>
      <c r="F414" s="17"/>
      <c r="G414" s="17"/>
      <c r="H414" s="64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</row>
    <row r="415">
      <c r="A415" s="17"/>
      <c r="B415" s="17"/>
      <c r="C415" s="17"/>
      <c r="D415" s="17"/>
      <c r="E415" s="17"/>
      <c r="F415" s="17"/>
      <c r="G415" s="17"/>
      <c r="H415" s="64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</row>
    <row r="416">
      <c r="A416" s="17"/>
      <c r="B416" s="17"/>
      <c r="C416" s="17"/>
      <c r="D416" s="17"/>
      <c r="E416" s="17"/>
      <c r="F416" s="17"/>
      <c r="G416" s="17"/>
      <c r="H416" s="64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</row>
    <row r="417">
      <c r="A417" s="17"/>
      <c r="B417" s="17"/>
      <c r="C417" s="17"/>
      <c r="D417" s="17"/>
      <c r="E417" s="17"/>
      <c r="F417" s="17"/>
      <c r="G417" s="17"/>
      <c r="H417" s="64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</row>
    <row r="418">
      <c r="A418" s="17"/>
      <c r="B418" s="17"/>
      <c r="C418" s="17"/>
      <c r="D418" s="17"/>
      <c r="E418" s="17"/>
      <c r="F418" s="17"/>
      <c r="G418" s="17"/>
      <c r="H418" s="64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</row>
    <row r="419">
      <c r="A419" s="17"/>
      <c r="B419" s="17"/>
      <c r="C419" s="17"/>
      <c r="D419" s="17"/>
      <c r="E419" s="17"/>
      <c r="F419" s="17"/>
      <c r="G419" s="17"/>
      <c r="H419" s="64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</row>
    <row r="420">
      <c r="A420" s="17"/>
      <c r="B420" s="17"/>
      <c r="C420" s="17"/>
      <c r="D420" s="17"/>
      <c r="E420" s="17"/>
      <c r="F420" s="17"/>
      <c r="G420" s="17"/>
      <c r="H420" s="64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</row>
    <row r="421">
      <c r="A421" s="17"/>
      <c r="B421" s="17"/>
      <c r="C421" s="17"/>
      <c r="D421" s="17"/>
      <c r="E421" s="17"/>
      <c r="F421" s="17"/>
      <c r="G421" s="17"/>
      <c r="H421" s="64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</row>
    <row r="422">
      <c r="A422" s="17"/>
      <c r="B422" s="17"/>
      <c r="C422" s="17"/>
      <c r="D422" s="17"/>
      <c r="E422" s="17"/>
      <c r="F422" s="17"/>
      <c r="G422" s="17"/>
      <c r="H422" s="64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</row>
    <row r="423">
      <c r="A423" s="17"/>
      <c r="B423" s="17"/>
      <c r="C423" s="17"/>
      <c r="D423" s="17"/>
      <c r="E423" s="17"/>
      <c r="F423" s="17"/>
      <c r="G423" s="17"/>
      <c r="H423" s="64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</row>
    <row r="424">
      <c r="A424" s="17"/>
      <c r="B424" s="17"/>
      <c r="C424" s="17"/>
      <c r="D424" s="17"/>
      <c r="E424" s="17"/>
      <c r="F424" s="17"/>
      <c r="G424" s="17"/>
      <c r="H424" s="64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</row>
    <row r="425">
      <c r="A425" s="17"/>
      <c r="B425" s="17"/>
      <c r="C425" s="17"/>
      <c r="D425" s="17"/>
      <c r="E425" s="17"/>
      <c r="F425" s="17"/>
      <c r="G425" s="17"/>
      <c r="H425" s="64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</row>
    <row r="426">
      <c r="A426" s="17"/>
      <c r="B426" s="17"/>
      <c r="C426" s="17"/>
      <c r="D426" s="17"/>
      <c r="E426" s="17"/>
      <c r="F426" s="17"/>
      <c r="G426" s="17"/>
      <c r="H426" s="64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</row>
    <row r="427">
      <c r="A427" s="17"/>
      <c r="B427" s="17"/>
      <c r="C427" s="17"/>
      <c r="D427" s="17"/>
      <c r="E427" s="17"/>
      <c r="F427" s="17"/>
      <c r="G427" s="17"/>
      <c r="H427" s="64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</row>
    <row r="428">
      <c r="A428" s="17"/>
      <c r="B428" s="17"/>
      <c r="C428" s="17"/>
      <c r="D428" s="17"/>
      <c r="E428" s="17"/>
      <c r="F428" s="17"/>
      <c r="G428" s="17"/>
      <c r="H428" s="64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</row>
    <row r="429">
      <c r="A429" s="17"/>
      <c r="B429" s="17"/>
      <c r="C429" s="17"/>
      <c r="D429" s="17"/>
      <c r="E429" s="17"/>
      <c r="F429" s="17"/>
      <c r="G429" s="17"/>
      <c r="H429" s="64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</row>
    <row r="430">
      <c r="A430" s="17"/>
      <c r="B430" s="17"/>
      <c r="C430" s="17"/>
      <c r="D430" s="17"/>
      <c r="E430" s="17"/>
      <c r="F430" s="17"/>
      <c r="G430" s="17"/>
      <c r="H430" s="64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</row>
    <row r="431">
      <c r="A431" s="17"/>
      <c r="B431" s="17"/>
      <c r="C431" s="17"/>
      <c r="D431" s="17"/>
      <c r="E431" s="17"/>
      <c r="F431" s="17"/>
      <c r="G431" s="17"/>
      <c r="H431" s="64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</row>
    <row r="432">
      <c r="A432" s="17"/>
      <c r="B432" s="17"/>
      <c r="C432" s="17"/>
      <c r="D432" s="17"/>
      <c r="E432" s="17"/>
      <c r="F432" s="17"/>
      <c r="G432" s="17"/>
      <c r="H432" s="64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</row>
    <row r="433">
      <c r="A433" s="17"/>
      <c r="B433" s="17"/>
      <c r="C433" s="17"/>
      <c r="D433" s="17"/>
      <c r="E433" s="17"/>
      <c r="F433" s="17"/>
      <c r="G433" s="17"/>
      <c r="H433" s="64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</row>
    <row r="434">
      <c r="A434" s="17"/>
      <c r="B434" s="17"/>
      <c r="C434" s="17"/>
      <c r="D434" s="17"/>
      <c r="E434" s="17"/>
      <c r="F434" s="17"/>
      <c r="G434" s="17"/>
      <c r="H434" s="64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</row>
    <row r="435">
      <c r="A435" s="17"/>
      <c r="B435" s="17"/>
      <c r="C435" s="17"/>
      <c r="D435" s="17"/>
      <c r="E435" s="17"/>
      <c r="F435" s="17"/>
      <c r="G435" s="17"/>
      <c r="H435" s="64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</row>
    <row r="436">
      <c r="A436" s="17"/>
      <c r="B436" s="17"/>
      <c r="C436" s="17"/>
      <c r="D436" s="17"/>
      <c r="E436" s="17"/>
      <c r="F436" s="17"/>
      <c r="G436" s="17"/>
      <c r="H436" s="64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</row>
    <row r="437">
      <c r="A437" s="17"/>
      <c r="B437" s="17"/>
      <c r="C437" s="17"/>
      <c r="D437" s="17"/>
      <c r="E437" s="17"/>
      <c r="F437" s="17"/>
      <c r="G437" s="17"/>
      <c r="H437" s="64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</row>
    <row r="438">
      <c r="A438" s="17"/>
      <c r="B438" s="17"/>
      <c r="C438" s="17"/>
      <c r="D438" s="17"/>
      <c r="E438" s="17"/>
      <c r="F438" s="17"/>
      <c r="G438" s="17"/>
      <c r="H438" s="64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</row>
    <row r="439">
      <c r="A439" s="17"/>
      <c r="B439" s="17"/>
      <c r="C439" s="17"/>
      <c r="D439" s="17"/>
      <c r="E439" s="17"/>
      <c r="F439" s="17"/>
      <c r="G439" s="17"/>
      <c r="H439" s="64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</row>
    <row r="440">
      <c r="A440" s="17"/>
      <c r="B440" s="17"/>
      <c r="C440" s="17"/>
      <c r="D440" s="17"/>
      <c r="E440" s="17"/>
      <c r="F440" s="17"/>
      <c r="G440" s="17"/>
      <c r="H440" s="64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</row>
    <row r="441">
      <c r="A441" s="17"/>
      <c r="B441" s="17"/>
      <c r="C441" s="17"/>
      <c r="D441" s="17"/>
      <c r="E441" s="17"/>
      <c r="F441" s="17"/>
      <c r="G441" s="17"/>
      <c r="H441" s="64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</row>
    <row r="442">
      <c r="A442" s="17"/>
      <c r="B442" s="17"/>
      <c r="C442" s="17"/>
      <c r="D442" s="17"/>
      <c r="E442" s="17"/>
      <c r="F442" s="17"/>
      <c r="G442" s="17"/>
      <c r="H442" s="64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</row>
    <row r="443">
      <c r="A443" s="17"/>
      <c r="B443" s="17"/>
      <c r="C443" s="17"/>
      <c r="D443" s="17"/>
      <c r="E443" s="17"/>
      <c r="F443" s="17"/>
      <c r="G443" s="17"/>
      <c r="H443" s="64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</row>
    <row r="444">
      <c r="A444" s="17"/>
      <c r="B444" s="17"/>
      <c r="C444" s="17"/>
      <c r="D444" s="17"/>
      <c r="E444" s="17"/>
      <c r="F444" s="17"/>
      <c r="G444" s="17"/>
      <c r="H444" s="64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</row>
    <row r="445">
      <c r="A445" s="17"/>
      <c r="B445" s="17"/>
      <c r="C445" s="17"/>
      <c r="D445" s="17"/>
      <c r="E445" s="17"/>
      <c r="F445" s="17"/>
      <c r="G445" s="17"/>
      <c r="H445" s="64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</row>
    <row r="446">
      <c r="A446" s="17"/>
      <c r="B446" s="17"/>
      <c r="C446" s="17"/>
      <c r="D446" s="17"/>
      <c r="E446" s="17"/>
      <c r="F446" s="17"/>
      <c r="G446" s="17"/>
      <c r="H446" s="64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</row>
    <row r="447">
      <c r="A447" s="17"/>
      <c r="B447" s="17"/>
      <c r="C447" s="17"/>
      <c r="D447" s="17"/>
      <c r="E447" s="17"/>
      <c r="F447" s="17"/>
      <c r="G447" s="17"/>
      <c r="H447" s="64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</row>
    <row r="448">
      <c r="A448" s="17"/>
      <c r="B448" s="17"/>
      <c r="C448" s="17"/>
      <c r="D448" s="17"/>
      <c r="E448" s="17"/>
      <c r="F448" s="17"/>
      <c r="G448" s="17"/>
      <c r="H448" s="64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</row>
    <row r="449">
      <c r="A449" s="17"/>
      <c r="B449" s="17"/>
      <c r="C449" s="17"/>
      <c r="D449" s="17"/>
      <c r="E449" s="17"/>
      <c r="F449" s="17"/>
      <c r="G449" s="17"/>
      <c r="H449" s="64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</row>
    <row r="450">
      <c r="A450" s="17"/>
      <c r="B450" s="17"/>
      <c r="C450" s="17"/>
      <c r="D450" s="17"/>
      <c r="E450" s="17"/>
      <c r="F450" s="17"/>
      <c r="G450" s="17"/>
      <c r="H450" s="64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</row>
    <row r="451">
      <c r="A451" s="17"/>
      <c r="B451" s="17"/>
      <c r="C451" s="17"/>
      <c r="D451" s="17"/>
      <c r="E451" s="17"/>
      <c r="F451" s="17"/>
      <c r="G451" s="17"/>
      <c r="H451" s="64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</row>
    <row r="452">
      <c r="A452" s="17"/>
      <c r="B452" s="17"/>
      <c r="C452" s="17"/>
      <c r="D452" s="17"/>
      <c r="E452" s="17"/>
      <c r="F452" s="17"/>
      <c r="G452" s="17"/>
      <c r="H452" s="64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</row>
    <row r="453">
      <c r="A453" s="17"/>
      <c r="B453" s="17"/>
      <c r="C453" s="17"/>
      <c r="D453" s="17"/>
      <c r="E453" s="17"/>
      <c r="F453" s="17"/>
      <c r="G453" s="17"/>
      <c r="H453" s="64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</row>
    <row r="454">
      <c r="A454" s="17"/>
      <c r="B454" s="17"/>
      <c r="C454" s="17"/>
      <c r="D454" s="17"/>
      <c r="E454" s="17"/>
      <c r="F454" s="17"/>
      <c r="G454" s="17"/>
      <c r="H454" s="64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</row>
    <row r="455">
      <c r="A455" s="17"/>
      <c r="B455" s="17"/>
      <c r="C455" s="17"/>
      <c r="D455" s="17"/>
      <c r="E455" s="17"/>
      <c r="F455" s="17"/>
      <c r="G455" s="17"/>
      <c r="H455" s="64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</row>
    <row r="456">
      <c r="A456" s="17"/>
      <c r="B456" s="17"/>
      <c r="C456" s="17"/>
      <c r="D456" s="17"/>
      <c r="E456" s="17"/>
      <c r="F456" s="17"/>
      <c r="G456" s="17"/>
      <c r="H456" s="64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</row>
    <row r="457">
      <c r="A457" s="17"/>
      <c r="B457" s="17"/>
      <c r="C457" s="17"/>
      <c r="D457" s="17"/>
      <c r="E457" s="17"/>
      <c r="F457" s="17"/>
      <c r="G457" s="17"/>
      <c r="H457" s="64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</row>
    <row r="458">
      <c r="A458" s="17"/>
      <c r="B458" s="17"/>
      <c r="C458" s="17"/>
      <c r="D458" s="17"/>
      <c r="E458" s="17"/>
      <c r="F458" s="17"/>
      <c r="G458" s="17"/>
      <c r="H458" s="64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</row>
    <row r="459">
      <c r="A459" s="17"/>
      <c r="B459" s="17"/>
      <c r="C459" s="17"/>
      <c r="D459" s="17"/>
      <c r="E459" s="17"/>
      <c r="F459" s="17"/>
      <c r="G459" s="17"/>
      <c r="H459" s="64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</row>
    <row r="460">
      <c r="A460" s="17"/>
      <c r="B460" s="17"/>
      <c r="C460" s="17"/>
      <c r="D460" s="17"/>
      <c r="E460" s="17"/>
      <c r="F460" s="17"/>
      <c r="G460" s="17"/>
      <c r="H460" s="64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</row>
    <row r="461">
      <c r="A461" s="17"/>
      <c r="B461" s="17"/>
      <c r="C461" s="17"/>
      <c r="D461" s="17"/>
      <c r="E461" s="17"/>
      <c r="F461" s="17"/>
      <c r="G461" s="17"/>
      <c r="H461" s="64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</row>
    <row r="462">
      <c r="A462" s="17"/>
      <c r="B462" s="17"/>
      <c r="C462" s="17"/>
      <c r="D462" s="17"/>
      <c r="E462" s="17"/>
      <c r="F462" s="17"/>
      <c r="G462" s="17"/>
      <c r="H462" s="64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</row>
    <row r="463">
      <c r="A463" s="17"/>
      <c r="B463" s="17"/>
      <c r="C463" s="17"/>
      <c r="D463" s="17"/>
      <c r="E463" s="17"/>
      <c r="F463" s="17"/>
      <c r="G463" s="17"/>
      <c r="H463" s="64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</row>
    <row r="464">
      <c r="A464" s="17"/>
      <c r="B464" s="17"/>
      <c r="C464" s="17"/>
      <c r="D464" s="17"/>
      <c r="E464" s="17"/>
      <c r="F464" s="17"/>
      <c r="G464" s="17"/>
      <c r="H464" s="64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</row>
    <row r="465">
      <c r="A465" s="17"/>
      <c r="B465" s="17"/>
      <c r="C465" s="17"/>
      <c r="D465" s="17"/>
      <c r="E465" s="17"/>
      <c r="F465" s="17"/>
      <c r="G465" s="17"/>
      <c r="H465" s="64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</row>
    <row r="466">
      <c r="A466" s="17"/>
      <c r="B466" s="17"/>
      <c r="C466" s="17"/>
      <c r="D466" s="17"/>
      <c r="E466" s="17"/>
      <c r="F466" s="17"/>
      <c r="G466" s="17"/>
      <c r="H466" s="64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</row>
    <row r="467">
      <c r="A467" s="17"/>
      <c r="B467" s="17"/>
      <c r="C467" s="17"/>
      <c r="D467" s="17"/>
      <c r="E467" s="17"/>
      <c r="F467" s="17"/>
      <c r="G467" s="17"/>
      <c r="H467" s="64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</row>
    <row r="468">
      <c r="A468" s="17"/>
      <c r="B468" s="17"/>
      <c r="C468" s="17"/>
      <c r="D468" s="17"/>
      <c r="E468" s="17"/>
      <c r="F468" s="17"/>
      <c r="G468" s="17"/>
      <c r="H468" s="64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</row>
    <row r="469">
      <c r="A469" s="17"/>
      <c r="B469" s="17"/>
      <c r="C469" s="17"/>
      <c r="D469" s="17"/>
      <c r="E469" s="17"/>
      <c r="F469" s="17"/>
      <c r="G469" s="17"/>
      <c r="H469" s="64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</row>
    <row r="470">
      <c r="A470" s="17"/>
      <c r="B470" s="17"/>
      <c r="C470" s="17"/>
      <c r="D470" s="17"/>
      <c r="E470" s="17"/>
      <c r="F470" s="17"/>
      <c r="G470" s="17"/>
      <c r="H470" s="64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</row>
    <row r="471">
      <c r="A471" s="17"/>
      <c r="B471" s="17"/>
      <c r="C471" s="17"/>
      <c r="D471" s="17"/>
      <c r="E471" s="17"/>
      <c r="F471" s="17"/>
      <c r="G471" s="17"/>
      <c r="H471" s="64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</row>
    <row r="472">
      <c r="A472" s="17"/>
      <c r="B472" s="17"/>
      <c r="C472" s="17"/>
      <c r="D472" s="17"/>
      <c r="E472" s="17"/>
      <c r="F472" s="17"/>
      <c r="G472" s="17"/>
      <c r="H472" s="64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</row>
    <row r="473">
      <c r="A473" s="17"/>
      <c r="B473" s="17"/>
      <c r="C473" s="17"/>
      <c r="D473" s="17"/>
      <c r="E473" s="17"/>
      <c r="F473" s="17"/>
      <c r="G473" s="17"/>
      <c r="H473" s="64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</row>
    <row r="474">
      <c r="A474" s="17"/>
      <c r="B474" s="17"/>
      <c r="C474" s="17"/>
      <c r="D474" s="17"/>
      <c r="E474" s="17"/>
      <c r="F474" s="17"/>
      <c r="G474" s="17"/>
      <c r="H474" s="64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</row>
    <row r="475">
      <c r="A475" s="17"/>
      <c r="B475" s="17"/>
      <c r="C475" s="17"/>
      <c r="D475" s="17"/>
      <c r="E475" s="17"/>
      <c r="F475" s="17"/>
      <c r="G475" s="17"/>
      <c r="H475" s="64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</row>
    <row r="476">
      <c r="A476" s="17"/>
      <c r="B476" s="17"/>
      <c r="C476" s="17"/>
      <c r="D476" s="17"/>
      <c r="E476" s="17"/>
      <c r="F476" s="17"/>
      <c r="G476" s="17"/>
      <c r="H476" s="64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</row>
    <row r="477">
      <c r="A477" s="17"/>
      <c r="B477" s="17"/>
      <c r="C477" s="17"/>
      <c r="D477" s="17"/>
      <c r="E477" s="17"/>
      <c r="F477" s="17"/>
      <c r="G477" s="17"/>
      <c r="H477" s="64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</row>
    <row r="478">
      <c r="A478" s="17"/>
      <c r="B478" s="17"/>
      <c r="C478" s="17"/>
      <c r="D478" s="17"/>
      <c r="E478" s="17"/>
      <c r="F478" s="17"/>
      <c r="G478" s="17"/>
      <c r="H478" s="64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</row>
    <row r="479">
      <c r="A479" s="17"/>
      <c r="B479" s="17"/>
      <c r="C479" s="17"/>
      <c r="D479" s="17"/>
      <c r="E479" s="17"/>
      <c r="F479" s="17"/>
      <c r="G479" s="17"/>
      <c r="H479" s="64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</row>
    <row r="480">
      <c r="A480" s="17"/>
      <c r="B480" s="17"/>
      <c r="C480" s="17"/>
      <c r="D480" s="17"/>
      <c r="E480" s="17"/>
      <c r="F480" s="17"/>
      <c r="G480" s="17"/>
      <c r="H480" s="64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</row>
    <row r="481">
      <c r="A481" s="17"/>
      <c r="B481" s="17"/>
      <c r="C481" s="17"/>
      <c r="D481" s="17"/>
      <c r="E481" s="17"/>
      <c r="F481" s="17"/>
      <c r="G481" s="17"/>
      <c r="H481" s="64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</row>
    <row r="482">
      <c r="A482" s="17"/>
      <c r="B482" s="17"/>
      <c r="C482" s="17"/>
      <c r="D482" s="17"/>
      <c r="E482" s="17"/>
      <c r="F482" s="17"/>
      <c r="G482" s="17"/>
      <c r="H482" s="64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</row>
    <row r="483">
      <c r="A483" s="17"/>
      <c r="B483" s="17"/>
      <c r="C483" s="17"/>
      <c r="D483" s="17"/>
      <c r="E483" s="17"/>
      <c r="F483" s="17"/>
      <c r="G483" s="17"/>
      <c r="H483" s="64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</row>
    <row r="484">
      <c r="A484" s="17"/>
      <c r="B484" s="17"/>
      <c r="C484" s="17"/>
      <c r="D484" s="17"/>
      <c r="E484" s="17"/>
      <c r="F484" s="17"/>
      <c r="G484" s="17"/>
      <c r="H484" s="64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</row>
    <row r="485">
      <c r="A485" s="17"/>
      <c r="B485" s="17"/>
      <c r="C485" s="17"/>
      <c r="D485" s="17"/>
      <c r="E485" s="17"/>
      <c r="F485" s="17"/>
      <c r="G485" s="17"/>
      <c r="H485" s="64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</row>
    <row r="486">
      <c r="A486" s="17"/>
      <c r="B486" s="17"/>
      <c r="C486" s="17"/>
      <c r="D486" s="17"/>
      <c r="E486" s="17"/>
      <c r="F486" s="17"/>
      <c r="G486" s="17"/>
      <c r="H486" s="64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</row>
    <row r="487">
      <c r="A487" s="17"/>
      <c r="B487" s="17"/>
      <c r="C487" s="17"/>
      <c r="D487" s="17"/>
      <c r="E487" s="17"/>
      <c r="F487" s="17"/>
      <c r="G487" s="17"/>
      <c r="H487" s="64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</row>
    <row r="488">
      <c r="A488" s="17"/>
      <c r="B488" s="17"/>
      <c r="C488" s="17"/>
      <c r="D488" s="17"/>
      <c r="E488" s="17"/>
      <c r="F488" s="17"/>
      <c r="G488" s="17"/>
      <c r="H488" s="64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</row>
    <row r="489">
      <c r="A489" s="17"/>
      <c r="B489" s="17"/>
      <c r="C489" s="17"/>
      <c r="D489" s="17"/>
      <c r="E489" s="17"/>
      <c r="F489" s="17"/>
      <c r="G489" s="17"/>
      <c r="H489" s="64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</row>
    <row r="490">
      <c r="A490" s="17"/>
      <c r="B490" s="17"/>
      <c r="C490" s="17"/>
      <c r="D490" s="17"/>
      <c r="E490" s="17"/>
      <c r="F490" s="17"/>
      <c r="G490" s="17"/>
      <c r="H490" s="64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</row>
    <row r="491">
      <c r="A491" s="17"/>
      <c r="B491" s="17"/>
      <c r="C491" s="17"/>
      <c r="D491" s="17"/>
      <c r="E491" s="17"/>
      <c r="F491" s="17"/>
      <c r="G491" s="17"/>
      <c r="H491" s="64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</row>
    <row r="492">
      <c r="A492" s="17"/>
      <c r="B492" s="17"/>
      <c r="C492" s="17"/>
      <c r="D492" s="17"/>
      <c r="E492" s="17"/>
      <c r="F492" s="17"/>
      <c r="G492" s="17"/>
      <c r="H492" s="64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</row>
    <row r="493">
      <c r="A493" s="17"/>
      <c r="B493" s="17"/>
      <c r="C493" s="17"/>
      <c r="D493" s="17"/>
      <c r="E493" s="17"/>
      <c r="F493" s="17"/>
      <c r="G493" s="17"/>
      <c r="H493" s="64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</row>
    <row r="494">
      <c r="A494" s="17"/>
      <c r="B494" s="17"/>
      <c r="C494" s="17"/>
      <c r="D494" s="17"/>
      <c r="E494" s="17"/>
      <c r="F494" s="17"/>
      <c r="G494" s="17"/>
      <c r="H494" s="64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</row>
    <row r="495">
      <c r="A495" s="17"/>
      <c r="B495" s="17"/>
      <c r="C495" s="17"/>
      <c r="D495" s="17"/>
      <c r="E495" s="17"/>
      <c r="F495" s="17"/>
      <c r="G495" s="17"/>
      <c r="H495" s="64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</row>
    <row r="496">
      <c r="A496" s="17"/>
      <c r="B496" s="17"/>
      <c r="C496" s="17"/>
      <c r="D496" s="17"/>
      <c r="E496" s="17"/>
      <c r="F496" s="17"/>
      <c r="G496" s="17"/>
      <c r="H496" s="64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</row>
    <row r="497">
      <c r="A497" s="17"/>
      <c r="B497" s="17"/>
      <c r="C497" s="17"/>
      <c r="D497" s="17"/>
      <c r="E497" s="17"/>
      <c r="F497" s="17"/>
      <c r="G497" s="17"/>
      <c r="H497" s="64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</row>
    <row r="498">
      <c r="A498" s="17"/>
      <c r="B498" s="17"/>
      <c r="C498" s="17"/>
      <c r="D498" s="17"/>
      <c r="E498" s="17"/>
      <c r="F498" s="17"/>
      <c r="G498" s="17"/>
      <c r="H498" s="64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</row>
    <row r="499">
      <c r="A499" s="17"/>
      <c r="B499" s="17"/>
      <c r="C499" s="17"/>
      <c r="D499" s="17"/>
      <c r="E499" s="17"/>
      <c r="F499" s="17"/>
      <c r="G499" s="17"/>
      <c r="H499" s="64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</row>
    <row r="500">
      <c r="A500" s="17"/>
      <c r="B500" s="17"/>
      <c r="C500" s="17"/>
      <c r="D500" s="17"/>
      <c r="E500" s="17"/>
      <c r="F500" s="17"/>
      <c r="G500" s="17"/>
      <c r="H500" s="64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</row>
    <row r="501">
      <c r="A501" s="17"/>
      <c r="B501" s="17"/>
      <c r="C501" s="17"/>
      <c r="D501" s="17"/>
      <c r="E501" s="17"/>
      <c r="F501" s="17"/>
      <c r="G501" s="17"/>
      <c r="H501" s="64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</row>
    <row r="502">
      <c r="A502" s="17"/>
      <c r="B502" s="17"/>
      <c r="C502" s="17"/>
      <c r="D502" s="17"/>
      <c r="E502" s="17"/>
      <c r="F502" s="17"/>
      <c r="G502" s="17"/>
      <c r="H502" s="64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</row>
    <row r="503">
      <c r="A503" s="17"/>
      <c r="B503" s="17"/>
      <c r="C503" s="17"/>
      <c r="D503" s="17"/>
      <c r="E503" s="17"/>
      <c r="F503" s="17"/>
      <c r="G503" s="17"/>
      <c r="H503" s="64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</row>
    <row r="504">
      <c r="A504" s="17"/>
      <c r="B504" s="17"/>
      <c r="C504" s="17"/>
      <c r="D504" s="17"/>
      <c r="E504" s="17"/>
      <c r="F504" s="17"/>
      <c r="G504" s="17"/>
      <c r="H504" s="64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</row>
    <row r="505">
      <c r="A505" s="17"/>
      <c r="B505" s="17"/>
      <c r="C505" s="17"/>
      <c r="D505" s="17"/>
      <c r="E505" s="17"/>
      <c r="F505" s="17"/>
      <c r="G505" s="17"/>
      <c r="H505" s="64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</row>
    <row r="506">
      <c r="A506" s="17"/>
      <c r="B506" s="17"/>
      <c r="C506" s="17"/>
      <c r="D506" s="17"/>
      <c r="E506" s="17"/>
      <c r="F506" s="17"/>
      <c r="G506" s="17"/>
      <c r="H506" s="64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</row>
    <row r="507">
      <c r="A507" s="17"/>
      <c r="B507" s="17"/>
      <c r="C507" s="17"/>
      <c r="D507" s="17"/>
      <c r="E507" s="17"/>
      <c r="F507" s="17"/>
      <c r="G507" s="17"/>
      <c r="H507" s="64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</row>
    <row r="508">
      <c r="A508" s="17"/>
      <c r="B508" s="17"/>
      <c r="C508" s="17"/>
      <c r="D508" s="17"/>
      <c r="E508" s="17"/>
      <c r="F508" s="17"/>
      <c r="G508" s="17"/>
      <c r="H508" s="64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</row>
    <row r="509">
      <c r="A509" s="17"/>
      <c r="B509" s="17"/>
      <c r="C509" s="17"/>
      <c r="D509" s="17"/>
      <c r="E509" s="17"/>
      <c r="F509" s="17"/>
      <c r="G509" s="17"/>
      <c r="H509" s="64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</row>
    <row r="510">
      <c r="A510" s="17"/>
      <c r="B510" s="17"/>
      <c r="C510" s="17"/>
      <c r="D510" s="17"/>
      <c r="E510" s="17"/>
      <c r="F510" s="17"/>
      <c r="G510" s="17"/>
      <c r="H510" s="64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</row>
    <row r="511">
      <c r="A511" s="17"/>
      <c r="B511" s="17"/>
      <c r="C511" s="17"/>
      <c r="D511" s="17"/>
      <c r="E511" s="17"/>
      <c r="F511" s="17"/>
      <c r="G511" s="17"/>
      <c r="H511" s="64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</row>
    <row r="512">
      <c r="A512" s="17"/>
      <c r="B512" s="17"/>
      <c r="C512" s="17"/>
      <c r="D512" s="17"/>
      <c r="E512" s="17"/>
      <c r="F512" s="17"/>
      <c r="G512" s="17"/>
      <c r="H512" s="64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</row>
    <row r="513">
      <c r="A513" s="17"/>
      <c r="B513" s="17"/>
      <c r="C513" s="17"/>
      <c r="D513" s="17"/>
      <c r="E513" s="17"/>
      <c r="F513" s="17"/>
      <c r="G513" s="17"/>
      <c r="H513" s="64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</row>
    <row r="514">
      <c r="A514" s="17"/>
      <c r="B514" s="17"/>
      <c r="C514" s="17"/>
      <c r="D514" s="17"/>
      <c r="E514" s="17"/>
      <c r="F514" s="17"/>
      <c r="G514" s="17"/>
      <c r="H514" s="64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</row>
    <row r="515">
      <c r="A515" s="17"/>
      <c r="B515" s="17"/>
      <c r="C515" s="17"/>
      <c r="D515" s="17"/>
      <c r="E515" s="17"/>
      <c r="F515" s="17"/>
      <c r="G515" s="17"/>
      <c r="H515" s="64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</row>
    <row r="516">
      <c r="A516" s="17"/>
      <c r="B516" s="17"/>
      <c r="C516" s="17"/>
      <c r="D516" s="17"/>
      <c r="E516" s="17"/>
      <c r="F516" s="17"/>
      <c r="G516" s="17"/>
      <c r="H516" s="64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</row>
    <row r="517">
      <c r="A517" s="17"/>
      <c r="B517" s="17"/>
      <c r="C517" s="17"/>
      <c r="D517" s="17"/>
      <c r="E517" s="17"/>
      <c r="F517" s="17"/>
      <c r="G517" s="17"/>
      <c r="H517" s="64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</row>
    <row r="518">
      <c r="A518" s="17"/>
      <c r="B518" s="17"/>
      <c r="C518" s="17"/>
      <c r="D518" s="17"/>
      <c r="E518" s="17"/>
      <c r="F518" s="17"/>
      <c r="G518" s="17"/>
      <c r="H518" s="64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</row>
    <row r="519">
      <c r="A519" s="17"/>
      <c r="B519" s="17"/>
      <c r="C519" s="17"/>
      <c r="D519" s="17"/>
      <c r="E519" s="17"/>
      <c r="F519" s="17"/>
      <c r="G519" s="17"/>
      <c r="H519" s="64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</row>
    <row r="520">
      <c r="A520" s="17"/>
      <c r="B520" s="17"/>
      <c r="C520" s="17"/>
      <c r="D520" s="17"/>
      <c r="E520" s="17"/>
      <c r="F520" s="17"/>
      <c r="G520" s="17"/>
      <c r="H520" s="64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</row>
    <row r="521">
      <c r="A521" s="17"/>
      <c r="B521" s="17"/>
      <c r="C521" s="17"/>
      <c r="D521" s="17"/>
      <c r="E521" s="17"/>
      <c r="F521" s="17"/>
      <c r="G521" s="17"/>
      <c r="H521" s="64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</row>
    <row r="522">
      <c r="A522" s="17"/>
      <c r="B522" s="17"/>
      <c r="C522" s="17"/>
      <c r="D522" s="17"/>
      <c r="E522" s="17"/>
      <c r="F522" s="17"/>
      <c r="G522" s="17"/>
      <c r="H522" s="64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</row>
    <row r="523">
      <c r="A523" s="17"/>
      <c r="B523" s="17"/>
      <c r="C523" s="17"/>
      <c r="D523" s="17"/>
      <c r="E523" s="17"/>
      <c r="F523" s="17"/>
      <c r="G523" s="17"/>
      <c r="H523" s="64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</row>
    <row r="524">
      <c r="A524" s="17"/>
      <c r="B524" s="17"/>
      <c r="C524" s="17"/>
      <c r="D524" s="17"/>
      <c r="E524" s="17"/>
      <c r="F524" s="17"/>
      <c r="G524" s="17"/>
      <c r="H524" s="64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</row>
    <row r="525">
      <c r="A525" s="17"/>
      <c r="B525" s="17"/>
      <c r="C525" s="17"/>
      <c r="D525" s="17"/>
      <c r="E525" s="17"/>
      <c r="F525" s="17"/>
      <c r="G525" s="17"/>
      <c r="H525" s="64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</row>
    <row r="526">
      <c r="A526" s="17"/>
      <c r="B526" s="17"/>
      <c r="C526" s="17"/>
      <c r="D526" s="17"/>
      <c r="E526" s="17"/>
      <c r="F526" s="17"/>
      <c r="G526" s="17"/>
      <c r="H526" s="64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</row>
    <row r="527">
      <c r="A527" s="17"/>
      <c r="B527" s="17"/>
      <c r="C527" s="17"/>
      <c r="D527" s="17"/>
      <c r="E527" s="17"/>
      <c r="F527" s="17"/>
      <c r="G527" s="17"/>
      <c r="H527" s="64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</row>
    <row r="528">
      <c r="A528" s="17"/>
      <c r="B528" s="17"/>
      <c r="C528" s="17"/>
      <c r="D528" s="17"/>
      <c r="E528" s="17"/>
      <c r="F528" s="17"/>
      <c r="G528" s="17"/>
      <c r="H528" s="64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</row>
    <row r="529">
      <c r="A529" s="17"/>
      <c r="B529" s="17"/>
      <c r="C529" s="17"/>
      <c r="D529" s="17"/>
      <c r="E529" s="17"/>
      <c r="F529" s="17"/>
      <c r="G529" s="17"/>
      <c r="H529" s="64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</row>
    <row r="530">
      <c r="A530" s="17"/>
      <c r="B530" s="17"/>
      <c r="C530" s="17"/>
      <c r="D530" s="17"/>
      <c r="E530" s="17"/>
      <c r="F530" s="17"/>
      <c r="G530" s="17"/>
      <c r="H530" s="64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</row>
    <row r="531">
      <c r="A531" s="17"/>
      <c r="B531" s="17"/>
      <c r="C531" s="17"/>
      <c r="D531" s="17"/>
      <c r="E531" s="17"/>
      <c r="F531" s="17"/>
      <c r="G531" s="17"/>
      <c r="H531" s="64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</row>
    <row r="532">
      <c r="A532" s="17"/>
      <c r="B532" s="17"/>
      <c r="C532" s="17"/>
      <c r="D532" s="17"/>
      <c r="E532" s="17"/>
      <c r="F532" s="17"/>
      <c r="G532" s="17"/>
      <c r="H532" s="64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</row>
    <row r="533">
      <c r="A533" s="17"/>
      <c r="B533" s="17"/>
      <c r="C533" s="17"/>
      <c r="D533" s="17"/>
      <c r="E533" s="17"/>
      <c r="F533" s="17"/>
      <c r="G533" s="17"/>
      <c r="H533" s="64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</row>
    <row r="534">
      <c r="A534" s="17"/>
      <c r="B534" s="17"/>
      <c r="C534" s="17"/>
      <c r="D534" s="17"/>
      <c r="E534" s="17"/>
      <c r="F534" s="17"/>
      <c r="G534" s="17"/>
      <c r="H534" s="64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</row>
    <row r="535">
      <c r="A535" s="17"/>
      <c r="B535" s="17"/>
      <c r="C535" s="17"/>
      <c r="D535" s="17"/>
      <c r="E535" s="17"/>
      <c r="F535" s="17"/>
      <c r="G535" s="17"/>
      <c r="H535" s="64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</row>
    <row r="536">
      <c r="A536" s="17"/>
      <c r="B536" s="17"/>
      <c r="C536" s="17"/>
      <c r="D536" s="17"/>
      <c r="E536" s="17"/>
      <c r="F536" s="17"/>
      <c r="G536" s="17"/>
      <c r="H536" s="64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</row>
    <row r="537">
      <c r="A537" s="17"/>
      <c r="B537" s="17"/>
      <c r="C537" s="17"/>
      <c r="D537" s="17"/>
      <c r="E537" s="17"/>
      <c r="F537" s="17"/>
      <c r="G537" s="17"/>
      <c r="H537" s="64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</row>
    <row r="538">
      <c r="A538" s="17"/>
      <c r="B538" s="17"/>
      <c r="C538" s="17"/>
      <c r="D538" s="17"/>
      <c r="E538" s="17"/>
      <c r="F538" s="17"/>
      <c r="G538" s="17"/>
      <c r="H538" s="64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</row>
    <row r="539">
      <c r="A539" s="17"/>
      <c r="B539" s="17"/>
      <c r="C539" s="17"/>
      <c r="D539" s="17"/>
      <c r="E539" s="17"/>
      <c r="F539" s="17"/>
      <c r="G539" s="17"/>
      <c r="H539" s="64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</row>
    <row r="540">
      <c r="A540" s="17"/>
      <c r="B540" s="17"/>
      <c r="C540" s="17"/>
      <c r="D540" s="17"/>
      <c r="E540" s="17"/>
      <c r="F540" s="17"/>
      <c r="G540" s="17"/>
      <c r="H540" s="64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</row>
    <row r="541">
      <c r="A541" s="17"/>
      <c r="B541" s="17"/>
      <c r="C541" s="17"/>
      <c r="D541" s="17"/>
      <c r="E541" s="17"/>
      <c r="F541" s="17"/>
      <c r="G541" s="17"/>
      <c r="H541" s="64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</row>
    <row r="542">
      <c r="A542" s="17"/>
      <c r="B542" s="17"/>
      <c r="C542" s="17"/>
      <c r="D542" s="17"/>
      <c r="E542" s="17"/>
      <c r="F542" s="17"/>
      <c r="G542" s="17"/>
      <c r="H542" s="64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</row>
    <row r="543">
      <c r="A543" s="17"/>
      <c r="B543" s="17"/>
      <c r="C543" s="17"/>
      <c r="D543" s="17"/>
      <c r="E543" s="17"/>
      <c r="F543" s="17"/>
      <c r="G543" s="17"/>
      <c r="H543" s="64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</row>
    <row r="544">
      <c r="A544" s="17"/>
      <c r="B544" s="17"/>
      <c r="C544" s="17"/>
      <c r="D544" s="17"/>
      <c r="E544" s="17"/>
      <c r="F544" s="17"/>
      <c r="G544" s="17"/>
      <c r="H544" s="64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</row>
    <row r="545">
      <c r="A545" s="17"/>
      <c r="B545" s="17"/>
      <c r="C545" s="17"/>
      <c r="D545" s="17"/>
      <c r="E545" s="17"/>
      <c r="F545" s="17"/>
      <c r="G545" s="17"/>
      <c r="H545" s="64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</row>
    <row r="546">
      <c r="A546" s="17"/>
      <c r="B546" s="17"/>
      <c r="C546" s="17"/>
      <c r="D546" s="17"/>
      <c r="E546" s="17"/>
      <c r="F546" s="17"/>
      <c r="G546" s="17"/>
      <c r="H546" s="64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</row>
    <row r="547">
      <c r="A547" s="17"/>
      <c r="B547" s="17"/>
      <c r="C547" s="17"/>
      <c r="D547" s="17"/>
      <c r="E547" s="17"/>
      <c r="F547" s="17"/>
      <c r="G547" s="17"/>
      <c r="H547" s="64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</row>
    <row r="548">
      <c r="A548" s="17"/>
      <c r="B548" s="17"/>
      <c r="C548" s="17"/>
      <c r="D548" s="17"/>
      <c r="E548" s="17"/>
      <c r="F548" s="17"/>
      <c r="G548" s="17"/>
      <c r="H548" s="64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</row>
    <row r="549">
      <c r="A549" s="17"/>
      <c r="B549" s="17"/>
      <c r="C549" s="17"/>
      <c r="D549" s="17"/>
      <c r="E549" s="17"/>
      <c r="F549" s="17"/>
      <c r="G549" s="17"/>
      <c r="H549" s="64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</row>
    <row r="550">
      <c r="A550" s="17"/>
      <c r="B550" s="17"/>
      <c r="C550" s="17"/>
      <c r="D550" s="17"/>
      <c r="E550" s="17"/>
      <c r="F550" s="17"/>
      <c r="G550" s="17"/>
      <c r="H550" s="64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</row>
    <row r="551">
      <c r="A551" s="17"/>
      <c r="B551" s="17"/>
      <c r="C551" s="17"/>
      <c r="D551" s="17"/>
      <c r="E551" s="17"/>
      <c r="F551" s="17"/>
      <c r="G551" s="17"/>
      <c r="H551" s="64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</row>
    <row r="552">
      <c r="A552" s="17"/>
      <c r="B552" s="17"/>
      <c r="C552" s="17"/>
      <c r="D552" s="17"/>
      <c r="E552" s="17"/>
      <c r="F552" s="17"/>
      <c r="G552" s="17"/>
      <c r="H552" s="64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</row>
    <row r="553">
      <c r="A553" s="17"/>
      <c r="B553" s="17"/>
      <c r="C553" s="17"/>
      <c r="D553" s="17"/>
      <c r="E553" s="17"/>
      <c r="F553" s="17"/>
      <c r="G553" s="17"/>
      <c r="H553" s="64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</row>
    <row r="554">
      <c r="A554" s="17"/>
      <c r="B554" s="17"/>
      <c r="C554" s="17"/>
      <c r="D554" s="17"/>
      <c r="E554" s="17"/>
      <c r="F554" s="17"/>
      <c r="G554" s="17"/>
      <c r="H554" s="64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</row>
    <row r="555">
      <c r="A555" s="17"/>
      <c r="B555" s="17"/>
      <c r="C555" s="17"/>
      <c r="D555" s="17"/>
      <c r="E555" s="17"/>
      <c r="F555" s="17"/>
      <c r="G555" s="17"/>
      <c r="H555" s="64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</row>
    <row r="556">
      <c r="A556" s="17"/>
      <c r="B556" s="17"/>
      <c r="C556" s="17"/>
      <c r="D556" s="17"/>
      <c r="E556" s="17"/>
      <c r="F556" s="17"/>
      <c r="G556" s="17"/>
      <c r="H556" s="64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</row>
    <row r="557">
      <c r="A557" s="17"/>
      <c r="B557" s="17"/>
      <c r="C557" s="17"/>
      <c r="D557" s="17"/>
      <c r="E557" s="17"/>
      <c r="F557" s="17"/>
      <c r="G557" s="17"/>
      <c r="H557" s="64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</row>
    <row r="558">
      <c r="A558" s="17"/>
      <c r="B558" s="17"/>
      <c r="C558" s="17"/>
      <c r="D558" s="17"/>
      <c r="E558" s="17"/>
      <c r="F558" s="17"/>
      <c r="G558" s="17"/>
      <c r="H558" s="64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</row>
    <row r="559">
      <c r="A559" s="17"/>
      <c r="B559" s="17"/>
      <c r="C559" s="17"/>
      <c r="D559" s="17"/>
      <c r="E559" s="17"/>
      <c r="F559" s="17"/>
      <c r="G559" s="17"/>
      <c r="H559" s="64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</row>
    <row r="560">
      <c r="A560" s="17"/>
      <c r="B560" s="17"/>
      <c r="C560" s="17"/>
      <c r="D560" s="17"/>
      <c r="E560" s="17"/>
      <c r="F560" s="17"/>
      <c r="G560" s="17"/>
      <c r="H560" s="64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</row>
    <row r="561">
      <c r="A561" s="17"/>
      <c r="B561" s="17"/>
      <c r="C561" s="17"/>
      <c r="D561" s="17"/>
      <c r="E561" s="17"/>
      <c r="F561" s="17"/>
      <c r="G561" s="17"/>
      <c r="H561" s="64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</row>
    <row r="562">
      <c r="A562" s="17"/>
      <c r="B562" s="17"/>
      <c r="C562" s="17"/>
      <c r="D562" s="17"/>
      <c r="E562" s="17"/>
      <c r="F562" s="17"/>
      <c r="G562" s="17"/>
      <c r="H562" s="64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</row>
    <row r="563">
      <c r="A563" s="17"/>
      <c r="B563" s="17"/>
      <c r="C563" s="17"/>
      <c r="D563" s="17"/>
      <c r="E563" s="17"/>
      <c r="F563" s="17"/>
      <c r="G563" s="17"/>
      <c r="H563" s="64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</row>
    <row r="564">
      <c r="A564" s="17"/>
      <c r="B564" s="17"/>
      <c r="C564" s="17"/>
      <c r="D564" s="17"/>
      <c r="E564" s="17"/>
      <c r="F564" s="17"/>
      <c r="G564" s="17"/>
      <c r="H564" s="64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</row>
    <row r="565">
      <c r="A565" s="17"/>
      <c r="B565" s="17"/>
      <c r="C565" s="17"/>
      <c r="D565" s="17"/>
      <c r="E565" s="17"/>
      <c r="F565" s="17"/>
      <c r="G565" s="17"/>
      <c r="H565" s="64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</row>
    <row r="566">
      <c r="A566" s="17"/>
      <c r="B566" s="17"/>
      <c r="C566" s="17"/>
      <c r="D566" s="17"/>
      <c r="E566" s="17"/>
      <c r="F566" s="17"/>
      <c r="G566" s="17"/>
      <c r="H566" s="64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</row>
    <row r="567">
      <c r="A567" s="17"/>
      <c r="B567" s="17"/>
      <c r="C567" s="17"/>
      <c r="D567" s="17"/>
      <c r="E567" s="17"/>
      <c r="F567" s="17"/>
      <c r="G567" s="17"/>
      <c r="H567" s="64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</row>
    <row r="568">
      <c r="A568" s="17"/>
      <c r="B568" s="17"/>
      <c r="C568" s="17"/>
      <c r="D568" s="17"/>
      <c r="E568" s="17"/>
      <c r="F568" s="17"/>
      <c r="G568" s="17"/>
      <c r="H568" s="64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</row>
    <row r="569">
      <c r="A569" s="17"/>
      <c r="B569" s="17"/>
      <c r="C569" s="17"/>
      <c r="D569" s="17"/>
      <c r="E569" s="17"/>
      <c r="F569" s="17"/>
      <c r="G569" s="17"/>
      <c r="H569" s="64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</row>
    <row r="570">
      <c r="A570" s="17"/>
      <c r="B570" s="17"/>
      <c r="C570" s="17"/>
      <c r="D570" s="17"/>
      <c r="E570" s="17"/>
      <c r="F570" s="17"/>
      <c r="G570" s="17"/>
      <c r="H570" s="64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</row>
    <row r="571">
      <c r="A571" s="17"/>
      <c r="B571" s="17"/>
      <c r="C571" s="17"/>
      <c r="D571" s="17"/>
      <c r="E571" s="17"/>
      <c r="F571" s="17"/>
      <c r="G571" s="17"/>
      <c r="H571" s="64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</row>
    <row r="572">
      <c r="A572" s="17"/>
      <c r="B572" s="17"/>
      <c r="C572" s="17"/>
      <c r="D572" s="17"/>
      <c r="E572" s="17"/>
      <c r="F572" s="17"/>
      <c r="G572" s="17"/>
      <c r="H572" s="64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</row>
    <row r="573">
      <c r="A573" s="17"/>
      <c r="B573" s="17"/>
      <c r="C573" s="17"/>
      <c r="D573" s="17"/>
      <c r="E573" s="17"/>
      <c r="F573" s="17"/>
      <c r="G573" s="17"/>
      <c r="H573" s="64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</row>
    <row r="574">
      <c r="A574" s="17"/>
      <c r="B574" s="17"/>
      <c r="C574" s="17"/>
      <c r="D574" s="17"/>
      <c r="E574" s="17"/>
      <c r="F574" s="17"/>
      <c r="G574" s="17"/>
      <c r="H574" s="64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</row>
    <row r="575">
      <c r="A575" s="17"/>
      <c r="B575" s="17"/>
      <c r="C575" s="17"/>
      <c r="D575" s="17"/>
      <c r="E575" s="17"/>
      <c r="F575" s="17"/>
      <c r="G575" s="17"/>
      <c r="H575" s="64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</row>
    <row r="576">
      <c r="A576" s="17"/>
      <c r="B576" s="17"/>
      <c r="C576" s="17"/>
      <c r="D576" s="17"/>
      <c r="E576" s="17"/>
      <c r="F576" s="17"/>
      <c r="G576" s="17"/>
      <c r="H576" s="64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</row>
    <row r="577">
      <c r="A577" s="17"/>
      <c r="B577" s="17"/>
      <c r="C577" s="17"/>
      <c r="D577" s="17"/>
      <c r="E577" s="17"/>
      <c r="F577" s="17"/>
      <c r="G577" s="17"/>
      <c r="H577" s="64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</row>
    <row r="578">
      <c r="A578" s="17"/>
      <c r="B578" s="17"/>
      <c r="C578" s="17"/>
      <c r="D578" s="17"/>
      <c r="E578" s="17"/>
      <c r="F578" s="17"/>
      <c r="G578" s="17"/>
      <c r="H578" s="64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</row>
    <row r="579">
      <c r="A579" s="17"/>
      <c r="B579" s="17"/>
      <c r="C579" s="17"/>
      <c r="D579" s="17"/>
      <c r="E579" s="17"/>
      <c r="F579" s="17"/>
      <c r="G579" s="17"/>
      <c r="H579" s="64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</row>
    <row r="580">
      <c r="A580" s="17"/>
      <c r="B580" s="17"/>
      <c r="C580" s="17"/>
      <c r="D580" s="17"/>
      <c r="E580" s="17"/>
      <c r="F580" s="17"/>
      <c r="G580" s="17"/>
      <c r="H580" s="64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</row>
    <row r="581">
      <c r="A581" s="17"/>
      <c r="B581" s="17"/>
      <c r="C581" s="17"/>
      <c r="D581" s="17"/>
      <c r="E581" s="17"/>
      <c r="F581" s="17"/>
      <c r="G581" s="17"/>
      <c r="H581" s="64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</row>
    <row r="582">
      <c r="A582" s="17"/>
      <c r="B582" s="17"/>
      <c r="C582" s="17"/>
      <c r="D582" s="17"/>
      <c r="E582" s="17"/>
      <c r="F582" s="17"/>
      <c r="G582" s="17"/>
      <c r="H582" s="64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</row>
    <row r="583">
      <c r="A583" s="17"/>
      <c r="B583" s="17"/>
      <c r="C583" s="17"/>
      <c r="D583" s="17"/>
      <c r="E583" s="17"/>
      <c r="F583" s="17"/>
      <c r="G583" s="17"/>
      <c r="H583" s="64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</row>
    <row r="584">
      <c r="A584" s="17"/>
      <c r="B584" s="17"/>
      <c r="C584" s="17"/>
      <c r="D584" s="17"/>
      <c r="E584" s="17"/>
      <c r="F584" s="17"/>
      <c r="G584" s="17"/>
      <c r="H584" s="64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</row>
    <row r="585">
      <c r="A585" s="17"/>
      <c r="B585" s="17"/>
      <c r="C585" s="17"/>
      <c r="D585" s="17"/>
      <c r="E585" s="17"/>
      <c r="F585" s="17"/>
      <c r="G585" s="17"/>
      <c r="H585" s="64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</row>
    <row r="586">
      <c r="A586" s="17"/>
      <c r="B586" s="17"/>
      <c r="C586" s="17"/>
      <c r="D586" s="17"/>
      <c r="E586" s="17"/>
      <c r="F586" s="17"/>
      <c r="G586" s="17"/>
      <c r="H586" s="64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</row>
    <row r="587">
      <c r="A587" s="17"/>
      <c r="B587" s="17"/>
      <c r="C587" s="17"/>
      <c r="D587" s="17"/>
      <c r="E587" s="17"/>
      <c r="F587" s="17"/>
      <c r="G587" s="17"/>
      <c r="H587" s="64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</row>
    <row r="588">
      <c r="A588" s="17"/>
      <c r="B588" s="17"/>
      <c r="C588" s="17"/>
      <c r="D588" s="17"/>
      <c r="E588" s="17"/>
      <c r="F588" s="17"/>
      <c r="G588" s="17"/>
      <c r="H588" s="64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</row>
    <row r="589">
      <c r="A589" s="17"/>
      <c r="B589" s="17"/>
      <c r="C589" s="17"/>
      <c r="D589" s="17"/>
      <c r="E589" s="17"/>
      <c r="F589" s="17"/>
      <c r="G589" s="17"/>
      <c r="H589" s="64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</row>
    <row r="590">
      <c r="A590" s="17"/>
      <c r="B590" s="17"/>
      <c r="C590" s="17"/>
      <c r="D590" s="17"/>
      <c r="E590" s="17"/>
      <c r="F590" s="17"/>
      <c r="G590" s="17"/>
      <c r="H590" s="64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</row>
    <row r="591">
      <c r="A591" s="17"/>
      <c r="B591" s="17"/>
      <c r="C591" s="17"/>
      <c r="D591" s="17"/>
      <c r="E591" s="17"/>
      <c r="F591" s="17"/>
      <c r="G591" s="17"/>
      <c r="H591" s="64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</row>
    <row r="592">
      <c r="A592" s="17"/>
      <c r="B592" s="17"/>
      <c r="C592" s="17"/>
      <c r="D592" s="17"/>
      <c r="E592" s="17"/>
      <c r="F592" s="17"/>
      <c r="G592" s="17"/>
      <c r="H592" s="64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</row>
    <row r="593">
      <c r="A593" s="17"/>
      <c r="B593" s="17"/>
      <c r="C593" s="17"/>
      <c r="D593" s="17"/>
      <c r="E593" s="17"/>
      <c r="F593" s="17"/>
      <c r="G593" s="17"/>
      <c r="H593" s="64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</row>
    <row r="594">
      <c r="A594" s="17"/>
      <c r="B594" s="17"/>
      <c r="C594" s="17"/>
      <c r="D594" s="17"/>
      <c r="E594" s="17"/>
      <c r="F594" s="17"/>
      <c r="G594" s="17"/>
      <c r="H594" s="64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</row>
    <row r="595">
      <c r="A595" s="17"/>
      <c r="B595" s="17"/>
      <c r="C595" s="17"/>
      <c r="D595" s="17"/>
      <c r="E595" s="17"/>
      <c r="F595" s="17"/>
      <c r="G595" s="17"/>
      <c r="H595" s="64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</row>
    <row r="596">
      <c r="A596" s="17"/>
      <c r="B596" s="17"/>
      <c r="C596" s="17"/>
      <c r="D596" s="17"/>
      <c r="E596" s="17"/>
      <c r="F596" s="17"/>
      <c r="G596" s="17"/>
      <c r="H596" s="64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</row>
    <row r="597">
      <c r="A597" s="17"/>
      <c r="B597" s="17"/>
      <c r="C597" s="17"/>
      <c r="D597" s="17"/>
      <c r="E597" s="17"/>
      <c r="F597" s="17"/>
      <c r="G597" s="17"/>
      <c r="H597" s="64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</row>
    <row r="598">
      <c r="A598" s="17"/>
      <c r="B598" s="17"/>
      <c r="C598" s="17"/>
      <c r="D598" s="17"/>
      <c r="E598" s="17"/>
      <c r="F598" s="17"/>
      <c r="G598" s="17"/>
      <c r="H598" s="64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</row>
    <row r="599">
      <c r="A599" s="17"/>
      <c r="B599" s="17"/>
      <c r="C599" s="17"/>
      <c r="D599" s="17"/>
      <c r="E599" s="17"/>
      <c r="F599" s="17"/>
      <c r="G599" s="17"/>
      <c r="H599" s="64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</row>
    <row r="600">
      <c r="A600" s="17"/>
      <c r="B600" s="17"/>
      <c r="C600" s="17"/>
      <c r="D600" s="17"/>
      <c r="E600" s="17"/>
      <c r="F600" s="17"/>
      <c r="G600" s="17"/>
      <c r="H600" s="64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</row>
    <row r="601">
      <c r="A601" s="17"/>
      <c r="B601" s="17"/>
      <c r="C601" s="17"/>
      <c r="D601" s="17"/>
      <c r="E601" s="17"/>
      <c r="F601" s="17"/>
      <c r="G601" s="17"/>
      <c r="H601" s="64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</row>
    <row r="602">
      <c r="A602" s="17"/>
      <c r="B602" s="17"/>
      <c r="C602" s="17"/>
      <c r="D602" s="17"/>
      <c r="E602" s="17"/>
      <c r="F602" s="17"/>
      <c r="G602" s="17"/>
      <c r="H602" s="64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</row>
    <row r="603">
      <c r="A603" s="17"/>
      <c r="B603" s="17"/>
      <c r="C603" s="17"/>
      <c r="D603" s="17"/>
      <c r="E603" s="17"/>
      <c r="F603" s="17"/>
      <c r="G603" s="17"/>
      <c r="H603" s="64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</row>
    <row r="604">
      <c r="A604" s="17"/>
      <c r="B604" s="17"/>
      <c r="C604" s="17"/>
      <c r="D604" s="17"/>
      <c r="E604" s="17"/>
      <c r="F604" s="17"/>
      <c r="G604" s="17"/>
      <c r="H604" s="64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</row>
    <row r="605">
      <c r="A605" s="17"/>
      <c r="B605" s="17"/>
      <c r="C605" s="17"/>
      <c r="D605" s="17"/>
      <c r="E605" s="17"/>
      <c r="F605" s="17"/>
      <c r="G605" s="17"/>
      <c r="H605" s="64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</row>
    <row r="606">
      <c r="A606" s="17"/>
      <c r="B606" s="17"/>
      <c r="C606" s="17"/>
      <c r="D606" s="17"/>
      <c r="E606" s="17"/>
      <c r="F606" s="17"/>
      <c r="G606" s="17"/>
      <c r="H606" s="64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</row>
    <row r="607">
      <c r="A607" s="17"/>
      <c r="B607" s="17"/>
      <c r="C607" s="17"/>
      <c r="D607" s="17"/>
      <c r="E607" s="17"/>
      <c r="F607" s="17"/>
      <c r="G607" s="17"/>
      <c r="H607" s="64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</row>
    <row r="608">
      <c r="A608" s="17"/>
      <c r="B608" s="17"/>
      <c r="C608" s="17"/>
      <c r="D608" s="17"/>
      <c r="E608" s="17"/>
      <c r="F608" s="17"/>
      <c r="G608" s="17"/>
      <c r="H608" s="64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</row>
    <row r="609">
      <c r="A609" s="17"/>
      <c r="B609" s="17"/>
      <c r="C609" s="17"/>
      <c r="D609" s="17"/>
      <c r="E609" s="17"/>
      <c r="F609" s="17"/>
      <c r="G609" s="17"/>
      <c r="H609" s="64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</row>
    <row r="610">
      <c r="A610" s="17"/>
      <c r="B610" s="17"/>
      <c r="C610" s="17"/>
      <c r="D610" s="17"/>
      <c r="E610" s="17"/>
      <c r="F610" s="17"/>
      <c r="G610" s="17"/>
      <c r="H610" s="64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</row>
    <row r="611">
      <c r="A611" s="17"/>
      <c r="B611" s="17"/>
      <c r="C611" s="17"/>
      <c r="D611" s="17"/>
      <c r="E611" s="17"/>
      <c r="F611" s="17"/>
      <c r="G611" s="17"/>
      <c r="H611" s="64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</row>
    <row r="612">
      <c r="A612" s="17"/>
      <c r="B612" s="17"/>
      <c r="C612" s="17"/>
      <c r="D612" s="17"/>
      <c r="E612" s="17"/>
      <c r="F612" s="17"/>
      <c r="G612" s="17"/>
      <c r="H612" s="64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</row>
    <row r="613">
      <c r="A613" s="17"/>
      <c r="B613" s="17"/>
      <c r="C613" s="17"/>
      <c r="D613" s="17"/>
      <c r="E613" s="17"/>
      <c r="F613" s="17"/>
      <c r="G613" s="17"/>
      <c r="H613" s="64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</row>
    <row r="614">
      <c r="A614" s="17"/>
      <c r="B614" s="17"/>
      <c r="C614" s="17"/>
      <c r="D614" s="17"/>
      <c r="E614" s="17"/>
      <c r="F614" s="17"/>
      <c r="G614" s="17"/>
      <c r="H614" s="64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</row>
    <row r="615">
      <c r="A615" s="17"/>
      <c r="B615" s="17"/>
      <c r="C615" s="17"/>
      <c r="D615" s="17"/>
      <c r="E615" s="17"/>
      <c r="F615" s="17"/>
      <c r="G615" s="17"/>
      <c r="H615" s="64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</row>
    <row r="616">
      <c r="A616" s="17"/>
      <c r="B616" s="17"/>
      <c r="C616" s="17"/>
      <c r="D616" s="17"/>
      <c r="E616" s="17"/>
      <c r="F616" s="17"/>
      <c r="G616" s="17"/>
      <c r="H616" s="64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</row>
    <row r="617">
      <c r="A617" s="17"/>
      <c r="B617" s="17"/>
      <c r="C617" s="17"/>
      <c r="D617" s="17"/>
      <c r="E617" s="17"/>
      <c r="F617" s="17"/>
      <c r="G617" s="17"/>
      <c r="H617" s="64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</row>
    <row r="618">
      <c r="A618" s="17"/>
      <c r="B618" s="17"/>
      <c r="C618" s="17"/>
      <c r="D618" s="17"/>
      <c r="E618" s="17"/>
      <c r="F618" s="17"/>
      <c r="G618" s="17"/>
      <c r="H618" s="64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</row>
    <row r="619">
      <c r="A619" s="17"/>
      <c r="B619" s="17"/>
      <c r="C619" s="17"/>
      <c r="D619" s="17"/>
      <c r="E619" s="17"/>
      <c r="F619" s="17"/>
      <c r="G619" s="17"/>
      <c r="H619" s="64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</row>
    <row r="620">
      <c r="A620" s="17"/>
      <c r="B620" s="17"/>
      <c r="C620" s="17"/>
      <c r="D620" s="17"/>
      <c r="E620" s="17"/>
      <c r="F620" s="17"/>
      <c r="G620" s="17"/>
      <c r="H620" s="64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</row>
    <row r="621">
      <c r="A621" s="17"/>
      <c r="B621" s="17"/>
      <c r="C621" s="17"/>
      <c r="D621" s="17"/>
      <c r="E621" s="17"/>
      <c r="F621" s="17"/>
      <c r="G621" s="17"/>
      <c r="H621" s="64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</row>
    <row r="622">
      <c r="A622" s="17"/>
      <c r="B622" s="17"/>
      <c r="C622" s="17"/>
      <c r="D622" s="17"/>
      <c r="E622" s="17"/>
      <c r="F622" s="17"/>
      <c r="G622" s="17"/>
      <c r="H622" s="64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</row>
    <row r="623">
      <c r="A623" s="17"/>
      <c r="B623" s="17"/>
      <c r="C623" s="17"/>
      <c r="D623" s="17"/>
      <c r="E623" s="17"/>
      <c r="F623" s="17"/>
      <c r="G623" s="17"/>
      <c r="H623" s="64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</row>
    <row r="624">
      <c r="A624" s="17"/>
      <c r="B624" s="17"/>
      <c r="C624" s="17"/>
      <c r="D624" s="17"/>
      <c r="E624" s="17"/>
      <c r="F624" s="17"/>
      <c r="G624" s="17"/>
      <c r="H624" s="64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</row>
    <row r="625">
      <c r="A625" s="17"/>
      <c r="B625" s="17"/>
      <c r="C625" s="17"/>
      <c r="D625" s="17"/>
      <c r="E625" s="17"/>
      <c r="F625" s="17"/>
      <c r="G625" s="17"/>
      <c r="H625" s="64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</row>
    <row r="626">
      <c r="A626" s="17"/>
      <c r="B626" s="17"/>
      <c r="C626" s="17"/>
      <c r="D626" s="17"/>
      <c r="E626" s="17"/>
      <c r="F626" s="17"/>
      <c r="G626" s="17"/>
      <c r="H626" s="64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</row>
    <row r="627">
      <c r="A627" s="17"/>
      <c r="B627" s="17"/>
      <c r="C627" s="17"/>
      <c r="D627" s="17"/>
      <c r="E627" s="17"/>
      <c r="F627" s="17"/>
      <c r="G627" s="17"/>
      <c r="H627" s="64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</row>
    <row r="628">
      <c r="A628" s="17"/>
      <c r="B628" s="17"/>
      <c r="C628" s="17"/>
      <c r="D628" s="17"/>
      <c r="E628" s="17"/>
      <c r="F628" s="17"/>
      <c r="G628" s="17"/>
      <c r="H628" s="64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</row>
    <row r="629">
      <c r="A629" s="17"/>
      <c r="B629" s="17"/>
      <c r="C629" s="17"/>
      <c r="D629" s="17"/>
      <c r="E629" s="17"/>
      <c r="F629" s="17"/>
      <c r="G629" s="17"/>
      <c r="H629" s="64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</row>
    <row r="630">
      <c r="A630" s="17"/>
      <c r="B630" s="17"/>
      <c r="C630" s="17"/>
      <c r="D630" s="17"/>
      <c r="E630" s="17"/>
      <c r="F630" s="17"/>
      <c r="G630" s="17"/>
      <c r="H630" s="64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</row>
    <row r="631">
      <c r="A631" s="17"/>
      <c r="B631" s="17"/>
      <c r="C631" s="17"/>
      <c r="D631" s="17"/>
      <c r="E631" s="17"/>
      <c r="F631" s="17"/>
      <c r="G631" s="17"/>
      <c r="H631" s="64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</row>
    <row r="632">
      <c r="A632" s="17"/>
      <c r="B632" s="17"/>
      <c r="C632" s="17"/>
      <c r="D632" s="17"/>
      <c r="E632" s="17"/>
      <c r="F632" s="17"/>
      <c r="G632" s="17"/>
      <c r="H632" s="64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</row>
    <row r="633">
      <c r="A633" s="17"/>
      <c r="B633" s="17"/>
      <c r="C633" s="17"/>
      <c r="D633" s="17"/>
      <c r="E633" s="17"/>
      <c r="F633" s="17"/>
      <c r="G633" s="17"/>
      <c r="H633" s="64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</row>
    <row r="634">
      <c r="A634" s="17"/>
      <c r="B634" s="17"/>
      <c r="C634" s="17"/>
      <c r="D634" s="17"/>
      <c r="E634" s="17"/>
      <c r="F634" s="17"/>
      <c r="G634" s="17"/>
      <c r="H634" s="64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</row>
    <row r="635">
      <c r="A635" s="17"/>
      <c r="B635" s="17"/>
      <c r="C635" s="17"/>
      <c r="D635" s="17"/>
      <c r="E635" s="17"/>
      <c r="F635" s="17"/>
      <c r="G635" s="17"/>
      <c r="H635" s="64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</row>
    <row r="636">
      <c r="A636" s="17"/>
      <c r="B636" s="17"/>
      <c r="C636" s="17"/>
      <c r="D636" s="17"/>
      <c r="E636" s="17"/>
      <c r="F636" s="17"/>
      <c r="G636" s="17"/>
      <c r="H636" s="64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</row>
    <row r="637">
      <c r="A637" s="17"/>
      <c r="B637" s="17"/>
      <c r="C637" s="17"/>
      <c r="D637" s="17"/>
      <c r="E637" s="17"/>
      <c r="F637" s="17"/>
      <c r="G637" s="17"/>
      <c r="H637" s="64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</row>
    <row r="638">
      <c r="A638" s="17"/>
      <c r="B638" s="17"/>
      <c r="C638" s="17"/>
      <c r="D638" s="17"/>
      <c r="E638" s="17"/>
      <c r="F638" s="17"/>
      <c r="G638" s="17"/>
      <c r="H638" s="64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</row>
    <row r="639">
      <c r="A639" s="17"/>
      <c r="B639" s="17"/>
      <c r="C639" s="17"/>
      <c r="D639" s="17"/>
      <c r="E639" s="17"/>
      <c r="F639" s="17"/>
      <c r="G639" s="17"/>
      <c r="H639" s="64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</row>
    <row r="640">
      <c r="A640" s="17"/>
      <c r="B640" s="17"/>
      <c r="C640" s="17"/>
      <c r="D640" s="17"/>
      <c r="E640" s="17"/>
      <c r="F640" s="17"/>
      <c r="G640" s="17"/>
      <c r="H640" s="64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</row>
    <row r="641">
      <c r="A641" s="17"/>
      <c r="B641" s="17"/>
      <c r="C641" s="17"/>
      <c r="D641" s="17"/>
      <c r="E641" s="17"/>
      <c r="F641" s="17"/>
      <c r="G641" s="17"/>
      <c r="H641" s="64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</row>
    <row r="642">
      <c r="A642" s="17"/>
      <c r="B642" s="17"/>
      <c r="C642" s="17"/>
      <c r="D642" s="17"/>
      <c r="E642" s="17"/>
      <c r="F642" s="17"/>
      <c r="G642" s="17"/>
      <c r="H642" s="64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</row>
    <row r="643">
      <c r="A643" s="17"/>
      <c r="B643" s="17"/>
      <c r="C643" s="17"/>
      <c r="D643" s="17"/>
      <c r="E643" s="17"/>
      <c r="F643" s="17"/>
      <c r="G643" s="17"/>
      <c r="H643" s="64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</row>
    <row r="644">
      <c r="A644" s="17"/>
      <c r="B644" s="17"/>
      <c r="C644" s="17"/>
      <c r="D644" s="17"/>
      <c r="E644" s="17"/>
      <c r="F644" s="17"/>
      <c r="G644" s="17"/>
      <c r="H644" s="64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</row>
    <row r="645">
      <c r="A645" s="17"/>
      <c r="B645" s="17"/>
      <c r="C645" s="17"/>
      <c r="D645" s="17"/>
      <c r="E645" s="17"/>
      <c r="F645" s="17"/>
      <c r="G645" s="17"/>
      <c r="H645" s="64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</row>
    <row r="646">
      <c r="A646" s="17"/>
      <c r="B646" s="17"/>
      <c r="C646" s="17"/>
      <c r="D646" s="17"/>
      <c r="E646" s="17"/>
      <c r="F646" s="17"/>
      <c r="G646" s="17"/>
      <c r="H646" s="64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</row>
    <row r="647">
      <c r="A647" s="17"/>
      <c r="B647" s="17"/>
      <c r="C647" s="17"/>
      <c r="D647" s="17"/>
      <c r="E647" s="17"/>
      <c r="F647" s="17"/>
      <c r="G647" s="17"/>
      <c r="H647" s="64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</row>
    <row r="648">
      <c r="A648" s="17"/>
      <c r="B648" s="17"/>
      <c r="C648" s="17"/>
      <c r="D648" s="17"/>
      <c r="E648" s="17"/>
      <c r="F648" s="17"/>
      <c r="G648" s="17"/>
      <c r="H648" s="64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</row>
    <row r="649">
      <c r="A649" s="17"/>
      <c r="B649" s="17"/>
      <c r="C649" s="17"/>
      <c r="D649" s="17"/>
      <c r="E649" s="17"/>
      <c r="F649" s="17"/>
      <c r="G649" s="17"/>
      <c r="H649" s="64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</row>
    <row r="650">
      <c r="A650" s="17"/>
      <c r="B650" s="17"/>
      <c r="C650" s="17"/>
      <c r="D650" s="17"/>
      <c r="E650" s="17"/>
      <c r="F650" s="17"/>
      <c r="G650" s="17"/>
      <c r="H650" s="64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</row>
    <row r="651">
      <c r="A651" s="17"/>
      <c r="B651" s="17"/>
      <c r="C651" s="17"/>
      <c r="D651" s="17"/>
      <c r="E651" s="17"/>
      <c r="F651" s="17"/>
      <c r="G651" s="17"/>
      <c r="H651" s="64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</row>
    <row r="652">
      <c r="A652" s="17"/>
      <c r="B652" s="17"/>
      <c r="C652" s="17"/>
      <c r="D652" s="17"/>
      <c r="E652" s="17"/>
      <c r="F652" s="17"/>
      <c r="G652" s="17"/>
      <c r="H652" s="64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</row>
    <row r="653">
      <c r="A653" s="17"/>
      <c r="B653" s="17"/>
      <c r="C653" s="17"/>
      <c r="D653" s="17"/>
      <c r="E653" s="17"/>
      <c r="F653" s="17"/>
      <c r="G653" s="17"/>
      <c r="H653" s="64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</row>
    <row r="654">
      <c r="A654" s="17"/>
      <c r="B654" s="17"/>
      <c r="C654" s="17"/>
      <c r="D654" s="17"/>
      <c r="E654" s="17"/>
      <c r="F654" s="17"/>
      <c r="G654" s="17"/>
      <c r="H654" s="64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</row>
    <row r="655">
      <c r="A655" s="17"/>
      <c r="B655" s="17"/>
      <c r="C655" s="17"/>
      <c r="D655" s="17"/>
      <c r="E655" s="17"/>
      <c r="F655" s="17"/>
      <c r="G655" s="17"/>
      <c r="H655" s="64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</row>
    <row r="656">
      <c r="A656" s="17"/>
      <c r="B656" s="17"/>
      <c r="C656" s="17"/>
      <c r="D656" s="17"/>
      <c r="E656" s="17"/>
      <c r="F656" s="17"/>
      <c r="G656" s="17"/>
      <c r="H656" s="64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</row>
    <row r="657">
      <c r="A657" s="17"/>
      <c r="B657" s="17"/>
      <c r="C657" s="17"/>
      <c r="D657" s="17"/>
      <c r="E657" s="17"/>
      <c r="F657" s="17"/>
      <c r="G657" s="17"/>
      <c r="H657" s="64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</row>
    <row r="658">
      <c r="A658" s="17"/>
      <c r="B658" s="17"/>
      <c r="C658" s="17"/>
      <c r="D658" s="17"/>
      <c r="E658" s="17"/>
      <c r="F658" s="17"/>
      <c r="G658" s="17"/>
      <c r="H658" s="64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</row>
    <row r="659">
      <c r="A659" s="17"/>
      <c r="B659" s="17"/>
      <c r="C659" s="17"/>
      <c r="D659" s="17"/>
      <c r="E659" s="17"/>
      <c r="F659" s="17"/>
      <c r="G659" s="17"/>
      <c r="H659" s="64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</row>
    <row r="660">
      <c r="A660" s="17"/>
      <c r="B660" s="17"/>
      <c r="C660" s="17"/>
      <c r="D660" s="17"/>
      <c r="E660" s="17"/>
      <c r="F660" s="17"/>
      <c r="G660" s="17"/>
      <c r="H660" s="64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</row>
    <row r="661">
      <c r="A661" s="17"/>
      <c r="B661" s="17"/>
      <c r="C661" s="17"/>
      <c r="D661" s="17"/>
      <c r="E661" s="17"/>
      <c r="F661" s="17"/>
      <c r="G661" s="17"/>
      <c r="H661" s="64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</row>
    <row r="662">
      <c r="A662" s="17"/>
      <c r="B662" s="17"/>
      <c r="C662" s="17"/>
      <c r="D662" s="17"/>
      <c r="E662" s="17"/>
      <c r="F662" s="17"/>
      <c r="G662" s="17"/>
      <c r="H662" s="64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</row>
    <row r="663">
      <c r="A663" s="17"/>
      <c r="B663" s="17"/>
      <c r="C663" s="17"/>
      <c r="D663" s="17"/>
      <c r="E663" s="17"/>
      <c r="F663" s="17"/>
      <c r="G663" s="17"/>
      <c r="H663" s="64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</row>
    <row r="664">
      <c r="A664" s="17"/>
      <c r="B664" s="17"/>
      <c r="C664" s="17"/>
      <c r="D664" s="17"/>
      <c r="E664" s="17"/>
      <c r="F664" s="17"/>
      <c r="G664" s="17"/>
      <c r="H664" s="64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</row>
    <row r="665">
      <c r="A665" s="17"/>
      <c r="B665" s="17"/>
      <c r="C665" s="17"/>
      <c r="D665" s="17"/>
      <c r="E665" s="17"/>
      <c r="F665" s="17"/>
      <c r="G665" s="17"/>
      <c r="H665" s="64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</row>
    <row r="666">
      <c r="A666" s="17"/>
      <c r="B666" s="17"/>
      <c r="C666" s="17"/>
      <c r="D666" s="17"/>
      <c r="E666" s="17"/>
      <c r="F666" s="17"/>
      <c r="G666" s="17"/>
      <c r="H666" s="64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</row>
    <row r="667">
      <c r="A667" s="17"/>
      <c r="B667" s="17"/>
      <c r="C667" s="17"/>
      <c r="D667" s="17"/>
      <c r="E667" s="17"/>
      <c r="F667" s="17"/>
      <c r="G667" s="17"/>
      <c r="H667" s="64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</row>
    <row r="668">
      <c r="A668" s="17"/>
      <c r="B668" s="17"/>
      <c r="C668" s="17"/>
      <c r="D668" s="17"/>
      <c r="E668" s="17"/>
      <c r="F668" s="17"/>
      <c r="G668" s="17"/>
      <c r="H668" s="64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</row>
    <row r="669">
      <c r="A669" s="17"/>
      <c r="B669" s="17"/>
      <c r="C669" s="17"/>
      <c r="D669" s="17"/>
      <c r="E669" s="17"/>
      <c r="F669" s="17"/>
      <c r="G669" s="17"/>
      <c r="H669" s="64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</row>
    <row r="670">
      <c r="A670" s="17"/>
      <c r="B670" s="17"/>
      <c r="C670" s="17"/>
      <c r="D670" s="17"/>
      <c r="E670" s="17"/>
      <c r="F670" s="17"/>
      <c r="G670" s="17"/>
      <c r="H670" s="64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</row>
    <row r="671">
      <c r="A671" s="17"/>
      <c r="B671" s="17"/>
      <c r="C671" s="17"/>
      <c r="D671" s="17"/>
      <c r="E671" s="17"/>
      <c r="F671" s="17"/>
      <c r="G671" s="17"/>
      <c r="H671" s="64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</row>
    <row r="672">
      <c r="A672" s="17"/>
      <c r="B672" s="17"/>
      <c r="C672" s="17"/>
      <c r="D672" s="17"/>
      <c r="E672" s="17"/>
      <c r="F672" s="17"/>
      <c r="G672" s="17"/>
      <c r="H672" s="64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</row>
    <row r="673">
      <c r="A673" s="17"/>
      <c r="B673" s="17"/>
      <c r="C673" s="17"/>
      <c r="D673" s="17"/>
      <c r="E673" s="17"/>
      <c r="F673" s="17"/>
      <c r="G673" s="17"/>
      <c r="H673" s="64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</row>
    <row r="674">
      <c r="A674" s="17"/>
      <c r="B674" s="17"/>
      <c r="C674" s="17"/>
      <c r="D674" s="17"/>
      <c r="E674" s="17"/>
      <c r="F674" s="17"/>
      <c r="G674" s="17"/>
      <c r="H674" s="64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</row>
    <row r="675">
      <c r="A675" s="17"/>
      <c r="B675" s="17"/>
      <c r="C675" s="17"/>
      <c r="D675" s="17"/>
      <c r="E675" s="17"/>
      <c r="F675" s="17"/>
      <c r="G675" s="17"/>
      <c r="H675" s="64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</row>
    <row r="676">
      <c r="A676" s="17"/>
      <c r="B676" s="17"/>
      <c r="C676" s="17"/>
      <c r="D676" s="17"/>
      <c r="E676" s="17"/>
      <c r="F676" s="17"/>
      <c r="G676" s="17"/>
      <c r="H676" s="64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</row>
    <row r="677">
      <c r="A677" s="17"/>
      <c r="B677" s="17"/>
      <c r="C677" s="17"/>
      <c r="D677" s="17"/>
      <c r="E677" s="17"/>
      <c r="F677" s="17"/>
      <c r="G677" s="17"/>
      <c r="H677" s="64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</row>
    <row r="678">
      <c r="A678" s="17"/>
      <c r="B678" s="17"/>
      <c r="C678" s="17"/>
      <c r="D678" s="17"/>
      <c r="E678" s="17"/>
      <c r="F678" s="17"/>
      <c r="G678" s="17"/>
      <c r="H678" s="64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</row>
    <row r="679">
      <c r="A679" s="17"/>
      <c r="B679" s="17"/>
      <c r="C679" s="17"/>
      <c r="D679" s="17"/>
      <c r="E679" s="17"/>
      <c r="F679" s="17"/>
      <c r="G679" s="17"/>
      <c r="H679" s="64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</row>
    <row r="680">
      <c r="A680" s="17"/>
      <c r="B680" s="17"/>
      <c r="C680" s="17"/>
      <c r="D680" s="17"/>
      <c r="E680" s="17"/>
      <c r="F680" s="17"/>
      <c r="G680" s="17"/>
      <c r="H680" s="64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</row>
    <row r="681">
      <c r="A681" s="17"/>
      <c r="B681" s="17"/>
      <c r="C681" s="17"/>
      <c r="D681" s="17"/>
      <c r="E681" s="17"/>
      <c r="F681" s="17"/>
      <c r="G681" s="17"/>
      <c r="H681" s="64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</row>
    <row r="682">
      <c r="A682" s="17"/>
      <c r="B682" s="17"/>
      <c r="C682" s="17"/>
      <c r="D682" s="17"/>
      <c r="E682" s="17"/>
      <c r="F682" s="17"/>
      <c r="G682" s="17"/>
      <c r="H682" s="64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</row>
    <row r="683">
      <c r="A683" s="17"/>
      <c r="B683" s="17"/>
      <c r="C683" s="17"/>
      <c r="D683" s="17"/>
      <c r="E683" s="17"/>
      <c r="F683" s="17"/>
      <c r="G683" s="17"/>
      <c r="H683" s="64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</row>
    <row r="684">
      <c r="A684" s="17"/>
      <c r="B684" s="17"/>
      <c r="C684" s="17"/>
      <c r="D684" s="17"/>
      <c r="E684" s="17"/>
      <c r="F684" s="17"/>
      <c r="G684" s="17"/>
      <c r="H684" s="64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</row>
    <row r="685">
      <c r="A685" s="17"/>
      <c r="B685" s="17"/>
      <c r="C685" s="17"/>
      <c r="D685" s="17"/>
      <c r="E685" s="17"/>
      <c r="F685" s="17"/>
      <c r="G685" s="17"/>
      <c r="H685" s="64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</row>
    <row r="686">
      <c r="A686" s="17"/>
      <c r="B686" s="17"/>
      <c r="C686" s="17"/>
      <c r="D686" s="17"/>
      <c r="E686" s="17"/>
      <c r="F686" s="17"/>
      <c r="G686" s="17"/>
      <c r="H686" s="64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</row>
    <row r="687">
      <c r="A687" s="17"/>
      <c r="B687" s="17"/>
      <c r="C687" s="17"/>
      <c r="D687" s="17"/>
      <c r="E687" s="17"/>
      <c r="F687" s="17"/>
      <c r="G687" s="17"/>
      <c r="H687" s="64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</row>
    <row r="688">
      <c r="A688" s="17"/>
      <c r="B688" s="17"/>
      <c r="C688" s="17"/>
      <c r="D688" s="17"/>
      <c r="E688" s="17"/>
      <c r="F688" s="17"/>
      <c r="G688" s="17"/>
      <c r="H688" s="64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</row>
    <row r="689">
      <c r="A689" s="17"/>
      <c r="B689" s="17"/>
      <c r="C689" s="17"/>
      <c r="D689" s="17"/>
      <c r="E689" s="17"/>
      <c r="F689" s="17"/>
      <c r="G689" s="17"/>
      <c r="H689" s="64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</row>
    <row r="690">
      <c r="A690" s="17"/>
      <c r="B690" s="17"/>
      <c r="C690" s="17"/>
      <c r="D690" s="17"/>
      <c r="E690" s="17"/>
      <c r="F690" s="17"/>
      <c r="G690" s="17"/>
      <c r="H690" s="64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</row>
    <row r="691">
      <c r="A691" s="17"/>
      <c r="B691" s="17"/>
      <c r="C691" s="17"/>
      <c r="D691" s="17"/>
      <c r="E691" s="17"/>
      <c r="F691" s="17"/>
      <c r="G691" s="17"/>
      <c r="H691" s="64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</row>
    <row r="692">
      <c r="A692" s="17"/>
      <c r="B692" s="17"/>
      <c r="C692" s="17"/>
      <c r="D692" s="17"/>
      <c r="E692" s="17"/>
      <c r="F692" s="17"/>
      <c r="G692" s="17"/>
      <c r="H692" s="64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</row>
    <row r="693">
      <c r="A693" s="17"/>
      <c r="B693" s="17"/>
      <c r="C693" s="17"/>
      <c r="D693" s="17"/>
      <c r="E693" s="17"/>
      <c r="F693" s="17"/>
      <c r="G693" s="17"/>
      <c r="H693" s="64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</row>
    <row r="694">
      <c r="A694" s="17"/>
      <c r="B694" s="17"/>
      <c r="C694" s="17"/>
      <c r="D694" s="17"/>
      <c r="E694" s="17"/>
      <c r="F694" s="17"/>
      <c r="G694" s="17"/>
      <c r="H694" s="64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</row>
    <row r="695">
      <c r="A695" s="17"/>
      <c r="B695" s="17"/>
      <c r="C695" s="17"/>
      <c r="D695" s="17"/>
      <c r="E695" s="17"/>
      <c r="F695" s="17"/>
      <c r="G695" s="17"/>
      <c r="H695" s="64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</row>
    <row r="696">
      <c r="A696" s="17"/>
      <c r="B696" s="17"/>
      <c r="C696" s="17"/>
      <c r="D696" s="17"/>
      <c r="E696" s="17"/>
      <c r="F696" s="17"/>
      <c r="G696" s="17"/>
      <c r="H696" s="64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</row>
    <row r="697">
      <c r="A697" s="17"/>
      <c r="B697" s="17"/>
      <c r="C697" s="17"/>
      <c r="D697" s="17"/>
      <c r="E697" s="17"/>
      <c r="F697" s="17"/>
      <c r="G697" s="17"/>
      <c r="H697" s="64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</row>
    <row r="698">
      <c r="A698" s="17"/>
      <c r="B698" s="17"/>
      <c r="C698" s="17"/>
      <c r="D698" s="17"/>
      <c r="E698" s="17"/>
      <c r="F698" s="17"/>
      <c r="G698" s="17"/>
      <c r="H698" s="64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</row>
    <row r="699">
      <c r="A699" s="17"/>
      <c r="B699" s="17"/>
      <c r="C699" s="17"/>
      <c r="D699" s="17"/>
      <c r="E699" s="17"/>
      <c r="F699" s="17"/>
      <c r="G699" s="17"/>
      <c r="H699" s="64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</row>
    <row r="700">
      <c r="A700" s="17"/>
      <c r="B700" s="17"/>
      <c r="C700" s="17"/>
      <c r="D700" s="17"/>
      <c r="E700" s="17"/>
      <c r="F700" s="17"/>
      <c r="G700" s="17"/>
      <c r="H700" s="64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</row>
    <row r="701">
      <c r="A701" s="17"/>
      <c r="B701" s="17"/>
      <c r="C701" s="17"/>
      <c r="D701" s="17"/>
      <c r="E701" s="17"/>
      <c r="F701" s="17"/>
      <c r="G701" s="17"/>
      <c r="H701" s="64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</row>
    <row r="702">
      <c r="A702" s="17"/>
      <c r="B702" s="17"/>
      <c r="C702" s="17"/>
      <c r="D702" s="17"/>
      <c r="E702" s="17"/>
      <c r="F702" s="17"/>
      <c r="G702" s="17"/>
      <c r="H702" s="64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</row>
    <row r="703">
      <c r="A703" s="17"/>
      <c r="B703" s="17"/>
      <c r="C703" s="17"/>
      <c r="D703" s="17"/>
      <c r="E703" s="17"/>
      <c r="F703" s="17"/>
      <c r="G703" s="17"/>
      <c r="H703" s="64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</row>
    <row r="704">
      <c r="A704" s="17"/>
      <c r="B704" s="17"/>
      <c r="C704" s="17"/>
      <c r="D704" s="17"/>
      <c r="E704" s="17"/>
      <c r="F704" s="17"/>
      <c r="G704" s="17"/>
      <c r="H704" s="64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</row>
    <row r="705">
      <c r="A705" s="17"/>
      <c r="B705" s="17"/>
      <c r="C705" s="17"/>
      <c r="D705" s="17"/>
      <c r="E705" s="17"/>
      <c r="F705" s="17"/>
      <c r="G705" s="17"/>
      <c r="H705" s="64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</row>
    <row r="706">
      <c r="A706" s="17"/>
      <c r="B706" s="17"/>
      <c r="C706" s="17"/>
      <c r="D706" s="17"/>
      <c r="E706" s="17"/>
      <c r="F706" s="17"/>
      <c r="G706" s="17"/>
      <c r="H706" s="64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</row>
    <row r="707">
      <c r="A707" s="17"/>
      <c r="B707" s="17"/>
      <c r="C707" s="17"/>
      <c r="D707" s="17"/>
      <c r="E707" s="17"/>
      <c r="F707" s="17"/>
      <c r="G707" s="17"/>
      <c r="H707" s="64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</row>
    <row r="708">
      <c r="A708" s="17"/>
      <c r="B708" s="17"/>
      <c r="C708" s="17"/>
      <c r="D708" s="17"/>
      <c r="E708" s="17"/>
      <c r="F708" s="17"/>
      <c r="G708" s="17"/>
      <c r="H708" s="64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</row>
    <row r="709">
      <c r="A709" s="17"/>
      <c r="B709" s="17"/>
      <c r="C709" s="17"/>
      <c r="D709" s="17"/>
      <c r="E709" s="17"/>
      <c r="F709" s="17"/>
      <c r="G709" s="17"/>
      <c r="H709" s="64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</row>
    <row r="710">
      <c r="A710" s="17"/>
      <c r="B710" s="17"/>
      <c r="C710" s="17"/>
      <c r="D710" s="17"/>
      <c r="E710" s="17"/>
      <c r="F710" s="17"/>
      <c r="G710" s="17"/>
      <c r="H710" s="64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</row>
    <row r="711">
      <c r="A711" s="17"/>
      <c r="B711" s="17"/>
      <c r="C711" s="17"/>
      <c r="D711" s="17"/>
      <c r="E711" s="17"/>
      <c r="F711" s="17"/>
      <c r="G711" s="17"/>
      <c r="H711" s="64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</row>
    <row r="712">
      <c r="A712" s="17"/>
      <c r="B712" s="17"/>
      <c r="C712" s="17"/>
      <c r="D712" s="17"/>
      <c r="E712" s="17"/>
      <c r="F712" s="17"/>
      <c r="G712" s="17"/>
      <c r="H712" s="64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</row>
    <row r="713">
      <c r="A713" s="17"/>
      <c r="B713" s="17"/>
      <c r="C713" s="17"/>
      <c r="D713" s="17"/>
      <c r="E713" s="17"/>
      <c r="F713" s="17"/>
      <c r="G713" s="17"/>
      <c r="H713" s="64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</row>
    <row r="714">
      <c r="A714" s="17"/>
      <c r="B714" s="17"/>
      <c r="C714" s="17"/>
      <c r="D714" s="17"/>
      <c r="E714" s="17"/>
      <c r="F714" s="17"/>
      <c r="G714" s="17"/>
      <c r="H714" s="64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</row>
    <row r="715">
      <c r="A715" s="17"/>
      <c r="B715" s="17"/>
      <c r="C715" s="17"/>
      <c r="D715" s="17"/>
      <c r="E715" s="17"/>
      <c r="F715" s="17"/>
      <c r="G715" s="17"/>
      <c r="H715" s="64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</row>
    <row r="716">
      <c r="A716" s="17"/>
      <c r="B716" s="17"/>
      <c r="C716" s="17"/>
      <c r="D716" s="17"/>
      <c r="E716" s="17"/>
      <c r="F716" s="17"/>
      <c r="G716" s="17"/>
      <c r="H716" s="64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</row>
    <row r="717">
      <c r="A717" s="17"/>
      <c r="B717" s="17"/>
      <c r="C717" s="17"/>
      <c r="D717" s="17"/>
      <c r="E717" s="17"/>
      <c r="F717" s="17"/>
      <c r="G717" s="17"/>
      <c r="H717" s="64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</row>
    <row r="718">
      <c r="A718" s="17"/>
      <c r="B718" s="17"/>
      <c r="C718" s="17"/>
      <c r="D718" s="17"/>
      <c r="E718" s="17"/>
      <c r="F718" s="17"/>
      <c r="G718" s="17"/>
      <c r="H718" s="64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</row>
    <row r="719">
      <c r="A719" s="17"/>
      <c r="B719" s="17"/>
      <c r="C719" s="17"/>
      <c r="D719" s="17"/>
      <c r="E719" s="17"/>
      <c r="F719" s="17"/>
      <c r="G719" s="17"/>
      <c r="H719" s="64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</row>
    <row r="720">
      <c r="A720" s="17"/>
      <c r="B720" s="17"/>
      <c r="C720" s="17"/>
      <c r="D720" s="17"/>
      <c r="E720" s="17"/>
      <c r="F720" s="17"/>
      <c r="G720" s="17"/>
      <c r="H720" s="64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</row>
    <row r="721">
      <c r="A721" s="17"/>
      <c r="B721" s="17"/>
      <c r="C721" s="17"/>
      <c r="D721" s="17"/>
      <c r="E721" s="17"/>
      <c r="F721" s="17"/>
      <c r="G721" s="17"/>
      <c r="H721" s="64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</row>
    <row r="722">
      <c r="A722" s="17"/>
      <c r="B722" s="17"/>
      <c r="C722" s="17"/>
      <c r="D722" s="17"/>
      <c r="E722" s="17"/>
      <c r="F722" s="17"/>
      <c r="G722" s="17"/>
      <c r="H722" s="64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</row>
    <row r="723">
      <c r="A723" s="17"/>
      <c r="B723" s="17"/>
      <c r="C723" s="17"/>
      <c r="D723" s="17"/>
      <c r="E723" s="17"/>
      <c r="F723" s="17"/>
      <c r="G723" s="17"/>
      <c r="H723" s="64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</row>
    <row r="724">
      <c r="A724" s="17"/>
      <c r="B724" s="17"/>
      <c r="C724" s="17"/>
      <c r="D724" s="17"/>
      <c r="E724" s="17"/>
      <c r="F724" s="17"/>
      <c r="G724" s="17"/>
      <c r="H724" s="64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</row>
    <row r="725">
      <c r="A725" s="17"/>
      <c r="B725" s="17"/>
      <c r="C725" s="17"/>
      <c r="D725" s="17"/>
      <c r="E725" s="17"/>
      <c r="F725" s="17"/>
      <c r="G725" s="17"/>
      <c r="H725" s="64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</row>
    <row r="726">
      <c r="A726" s="17"/>
      <c r="B726" s="17"/>
      <c r="C726" s="17"/>
      <c r="D726" s="17"/>
      <c r="E726" s="17"/>
      <c r="F726" s="17"/>
      <c r="G726" s="17"/>
      <c r="H726" s="64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</row>
    <row r="727">
      <c r="A727" s="17"/>
      <c r="B727" s="17"/>
      <c r="C727" s="17"/>
      <c r="D727" s="17"/>
      <c r="E727" s="17"/>
      <c r="F727" s="17"/>
      <c r="G727" s="17"/>
      <c r="H727" s="64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</row>
    <row r="728">
      <c r="A728" s="17"/>
      <c r="B728" s="17"/>
      <c r="C728" s="17"/>
      <c r="D728" s="17"/>
      <c r="E728" s="17"/>
      <c r="F728" s="17"/>
      <c r="G728" s="17"/>
      <c r="H728" s="64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</row>
    <row r="729">
      <c r="A729" s="17"/>
      <c r="B729" s="17"/>
      <c r="C729" s="17"/>
      <c r="D729" s="17"/>
      <c r="E729" s="17"/>
      <c r="F729" s="17"/>
      <c r="G729" s="17"/>
      <c r="H729" s="64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</row>
    <row r="730">
      <c r="A730" s="17"/>
      <c r="B730" s="17"/>
      <c r="C730" s="17"/>
      <c r="D730" s="17"/>
      <c r="E730" s="17"/>
      <c r="F730" s="17"/>
      <c r="G730" s="17"/>
      <c r="H730" s="64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</row>
    <row r="731">
      <c r="A731" s="17"/>
      <c r="B731" s="17"/>
      <c r="C731" s="17"/>
      <c r="D731" s="17"/>
      <c r="E731" s="17"/>
      <c r="F731" s="17"/>
      <c r="G731" s="17"/>
      <c r="H731" s="64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</row>
    <row r="732">
      <c r="A732" s="17"/>
      <c r="B732" s="17"/>
      <c r="C732" s="17"/>
      <c r="D732" s="17"/>
      <c r="E732" s="17"/>
      <c r="F732" s="17"/>
      <c r="G732" s="17"/>
      <c r="H732" s="64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</row>
    <row r="733">
      <c r="A733" s="17"/>
      <c r="B733" s="17"/>
      <c r="C733" s="17"/>
      <c r="D733" s="17"/>
      <c r="E733" s="17"/>
      <c r="F733" s="17"/>
      <c r="G733" s="17"/>
      <c r="H733" s="64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</row>
    <row r="734">
      <c r="A734" s="17"/>
      <c r="B734" s="17"/>
      <c r="C734" s="17"/>
      <c r="D734" s="17"/>
      <c r="E734" s="17"/>
      <c r="F734" s="17"/>
      <c r="G734" s="17"/>
      <c r="H734" s="64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</row>
    <row r="735">
      <c r="A735" s="17"/>
      <c r="B735" s="17"/>
      <c r="C735" s="17"/>
      <c r="D735" s="17"/>
      <c r="E735" s="17"/>
      <c r="F735" s="17"/>
      <c r="G735" s="17"/>
      <c r="H735" s="64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</row>
    <row r="736">
      <c r="A736" s="17"/>
      <c r="B736" s="17"/>
      <c r="C736" s="17"/>
      <c r="D736" s="17"/>
      <c r="E736" s="17"/>
      <c r="F736" s="17"/>
      <c r="G736" s="17"/>
      <c r="H736" s="64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</row>
    <row r="737">
      <c r="A737" s="17"/>
      <c r="B737" s="17"/>
      <c r="C737" s="17"/>
      <c r="D737" s="17"/>
      <c r="E737" s="17"/>
      <c r="F737" s="17"/>
      <c r="G737" s="17"/>
      <c r="H737" s="64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</row>
    <row r="738">
      <c r="A738" s="17"/>
      <c r="B738" s="17"/>
      <c r="C738" s="17"/>
      <c r="D738" s="17"/>
      <c r="E738" s="17"/>
      <c r="F738" s="17"/>
      <c r="G738" s="17"/>
      <c r="H738" s="64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</row>
    <row r="739">
      <c r="A739" s="17"/>
      <c r="B739" s="17"/>
      <c r="C739" s="17"/>
      <c r="D739" s="17"/>
      <c r="E739" s="17"/>
      <c r="F739" s="17"/>
      <c r="G739" s="17"/>
      <c r="H739" s="64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</row>
    <row r="740">
      <c r="A740" s="17"/>
      <c r="B740" s="17"/>
      <c r="C740" s="17"/>
      <c r="D740" s="17"/>
      <c r="E740" s="17"/>
      <c r="F740" s="17"/>
      <c r="G740" s="17"/>
      <c r="H740" s="64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</row>
    <row r="741">
      <c r="A741" s="17"/>
      <c r="B741" s="17"/>
      <c r="C741" s="17"/>
      <c r="D741" s="17"/>
      <c r="E741" s="17"/>
      <c r="F741" s="17"/>
      <c r="G741" s="17"/>
      <c r="H741" s="64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</row>
    <row r="742">
      <c r="A742" s="17"/>
      <c r="B742" s="17"/>
      <c r="C742" s="17"/>
      <c r="D742" s="17"/>
      <c r="E742" s="17"/>
      <c r="F742" s="17"/>
      <c r="G742" s="17"/>
      <c r="H742" s="64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</row>
    <row r="743">
      <c r="A743" s="17"/>
      <c r="B743" s="17"/>
      <c r="C743" s="17"/>
      <c r="D743" s="17"/>
      <c r="E743" s="17"/>
      <c r="F743" s="17"/>
      <c r="G743" s="17"/>
      <c r="H743" s="64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</row>
    <row r="744">
      <c r="A744" s="17"/>
      <c r="B744" s="17"/>
      <c r="C744" s="17"/>
      <c r="D744" s="17"/>
      <c r="E744" s="17"/>
      <c r="F744" s="17"/>
      <c r="G744" s="17"/>
      <c r="H744" s="64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</row>
    <row r="745">
      <c r="A745" s="17"/>
      <c r="B745" s="17"/>
      <c r="C745" s="17"/>
      <c r="D745" s="17"/>
      <c r="E745" s="17"/>
      <c r="F745" s="17"/>
      <c r="G745" s="17"/>
      <c r="H745" s="64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</row>
    <row r="746">
      <c r="A746" s="17"/>
      <c r="B746" s="17"/>
      <c r="C746" s="17"/>
      <c r="D746" s="17"/>
      <c r="E746" s="17"/>
      <c r="F746" s="17"/>
      <c r="G746" s="17"/>
      <c r="H746" s="64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</row>
    <row r="747">
      <c r="A747" s="17"/>
      <c r="B747" s="17"/>
      <c r="C747" s="17"/>
      <c r="D747" s="17"/>
      <c r="E747" s="17"/>
      <c r="F747" s="17"/>
      <c r="G747" s="17"/>
      <c r="H747" s="64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</row>
    <row r="748">
      <c r="A748" s="17"/>
      <c r="B748" s="17"/>
      <c r="C748" s="17"/>
      <c r="D748" s="17"/>
      <c r="E748" s="17"/>
      <c r="F748" s="17"/>
      <c r="G748" s="17"/>
      <c r="H748" s="64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</row>
    <row r="749">
      <c r="A749" s="17"/>
      <c r="B749" s="17"/>
      <c r="C749" s="17"/>
      <c r="D749" s="17"/>
      <c r="E749" s="17"/>
      <c r="F749" s="17"/>
      <c r="G749" s="17"/>
      <c r="H749" s="64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</row>
    <row r="750">
      <c r="A750" s="17"/>
      <c r="B750" s="17"/>
      <c r="C750" s="17"/>
      <c r="D750" s="17"/>
      <c r="E750" s="17"/>
      <c r="F750" s="17"/>
      <c r="G750" s="17"/>
      <c r="H750" s="64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</row>
    <row r="751">
      <c r="A751" s="17"/>
      <c r="B751" s="17"/>
      <c r="C751" s="17"/>
      <c r="D751" s="17"/>
      <c r="E751" s="17"/>
      <c r="F751" s="17"/>
      <c r="G751" s="17"/>
      <c r="H751" s="64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</row>
    <row r="752">
      <c r="A752" s="17"/>
      <c r="B752" s="17"/>
      <c r="C752" s="17"/>
      <c r="D752" s="17"/>
      <c r="E752" s="17"/>
      <c r="F752" s="17"/>
      <c r="G752" s="17"/>
      <c r="H752" s="64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</row>
    <row r="753">
      <c r="A753" s="17"/>
      <c r="B753" s="17"/>
      <c r="C753" s="17"/>
      <c r="D753" s="17"/>
      <c r="E753" s="17"/>
      <c r="F753" s="17"/>
      <c r="G753" s="17"/>
      <c r="H753" s="64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</row>
    <row r="754">
      <c r="A754" s="17"/>
      <c r="B754" s="17"/>
      <c r="C754" s="17"/>
      <c r="D754" s="17"/>
      <c r="E754" s="17"/>
      <c r="F754" s="17"/>
      <c r="G754" s="17"/>
      <c r="H754" s="64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</row>
    <row r="755">
      <c r="A755" s="17"/>
      <c r="B755" s="17"/>
      <c r="C755" s="17"/>
      <c r="D755" s="17"/>
      <c r="E755" s="17"/>
      <c r="F755" s="17"/>
      <c r="G755" s="17"/>
      <c r="H755" s="64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</row>
    <row r="756">
      <c r="A756" s="17"/>
      <c r="B756" s="17"/>
      <c r="C756" s="17"/>
      <c r="D756" s="17"/>
      <c r="E756" s="17"/>
      <c r="F756" s="17"/>
      <c r="G756" s="17"/>
      <c r="H756" s="64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</row>
    <row r="757">
      <c r="A757" s="17"/>
      <c r="B757" s="17"/>
      <c r="C757" s="17"/>
      <c r="D757" s="17"/>
      <c r="E757" s="17"/>
      <c r="F757" s="17"/>
      <c r="G757" s="17"/>
      <c r="H757" s="64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</row>
    <row r="758">
      <c r="A758" s="17"/>
      <c r="B758" s="17"/>
      <c r="C758" s="17"/>
      <c r="D758" s="17"/>
      <c r="E758" s="17"/>
      <c r="F758" s="17"/>
      <c r="G758" s="17"/>
      <c r="H758" s="64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</row>
    <row r="759">
      <c r="A759" s="17"/>
      <c r="B759" s="17"/>
      <c r="C759" s="17"/>
      <c r="D759" s="17"/>
      <c r="E759" s="17"/>
      <c r="F759" s="17"/>
      <c r="G759" s="17"/>
      <c r="H759" s="64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</row>
    <row r="760">
      <c r="A760" s="17"/>
      <c r="B760" s="17"/>
      <c r="C760" s="17"/>
      <c r="D760" s="17"/>
      <c r="E760" s="17"/>
      <c r="F760" s="17"/>
      <c r="G760" s="17"/>
      <c r="H760" s="64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</row>
    <row r="761">
      <c r="A761" s="17"/>
      <c r="B761" s="17"/>
      <c r="C761" s="17"/>
      <c r="D761" s="17"/>
      <c r="E761" s="17"/>
      <c r="F761" s="17"/>
      <c r="G761" s="17"/>
      <c r="H761" s="64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</row>
    <row r="762">
      <c r="A762" s="17"/>
      <c r="B762" s="17"/>
      <c r="C762" s="17"/>
      <c r="D762" s="17"/>
      <c r="E762" s="17"/>
      <c r="F762" s="17"/>
      <c r="G762" s="17"/>
      <c r="H762" s="64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</row>
    <row r="763">
      <c r="A763" s="17"/>
      <c r="B763" s="17"/>
      <c r="C763" s="17"/>
      <c r="D763" s="17"/>
      <c r="E763" s="17"/>
      <c r="F763" s="17"/>
      <c r="G763" s="17"/>
      <c r="H763" s="64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</row>
    <row r="764">
      <c r="A764" s="17"/>
      <c r="B764" s="17"/>
      <c r="C764" s="17"/>
      <c r="D764" s="17"/>
      <c r="E764" s="17"/>
      <c r="F764" s="17"/>
      <c r="G764" s="17"/>
      <c r="H764" s="64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</row>
    <row r="765">
      <c r="A765" s="17"/>
      <c r="B765" s="17"/>
      <c r="C765" s="17"/>
      <c r="D765" s="17"/>
      <c r="E765" s="17"/>
      <c r="F765" s="17"/>
      <c r="G765" s="17"/>
      <c r="H765" s="64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</row>
    <row r="766">
      <c r="A766" s="17"/>
      <c r="B766" s="17"/>
      <c r="C766" s="17"/>
      <c r="D766" s="17"/>
      <c r="E766" s="17"/>
      <c r="F766" s="17"/>
      <c r="G766" s="17"/>
      <c r="H766" s="64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</row>
    <row r="767">
      <c r="A767" s="17"/>
      <c r="B767" s="17"/>
      <c r="C767" s="17"/>
      <c r="D767" s="17"/>
      <c r="E767" s="17"/>
      <c r="F767" s="17"/>
      <c r="G767" s="17"/>
      <c r="H767" s="64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</row>
    <row r="768">
      <c r="A768" s="17"/>
      <c r="B768" s="17"/>
      <c r="C768" s="17"/>
      <c r="D768" s="17"/>
      <c r="E768" s="17"/>
      <c r="F768" s="17"/>
      <c r="G768" s="17"/>
      <c r="H768" s="64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</row>
    <row r="769">
      <c r="A769" s="17"/>
      <c r="B769" s="17"/>
      <c r="C769" s="17"/>
      <c r="D769" s="17"/>
      <c r="E769" s="17"/>
      <c r="F769" s="17"/>
      <c r="G769" s="17"/>
      <c r="H769" s="64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</row>
    <row r="770">
      <c r="A770" s="17"/>
      <c r="B770" s="17"/>
      <c r="C770" s="17"/>
      <c r="D770" s="17"/>
      <c r="E770" s="17"/>
      <c r="F770" s="17"/>
      <c r="G770" s="17"/>
      <c r="H770" s="64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</row>
    <row r="771">
      <c r="A771" s="17"/>
      <c r="B771" s="17"/>
      <c r="C771" s="17"/>
      <c r="D771" s="17"/>
      <c r="E771" s="17"/>
      <c r="F771" s="17"/>
      <c r="G771" s="17"/>
      <c r="H771" s="64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</row>
    <row r="772">
      <c r="A772" s="17"/>
      <c r="B772" s="17"/>
      <c r="C772" s="17"/>
      <c r="D772" s="17"/>
      <c r="E772" s="17"/>
      <c r="F772" s="17"/>
      <c r="G772" s="17"/>
      <c r="H772" s="64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</row>
    <row r="773">
      <c r="A773" s="17"/>
      <c r="B773" s="17"/>
      <c r="C773" s="17"/>
      <c r="D773" s="17"/>
      <c r="E773" s="17"/>
      <c r="F773" s="17"/>
      <c r="G773" s="17"/>
      <c r="H773" s="64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</row>
    <row r="774">
      <c r="A774" s="17"/>
      <c r="B774" s="17"/>
      <c r="C774" s="17"/>
      <c r="D774" s="17"/>
      <c r="E774" s="17"/>
      <c r="F774" s="17"/>
      <c r="G774" s="17"/>
      <c r="H774" s="64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</row>
    <row r="775">
      <c r="A775" s="17"/>
      <c r="B775" s="17"/>
      <c r="C775" s="17"/>
      <c r="D775" s="17"/>
      <c r="E775" s="17"/>
      <c r="F775" s="17"/>
      <c r="G775" s="17"/>
      <c r="H775" s="64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</row>
    <row r="776">
      <c r="A776" s="17"/>
      <c r="B776" s="17"/>
      <c r="C776" s="17"/>
      <c r="D776" s="17"/>
      <c r="E776" s="17"/>
      <c r="F776" s="17"/>
      <c r="G776" s="17"/>
      <c r="H776" s="64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</row>
    <row r="777">
      <c r="A777" s="17"/>
      <c r="B777" s="17"/>
      <c r="C777" s="17"/>
      <c r="D777" s="17"/>
      <c r="E777" s="17"/>
      <c r="F777" s="17"/>
      <c r="G777" s="17"/>
      <c r="H777" s="64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</row>
    <row r="778">
      <c r="A778" s="17"/>
      <c r="B778" s="17"/>
      <c r="C778" s="17"/>
      <c r="D778" s="17"/>
      <c r="E778" s="17"/>
      <c r="F778" s="17"/>
      <c r="G778" s="17"/>
      <c r="H778" s="64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</row>
    <row r="779">
      <c r="A779" s="17"/>
      <c r="B779" s="17"/>
      <c r="C779" s="17"/>
      <c r="D779" s="17"/>
      <c r="E779" s="17"/>
      <c r="F779" s="17"/>
      <c r="G779" s="17"/>
      <c r="H779" s="64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</row>
    <row r="780">
      <c r="A780" s="17"/>
      <c r="B780" s="17"/>
      <c r="C780" s="17"/>
      <c r="D780" s="17"/>
      <c r="E780" s="17"/>
      <c r="F780" s="17"/>
      <c r="G780" s="17"/>
      <c r="H780" s="64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</row>
    <row r="781">
      <c r="A781" s="17"/>
      <c r="B781" s="17"/>
      <c r="C781" s="17"/>
      <c r="D781" s="17"/>
      <c r="E781" s="17"/>
      <c r="F781" s="17"/>
      <c r="G781" s="17"/>
      <c r="H781" s="64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</row>
    <row r="782">
      <c r="A782" s="17"/>
      <c r="B782" s="17"/>
      <c r="C782" s="17"/>
      <c r="D782" s="17"/>
      <c r="E782" s="17"/>
      <c r="F782" s="17"/>
      <c r="G782" s="17"/>
      <c r="H782" s="64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</row>
    <row r="783">
      <c r="A783" s="17"/>
      <c r="B783" s="17"/>
      <c r="C783" s="17"/>
      <c r="D783" s="17"/>
      <c r="E783" s="17"/>
      <c r="F783" s="17"/>
      <c r="G783" s="17"/>
      <c r="H783" s="64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</row>
    <row r="784">
      <c r="A784" s="17"/>
      <c r="B784" s="17"/>
      <c r="C784" s="17"/>
      <c r="D784" s="17"/>
      <c r="E784" s="17"/>
      <c r="F784" s="17"/>
      <c r="G784" s="17"/>
      <c r="H784" s="64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</row>
    <row r="785">
      <c r="A785" s="17"/>
      <c r="B785" s="17"/>
      <c r="C785" s="17"/>
      <c r="D785" s="17"/>
      <c r="E785" s="17"/>
      <c r="F785" s="17"/>
      <c r="G785" s="17"/>
      <c r="H785" s="64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</row>
    <row r="786">
      <c r="A786" s="17"/>
      <c r="B786" s="17"/>
      <c r="C786" s="17"/>
      <c r="D786" s="17"/>
      <c r="E786" s="17"/>
      <c r="F786" s="17"/>
      <c r="G786" s="17"/>
      <c r="H786" s="64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</row>
    <row r="787">
      <c r="A787" s="17"/>
      <c r="B787" s="17"/>
      <c r="C787" s="17"/>
      <c r="D787" s="17"/>
      <c r="E787" s="17"/>
      <c r="F787" s="17"/>
      <c r="G787" s="17"/>
      <c r="H787" s="64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</row>
    <row r="788">
      <c r="A788" s="17"/>
      <c r="B788" s="17"/>
      <c r="C788" s="17"/>
      <c r="D788" s="17"/>
      <c r="E788" s="17"/>
      <c r="F788" s="17"/>
      <c r="G788" s="17"/>
      <c r="H788" s="64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</row>
    <row r="789">
      <c r="A789" s="17"/>
      <c r="B789" s="17"/>
      <c r="C789" s="17"/>
      <c r="D789" s="17"/>
      <c r="E789" s="17"/>
      <c r="F789" s="17"/>
      <c r="G789" s="17"/>
      <c r="H789" s="64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</row>
    <row r="790">
      <c r="A790" s="17"/>
      <c r="B790" s="17"/>
      <c r="C790" s="17"/>
      <c r="D790" s="17"/>
      <c r="E790" s="17"/>
      <c r="F790" s="17"/>
      <c r="G790" s="17"/>
      <c r="H790" s="64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</row>
    <row r="791">
      <c r="A791" s="17"/>
      <c r="B791" s="17"/>
      <c r="C791" s="17"/>
      <c r="D791" s="17"/>
      <c r="E791" s="17"/>
      <c r="F791" s="17"/>
      <c r="G791" s="17"/>
      <c r="H791" s="64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</row>
    <row r="792">
      <c r="A792" s="17"/>
      <c r="B792" s="17"/>
      <c r="C792" s="17"/>
      <c r="D792" s="17"/>
      <c r="E792" s="17"/>
      <c r="F792" s="17"/>
      <c r="G792" s="17"/>
      <c r="H792" s="64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</row>
    <row r="793">
      <c r="A793" s="17"/>
      <c r="B793" s="17"/>
      <c r="C793" s="17"/>
      <c r="D793" s="17"/>
      <c r="E793" s="17"/>
      <c r="F793" s="17"/>
      <c r="G793" s="17"/>
      <c r="H793" s="64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</row>
    <row r="794">
      <c r="A794" s="17"/>
      <c r="B794" s="17"/>
      <c r="C794" s="17"/>
      <c r="D794" s="17"/>
      <c r="E794" s="17"/>
      <c r="F794" s="17"/>
      <c r="G794" s="17"/>
      <c r="H794" s="64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</row>
    <row r="795">
      <c r="A795" s="17"/>
      <c r="B795" s="17"/>
      <c r="C795" s="17"/>
      <c r="D795" s="17"/>
      <c r="E795" s="17"/>
      <c r="F795" s="17"/>
      <c r="G795" s="17"/>
      <c r="H795" s="64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</row>
    <row r="796">
      <c r="A796" s="17"/>
      <c r="B796" s="17"/>
      <c r="C796" s="17"/>
      <c r="D796" s="17"/>
      <c r="E796" s="17"/>
      <c r="F796" s="17"/>
      <c r="G796" s="17"/>
      <c r="H796" s="64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</row>
    <row r="797">
      <c r="A797" s="17"/>
      <c r="B797" s="17"/>
      <c r="C797" s="17"/>
      <c r="D797" s="17"/>
      <c r="E797" s="17"/>
      <c r="F797" s="17"/>
      <c r="G797" s="17"/>
      <c r="H797" s="64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</row>
    <row r="798">
      <c r="A798" s="17"/>
      <c r="B798" s="17"/>
      <c r="C798" s="17"/>
      <c r="D798" s="17"/>
      <c r="E798" s="17"/>
      <c r="F798" s="17"/>
      <c r="G798" s="17"/>
      <c r="H798" s="64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</row>
    <row r="799">
      <c r="A799" s="17"/>
      <c r="B799" s="17"/>
      <c r="C799" s="17"/>
      <c r="D799" s="17"/>
      <c r="E799" s="17"/>
      <c r="F799" s="17"/>
      <c r="G799" s="17"/>
      <c r="H799" s="64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</row>
    <row r="800">
      <c r="A800" s="17"/>
      <c r="B800" s="17"/>
      <c r="C800" s="17"/>
      <c r="D800" s="17"/>
      <c r="E800" s="17"/>
      <c r="F800" s="17"/>
      <c r="G800" s="17"/>
      <c r="H800" s="64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</row>
    <row r="801">
      <c r="A801" s="17"/>
      <c r="B801" s="17"/>
      <c r="C801" s="17"/>
      <c r="D801" s="17"/>
      <c r="E801" s="17"/>
      <c r="F801" s="17"/>
      <c r="G801" s="17"/>
      <c r="H801" s="64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</row>
    <row r="802">
      <c r="A802" s="17"/>
      <c r="B802" s="17"/>
      <c r="C802" s="17"/>
      <c r="D802" s="17"/>
      <c r="E802" s="17"/>
      <c r="F802" s="17"/>
      <c r="G802" s="17"/>
      <c r="H802" s="64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</row>
    <row r="803">
      <c r="A803" s="17"/>
      <c r="B803" s="17"/>
      <c r="C803" s="17"/>
      <c r="D803" s="17"/>
      <c r="E803" s="17"/>
      <c r="F803" s="17"/>
      <c r="G803" s="17"/>
      <c r="H803" s="64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</row>
    <row r="804">
      <c r="A804" s="17"/>
      <c r="B804" s="17"/>
      <c r="C804" s="17"/>
      <c r="D804" s="17"/>
      <c r="E804" s="17"/>
      <c r="F804" s="17"/>
      <c r="G804" s="17"/>
      <c r="H804" s="64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</row>
    <row r="805">
      <c r="A805" s="17"/>
      <c r="B805" s="17"/>
      <c r="C805" s="17"/>
      <c r="D805" s="17"/>
      <c r="E805" s="17"/>
      <c r="F805" s="17"/>
      <c r="G805" s="17"/>
      <c r="H805" s="64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</row>
    <row r="806">
      <c r="A806" s="17"/>
      <c r="B806" s="17"/>
      <c r="C806" s="17"/>
      <c r="D806" s="17"/>
      <c r="E806" s="17"/>
      <c r="F806" s="17"/>
      <c r="G806" s="17"/>
      <c r="H806" s="64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</row>
    <row r="807">
      <c r="A807" s="17"/>
      <c r="B807" s="17"/>
      <c r="C807" s="17"/>
      <c r="D807" s="17"/>
      <c r="E807" s="17"/>
      <c r="F807" s="17"/>
      <c r="G807" s="17"/>
      <c r="H807" s="64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</row>
    <row r="808">
      <c r="A808" s="17"/>
      <c r="B808" s="17"/>
      <c r="C808" s="17"/>
      <c r="D808" s="17"/>
      <c r="E808" s="17"/>
      <c r="F808" s="17"/>
      <c r="G808" s="17"/>
      <c r="H808" s="64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</row>
    <row r="809">
      <c r="A809" s="17"/>
      <c r="B809" s="17"/>
      <c r="C809" s="17"/>
      <c r="D809" s="17"/>
      <c r="E809" s="17"/>
      <c r="F809" s="17"/>
      <c r="G809" s="17"/>
      <c r="H809" s="64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</row>
    <row r="810">
      <c r="A810" s="17"/>
      <c r="B810" s="17"/>
      <c r="C810" s="17"/>
      <c r="D810" s="17"/>
      <c r="E810" s="17"/>
      <c r="F810" s="17"/>
      <c r="G810" s="17"/>
      <c r="H810" s="64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</row>
    <row r="811">
      <c r="A811" s="17"/>
      <c r="B811" s="17"/>
      <c r="C811" s="17"/>
      <c r="D811" s="17"/>
      <c r="E811" s="17"/>
      <c r="F811" s="17"/>
      <c r="G811" s="17"/>
      <c r="H811" s="64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</row>
    <row r="812">
      <c r="A812" s="17"/>
      <c r="B812" s="17"/>
      <c r="C812" s="17"/>
      <c r="D812" s="17"/>
      <c r="E812" s="17"/>
      <c r="F812" s="17"/>
      <c r="G812" s="17"/>
      <c r="H812" s="64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</row>
    <row r="813">
      <c r="A813" s="17"/>
      <c r="B813" s="17"/>
      <c r="C813" s="17"/>
      <c r="D813" s="17"/>
      <c r="E813" s="17"/>
      <c r="F813" s="17"/>
      <c r="G813" s="17"/>
      <c r="H813" s="64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</row>
    <row r="814">
      <c r="A814" s="17"/>
      <c r="B814" s="17"/>
      <c r="C814" s="17"/>
      <c r="D814" s="17"/>
      <c r="E814" s="17"/>
      <c r="F814" s="17"/>
      <c r="G814" s="17"/>
      <c r="H814" s="64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</row>
    <row r="815">
      <c r="A815" s="17"/>
      <c r="B815" s="17"/>
      <c r="C815" s="17"/>
      <c r="D815" s="17"/>
      <c r="E815" s="17"/>
      <c r="F815" s="17"/>
      <c r="G815" s="17"/>
      <c r="H815" s="64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</row>
    <row r="816">
      <c r="A816" s="17"/>
      <c r="B816" s="17"/>
      <c r="C816" s="17"/>
      <c r="D816" s="17"/>
      <c r="E816" s="17"/>
      <c r="F816" s="17"/>
      <c r="G816" s="17"/>
      <c r="H816" s="64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</row>
    <row r="817">
      <c r="A817" s="17"/>
      <c r="B817" s="17"/>
      <c r="C817" s="17"/>
      <c r="D817" s="17"/>
      <c r="E817" s="17"/>
      <c r="F817" s="17"/>
      <c r="G817" s="17"/>
      <c r="H817" s="64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</row>
    <row r="818">
      <c r="A818" s="17"/>
      <c r="B818" s="17"/>
      <c r="C818" s="17"/>
      <c r="D818" s="17"/>
      <c r="E818" s="17"/>
      <c r="F818" s="17"/>
      <c r="G818" s="17"/>
      <c r="H818" s="64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</row>
    <row r="819">
      <c r="A819" s="17"/>
      <c r="B819" s="17"/>
      <c r="C819" s="17"/>
      <c r="D819" s="17"/>
      <c r="E819" s="17"/>
      <c r="F819" s="17"/>
      <c r="G819" s="17"/>
      <c r="H819" s="64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</row>
    <row r="820">
      <c r="A820" s="17"/>
      <c r="B820" s="17"/>
      <c r="C820" s="17"/>
      <c r="D820" s="17"/>
      <c r="E820" s="17"/>
      <c r="F820" s="17"/>
      <c r="G820" s="17"/>
      <c r="H820" s="64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</row>
    <row r="821">
      <c r="A821" s="17"/>
      <c r="B821" s="17"/>
      <c r="C821" s="17"/>
      <c r="D821" s="17"/>
      <c r="E821" s="17"/>
      <c r="F821" s="17"/>
      <c r="G821" s="17"/>
      <c r="H821" s="64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</row>
    <row r="822">
      <c r="A822" s="17"/>
      <c r="B822" s="17"/>
      <c r="C822" s="17"/>
      <c r="D822" s="17"/>
      <c r="E822" s="17"/>
      <c r="F822" s="17"/>
      <c r="G822" s="17"/>
      <c r="H822" s="64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</row>
    <row r="823">
      <c r="A823" s="17"/>
      <c r="B823" s="17"/>
      <c r="C823" s="17"/>
      <c r="D823" s="17"/>
      <c r="E823" s="17"/>
      <c r="F823" s="17"/>
      <c r="G823" s="17"/>
      <c r="H823" s="64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</row>
    <row r="824">
      <c r="A824" s="17"/>
      <c r="B824" s="17"/>
      <c r="C824" s="17"/>
      <c r="D824" s="17"/>
      <c r="E824" s="17"/>
      <c r="F824" s="17"/>
      <c r="G824" s="17"/>
      <c r="H824" s="64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</row>
    <row r="825">
      <c r="A825" s="17"/>
      <c r="B825" s="17"/>
      <c r="C825" s="17"/>
      <c r="D825" s="17"/>
      <c r="E825" s="17"/>
      <c r="F825" s="17"/>
      <c r="G825" s="17"/>
      <c r="H825" s="64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</row>
    <row r="826">
      <c r="A826" s="17"/>
      <c r="B826" s="17"/>
      <c r="C826" s="17"/>
      <c r="D826" s="17"/>
      <c r="E826" s="17"/>
      <c r="F826" s="17"/>
      <c r="G826" s="17"/>
      <c r="H826" s="64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</row>
    <row r="827">
      <c r="A827" s="17"/>
      <c r="B827" s="17"/>
      <c r="C827" s="17"/>
      <c r="D827" s="17"/>
      <c r="E827" s="17"/>
      <c r="F827" s="17"/>
      <c r="G827" s="17"/>
      <c r="H827" s="64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</row>
    <row r="828">
      <c r="A828" s="17"/>
      <c r="B828" s="17"/>
      <c r="C828" s="17"/>
      <c r="D828" s="17"/>
      <c r="E828" s="17"/>
      <c r="F828" s="17"/>
      <c r="G828" s="17"/>
      <c r="H828" s="64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</row>
    <row r="829">
      <c r="A829" s="17"/>
      <c r="B829" s="17"/>
      <c r="C829" s="17"/>
      <c r="D829" s="17"/>
      <c r="E829" s="17"/>
      <c r="F829" s="17"/>
      <c r="G829" s="17"/>
      <c r="H829" s="64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</row>
    <row r="830">
      <c r="A830" s="17"/>
      <c r="B830" s="17"/>
      <c r="C830" s="17"/>
      <c r="D830" s="17"/>
      <c r="E830" s="17"/>
      <c r="F830" s="17"/>
      <c r="G830" s="17"/>
      <c r="H830" s="64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</row>
    <row r="831">
      <c r="A831" s="17"/>
      <c r="B831" s="17"/>
      <c r="C831" s="17"/>
      <c r="D831" s="17"/>
      <c r="E831" s="17"/>
      <c r="F831" s="17"/>
      <c r="G831" s="17"/>
      <c r="H831" s="64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</row>
    <row r="832">
      <c r="A832" s="17"/>
      <c r="B832" s="17"/>
      <c r="C832" s="17"/>
      <c r="D832" s="17"/>
      <c r="E832" s="17"/>
      <c r="F832" s="17"/>
      <c r="G832" s="17"/>
      <c r="H832" s="64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</row>
    <row r="833">
      <c r="A833" s="17"/>
      <c r="B833" s="17"/>
      <c r="C833" s="17"/>
      <c r="D833" s="17"/>
      <c r="E833" s="17"/>
      <c r="F833" s="17"/>
      <c r="G833" s="17"/>
      <c r="H833" s="64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</row>
    <row r="834">
      <c r="A834" s="17"/>
      <c r="B834" s="17"/>
      <c r="C834" s="17"/>
      <c r="D834" s="17"/>
      <c r="E834" s="17"/>
      <c r="F834" s="17"/>
      <c r="G834" s="17"/>
      <c r="H834" s="64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</row>
    <row r="835">
      <c r="A835" s="17"/>
      <c r="B835" s="17"/>
      <c r="C835" s="17"/>
      <c r="D835" s="17"/>
      <c r="E835" s="17"/>
      <c r="F835" s="17"/>
      <c r="G835" s="17"/>
      <c r="H835" s="64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</row>
    <row r="836">
      <c r="A836" s="17"/>
      <c r="B836" s="17"/>
      <c r="C836" s="17"/>
      <c r="D836" s="17"/>
      <c r="E836" s="17"/>
      <c r="F836" s="17"/>
      <c r="G836" s="17"/>
      <c r="H836" s="64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</row>
    <row r="837">
      <c r="A837" s="17"/>
      <c r="B837" s="17"/>
      <c r="C837" s="17"/>
      <c r="D837" s="17"/>
      <c r="E837" s="17"/>
      <c r="F837" s="17"/>
      <c r="G837" s="17"/>
      <c r="H837" s="64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</row>
    <row r="838">
      <c r="A838" s="17"/>
      <c r="B838" s="17"/>
      <c r="C838" s="17"/>
      <c r="D838" s="17"/>
      <c r="E838" s="17"/>
      <c r="F838" s="17"/>
      <c r="G838" s="17"/>
      <c r="H838" s="64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</row>
    <row r="839">
      <c r="A839" s="17"/>
      <c r="B839" s="17"/>
      <c r="C839" s="17"/>
      <c r="D839" s="17"/>
      <c r="E839" s="17"/>
      <c r="F839" s="17"/>
      <c r="G839" s="17"/>
      <c r="H839" s="64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</row>
    <row r="840">
      <c r="A840" s="17"/>
      <c r="B840" s="17"/>
      <c r="C840" s="17"/>
      <c r="D840" s="17"/>
      <c r="E840" s="17"/>
      <c r="F840" s="17"/>
      <c r="G840" s="17"/>
      <c r="H840" s="64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</row>
    <row r="841">
      <c r="A841" s="17"/>
      <c r="B841" s="17"/>
      <c r="C841" s="17"/>
      <c r="D841" s="17"/>
      <c r="E841" s="17"/>
      <c r="F841" s="17"/>
      <c r="G841" s="17"/>
      <c r="H841" s="64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</row>
    <row r="842">
      <c r="A842" s="17"/>
      <c r="B842" s="17"/>
      <c r="C842" s="17"/>
      <c r="D842" s="17"/>
      <c r="E842" s="17"/>
      <c r="F842" s="17"/>
      <c r="G842" s="17"/>
      <c r="H842" s="64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</row>
    <row r="843">
      <c r="A843" s="17"/>
      <c r="B843" s="17"/>
      <c r="C843" s="17"/>
      <c r="D843" s="17"/>
      <c r="E843" s="17"/>
      <c r="F843" s="17"/>
      <c r="G843" s="17"/>
      <c r="H843" s="64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</row>
    <row r="844">
      <c r="A844" s="17"/>
      <c r="B844" s="17"/>
      <c r="C844" s="17"/>
      <c r="D844" s="17"/>
      <c r="E844" s="17"/>
      <c r="F844" s="17"/>
      <c r="G844" s="17"/>
      <c r="H844" s="64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</row>
    <row r="845">
      <c r="A845" s="17"/>
      <c r="B845" s="17"/>
      <c r="C845" s="17"/>
      <c r="D845" s="17"/>
      <c r="E845" s="17"/>
      <c r="F845" s="17"/>
      <c r="G845" s="17"/>
      <c r="H845" s="64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</row>
    <row r="846">
      <c r="A846" s="17"/>
      <c r="B846" s="17"/>
      <c r="C846" s="17"/>
      <c r="D846" s="17"/>
      <c r="E846" s="17"/>
      <c r="F846" s="17"/>
      <c r="G846" s="17"/>
      <c r="H846" s="64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</row>
    <row r="847">
      <c r="A847" s="17"/>
      <c r="B847" s="17"/>
      <c r="C847" s="17"/>
      <c r="D847" s="17"/>
      <c r="E847" s="17"/>
      <c r="F847" s="17"/>
      <c r="G847" s="17"/>
      <c r="H847" s="64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</row>
    <row r="848">
      <c r="A848" s="17"/>
      <c r="B848" s="17"/>
      <c r="C848" s="17"/>
      <c r="D848" s="17"/>
      <c r="E848" s="17"/>
      <c r="F848" s="17"/>
      <c r="G848" s="17"/>
      <c r="H848" s="64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</row>
    <row r="849">
      <c r="A849" s="17"/>
      <c r="B849" s="17"/>
      <c r="C849" s="17"/>
      <c r="D849" s="17"/>
      <c r="E849" s="17"/>
      <c r="F849" s="17"/>
      <c r="G849" s="17"/>
      <c r="H849" s="64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</row>
    <row r="850">
      <c r="A850" s="17"/>
      <c r="B850" s="17"/>
      <c r="C850" s="17"/>
      <c r="D850" s="17"/>
      <c r="E850" s="17"/>
      <c r="F850" s="17"/>
      <c r="G850" s="17"/>
      <c r="H850" s="64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</row>
    <row r="851">
      <c r="A851" s="17"/>
      <c r="B851" s="17"/>
      <c r="C851" s="17"/>
      <c r="D851" s="17"/>
      <c r="E851" s="17"/>
      <c r="F851" s="17"/>
      <c r="G851" s="17"/>
      <c r="H851" s="64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</row>
    <row r="852">
      <c r="A852" s="17"/>
      <c r="B852" s="17"/>
      <c r="C852" s="17"/>
      <c r="D852" s="17"/>
      <c r="E852" s="17"/>
      <c r="F852" s="17"/>
      <c r="G852" s="17"/>
      <c r="H852" s="64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</row>
    <row r="853">
      <c r="A853" s="17"/>
      <c r="B853" s="17"/>
      <c r="C853" s="17"/>
      <c r="D853" s="17"/>
      <c r="E853" s="17"/>
      <c r="F853" s="17"/>
      <c r="G853" s="17"/>
      <c r="H853" s="64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</row>
    <row r="854">
      <c r="A854" s="17"/>
      <c r="B854" s="17"/>
      <c r="C854" s="17"/>
      <c r="D854" s="17"/>
      <c r="E854" s="17"/>
      <c r="F854" s="17"/>
      <c r="G854" s="17"/>
      <c r="H854" s="64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</row>
    <row r="855">
      <c r="A855" s="17"/>
      <c r="B855" s="17"/>
      <c r="C855" s="17"/>
      <c r="D855" s="17"/>
      <c r="E855" s="17"/>
      <c r="F855" s="17"/>
      <c r="G855" s="17"/>
      <c r="H855" s="64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</row>
    <row r="856">
      <c r="A856" s="17"/>
      <c r="B856" s="17"/>
      <c r="C856" s="17"/>
      <c r="D856" s="17"/>
      <c r="E856" s="17"/>
      <c r="F856" s="17"/>
      <c r="G856" s="17"/>
      <c r="H856" s="64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</row>
    <row r="857">
      <c r="A857" s="17"/>
      <c r="B857" s="17"/>
      <c r="C857" s="17"/>
      <c r="D857" s="17"/>
      <c r="E857" s="17"/>
      <c r="F857" s="17"/>
      <c r="G857" s="17"/>
      <c r="H857" s="64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</row>
    <row r="858">
      <c r="A858" s="17"/>
      <c r="B858" s="17"/>
      <c r="C858" s="17"/>
      <c r="D858" s="17"/>
      <c r="E858" s="17"/>
      <c r="F858" s="17"/>
      <c r="G858" s="17"/>
      <c r="H858" s="64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</row>
    <row r="859">
      <c r="A859" s="17"/>
      <c r="B859" s="17"/>
      <c r="C859" s="17"/>
      <c r="D859" s="17"/>
      <c r="E859" s="17"/>
      <c r="F859" s="17"/>
      <c r="G859" s="17"/>
      <c r="H859" s="64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</row>
    <row r="860">
      <c r="A860" s="17"/>
      <c r="B860" s="17"/>
      <c r="C860" s="17"/>
      <c r="D860" s="17"/>
      <c r="E860" s="17"/>
      <c r="F860" s="17"/>
      <c r="G860" s="17"/>
      <c r="H860" s="64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</row>
    <row r="861">
      <c r="A861" s="17"/>
      <c r="B861" s="17"/>
      <c r="C861" s="17"/>
      <c r="D861" s="17"/>
      <c r="E861" s="17"/>
      <c r="F861" s="17"/>
      <c r="G861" s="17"/>
      <c r="H861" s="64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</row>
    <row r="862">
      <c r="A862" s="17"/>
      <c r="B862" s="17"/>
      <c r="C862" s="17"/>
      <c r="D862" s="17"/>
      <c r="E862" s="17"/>
      <c r="F862" s="17"/>
      <c r="G862" s="17"/>
      <c r="H862" s="64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</row>
    <row r="863">
      <c r="A863" s="17"/>
      <c r="B863" s="17"/>
      <c r="C863" s="17"/>
      <c r="D863" s="17"/>
      <c r="E863" s="17"/>
      <c r="F863" s="17"/>
      <c r="G863" s="17"/>
      <c r="H863" s="64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</row>
    <row r="864">
      <c r="A864" s="17"/>
      <c r="B864" s="17"/>
      <c r="C864" s="17"/>
      <c r="D864" s="17"/>
      <c r="E864" s="17"/>
      <c r="F864" s="17"/>
      <c r="G864" s="17"/>
      <c r="H864" s="64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</row>
    <row r="865">
      <c r="A865" s="17"/>
      <c r="B865" s="17"/>
      <c r="C865" s="17"/>
      <c r="D865" s="17"/>
      <c r="E865" s="17"/>
      <c r="F865" s="17"/>
      <c r="G865" s="17"/>
      <c r="H865" s="64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</row>
    <row r="866">
      <c r="A866" s="17"/>
      <c r="B866" s="17"/>
      <c r="C866" s="17"/>
      <c r="D866" s="17"/>
      <c r="E866" s="17"/>
      <c r="F866" s="17"/>
      <c r="G866" s="17"/>
      <c r="H866" s="64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</row>
    <row r="867">
      <c r="A867" s="17"/>
      <c r="B867" s="17"/>
      <c r="C867" s="17"/>
      <c r="D867" s="17"/>
      <c r="E867" s="17"/>
      <c r="F867" s="17"/>
      <c r="G867" s="17"/>
      <c r="H867" s="64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</row>
    <row r="868">
      <c r="A868" s="17"/>
      <c r="B868" s="17"/>
      <c r="C868" s="17"/>
      <c r="D868" s="17"/>
      <c r="E868" s="17"/>
      <c r="F868" s="17"/>
      <c r="G868" s="17"/>
      <c r="H868" s="64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</row>
    <row r="869">
      <c r="A869" s="17"/>
      <c r="B869" s="17"/>
      <c r="C869" s="17"/>
      <c r="D869" s="17"/>
      <c r="E869" s="17"/>
      <c r="F869" s="17"/>
      <c r="G869" s="17"/>
      <c r="H869" s="64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</row>
    <row r="870">
      <c r="A870" s="17"/>
      <c r="B870" s="17"/>
      <c r="C870" s="17"/>
      <c r="D870" s="17"/>
      <c r="E870" s="17"/>
      <c r="F870" s="17"/>
      <c r="G870" s="17"/>
      <c r="H870" s="64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</row>
    <row r="871">
      <c r="A871" s="17"/>
      <c r="B871" s="17"/>
      <c r="C871" s="17"/>
      <c r="D871" s="17"/>
      <c r="E871" s="17"/>
      <c r="F871" s="17"/>
      <c r="G871" s="17"/>
      <c r="H871" s="64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</row>
    <row r="872">
      <c r="A872" s="17"/>
      <c r="B872" s="17"/>
      <c r="C872" s="17"/>
      <c r="D872" s="17"/>
      <c r="E872" s="17"/>
      <c r="F872" s="17"/>
      <c r="G872" s="17"/>
      <c r="H872" s="64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</row>
    <row r="873">
      <c r="A873" s="17"/>
      <c r="B873" s="17"/>
      <c r="C873" s="17"/>
      <c r="D873" s="17"/>
      <c r="E873" s="17"/>
      <c r="F873" s="17"/>
      <c r="G873" s="17"/>
      <c r="H873" s="64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</row>
    <row r="874">
      <c r="A874" s="17"/>
      <c r="B874" s="17"/>
      <c r="C874" s="17"/>
      <c r="D874" s="17"/>
      <c r="E874" s="17"/>
      <c r="F874" s="17"/>
      <c r="G874" s="17"/>
      <c r="H874" s="64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</row>
    <row r="875">
      <c r="A875" s="17"/>
      <c r="B875" s="17"/>
      <c r="C875" s="17"/>
      <c r="D875" s="17"/>
      <c r="E875" s="17"/>
      <c r="F875" s="17"/>
      <c r="G875" s="17"/>
      <c r="H875" s="64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</row>
    <row r="876">
      <c r="A876" s="17"/>
      <c r="B876" s="17"/>
      <c r="C876" s="17"/>
      <c r="D876" s="17"/>
      <c r="E876" s="17"/>
      <c r="F876" s="17"/>
      <c r="G876" s="17"/>
      <c r="H876" s="64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</row>
    <row r="877">
      <c r="A877" s="17"/>
      <c r="B877" s="17"/>
      <c r="C877" s="17"/>
      <c r="D877" s="17"/>
      <c r="E877" s="17"/>
      <c r="F877" s="17"/>
      <c r="G877" s="17"/>
      <c r="H877" s="64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</row>
    <row r="878">
      <c r="A878" s="17"/>
      <c r="B878" s="17"/>
      <c r="C878" s="17"/>
      <c r="D878" s="17"/>
      <c r="E878" s="17"/>
      <c r="F878" s="17"/>
      <c r="G878" s="17"/>
      <c r="H878" s="64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</row>
    <row r="879">
      <c r="A879" s="17"/>
      <c r="B879" s="17"/>
      <c r="C879" s="17"/>
      <c r="D879" s="17"/>
      <c r="E879" s="17"/>
      <c r="F879" s="17"/>
      <c r="G879" s="17"/>
      <c r="H879" s="64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</row>
    <row r="880">
      <c r="A880" s="17"/>
      <c r="B880" s="17"/>
      <c r="C880" s="17"/>
      <c r="D880" s="17"/>
      <c r="E880" s="17"/>
      <c r="F880" s="17"/>
      <c r="G880" s="17"/>
      <c r="H880" s="64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</row>
    <row r="881">
      <c r="A881" s="17"/>
      <c r="B881" s="17"/>
      <c r="C881" s="17"/>
      <c r="D881" s="17"/>
      <c r="E881" s="17"/>
      <c r="F881" s="17"/>
      <c r="G881" s="17"/>
      <c r="H881" s="64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</row>
    <row r="882">
      <c r="A882" s="17"/>
      <c r="B882" s="17"/>
      <c r="C882" s="17"/>
      <c r="D882" s="17"/>
      <c r="E882" s="17"/>
      <c r="F882" s="17"/>
      <c r="G882" s="17"/>
      <c r="H882" s="64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</row>
    <row r="883">
      <c r="A883" s="17"/>
      <c r="B883" s="17"/>
      <c r="C883" s="17"/>
      <c r="D883" s="17"/>
      <c r="E883" s="17"/>
      <c r="F883" s="17"/>
      <c r="G883" s="17"/>
      <c r="H883" s="64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</row>
    <row r="884">
      <c r="A884" s="17"/>
      <c r="B884" s="17"/>
      <c r="C884" s="17"/>
      <c r="D884" s="17"/>
      <c r="E884" s="17"/>
      <c r="F884" s="17"/>
      <c r="G884" s="17"/>
      <c r="H884" s="64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</row>
    <row r="885">
      <c r="A885" s="17"/>
      <c r="B885" s="17"/>
      <c r="C885" s="17"/>
      <c r="D885" s="17"/>
      <c r="E885" s="17"/>
      <c r="F885" s="17"/>
      <c r="G885" s="17"/>
      <c r="H885" s="64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</row>
    <row r="886">
      <c r="A886" s="17"/>
      <c r="B886" s="17"/>
      <c r="C886" s="17"/>
      <c r="D886" s="17"/>
      <c r="E886" s="17"/>
      <c r="F886" s="17"/>
      <c r="G886" s="17"/>
      <c r="H886" s="64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</row>
    <row r="887">
      <c r="A887" s="17"/>
      <c r="B887" s="17"/>
      <c r="C887" s="17"/>
      <c r="D887" s="17"/>
      <c r="E887" s="17"/>
      <c r="F887" s="17"/>
      <c r="G887" s="17"/>
      <c r="H887" s="64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</row>
    <row r="888">
      <c r="A888" s="17"/>
      <c r="B888" s="17"/>
      <c r="C888" s="17"/>
      <c r="D888" s="17"/>
      <c r="E888" s="17"/>
      <c r="F888" s="17"/>
      <c r="G888" s="17"/>
      <c r="H888" s="64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</row>
    <row r="889">
      <c r="A889" s="17"/>
      <c r="B889" s="17"/>
      <c r="C889" s="17"/>
      <c r="D889" s="17"/>
      <c r="E889" s="17"/>
      <c r="F889" s="17"/>
      <c r="G889" s="17"/>
      <c r="H889" s="64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</row>
    <row r="890">
      <c r="A890" s="17"/>
      <c r="B890" s="17"/>
      <c r="C890" s="17"/>
      <c r="D890" s="17"/>
      <c r="E890" s="17"/>
      <c r="F890" s="17"/>
      <c r="G890" s="17"/>
      <c r="H890" s="64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</row>
    <row r="891">
      <c r="A891" s="17"/>
      <c r="B891" s="17"/>
      <c r="C891" s="17"/>
      <c r="D891" s="17"/>
      <c r="E891" s="17"/>
      <c r="F891" s="17"/>
      <c r="G891" s="17"/>
      <c r="H891" s="64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</row>
    <row r="892">
      <c r="A892" s="17"/>
      <c r="B892" s="17"/>
      <c r="C892" s="17"/>
      <c r="D892" s="17"/>
      <c r="E892" s="17"/>
      <c r="F892" s="17"/>
      <c r="G892" s="17"/>
      <c r="H892" s="64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</row>
    <row r="893">
      <c r="A893" s="17"/>
      <c r="B893" s="17"/>
      <c r="C893" s="17"/>
      <c r="D893" s="17"/>
      <c r="E893" s="17"/>
      <c r="F893" s="17"/>
      <c r="G893" s="17"/>
      <c r="H893" s="64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</row>
    <row r="894">
      <c r="A894" s="17"/>
      <c r="B894" s="17"/>
      <c r="C894" s="17"/>
      <c r="D894" s="17"/>
      <c r="E894" s="17"/>
      <c r="F894" s="17"/>
      <c r="G894" s="17"/>
      <c r="H894" s="64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</row>
    <row r="895">
      <c r="A895" s="17"/>
      <c r="B895" s="17"/>
      <c r="C895" s="17"/>
      <c r="D895" s="17"/>
      <c r="E895" s="17"/>
      <c r="F895" s="17"/>
      <c r="G895" s="17"/>
      <c r="H895" s="64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</row>
    <row r="896">
      <c r="A896" s="17"/>
      <c r="B896" s="17"/>
      <c r="C896" s="17"/>
      <c r="D896" s="17"/>
      <c r="E896" s="17"/>
      <c r="F896" s="17"/>
      <c r="G896" s="17"/>
      <c r="H896" s="64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</row>
    <row r="897">
      <c r="A897" s="17"/>
      <c r="B897" s="17"/>
      <c r="C897" s="17"/>
      <c r="D897" s="17"/>
      <c r="E897" s="17"/>
      <c r="F897" s="17"/>
      <c r="G897" s="17"/>
      <c r="H897" s="64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</row>
    <row r="898">
      <c r="A898" s="17"/>
      <c r="B898" s="17"/>
      <c r="C898" s="17"/>
      <c r="D898" s="17"/>
      <c r="E898" s="17"/>
      <c r="F898" s="17"/>
      <c r="G898" s="17"/>
      <c r="H898" s="64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</row>
    <row r="899">
      <c r="A899" s="17"/>
      <c r="B899" s="17"/>
      <c r="C899" s="17"/>
      <c r="D899" s="17"/>
      <c r="E899" s="17"/>
      <c r="F899" s="17"/>
      <c r="G899" s="17"/>
      <c r="H899" s="64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</row>
    <row r="900">
      <c r="A900" s="17"/>
      <c r="B900" s="17"/>
      <c r="C900" s="17"/>
      <c r="D900" s="17"/>
      <c r="E900" s="17"/>
      <c r="F900" s="17"/>
      <c r="G900" s="17"/>
      <c r="H900" s="64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</row>
    <row r="901">
      <c r="A901" s="17"/>
      <c r="B901" s="17"/>
      <c r="C901" s="17"/>
      <c r="D901" s="17"/>
      <c r="E901" s="17"/>
      <c r="F901" s="17"/>
      <c r="G901" s="17"/>
      <c r="H901" s="64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</row>
    <row r="902">
      <c r="A902" s="17"/>
      <c r="B902" s="17"/>
      <c r="C902" s="17"/>
      <c r="D902" s="17"/>
      <c r="E902" s="17"/>
      <c r="F902" s="17"/>
      <c r="G902" s="17"/>
      <c r="H902" s="64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</row>
    <row r="903">
      <c r="A903" s="17"/>
      <c r="B903" s="17"/>
      <c r="C903" s="17"/>
      <c r="D903" s="17"/>
      <c r="E903" s="17"/>
      <c r="F903" s="17"/>
      <c r="G903" s="17"/>
      <c r="H903" s="64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</row>
    <row r="904">
      <c r="A904" s="17"/>
      <c r="B904" s="17"/>
      <c r="C904" s="17"/>
      <c r="D904" s="17"/>
      <c r="E904" s="17"/>
      <c r="F904" s="17"/>
      <c r="G904" s="17"/>
      <c r="H904" s="64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</row>
    <row r="905">
      <c r="A905" s="17"/>
      <c r="B905" s="17"/>
      <c r="C905" s="17"/>
      <c r="D905" s="17"/>
      <c r="E905" s="17"/>
      <c r="F905" s="17"/>
      <c r="G905" s="17"/>
      <c r="H905" s="64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</row>
    <row r="906">
      <c r="A906" s="17"/>
      <c r="B906" s="17"/>
      <c r="C906" s="17"/>
      <c r="D906" s="17"/>
      <c r="E906" s="17"/>
      <c r="F906" s="17"/>
      <c r="G906" s="17"/>
      <c r="H906" s="64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</row>
    <row r="907">
      <c r="A907" s="17"/>
      <c r="B907" s="17"/>
      <c r="C907" s="17"/>
      <c r="D907" s="17"/>
      <c r="E907" s="17"/>
      <c r="F907" s="17"/>
      <c r="G907" s="17"/>
      <c r="H907" s="64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</row>
    <row r="908">
      <c r="A908" s="17"/>
      <c r="B908" s="17"/>
      <c r="C908" s="17"/>
      <c r="D908" s="17"/>
      <c r="E908" s="17"/>
      <c r="F908" s="17"/>
      <c r="G908" s="17"/>
      <c r="H908" s="64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</row>
    <row r="909">
      <c r="A909" s="17"/>
      <c r="B909" s="17"/>
      <c r="C909" s="17"/>
      <c r="D909" s="17"/>
      <c r="E909" s="17"/>
      <c r="F909" s="17"/>
      <c r="G909" s="17"/>
      <c r="H909" s="64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</row>
    <row r="910">
      <c r="A910" s="17"/>
      <c r="B910" s="17"/>
      <c r="C910" s="17"/>
      <c r="D910" s="17"/>
      <c r="E910" s="17"/>
      <c r="F910" s="17"/>
      <c r="G910" s="17"/>
      <c r="H910" s="64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</row>
    <row r="911">
      <c r="A911" s="17"/>
      <c r="B911" s="17"/>
      <c r="C911" s="17"/>
      <c r="D911" s="17"/>
      <c r="E911" s="17"/>
      <c r="F911" s="17"/>
      <c r="G911" s="17"/>
      <c r="H911" s="64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</row>
    <row r="912">
      <c r="A912" s="17"/>
      <c r="B912" s="17"/>
      <c r="C912" s="17"/>
      <c r="D912" s="17"/>
      <c r="E912" s="17"/>
      <c r="F912" s="17"/>
      <c r="G912" s="17"/>
      <c r="H912" s="64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</row>
    <row r="913">
      <c r="A913" s="17"/>
      <c r="B913" s="17"/>
      <c r="C913" s="17"/>
      <c r="D913" s="17"/>
      <c r="E913" s="17"/>
      <c r="F913" s="17"/>
      <c r="G913" s="17"/>
      <c r="H913" s="64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</row>
    <row r="914">
      <c r="A914" s="17"/>
      <c r="B914" s="17"/>
      <c r="C914" s="17"/>
      <c r="D914" s="17"/>
      <c r="E914" s="17"/>
      <c r="F914" s="17"/>
      <c r="G914" s="17"/>
      <c r="H914" s="64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</row>
    <row r="915">
      <c r="A915" s="17"/>
      <c r="B915" s="17"/>
      <c r="C915" s="17"/>
      <c r="D915" s="17"/>
      <c r="E915" s="17"/>
      <c r="F915" s="17"/>
      <c r="G915" s="17"/>
      <c r="H915" s="64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</row>
    <row r="916">
      <c r="A916" s="17"/>
      <c r="B916" s="17"/>
      <c r="C916" s="17"/>
      <c r="D916" s="17"/>
      <c r="E916" s="17"/>
      <c r="F916" s="17"/>
      <c r="G916" s="17"/>
      <c r="H916" s="64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</row>
    <row r="917">
      <c r="A917" s="17"/>
      <c r="B917" s="17"/>
      <c r="C917" s="17"/>
      <c r="D917" s="17"/>
      <c r="E917" s="17"/>
      <c r="F917" s="17"/>
      <c r="G917" s="17"/>
      <c r="H917" s="64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</row>
    <row r="918">
      <c r="A918" s="17"/>
      <c r="B918" s="17"/>
      <c r="C918" s="17"/>
      <c r="D918" s="17"/>
      <c r="E918" s="17"/>
      <c r="F918" s="17"/>
      <c r="G918" s="17"/>
      <c r="H918" s="64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</row>
    <row r="919">
      <c r="A919" s="17"/>
      <c r="B919" s="17"/>
      <c r="C919" s="17"/>
      <c r="D919" s="17"/>
      <c r="E919" s="17"/>
      <c r="F919" s="17"/>
      <c r="G919" s="17"/>
      <c r="H919" s="64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</row>
    <row r="920">
      <c r="A920" s="17"/>
      <c r="B920" s="17"/>
      <c r="C920" s="17"/>
      <c r="D920" s="17"/>
      <c r="E920" s="17"/>
      <c r="F920" s="17"/>
      <c r="G920" s="17"/>
      <c r="H920" s="64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</row>
    <row r="921">
      <c r="A921" s="17"/>
      <c r="B921" s="17"/>
      <c r="C921" s="17"/>
      <c r="D921" s="17"/>
      <c r="E921" s="17"/>
      <c r="F921" s="17"/>
      <c r="G921" s="17"/>
      <c r="H921" s="64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</row>
    <row r="922">
      <c r="A922" s="17"/>
      <c r="B922" s="17"/>
      <c r="C922" s="17"/>
      <c r="D922" s="17"/>
      <c r="E922" s="17"/>
      <c r="F922" s="17"/>
      <c r="G922" s="17"/>
      <c r="H922" s="64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</row>
    <row r="923">
      <c r="A923" s="17"/>
      <c r="B923" s="17"/>
      <c r="C923" s="17"/>
      <c r="D923" s="17"/>
      <c r="E923" s="17"/>
      <c r="F923" s="17"/>
      <c r="G923" s="17"/>
      <c r="H923" s="64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</row>
    <row r="924">
      <c r="A924" s="17"/>
      <c r="B924" s="17"/>
      <c r="C924" s="17"/>
      <c r="D924" s="17"/>
      <c r="E924" s="17"/>
      <c r="F924" s="17"/>
      <c r="G924" s="17"/>
      <c r="H924" s="64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</row>
    <row r="925">
      <c r="A925" s="17"/>
      <c r="B925" s="17"/>
      <c r="C925" s="17"/>
      <c r="D925" s="17"/>
      <c r="E925" s="17"/>
      <c r="F925" s="17"/>
      <c r="G925" s="17"/>
      <c r="H925" s="64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</row>
    <row r="926">
      <c r="A926" s="17"/>
      <c r="B926" s="17"/>
      <c r="C926" s="17"/>
      <c r="D926" s="17"/>
      <c r="E926" s="17"/>
      <c r="F926" s="17"/>
      <c r="G926" s="17"/>
      <c r="H926" s="64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</row>
    <row r="927">
      <c r="A927" s="17"/>
      <c r="B927" s="17"/>
      <c r="C927" s="17"/>
      <c r="D927" s="17"/>
      <c r="E927" s="17"/>
      <c r="F927" s="17"/>
      <c r="G927" s="17"/>
      <c r="H927" s="64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</row>
    <row r="928">
      <c r="A928" s="17"/>
      <c r="B928" s="17"/>
      <c r="C928" s="17"/>
      <c r="D928" s="17"/>
      <c r="E928" s="17"/>
      <c r="F928" s="17"/>
      <c r="G928" s="17"/>
      <c r="H928" s="64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</row>
    <row r="929">
      <c r="A929" s="17"/>
      <c r="B929" s="17"/>
      <c r="C929" s="17"/>
      <c r="D929" s="17"/>
      <c r="E929" s="17"/>
      <c r="F929" s="17"/>
      <c r="G929" s="17"/>
      <c r="H929" s="64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</row>
    <row r="930">
      <c r="A930" s="17"/>
      <c r="B930" s="17"/>
      <c r="C930" s="17"/>
      <c r="D930" s="17"/>
      <c r="E930" s="17"/>
      <c r="F930" s="17"/>
      <c r="G930" s="17"/>
      <c r="H930" s="64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</row>
    <row r="931">
      <c r="A931" s="17"/>
      <c r="B931" s="17"/>
      <c r="C931" s="17"/>
      <c r="D931" s="17"/>
      <c r="E931" s="17"/>
      <c r="F931" s="17"/>
      <c r="G931" s="17"/>
      <c r="H931" s="64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</row>
    <row r="932">
      <c r="A932" s="17"/>
      <c r="B932" s="17"/>
      <c r="C932" s="17"/>
      <c r="D932" s="17"/>
      <c r="E932" s="17"/>
      <c r="F932" s="17"/>
      <c r="G932" s="17"/>
      <c r="H932" s="64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</row>
    <row r="933">
      <c r="A933" s="17"/>
      <c r="B933" s="17"/>
      <c r="C933" s="17"/>
      <c r="D933" s="17"/>
      <c r="E933" s="17"/>
      <c r="F933" s="17"/>
      <c r="G933" s="17"/>
      <c r="H933" s="64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</row>
    <row r="934">
      <c r="A934" s="17"/>
      <c r="B934" s="17"/>
      <c r="C934" s="17"/>
      <c r="D934" s="17"/>
      <c r="E934" s="17"/>
      <c r="F934" s="17"/>
      <c r="G934" s="17"/>
      <c r="H934" s="64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</row>
    <row r="935">
      <c r="A935" s="17"/>
      <c r="B935" s="17"/>
      <c r="C935" s="17"/>
      <c r="D935" s="17"/>
      <c r="E935" s="17"/>
      <c r="F935" s="17"/>
      <c r="G935" s="17"/>
      <c r="H935" s="64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</row>
    <row r="936">
      <c r="A936" s="17"/>
      <c r="B936" s="17"/>
      <c r="C936" s="17"/>
      <c r="D936" s="17"/>
      <c r="E936" s="17"/>
      <c r="F936" s="17"/>
      <c r="G936" s="17"/>
      <c r="H936" s="64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</row>
    <row r="937">
      <c r="A937" s="17"/>
      <c r="B937" s="17"/>
      <c r="C937" s="17"/>
      <c r="D937" s="17"/>
      <c r="E937" s="17"/>
      <c r="F937" s="17"/>
      <c r="G937" s="17"/>
      <c r="H937" s="64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</row>
    <row r="938">
      <c r="A938" s="17"/>
      <c r="B938" s="17"/>
      <c r="C938" s="17"/>
      <c r="D938" s="17"/>
      <c r="E938" s="17"/>
      <c r="F938" s="17"/>
      <c r="G938" s="17"/>
      <c r="H938" s="64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</row>
    <row r="939">
      <c r="A939" s="17"/>
      <c r="B939" s="17"/>
      <c r="C939" s="17"/>
      <c r="D939" s="17"/>
      <c r="E939" s="17"/>
      <c r="F939" s="17"/>
      <c r="G939" s="17"/>
      <c r="H939" s="64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</row>
    <row r="940">
      <c r="A940" s="17"/>
      <c r="B940" s="17"/>
      <c r="C940" s="17"/>
      <c r="D940" s="17"/>
      <c r="E940" s="17"/>
      <c r="F940" s="17"/>
      <c r="G940" s="17"/>
      <c r="H940" s="64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</row>
    <row r="941">
      <c r="A941" s="17"/>
      <c r="B941" s="17"/>
      <c r="C941" s="17"/>
      <c r="D941" s="17"/>
      <c r="E941" s="17"/>
      <c r="F941" s="17"/>
      <c r="G941" s="17"/>
      <c r="H941" s="64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</row>
    <row r="942">
      <c r="A942" s="17"/>
      <c r="B942" s="17"/>
      <c r="C942" s="17"/>
      <c r="D942" s="17"/>
      <c r="E942" s="17"/>
      <c r="F942" s="17"/>
      <c r="G942" s="17"/>
      <c r="H942" s="64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</row>
    <row r="943">
      <c r="A943" s="17"/>
      <c r="B943" s="17"/>
      <c r="C943" s="17"/>
      <c r="D943" s="17"/>
      <c r="E943" s="17"/>
      <c r="F943" s="17"/>
      <c r="G943" s="17"/>
      <c r="H943" s="64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</row>
    <row r="944">
      <c r="A944" s="17"/>
      <c r="B944" s="17"/>
      <c r="C944" s="17"/>
      <c r="D944" s="17"/>
      <c r="E944" s="17"/>
      <c r="F944" s="17"/>
      <c r="G944" s="17"/>
      <c r="H944" s="64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</row>
    <row r="945">
      <c r="A945" s="17"/>
      <c r="B945" s="17"/>
      <c r="C945" s="17"/>
      <c r="D945" s="17"/>
      <c r="E945" s="17"/>
      <c r="F945" s="17"/>
      <c r="G945" s="17"/>
      <c r="H945" s="64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</row>
    <row r="946">
      <c r="A946" s="17"/>
      <c r="B946" s="17"/>
      <c r="C946" s="17"/>
      <c r="D946" s="17"/>
      <c r="E946" s="17"/>
      <c r="F946" s="17"/>
      <c r="G946" s="17"/>
      <c r="H946" s="64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</row>
    <row r="947">
      <c r="A947" s="17"/>
      <c r="B947" s="17"/>
      <c r="C947" s="17"/>
      <c r="D947" s="17"/>
      <c r="E947" s="17"/>
      <c r="F947" s="17"/>
      <c r="G947" s="17"/>
      <c r="H947" s="64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</row>
    <row r="948">
      <c r="A948" s="17"/>
      <c r="B948" s="17"/>
      <c r="C948" s="17"/>
      <c r="D948" s="17"/>
      <c r="E948" s="17"/>
      <c r="F948" s="17"/>
      <c r="G948" s="17"/>
      <c r="H948" s="64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</row>
    <row r="949">
      <c r="A949" s="17"/>
      <c r="B949" s="17"/>
      <c r="C949" s="17"/>
      <c r="D949" s="17"/>
      <c r="E949" s="17"/>
      <c r="F949" s="17"/>
      <c r="G949" s="17"/>
      <c r="H949" s="64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</row>
    <row r="950">
      <c r="A950" s="17"/>
      <c r="B950" s="17"/>
      <c r="C950" s="17"/>
      <c r="D950" s="17"/>
      <c r="E950" s="17"/>
      <c r="F950" s="17"/>
      <c r="G950" s="17"/>
      <c r="H950" s="64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</row>
    <row r="951">
      <c r="A951" s="17"/>
      <c r="B951" s="17"/>
      <c r="C951" s="17"/>
      <c r="D951" s="17"/>
      <c r="E951" s="17"/>
      <c r="F951" s="17"/>
      <c r="G951" s="17"/>
      <c r="H951" s="64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</row>
    <row r="952">
      <c r="A952" s="17"/>
      <c r="B952" s="17"/>
      <c r="C952" s="17"/>
      <c r="D952" s="17"/>
      <c r="E952" s="17"/>
      <c r="F952" s="17"/>
      <c r="G952" s="17"/>
      <c r="H952" s="64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</row>
    <row r="953">
      <c r="A953" s="17"/>
      <c r="B953" s="17"/>
      <c r="C953" s="17"/>
      <c r="D953" s="17"/>
      <c r="E953" s="17"/>
      <c r="F953" s="17"/>
      <c r="G953" s="17"/>
      <c r="H953" s="64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</row>
    <row r="954">
      <c r="A954" s="17"/>
      <c r="B954" s="17"/>
      <c r="C954" s="17"/>
      <c r="D954" s="17"/>
      <c r="E954" s="17"/>
      <c r="F954" s="17"/>
      <c r="G954" s="17"/>
      <c r="H954" s="64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</row>
    <row r="955">
      <c r="A955" s="17"/>
      <c r="B955" s="17"/>
      <c r="C955" s="17"/>
      <c r="D955" s="17"/>
      <c r="E955" s="17"/>
      <c r="F955" s="17"/>
      <c r="G955" s="17"/>
      <c r="H955" s="64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</row>
    <row r="956">
      <c r="A956" s="17"/>
      <c r="B956" s="17"/>
      <c r="C956" s="17"/>
      <c r="D956" s="17"/>
      <c r="E956" s="17"/>
      <c r="F956" s="17"/>
      <c r="G956" s="17"/>
      <c r="H956" s="64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</row>
    <row r="957">
      <c r="A957" s="17"/>
      <c r="B957" s="17"/>
      <c r="C957" s="17"/>
      <c r="D957" s="17"/>
      <c r="E957" s="17"/>
      <c r="F957" s="17"/>
      <c r="G957" s="17"/>
      <c r="H957" s="64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</row>
    <row r="958">
      <c r="A958" s="17"/>
      <c r="B958" s="17"/>
      <c r="C958" s="17"/>
      <c r="D958" s="17"/>
      <c r="E958" s="17"/>
      <c r="F958" s="17"/>
      <c r="G958" s="17"/>
      <c r="H958" s="64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</row>
    <row r="959">
      <c r="A959" s="17"/>
      <c r="B959" s="17"/>
      <c r="C959" s="17"/>
      <c r="D959" s="17"/>
      <c r="E959" s="17"/>
      <c r="F959" s="17"/>
      <c r="G959" s="17"/>
      <c r="H959" s="64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</row>
    <row r="960">
      <c r="A960" s="17"/>
      <c r="B960" s="17"/>
      <c r="C960" s="17"/>
      <c r="D960" s="17"/>
      <c r="E960" s="17"/>
      <c r="F960" s="17"/>
      <c r="G960" s="17"/>
      <c r="H960" s="64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</row>
    <row r="961">
      <c r="A961" s="17"/>
      <c r="B961" s="17"/>
      <c r="C961" s="17"/>
      <c r="D961" s="17"/>
      <c r="E961" s="17"/>
      <c r="F961" s="17"/>
      <c r="G961" s="17"/>
      <c r="H961" s="64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</row>
    <row r="962">
      <c r="A962" s="17"/>
      <c r="B962" s="17"/>
      <c r="C962" s="17"/>
      <c r="D962" s="17"/>
      <c r="E962" s="17"/>
      <c r="F962" s="17"/>
      <c r="G962" s="17"/>
      <c r="H962" s="64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</row>
    <row r="963">
      <c r="A963" s="17"/>
      <c r="B963" s="17"/>
      <c r="C963" s="17"/>
      <c r="D963" s="17"/>
      <c r="E963" s="17"/>
      <c r="F963" s="17"/>
      <c r="G963" s="17"/>
      <c r="H963" s="64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</row>
    <row r="964">
      <c r="A964" s="17"/>
      <c r="B964" s="17"/>
      <c r="C964" s="17"/>
      <c r="D964" s="17"/>
      <c r="E964" s="17"/>
      <c r="F964" s="17"/>
      <c r="G964" s="17"/>
      <c r="H964" s="64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</row>
    <row r="965">
      <c r="A965" s="17"/>
      <c r="B965" s="17"/>
      <c r="C965" s="17"/>
      <c r="D965" s="17"/>
      <c r="E965" s="17"/>
      <c r="F965" s="17"/>
      <c r="G965" s="17"/>
      <c r="H965" s="64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</row>
    <row r="966">
      <c r="A966" s="17"/>
      <c r="B966" s="17"/>
      <c r="C966" s="17"/>
      <c r="D966" s="17"/>
      <c r="E966" s="17"/>
      <c r="F966" s="17"/>
      <c r="G966" s="17"/>
      <c r="H966" s="64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</row>
    <row r="967">
      <c r="A967" s="17"/>
      <c r="B967" s="17"/>
      <c r="C967" s="17"/>
      <c r="D967" s="17"/>
      <c r="E967" s="17"/>
      <c r="F967" s="17"/>
      <c r="G967" s="17"/>
      <c r="H967" s="64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</row>
    <row r="968">
      <c r="A968" s="17"/>
      <c r="B968" s="17"/>
      <c r="C968" s="17"/>
      <c r="D968" s="17"/>
      <c r="E968" s="17"/>
      <c r="F968" s="17"/>
      <c r="G968" s="17"/>
      <c r="H968" s="64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</row>
    <row r="969">
      <c r="A969" s="17"/>
      <c r="B969" s="17"/>
      <c r="C969" s="17"/>
      <c r="D969" s="17"/>
      <c r="E969" s="17"/>
      <c r="F969" s="17"/>
      <c r="G969" s="17"/>
      <c r="H969" s="64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</row>
    <row r="970">
      <c r="A970" s="17"/>
      <c r="B970" s="17"/>
      <c r="C970" s="17"/>
      <c r="D970" s="17"/>
      <c r="E970" s="17"/>
      <c r="F970" s="17"/>
      <c r="G970" s="17"/>
      <c r="H970" s="64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</row>
    <row r="971">
      <c r="A971" s="17"/>
      <c r="B971" s="17"/>
      <c r="C971" s="17"/>
      <c r="D971" s="17"/>
      <c r="E971" s="17"/>
      <c r="F971" s="17"/>
      <c r="G971" s="17"/>
      <c r="H971" s="64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</row>
    <row r="972">
      <c r="A972" s="17"/>
      <c r="B972" s="17"/>
      <c r="C972" s="17"/>
      <c r="D972" s="17"/>
      <c r="E972" s="17"/>
      <c r="F972" s="17"/>
      <c r="G972" s="17"/>
      <c r="H972" s="64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</row>
    <row r="973">
      <c r="A973" s="17"/>
      <c r="B973" s="17"/>
      <c r="C973" s="17"/>
      <c r="D973" s="17"/>
      <c r="E973" s="17"/>
      <c r="F973" s="17"/>
      <c r="G973" s="17"/>
      <c r="H973" s="64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</row>
    <row r="974">
      <c r="A974" s="17"/>
      <c r="B974" s="17"/>
      <c r="C974" s="17"/>
      <c r="D974" s="17"/>
      <c r="E974" s="17"/>
      <c r="F974" s="17"/>
      <c r="G974" s="17"/>
      <c r="H974" s="64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</row>
    <row r="975">
      <c r="A975" s="17"/>
      <c r="B975" s="17"/>
      <c r="C975" s="17"/>
      <c r="D975" s="17"/>
      <c r="E975" s="17"/>
      <c r="F975" s="17"/>
      <c r="G975" s="17"/>
      <c r="H975" s="64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</row>
    <row r="976">
      <c r="A976" s="17"/>
      <c r="B976" s="17"/>
      <c r="C976" s="17"/>
      <c r="D976" s="17"/>
      <c r="E976" s="17"/>
      <c r="F976" s="17"/>
      <c r="G976" s="17"/>
      <c r="H976" s="64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</row>
    <row r="977">
      <c r="A977" s="17"/>
      <c r="B977" s="17"/>
      <c r="C977" s="17"/>
      <c r="D977" s="17"/>
      <c r="E977" s="17"/>
      <c r="F977" s="17"/>
      <c r="G977" s="17"/>
      <c r="H977" s="64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</row>
    <row r="978">
      <c r="A978" s="17"/>
      <c r="B978" s="17"/>
      <c r="C978" s="17"/>
      <c r="D978" s="17"/>
      <c r="E978" s="17"/>
      <c r="F978" s="17"/>
      <c r="G978" s="17"/>
      <c r="H978" s="64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</row>
    <row r="979">
      <c r="A979" s="17"/>
      <c r="B979" s="17"/>
      <c r="C979" s="17"/>
      <c r="D979" s="17"/>
      <c r="E979" s="17"/>
      <c r="F979" s="17"/>
      <c r="G979" s="17"/>
      <c r="H979" s="64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</row>
    <row r="980">
      <c r="A980" s="17"/>
      <c r="B980" s="17"/>
      <c r="C980" s="17"/>
      <c r="D980" s="17"/>
      <c r="E980" s="17"/>
      <c r="F980" s="17"/>
      <c r="G980" s="17"/>
      <c r="H980" s="64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</row>
    <row r="981">
      <c r="A981" s="17"/>
      <c r="B981" s="17"/>
      <c r="C981" s="17"/>
      <c r="D981" s="17"/>
      <c r="E981" s="17"/>
      <c r="F981" s="17"/>
      <c r="G981" s="17"/>
      <c r="H981" s="64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</row>
    <row r="982">
      <c r="A982" s="17"/>
      <c r="B982" s="17"/>
      <c r="C982" s="17"/>
      <c r="D982" s="17"/>
      <c r="E982" s="17"/>
      <c r="F982" s="17"/>
      <c r="G982" s="17"/>
      <c r="H982" s="64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</row>
    <row r="983">
      <c r="A983" s="17"/>
      <c r="B983" s="17"/>
      <c r="C983" s="17"/>
      <c r="D983" s="17"/>
      <c r="E983" s="17"/>
      <c r="F983" s="17"/>
      <c r="G983" s="17"/>
      <c r="H983" s="64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</row>
    <row r="984">
      <c r="A984" s="17"/>
      <c r="B984" s="17"/>
      <c r="C984" s="17"/>
      <c r="D984" s="17"/>
      <c r="E984" s="17"/>
      <c r="F984" s="17"/>
      <c r="G984" s="17"/>
      <c r="H984" s="64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</row>
    <row r="985">
      <c r="A985" s="17"/>
      <c r="B985" s="17"/>
      <c r="C985" s="17"/>
      <c r="D985" s="17"/>
      <c r="E985" s="17"/>
      <c r="F985" s="17"/>
      <c r="G985" s="17"/>
      <c r="H985" s="64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</row>
    <row r="986">
      <c r="A986" s="17"/>
      <c r="B986" s="17"/>
      <c r="C986" s="17"/>
      <c r="D986" s="17"/>
      <c r="E986" s="17"/>
      <c r="F986" s="17"/>
      <c r="G986" s="17"/>
      <c r="H986" s="64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</row>
    <row r="987">
      <c r="A987" s="17"/>
      <c r="B987" s="17"/>
      <c r="C987" s="17"/>
      <c r="D987" s="17"/>
      <c r="E987" s="17"/>
      <c r="F987" s="17"/>
      <c r="G987" s="17"/>
      <c r="H987" s="64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</row>
    <row r="988">
      <c r="A988" s="17"/>
      <c r="B988" s="17"/>
      <c r="C988" s="17"/>
      <c r="D988" s="17"/>
      <c r="E988" s="17"/>
      <c r="F988" s="17"/>
      <c r="G988" s="17"/>
      <c r="H988" s="64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</row>
    <row r="989">
      <c r="A989" s="17"/>
      <c r="B989" s="17"/>
      <c r="C989" s="17"/>
      <c r="D989" s="17"/>
      <c r="E989" s="17"/>
      <c r="F989" s="17"/>
      <c r="G989" s="17"/>
      <c r="H989" s="64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</row>
    <row r="990">
      <c r="A990" s="17"/>
      <c r="B990" s="17"/>
      <c r="C990" s="17"/>
      <c r="D990" s="17"/>
      <c r="E990" s="17"/>
      <c r="F990" s="17"/>
      <c r="G990" s="17"/>
      <c r="H990" s="64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</row>
    <row r="991">
      <c r="A991" s="17"/>
      <c r="B991" s="17"/>
      <c r="C991" s="17"/>
      <c r="D991" s="17"/>
      <c r="E991" s="17"/>
      <c r="F991" s="17"/>
      <c r="G991" s="17"/>
      <c r="H991" s="64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</row>
    <row r="992">
      <c r="A992" s="17"/>
      <c r="B992" s="17"/>
      <c r="C992" s="17"/>
      <c r="D992" s="17"/>
      <c r="E992" s="17"/>
      <c r="F992" s="17"/>
      <c r="G992" s="17"/>
      <c r="H992" s="64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</row>
    <row r="993">
      <c r="A993" s="17"/>
      <c r="B993" s="17"/>
      <c r="C993" s="17"/>
      <c r="D993" s="17"/>
      <c r="E993" s="17"/>
      <c r="F993" s="17"/>
      <c r="G993" s="17"/>
      <c r="H993" s="64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</row>
    <row r="994">
      <c r="A994" s="17"/>
      <c r="B994" s="17"/>
      <c r="C994" s="17"/>
      <c r="D994" s="17"/>
      <c r="E994" s="17"/>
      <c r="F994" s="17"/>
      <c r="G994" s="17"/>
      <c r="H994" s="64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</row>
    <row r="995">
      <c r="A995" s="17"/>
      <c r="B995" s="17"/>
      <c r="C995" s="17"/>
      <c r="D995" s="17"/>
      <c r="E995" s="17"/>
      <c r="F995" s="17"/>
      <c r="G995" s="17"/>
      <c r="H995" s="64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</row>
    <row r="996">
      <c r="A996" s="17"/>
      <c r="B996" s="17"/>
      <c r="C996" s="17"/>
      <c r="D996" s="17"/>
      <c r="E996" s="17"/>
      <c r="F996" s="17"/>
      <c r="G996" s="17"/>
      <c r="H996" s="64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</row>
    <row r="997">
      <c r="A997" s="17"/>
      <c r="B997" s="17"/>
      <c r="C997" s="17"/>
      <c r="D997" s="17"/>
      <c r="E997" s="17"/>
      <c r="F997" s="17"/>
      <c r="G997" s="17"/>
      <c r="H997" s="64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</row>
    <row r="998">
      <c r="A998" s="17"/>
      <c r="B998" s="17"/>
      <c r="C998" s="17"/>
      <c r="D998" s="17"/>
      <c r="E998" s="17"/>
      <c r="F998" s="17"/>
      <c r="G998" s="17"/>
      <c r="H998" s="64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</row>
    <row r="999">
      <c r="A999" s="17"/>
      <c r="B999" s="17"/>
      <c r="C999" s="17"/>
      <c r="D999" s="17"/>
      <c r="E999" s="17"/>
      <c r="F999" s="17"/>
      <c r="G999" s="17"/>
      <c r="H999" s="64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</row>
    <row r="1000">
      <c r="A1000" s="17"/>
      <c r="B1000" s="17"/>
      <c r="C1000" s="17"/>
      <c r="D1000" s="17"/>
      <c r="E1000" s="17"/>
      <c r="F1000" s="17"/>
      <c r="G1000" s="17"/>
      <c r="H1000" s="64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</row>
    <row r="1001">
      <c r="A1001" s="17"/>
      <c r="B1001" s="17"/>
      <c r="C1001" s="17"/>
      <c r="D1001" s="17"/>
      <c r="E1001" s="17"/>
      <c r="F1001" s="17"/>
      <c r="G1001" s="17"/>
      <c r="H1001" s="64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</row>
    <row r="1002">
      <c r="A1002" s="17"/>
      <c r="B1002" s="17"/>
      <c r="C1002" s="17"/>
      <c r="D1002" s="17"/>
      <c r="E1002" s="17"/>
      <c r="F1002" s="17"/>
      <c r="G1002" s="17"/>
      <c r="H1002" s="64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</row>
    <row r="1003">
      <c r="A1003" s="17"/>
      <c r="B1003" s="17"/>
      <c r="C1003" s="17"/>
      <c r="D1003" s="17"/>
      <c r="E1003" s="17"/>
      <c r="F1003" s="17"/>
      <c r="G1003" s="17"/>
      <c r="H1003" s="64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</row>
    <row r="1004">
      <c r="A1004" s="17"/>
      <c r="B1004" s="17"/>
      <c r="C1004" s="17"/>
      <c r="D1004" s="17"/>
      <c r="E1004" s="17"/>
      <c r="F1004" s="17"/>
      <c r="G1004" s="17"/>
      <c r="H1004" s="64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</row>
    <row r="1005">
      <c r="A1005" s="17"/>
      <c r="B1005" s="17"/>
      <c r="C1005" s="17"/>
      <c r="D1005" s="17"/>
      <c r="E1005" s="17"/>
      <c r="F1005" s="17"/>
      <c r="G1005" s="17"/>
      <c r="H1005" s="64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</row>
    <row r="1006">
      <c r="A1006" s="17"/>
      <c r="B1006" s="17"/>
      <c r="C1006" s="17"/>
      <c r="D1006" s="17"/>
      <c r="E1006" s="17"/>
      <c r="F1006" s="17"/>
      <c r="G1006" s="17"/>
      <c r="H1006" s="64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</row>
    <row r="1007">
      <c r="A1007" s="17"/>
      <c r="B1007" s="17"/>
      <c r="C1007" s="17"/>
      <c r="D1007" s="17"/>
      <c r="E1007" s="17"/>
      <c r="F1007" s="17"/>
      <c r="G1007" s="17"/>
      <c r="H1007" s="64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</row>
    <row r="1008">
      <c r="A1008" s="17"/>
      <c r="B1008" s="17"/>
      <c r="C1008" s="17"/>
      <c r="D1008" s="17"/>
      <c r="E1008" s="17"/>
      <c r="F1008" s="17"/>
      <c r="G1008" s="17"/>
      <c r="H1008" s="64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</row>
    <row r="1009">
      <c r="A1009" s="17"/>
      <c r="B1009" s="17"/>
      <c r="C1009" s="17"/>
      <c r="D1009" s="17"/>
      <c r="E1009" s="17"/>
      <c r="F1009" s="17"/>
      <c r="G1009" s="17"/>
      <c r="H1009" s="64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</row>
    <row r="1010">
      <c r="A1010" s="17"/>
      <c r="B1010" s="17"/>
      <c r="C1010" s="17"/>
      <c r="D1010" s="17"/>
      <c r="E1010" s="17"/>
      <c r="F1010" s="17"/>
      <c r="G1010" s="17"/>
      <c r="H1010" s="64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</row>
    <row r="1011">
      <c r="A1011" s="17"/>
      <c r="B1011" s="17"/>
      <c r="C1011" s="17"/>
      <c r="D1011" s="17"/>
      <c r="E1011" s="17"/>
      <c r="F1011" s="17"/>
      <c r="G1011" s="17"/>
      <c r="H1011" s="64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</row>
    <row r="1012">
      <c r="A1012" s="17"/>
      <c r="B1012" s="17"/>
      <c r="C1012" s="17"/>
      <c r="D1012" s="17"/>
      <c r="E1012" s="17"/>
      <c r="F1012" s="17"/>
      <c r="G1012" s="17"/>
      <c r="H1012" s="64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</row>
    <row r="1013">
      <c r="A1013" s="17"/>
      <c r="B1013" s="17"/>
      <c r="C1013" s="17"/>
      <c r="D1013" s="17"/>
      <c r="E1013" s="17"/>
      <c r="F1013" s="17"/>
      <c r="G1013" s="17"/>
      <c r="H1013" s="64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</row>
    <row r="1014">
      <c r="A1014" s="17"/>
      <c r="B1014" s="17"/>
      <c r="C1014" s="17"/>
      <c r="D1014" s="17"/>
      <c r="E1014" s="17"/>
      <c r="F1014" s="17"/>
      <c r="G1014" s="17"/>
      <c r="H1014" s="64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</row>
    <row r="1015">
      <c r="A1015" s="17"/>
      <c r="B1015" s="17"/>
      <c r="C1015" s="17"/>
      <c r="D1015" s="17"/>
      <c r="E1015" s="17"/>
      <c r="F1015" s="17"/>
      <c r="G1015" s="17"/>
      <c r="H1015" s="64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</row>
    <row r="1016">
      <c r="A1016" s="17"/>
      <c r="B1016" s="17"/>
      <c r="C1016" s="17"/>
      <c r="D1016" s="17"/>
      <c r="E1016" s="17"/>
      <c r="F1016" s="17"/>
      <c r="G1016" s="17"/>
      <c r="H1016" s="64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</row>
    <row r="1017">
      <c r="A1017" s="17"/>
      <c r="B1017" s="17"/>
      <c r="C1017" s="17"/>
      <c r="D1017" s="17"/>
      <c r="E1017" s="17"/>
      <c r="F1017" s="17"/>
      <c r="G1017" s="17"/>
      <c r="H1017" s="64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</row>
    <row r="1018">
      <c r="A1018" s="17"/>
      <c r="B1018" s="17"/>
      <c r="C1018" s="17"/>
      <c r="D1018" s="17"/>
      <c r="E1018" s="17"/>
      <c r="F1018" s="17"/>
      <c r="G1018" s="17"/>
      <c r="H1018" s="64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</row>
    <row r="1019">
      <c r="A1019" s="17"/>
      <c r="B1019" s="17"/>
      <c r="C1019" s="17"/>
      <c r="D1019" s="17"/>
      <c r="E1019" s="17"/>
      <c r="F1019" s="17"/>
      <c r="G1019" s="17"/>
      <c r="H1019" s="64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</row>
    <row r="1020">
      <c r="A1020" s="17"/>
      <c r="B1020" s="17"/>
      <c r="C1020" s="17"/>
      <c r="D1020" s="17"/>
      <c r="E1020" s="17"/>
      <c r="F1020" s="17"/>
      <c r="G1020" s="17"/>
      <c r="H1020" s="64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</row>
    <row r="1021">
      <c r="A1021" s="17"/>
      <c r="B1021" s="17"/>
      <c r="C1021" s="17"/>
      <c r="D1021" s="17"/>
      <c r="E1021" s="17"/>
      <c r="F1021" s="17"/>
      <c r="G1021" s="17"/>
      <c r="H1021" s="64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</row>
    <row r="1022">
      <c r="A1022" s="17"/>
      <c r="B1022" s="17"/>
      <c r="C1022" s="17"/>
      <c r="D1022" s="17"/>
      <c r="E1022" s="17"/>
      <c r="F1022" s="17"/>
      <c r="G1022" s="17"/>
      <c r="H1022" s="64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</row>
    <row r="1023">
      <c r="A1023" s="17"/>
      <c r="B1023" s="17"/>
      <c r="C1023" s="17"/>
      <c r="D1023" s="17"/>
      <c r="E1023" s="17"/>
      <c r="F1023" s="17"/>
      <c r="G1023" s="17"/>
      <c r="H1023" s="64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</row>
    <row r="1024">
      <c r="A1024" s="17"/>
      <c r="B1024" s="17"/>
      <c r="C1024" s="17"/>
      <c r="D1024" s="17"/>
      <c r="E1024" s="17"/>
      <c r="F1024" s="17"/>
      <c r="G1024" s="17"/>
      <c r="H1024" s="64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</row>
    <row r="1025">
      <c r="A1025" s="17"/>
      <c r="B1025" s="17"/>
      <c r="C1025" s="17"/>
      <c r="D1025" s="17"/>
      <c r="E1025" s="17"/>
      <c r="F1025" s="17"/>
      <c r="G1025" s="17"/>
      <c r="H1025" s="64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</row>
    <row r="1026">
      <c r="A1026" s="17"/>
      <c r="B1026" s="17"/>
      <c r="C1026" s="17"/>
      <c r="D1026" s="17"/>
      <c r="E1026" s="17"/>
      <c r="F1026" s="17"/>
      <c r="G1026" s="17"/>
      <c r="H1026" s="64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</row>
    <row r="1027">
      <c r="A1027" s="17"/>
      <c r="B1027" s="17"/>
      <c r="C1027" s="17"/>
      <c r="D1027" s="17"/>
      <c r="E1027" s="17"/>
      <c r="F1027" s="17"/>
      <c r="G1027" s="17"/>
      <c r="H1027" s="64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</row>
    <row r="1028">
      <c r="A1028" s="17"/>
      <c r="B1028" s="17"/>
      <c r="C1028" s="17"/>
      <c r="D1028" s="17"/>
      <c r="E1028" s="17"/>
      <c r="F1028" s="17"/>
      <c r="G1028" s="17"/>
      <c r="H1028" s="64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</row>
    <row r="1029">
      <c r="A1029" s="17"/>
      <c r="B1029" s="17"/>
      <c r="C1029" s="17"/>
      <c r="D1029" s="17"/>
      <c r="E1029" s="17"/>
      <c r="F1029" s="17"/>
      <c r="G1029" s="17"/>
      <c r="H1029" s="64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</row>
    <row r="1030">
      <c r="A1030" s="17"/>
      <c r="B1030" s="17"/>
      <c r="C1030" s="17"/>
      <c r="D1030" s="17"/>
      <c r="E1030" s="17"/>
      <c r="F1030" s="17"/>
      <c r="G1030" s="17"/>
      <c r="H1030" s="64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</row>
    <row r="1031">
      <c r="A1031" s="17"/>
      <c r="B1031" s="17"/>
      <c r="C1031" s="17"/>
      <c r="D1031" s="17"/>
      <c r="E1031" s="17"/>
      <c r="F1031" s="17"/>
      <c r="G1031" s="17"/>
      <c r="H1031" s="64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</row>
    <row r="1032">
      <c r="A1032" s="17"/>
      <c r="B1032" s="17"/>
      <c r="C1032" s="17"/>
      <c r="D1032" s="17"/>
      <c r="E1032" s="17"/>
      <c r="F1032" s="17"/>
      <c r="G1032" s="17"/>
      <c r="H1032" s="64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</row>
    <row r="1033">
      <c r="A1033" s="17"/>
      <c r="B1033" s="17"/>
      <c r="C1033" s="17"/>
      <c r="D1033" s="17"/>
      <c r="E1033" s="17"/>
      <c r="F1033" s="17"/>
      <c r="G1033" s="17"/>
      <c r="H1033" s="64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</row>
    <row r="1034">
      <c r="A1034" s="17"/>
      <c r="B1034" s="17"/>
      <c r="C1034" s="17"/>
      <c r="D1034" s="17"/>
      <c r="E1034" s="17"/>
      <c r="F1034" s="17"/>
      <c r="G1034" s="17"/>
      <c r="H1034" s="64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</row>
    <row r="1035">
      <c r="A1035" s="17"/>
      <c r="B1035" s="17"/>
      <c r="C1035" s="17"/>
      <c r="D1035" s="17"/>
      <c r="E1035" s="17"/>
      <c r="F1035" s="17"/>
      <c r="G1035" s="17"/>
      <c r="H1035" s="64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</row>
    <row r="1036">
      <c r="A1036" s="17"/>
      <c r="B1036" s="17"/>
      <c r="C1036" s="17"/>
      <c r="D1036" s="17"/>
      <c r="E1036" s="17"/>
      <c r="F1036" s="17"/>
      <c r="G1036" s="17"/>
      <c r="H1036" s="64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</row>
    <row r="1037">
      <c r="A1037" s="17"/>
      <c r="B1037" s="17"/>
      <c r="C1037" s="17"/>
      <c r="D1037" s="17"/>
      <c r="E1037" s="17"/>
      <c r="F1037" s="17"/>
      <c r="G1037" s="17"/>
      <c r="H1037" s="64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</row>
    <row r="1038">
      <c r="A1038" s="17"/>
      <c r="B1038" s="17"/>
      <c r="C1038" s="17"/>
      <c r="D1038" s="17"/>
      <c r="E1038" s="17"/>
      <c r="F1038" s="17"/>
      <c r="G1038" s="17"/>
      <c r="H1038" s="64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</row>
    <row r="1039">
      <c r="A1039" s="17"/>
      <c r="B1039" s="17"/>
      <c r="C1039" s="17"/>
      <c r="D1039" s="17"/>
      <c r="E1039" s="17"/>
      <c r="F1039" s="17"/>
      <c r="G1039" s="17"/>
      <c r="H1039" s="64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</row>
    <row r="1040">
      <c r="A1040" s="17"/>
      <c r="B1040" s="17"/>
      <c r="C1040" s="17"/>
      <c r="D1040" s="17"/>
      <c r="E1040" s="17"/>
      <c r="F1040" s="17"/>
      <c r="G1040" s="17"/>
      <c r="H1040" s="64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</row>
    <row r="1041">
      <c r="A1041" s="17"/>
      <c r="B1041" s="17"/>
      <c r="C1041" s="17"/>
      <c r="D1041" s="17"/>
      <c r="E1041" s="17"/>
      <c r="F1041" s="17"/>
      <c r="G1041" s="17"/>
      <c r="H1041" s="64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</row>
    <row r="1042">
      <c r="A1042" s="17"/>
      <c r="B1042" s="17"/>
      <c r="C1042" s="17"/>
      <c r="D1042" s="17"/>
      <c r="E1042" s="17"/>
      <c r="F1042" s="17"/>
      <c r="G1042" s="17"/>
      <c r="H1042" s="64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</row>
    <row r="1043">
      <c r="A1043" s="17"/>
      <c r="B1043" s="17"/>
      <c r="C1043" s="17"/>
      <c r="D1043" s="17"/>
      <c r="E1043" s="17"/>
      <c r="F1043" s="17"/>
      <c r="G1043" s="17"/>
      <c r="H1043" s="64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</row>
    <row r="1044">
      <c r="A1044" s="17"/>
      <c r="B1044" s="17"/>
      <c r="C1044" s="17"/>
      <c r="D1044" s="17"/>
      <c r="E1044" s="17"/>
      <c r="F1044" s="17"/>
      <c r="G1044" s="17"/>
      <c r="H1044" s="64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</row>
    <row r="1045">
      <c r="A1045" s="17"/>
      <c r="B1045" s="17"/>
      <c r="C1045" s="17"/>
      <c r="D1045" s="17"/>
      <c r="E1045" s="17"/>
      <c r="F1045" s="17"/>
      <c r="G1045" s="17"/>
      <c r="H1045" s="64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</row>
    <row r="1046">
      <c r="A1046" s="17"/>
      <c r="B1046" s="17"/>
      <c r="C1046" s="17"/>
      <c r="D1046" s="17"/>
      <c r="E1046" s="17"/>
      <c r="F1046" s="17"/>
      <c r="G1046" s="17"/>
      <c r="H1046" s="64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</row>
    <row r="1047">
      <c r="A1047" s="17"/>
      <c r="B1047" s="17"/>
      <c r="C1047" s="17"/>
      <c r="D1047" s="17"/>
      <c r="E1047" s="17"/>
      <c r="F1047" s="17"/>
      <c r="G1047" s="17"/>
      <c r="H1047" s="64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</row>
    <row r="1048">
      <c r="A1048" s="17"/>
      <c r="B1048" s="17"/>
      <c r="C1048" s="17"/>
      <c r="D1048" s="17"/>
      <c r="E1048" s="17"/>
      <c r="F1048" s="17"/>
      <c r="G1048" s="17"/>
      <c r="H1048" s="64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</row>
    <row r="1049">
      <c r="A1049" s="17"/>
      <c r="B1049" s="17"/>
      <c r="C1049" s="17"/>
      <c r="D1049" s="17"/>
      <c r="E1049" s="17"/>
      <c r="F1049" s="17"/>
      <c r="G1049" s="17"/>
      <c r="H1049" s="64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</row>
    <row r="1050">
      <c r="A1050" s="17"/>
      <c r="B1050" s="17"/>
      <c r="C1050" s="17"/>
      <c r="D1050" s="17"/>
      <c r="E1050" s="17"/>
      <c r="F1050" s="17"/>
      <c r="G1050" s="17"/>
      <c r="H1050" s="64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</row>
    <row r="1051">
      <c r="A1051" s="17"/>
      <c r="B1051" s="17"/>
      <c r="C1051" s="17"/>
      <c r="D1051" s="17"/>
      <c r="E1051" s="17"/>
      <c r="F1051" s="17"/>
      <c r="G1051" s="17"/>
      <c r="H1051" s="64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</row>
    <row r="1052">
      <c r="A1052" s="17"/>
      <c r="B1052" s="17"/>
      <c r="C1052" s="17"/>
      <c r="D1052" s="17"/>
      <c r="E1052" s="17"/>
      <c r="F1052" s="17"/>
      <c r="G1052" s="17"/>
      <c r="H1052" s="64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</row>
    <row r="1053">
      <c r="A1053" s="17"/>
      <c r="B1053" s="17"/>
      <c r="C1053" s="17"/>
      <c r="D1053" s="17"/>
      <c r="E1053" s="17"/>
      <c r="F1053" s="17"/>
      <c r="G1053" s="17"/>
      <c r="H1053" s="64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</row>
    <row r="1054">
      <c r="A1054" s="17"/>
      <c r="B1054" s="17"/>
      <c r="C1054" s="17"/>
      <c r="D1054" s="17"/>
      <c r="E1054" s="17"/>
      <c r="F1054" s="17"/>
      <c r="G1054" s="17"/>
      <c r="H1054" s="64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</row>
    <row r="1055">
      <c r="A1055" s="17"/>
      <c r="B1055" s="17"/>
      <c r="C1055" s="17"/>
      <c r="D1055" s="17"/>
      <c r="E1055" s="17"/>
      <c r="F1055" s="17"/>
      <c r="G1055" s="17"/>
      <c r="H1055" s="64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</row>
    <row r="1056">
      <c r="A1056" s="17"/>
      <c r="B1056" s="17"/>
      <c r="C1056" s="17"/>
      <c r="D1056" s="17"/>
      <c r="E1056" s="17"/>
      <c r="F1056" s="17"/>
      <c r="G1056" s="17"/>
      <c r="H1056" s="64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</row>
    <row r="1057">
      <c r="A1057" s="17"/>
      <c r="B1057" s="17"/>
      <c r="C1057" s="17"/>
      <c r="D1057" s="17"/>
      <c r="E1057" s="17"/>
      <c r="F1057" s="17"/>
      <c r="G1057" s="17"/>
      <c r="H1057" s="64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</row>
    <row r="1058">
      <c r="A1058" s="17"/>
      <c r="B1058" s="17"/>
      <c r="C1058" s="17"/>
      <c r="D1058" s="17"/>
      <c r="E1058" s="17"/>
      <c r="F1058" s="17"/>
      <c r="G1058" s="17"/>
      <c r="H1058" s="64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</row>
    <row r="1059">
      <c r="A1059" s="17"/>
      <c r="B1059" s="17"/>
      <c r="C1059" s="17"/>
      <c r="D1059" s="17"/>
      <c r="E1059" s="17"/>
      <c r="F1059" s="17"/>
      <c r="G1059" s="17"/>
      <c r="H1059" s="64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</row>
    <row r="1060">
      <c r="A1060" s="17"/>
      <c r="B1060" s="17"/>
      <c r="C1060" s="17"/>
      <c r="D1060" s="17"/>
      <c r="E1060" s="17"/>
      <c r="F1060" s="17"/>
      <c r="G1060" s="17"/>
      <c r="H1060" s="64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</row>
    <row r="1061">
      <c r="A1061" s="17"/>
      <c r="B1061" s="17"/>
      <c r="C1061" s="17"/>
      <c r="D1061" s="17"/>
      <c r="E1061" s="17"/>
      <c r="F1061" s="17"/>
      <c r="G1061" s="17"/>
      <c r="H1061" s="64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</row>
    <row r="1062">
      <c r="A1062" s="17"/>
      <c r="B1062" s="17"/>
      <c r="C1062" s="17"/>
      <c r="D1062" s="17"/>
      <c r="E1062" s="17"/>
      <c r="F1062" s="17"/>
      <c r="G1062" s="17"/>
      <c r="H1062" s="64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</row>
    <row r="1063">
      <c r="A1063" s="17"/>
      <c r="B1063" s="17"/>
      <c r="C1063" s="17"/>
      <c r="D1063" s="17"/>
      <c r="E1063" s="17"/>
      <c r="F1063" s="17"/>
      <c r="G1063" s="17"/>
      <c r="H1063" s="64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</row>
    <row r="1064">
      <c r="A1064" s="17"/>
      <c r="B1064" s="17"/>
      <c r="C1064" s="17"/>
      <c r="D1064" s="17"/>
      <c r="E1064" s="17"/>
      <c r="F1064" s="17"/>
      <c r="G1064" s="17"/>
      <c r="H1064" s="64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</row>
    <row r="1065">
      <c r="A1065" s="17"/>
      <c r="B1065" s="17"/>
      <c r="C1065" s="17"/>
      <c r="D1065" s="17"/>
      <c r="E1065" s="17"/>
      <c r="F1065" s="17"/>
      <c r="G1065" s="17"/>
      <c r="H1065" s="64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</row>
    <row r="1066">
      <c r="A1066" s="17"/>
      <c r="B1066" s="17"/>
      <c r="C1066" s="17"/>
      <c r="D1066" s="17"/>
      <c r="E1066" s="17"/>
      <c r="F1066" s="17"/>
      <c r="G1066" s="17"/>
      <c r="H1066" s="64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</row>
    <row r="1067">
      <c r="A1067" s="17"/>
      <c r="B1067" s="17"/>
      <c r="C1067" s="17"/>
      <c r="D1067" s="17"/>
      <c r="E1067" s="17"/>
      <c r="F1067" s="17"/>
      <c r="G1067" s="17"/>
      <c r="H1067" s="64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</row>
    <row r="1068">
      <c r="A1068" s="17"/>
      <c r="B1068" s="17"/>
      <c r="C1068" s="17"/>
      <c r="D1068" s="17"/>
      <c r="E1068" s="17"/>
      <c r="F1068" s="17"/>
      <c r="G1068" s="17"/>
      <c r="H1068" s="64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</row>
    <row r="1069">
      <c r="A1069" s="17"/>
      <c r="B1069" s="17"/>
      <c r="C1069" s="17"/>
      <c r="D1069" s="17"/>
      <c r="E1069" s="17"/>
      <c r="F1069" s="17"/>
      <c r="G1069" s="17"/>
      <c r="H1069" s="64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</row>
    <row r="1070">
      <c r="A1070" s="17"/>
      <c r="B1070" s="17"/>
      <c r="C1070" s="17"/>
      <c r="D1070" s="17"/>
      <c r="E1070" s="17"/>
      <c r="F1070" s="17"/>
      <c r="G1070" s="17"/>
      <c r="H1070" s="64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</row>
    <row r="1071">
      <c r="A1071" s="17"/>
      <c r="B1071" s="17"/>
      <c r="C1071" s="17"/>
      <c r="D1071" s="17"/>
      <c r="E1071" s="17"/>
      <c r="F1071" s="17"/>
      <c r="G1071" s="17"/>
      <c r="H1071" s="64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</row>
    <row r="1072">
      <c r="A1072" s="17"/>
      <c r="B1072" s="17"/>
      <c r="C1072" s="17"/>
      <c r="D1072" s="17"/>
      <c r="E1072" s="17"/>
      <c r="F1072" s="17"/>
      <c r="G1072" s="17"/>
      <c r="H1072" s="64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</row>
    <row r="1073">
      <c r="A1073" s="17"/>
      <c r="B1073" s="17"/>
      <c r="C1073" s="17"/>
      <c r="D1073" s="17"/>
      <c r="E1073" s="17"/>
      <c r="F1073" s="17"/>
      <c r="G1073" s="17"/>
      <c r="H1073" s="64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</row>
    <row r="1074">
      <c r="A1074" s="17"/>
      <c r="B1074" s="17"/>
      <c r="C1074" s="17"/>
      <c r="D1074" s="17"/>
      <c r="E1074" s="17"/>
      <c r="F1074" s="17"/>
      <c r="G1074" s="17"/>
      <c r="H1074" s="64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</row>
    <row r="1075">
      <c r="A1075" s="17"/>
      <c r="B1075" s="17"/>
      <c r="C1075" s="17"/>
      <c r="D1075" s="17"/>
      <c r="E1075" s="17"/>
      <c r="F1075" s="17"/>
      <c r="G1075" s="17"/>
      <c r="H1075" s="64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</row>
    <row r="1076">
      <c r="A1076" s="17"/>
      <c r="B1076" s="17"/>
      <c r="C1076" s="17"/>
      <c r="D1076" s="17"/>
      <c r="E1076" s="17"/>
      <c r="F1076" s="17"/>
      <c r="G1076" s="17"/>
      <c r="H1076" s="64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</row>
    <row r="1077">
      <c r="A1077" s="17"/>
      <c r="B1077" s="17"/>
      <c r="C1077" s="17"/>
      <c r="D1077" s="17"/>
      <c r="E1077" s="17"/>
      <c r="F1077" s="17"/>
      <c r="G1077" s="17"/>
      <c r="H1077" s="64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</row>
    <row r="1078">
      <c r="A1078" s="17"/>
      <c r="B1078" s="17"/>
      <c r="C1078" s="17"/>
      <c r="D1078" s="17"/>
      <c r="E1078" s="17"/>
      <c r="F1078" s="17"/>
      <c r="G1078" s="17"/>
      <c r="H1078" s="64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</row>
    <row r="1079">
      <c r="A1079" s="17"/>
      <c r="B1079" s="17"/>
      <c r="C1079" s="17"/>
      <c r="D1079" s="17"/>
      <c r="E1079" s="17"/>
      <c r="F1079" s="17"/>
      <c r="G1079" s="17"/>
      <c r="H1079" s="64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</row>
    <row r="1080">
      <c r="A1080" s="17"/>
      <c r="B1080" s="17"/>
      <c r="C1080" s="17"/>
      <c r="D1080" s="17"/>
      <c r="E1080" s="17"/>
      <c r="F1080" s="17"/>
      <c r="G1080" s="17"/>
      <c r="H1080" s="64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</row>
    <row r="1081">
      <c r="A1081" s="17"/>
      <c r="B1081" s="17"/>
      <c r="C1081" s="17"/>
      <c r="D1081" s="17"/>
      <c r="E1081" s="17"/>
      <c r="F1081" s="17"/>
      <c r="G1081" s="17"/>
      <c r="H1081" s="64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</row>
    <row r="1082">
      <c r="A1082" s="17"/>
      <c r="B1082" s="17"/>
      <c r="C1082" s="17"/>
      <c r="D1082" s="17"/>
      <c r="E1082" s="17"/>
      <c r="F1082" s="17"/>
      <c r="G1082" s="17"/>
      <c r="H1082" s="64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</row>
    <row r="1083">
      <c r="A1083" s="17"/>
      <c r="B1083" s="17"/>
      <c r="C1083" s="17"/>
      <c r="D1083" s="17"/>
      <c r="E1083" s="17"/>
      <c r="F1083" s="17"/>
      <c r="G1083" s="17"/>
      <c r="H1083" s="64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</row>
    <row r="1084">
      <c r="A1084" s="17"/>
      <c r="B1084" s="17"/>
      <c r="C1084" s="17"/>
      <c r="D1084" s="17"/>
      <c r="E1084" s="17"/>
      <c r="F1084" s="17"/>
      <c r="G1084" s="17"/>
      <c r="H1084" s="64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</row>
    <row r="1085">
      <c r="A1085" s="17"/>
      <c r="B1085" s="17"/>
      <c r="C1085" s="17"/>
      <c r="D1085" s="17"/>
      <c r="E1085" s="17"/>
      <c r="F1085" s="17"/>
      <c r="G1085" s="17"/>
      <c r="H1085" s="64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</row>
    <row r="1086">
      <c r="A1086" s="17"/>
      <c r="B1086" s="17"/>
      <c r="C1086" s="17"/>
      <c r="D1086" s="17"/>
      <c r="E1086" s="17"/>
      <c r="F1086" s="17"/>
      <c r="G1086" s="17"/>
      <c r="H1086" s="64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</row>
    <row r="1087">
      <c r="A1087" s="17"/>
      <c r="B1087" s="17"/>
      <c r="C1087" s="17"/>
      <c r="D1087" s="17"/>
      <c r="E1087" s="17"/>
      <c r="F1087" s="17"/>
      <c r="G1087" s="17"/>
      <c r="H1087" s="64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</row>
    <row r="1088">
      <c r="A1088" s="17"/>
      <c r="B1088" s="17"/>
      <c r="C1088" s="17"/>
      <c r="D1088" s="17"/>
      <c r="E1088" s="17"/>
      <c r="F1088" s="17"/>
      <c r="G1088" s="17"/>
      <c r="H1088" s="64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</row>
    <row r="1089">
      <c r="A1089" s="17"/>
      <c r="B1089" s="17"/>
      <c r="C1089" s="17"/>
      <c r="D1089" s="17"/>
      <c r="E1089" s="17"/>
      <c r="F1089" s="17"/>
      <c r="G1089" s="17"/>
      <c r="H1089" s="64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</row>
    <row r="1090">
      <c r="A1090" s="17"/>
      <c r="B1090" s="17"/>
      <c r="C1090" s="17"/>
      <c r="D1090" s="17"/>
      <c r="E1090" s="17"/>
      <c r="F1090" s="17"/>
      <c r="G1090" s="17"/>
      <c r="H1090" s="64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</row>
    <row r="1091">
      <c r="A1091" s="17"/>
      <c r="B1091" s="17"/>
      <c r="C1091" s="17"/>
      <c r="D1091" s="17"/>
      <c r="E1091" s="17"/>
      <c r="F1091" s="17"/>
      <c r="G1091" s="17"/>
      <c r="H1091" s="64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</row>
    <row r="1092">
      <c r="A1092" s="17"/>
      <c r="B1092" s="17"/>
      <c r="C1092" s="17"/>
      <c r="D1092" s="17"/>
      <c r="E1092" s="17"/>
      <c r="F1092" s="17"/>
      <c r="G1092" s="17"/>
      <c r="H1092" s="64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</row>
    <row r="1093">
      <c r="A1093" s="17"/>
      <c r="B1093" s="17"/>
      <c r="C1093" s="17"/>
      <c r="D1093" s="17"/>
      <c r="E1093" s="17"/>
      <c r="F1093" s="17"/>
      <c r="G1093" s="17"/>
      <c r="H1093" s="64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</row>
    <row r="1094">
      <c r="A1094" s="17"/>
      <c r="B1094" s="17"/>
      <c r="C1094" s="17"/>
      <c r="D1094" s="17"/>
      <c r="E1094" s="17"/>
      <c r="F1094" s="17"/>
      <c r="G1094" s="17"/>
      <c r="H1094" s="64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</row>
    <row r="1095">
      <c r="A1095" s="17"/>
      <c r="B1095" s="17"/>
      <c r="C1095" s="17"/>
      <c r="D1095" s="17"/>
      <c r="E1095" s="17"/>
      <c r="F1095" s="17"/>
      <c r="G1095" s="17"/>
      <c r="H1095" s="64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</row>
    <row r="1096">
      <c r="A1096" s="17"/>
      <c r="B1096" s="17"/>
      <c r="C1096" s="17"/>
      <c r="D1096" s="17"/>
      <c r="E1096" s="17"/>
      <c r="F1096" s="17"/>
      <c r="G1096" s="17"/>
      <c r="H1096" s="64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</row>
    <row r="1097">
      <c r="A1097" s="17"/>
      <c r="B1097" s="17"/>
      <c r="C1097" s="17"/>
      <c r="D1097" s="17"/>
      <c r="E1097" s="17"/>
      <c r="F1097" s="17"/>
      <c r="G1097" s="17"/>
      <c r="H1097" s="64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</row>
    <row r="1098">
      <c r="A1098" s="17"/>
      <c r="B1098" s="17"/>
      <c r="C1098" s="17"/>
      <c r="D1098" s="17"/>
      <c r="E1098" s="17"/>
      <c r="F1098" s="17"/>
      <c r="G1098" s="17"/>
      <c r="H1098" s="64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</row>
    <row r="1099">
      <c r="A1099" s="17"/>
      <c r="B1099" s="17"/>
      <c r="C1099" s="17"/>
      <c r="D1099" s="17"/>
      <c r="E1099" s="17"/>
      <c r="F1099" s="17"/>
      <c r="G1099" s="17"/>
      <c r="H1099" s="64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</row>
    <row r="1100">
      <c r="A1100" s="17"/>
      <c r="B1100" s="17"/>
      <c r="C1100" s="17"/>
      <c r="D1100" s="17"/>
      <c r="E1100" s="17"/>
      <c r="F1100" s="17"/>
      <c r="G1100" s="17"/>
      <c r="H1100" s="64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</row>
    <row r="1101">
      <c r="A1101" s="17"/>
      <c r="B1101" s="17"/>
      <c r="C1101" s="17"/>
      <c r="D1101" s="17"/>
      <c r="E1101" s="17"/>
      <c r="F1101" s="17"/>
      <c r="G1101" s="17"/>
      <c r="H1101" s="64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</row>
    <row r="1102">
      <c r="A1102" s="17"/>
      <c r="B1102" s="17"/>
      <c r="C1102" s="17"/>
      <c r="D1102" s="17"/>
      <c r="E1102" s="17"/>
      <c r="F1102" s="17"/>
      <c r="G1102" s="17"/>
      <c r="H1102" s="64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</row>
    <row r="1103">
      <c r="A1103" s="17"/>
      <c r="B1103" s="17"/>
      <c r="C1103" s="17"/>
      <c r="D1103" s="17"/>
      <c r="E1103" s="17"/>
      <c r="F1103" s="17"/>
      <c r="G1103" s="17"/>
      <c r="H1103" s="64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</row>
    <row r="1104">
      <c r="A1104" s="17"/>
      <c r="B1104" s="17"/>
      <c r="C1104" s="17"/>
      <c r="D1104" s="17"/>
      <c r="E1104" s="17"/>
      <c r="F1104" s="17"/>
      <c r="G1104" s="17"/>
      <c r="H1104" s="64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</row>
    <row r="1105">
      <c r="A1105" s="17"/>
      <c r="B1105" s="17"/>
      <c r="C1105" s="17"/>
      <c r="D1105" s="17"/>
      <c r="E1105" s="17"/>
      <c r="F1105" s="17"/>
      <c r="G1105" s="17"/>
      <c r="H1105" s="64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</row>
    <row r="1106">
      <c r="A1106" s="17"/>
      <c r="B1106" s="17"/>
      <c r="C1106" s="17"/>
      <c r="D1106" s="17"/>
      <c r="E1106" s="17"/>
      <c r="F1106" s="17"/>
      <c r="G1106" s="17"/>
      <c r="H1106" s="64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</row>
    <row r="1107">
      <c r="A1107" s="17"/>
      <c r="B1107" s="17"/>
      <c r="C1107" s="17"/>
      <c r="D1107" s="17"/>
      <c r="E1107" s="17"/>
      <c r="F1107" s="17"/>
      <c r="G1107" s="17"/>
      <c r="H1107" s="64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</row>
    <row r="1108">
      <c r="A1108" s="17"/>
      <c r="B1108" s="17"/>
      <c r="C1108" s="17"/>
      <c r="D1108" s="17"/>
      <c r="E1108" s="17"/>
      <c r="F1108" s="17"/>
      <c r="G1108" s="17"/>
      <c r="H1108" s="64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</row>
    <row r="1109">
      <c r="A1109" s="17"/>
      <c r="B1109" s="17"/>
      <c r="C1109" s="17"/>
      <c r="D1109" s="17"/>
      <c r="E1109" s="17"/>
      <c r="F1109" s="17"/>
      <c r="G1109" s="17"/>
      <c r="H1109" s="64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</row>
    <row r="1110">
      <c r="A1110" s="17"/>
      <c r="B1110" s="17"/>
      <c r="C1110" s="17"/>
      <c r="D1110" s="17"/>
      <c r="E1110" s="17"/>
      <c r="F1110" s="17"/>
      <c r="G1110" s="17"/>
      <c r="H1110" s="64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</row>
    <row r="1111">
      <c r="A1111" s="17"/>
      <c r="B1111" s="17"/>
      <c r="C1111" s="17"/>
      <c r="D1111" s="17"/>
      <c r="E1111" s="17"/>
      <c r="F1111" s="17"/>
      <c r="G1111" s="17"/>
      <c r="H1111" s="64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</row>
    <row r="1112">
      <c r="A1112" s="17"/>
      <c r="B1112" s="17"/>
      <c r="C1112" s="17"/>
      <c r="D1112" s="17"/>
      <c r="E1112" s="17"/>
      <c r="F1112" s="17"/>
      <c r="G1112" s="17"/>
      <c r="H1112" s="64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</row>
    <row r="1113">
      <c r="A1113" s="17"/>
      <c r="B1113" s="17"/>
      <c r="C1113" s="17"/>
      <c r="D1113" s="17"/>
      <c r="E1113" s="17"/>
      <c r="F1113" s="17"/>
      <c r="G1113" s="17"/>
      <c r="H1113" s="64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</row>
    <row r="1114">
      <c r="A1114" s="17"/>
      <c r="B1114" s="17"/>
      <c r="C1114" s="17"/>
      <c r="D1114" s="17"/>
      <c r="E1114" s="17"/>
      <c r="F1114" s="17"/>
      <c r="G1114" s="17"/>
      <c r="H1114" s="64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</row>
    <row r="1115">
      <c r="A1115" s="17"/>
      <c r="B1115" s="17"/>
      <c r="C1115" s="17"/>
      <c r="D1115" s="17"/>
      <c r="E1115" s="17"/>
      <c r="F1115" s="17"/>
      <c r="G1115" s="17"/>
      <c r="H1115" s="64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</row>
    <row r="1116">
      <c r="A1116" s="17"/>
      <c r="B1116" s="17"/>
      <c r="C1116" s="17"/>
      <c r="D1116" s="17"/>
      <c r="E1116" s="17"/>
      <c r="F1116" s="17"/>
      <c r="G1116" s="17"/>
      <c r="H1116" s="64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</row>
    <row r="1117">
      <c r="A1117" s="17"/>
      <c r="B1117" s="17"/>
      <c r="C1117" s="17"/>
      <c r="D1117" s="17"/>
      <c r="E1117" s="17"/>
      <c r="F1117" s="17"/>
      <c r="G1117" s="17"/>
      <c r="H1117" s="64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</row>
    <row r="1118">
      <c r="A1118" s="17"/>
      <c r="B1118" s="17"/>
      <c r="C1118" s="17"/>
      <c r="D1118" s="17"/>
      <c r="E1118" s="17"/>
      <c r="F1118" s="17"/>
      <c r="G1118" s="17"/>
      <c r="H1118" s="64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</row>
    <row r="1119">
      <c r="A1119" s="17"/>
      <c r="B1119" s="17"/>
      <c r="C1119" s="17"/>
      <c r="D1119" s="17"/>
      <c r="E1119" s="17"/>
      <c r="F1119" s="17"/>
      <c r="G1119" s="17"/>
      <c r="H1119" s="64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</row>
  </sheetData>
  <mergeCells count="6">
    <mergeCell ref="I1:J1"/>
    <mergeCell ref="B3:B4"/>
    <mergeCell ref="B5:B6"/>
    <mergeCell ref="B7:B8"/>
    <mergeCell ref="B10:B19"/>
    <mergeCell ref="B20:B29"/>
  </mergeCells>
  <conditionalFormatting sqref="R155">
    <cfRule type="notContainsBlanks" dxfId="3" priority="1">
      <formula>LEN(TRIM(R155))&gt;0</formula>
    </cfRule>
  </conditionalFormatting>
  <dataValidations>
    <dataValidation type="list" allowBlank="1" showErrorMessage="1" sqref="V3:V29 V32:V73 V76:V86 V144:V150">
      <formula1>"LTO Registered,For Registration,Ongoing Registration,c/o Dealer"</formula1>
    </dataValidation>
  </dataValidations>
  <hyperlinks>
    <hyperlink r:id="rId4" ref="S193"/>
  </hyperlinks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5"/>
  <legacyDrawing r:id="rId6"/>
  <tableParts count="2"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5"/>
    <col customWidth="1" min="4" max="4" width="14.25"/>
    <col customWidth="1" min="5" max="5" width="39.5"/>
    <col customWidth="1" min="8" max="8" width="18.63"/>
  </cols>
  <sheetData>
    <row r="1">
      <c r="A1" s="1" t="s">
        <v>0</v>
      </c>
      <c r="B1" s="2">
        <v>46148.0</v>
      </c>
      <c r="C1" s="3"/>
      <c r="D1" s="1" t="s">
        <v>0</v>
      </c>
      <c r="E1" s="2">
        <v>46150.0</v>
      </c>
      <c r="F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 t="s">
        <v>2</v>
      </c>
      <c r="B2" s="1" t="s">
        <v>4</v>
      </c>
      <c r="C2" s="3"/>
      <c r="D2" s="1" t="s">
        <v>2</v>
      </c>
      <c r="E2" s="1" t="s">
        <v>6</v>
      </c>
      <c r="F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" t="s">
        <v>9</v>
      </c>
      <c r="B3" s="1" t="s">
        <v>6</v>
      </c>
      <c r="C3" s="3"/>
      <c r="D3" s="1" t="s">
        <v>9</v>
      </c>
      <c r="E3" s="1" t="s">
        <v>10</v>
      </c>
      <c r="F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3"/>
      <c r="D4" s="3"/>
      <c r="E4" s="3"/>
      <c r="F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8" t="s">
        <v>12</v>
      </c>
      <c r="B5" s="8" t="s">
        <v>13</v>
      </c>
      <c r="C5" s="1" t="s">
        <v>14</v>
      </c>
      <c r="D5" s="8" t="s">
        <v>12</v>
      </c>
      <c r="E5" s="8" t="s">
        <v>13</v>
      </c>
      <c r="F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0" t="s">
        <v>16</v>
      </c>
      <c r="B6" s="10" t="s">
        <v>17</v>
      </c>
      <c r="D6" s="12" t="s">
        <v>18</v>
      </c>
      <c r="E6" s="13" t="s">
        <v>20</v>
      </c>
      <c r="F6" s="3"/>
      <c r="I6" s="14"/>
      <c r="J6" s="14"/>
      <c r="K6" s="1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0" t="s">
        <v>16</v>
      </c>
      <c r="B7" s="10" t="s">
        <v>26</v>
      </c>
      <c r="C7" s="1"/>
      <c r="D7" s="10" t="s">
        <v>28</v>
      </c>
      <c r="E7" s="17" t="s">
        <v>30</v>
      </c>
      <c r="F7" s="3"/>
      <c r="I7" s="14"/>
      <c r="J7" s="14"/>
      <c r="K7" s="1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2" t="s">
        <v>16</v>
      </c>
      <c r="B8" s="22" t="s">
        <v>36</v>
      </c>
      <c r="C8" s="3"/>
      <c r="D8" s="10" t="s">
        <v>28</v>
      </c>
      <c r="E8" s="17" t="s">
        <v>37</v>
      </c>
      <c r="F8" s="3"/>
      <c r="I8" s="14"/>
      <c r="J8" s="14"/>
      <c r="K8" s="1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2" t="s">
        <v>16</v>
      </c>
      <c r="B9" s="22" t="s">
        <v>44</v>
      </c>
      <c r="C9" s="3"/>
      <c r="D9" s="10" t="s">
        <v>28</v>
      </c>
      <c r="E9" s="17" t="s">
        <v>47</v>
      </c>
      <c r="F9" s="3"/>
      <c r="I9" s="14"/>
      <c r="J9" s="14"/>
      <c r="K9" s="1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2" t="s">
        <v>16</v>
      </c>
      <c r="B10" s="22" t="s">
        <v>52</v>
      </c>
      <c r="C10" s="3"/>
      <c r="D10" s="10" t="s">
        <v>28</v>
      </c>
      <c r="E10" s="17" t="s">
        <v>53</v>
      </c>
      <c r="F10" s="3"/>
      <c r="I10" s="14"/>
      <c r="J10" s="14"/>
      <c r="K10" s="1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2" t="s">
        <v>16</v>
      </c>
      <c r="B11" s="22" t="s">
        <v>59</v>
      </c>
      <c r="C11" s="3"/>
      <c r="D11" s="10" t="s">
        <v>28</v>
      </c>
      <c r="E11" s="17" t="s">
        <v>60</v>
      </c>
      <c r="F11" s="3"/>
      <c r="I11" s="14"/>
      <c r="J11" s="14"/>
      <c r="K11" s="1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22" t="s">
        <v>16</v>
      </c>
      <c r="B12" s="22" t="s">
        <v>69</v>
      </c>
      <c r="C12" s="3"/>
      <c r="D12" s="10" t="s">
        <v>28</v>
      </c>
      <c r="E12" s="17" t="s">
        <v>72</v>
      </c>
      <c r="F12" s="3"/>
      <c r="I12" s="14"/>
      <c r="J12" s="14"/>
      <c r="K12" s="1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22" t="s">
        <v>16</v>
      </c>
      <c r="B13" s="22" t="s">
        <v>83</v>
      </c>
      <c r="C13" s="3"/>
      <c r="D13" s="10" t="s">
        <v>28</v>
      </c>
      <c r="E13" s="17" t="s">
        <v>84</v>
      </c>
      <c r="F13" s="3"/>
      <c r="I13" s="12"/>
      <c r="J13" s="12"/>
      <c r="K13" s="1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22" t="s">
        <v>87</v>
      </c>
      <c r="B14" s="22" t="s">
        <v>88</v>
      </c>
      <c r="D14" s="10" t="s">
        <v>28</v>
      </c>
      <c r="E14" s="17" t="s">
        <v>89</v>
      </c>
      <c r="F14" s="3"/>
      <c r="I14" s="14"/>
      <c r="J14" s="14"/>
      <c r="K14" s="1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2" t="s">
        <v>87</v>
      </c>
      <c r="B15" s="22" t="s">
        <v>91</v>
      </c>
      <c r="D15" s="10" t="s">
        <v>28</v>
      </c>
      <c r="E15" s="17" t="s">
        <v>92</v>
      </c>
      <c r="F15" s="3"/>
      <c r="I15" s="12"/>
      <c r="J15" s="12"/>
      <c r="K15" s="1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D16" s="10" t="s">
        <v>28</v>
      </c>
      <c r="E16" s="17" t="s">
        <v>98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22" t="s">
        <v>16</v>
      </c>
      <c r="E17" s="17" t="s">
        <v>101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 t="s">
        <v>0</v>
      </c>
      <c r="B19" s="36">
        <v>46170.0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 t="s">
        <v>2</v>
      </c>
      <c r="B20" s="1" t="s">
        <v>10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 t="s">
        <v>9</v>
      </c>
      <c r="B21" s="1" t="s">
        <v>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8" t="s">
        <v>12</v>
      </c>
      <c r="B23" s="8" t="s">
        <v>13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0" t="s">
        <v>28</v>
      </c>
      <c r="B24" s="17" t="s">
        <v>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0" t="s">
        <v>28</v>
      </c>
      <c r="B25" s="17" t="s">
        <v>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0" t="s">
        <v>28</v>
      </c>
      <c r="B26" s="17" t="s">
        <v>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0" t="s">
        <v>28</v>
      </c>
      <c r="B27" s="17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0" t="s">
        <v>28</v>
      </c>
      <c r="B28" s="17" t="s">
        <v>60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0" t="s">
        <v>28</v>
      </c>
      <c r="B29" s="17" t="s">
        <v>72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0" t="s">
        <v>28</v>
      </c>
      <c r="B30" s="17" t="s">
        <v>84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0" t="s">
        <v>28</v>
      </c>
      <c r="B31" s="17" t="s">
        <v>89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0" t="s">
        <v>28</v>
      </c>
      <c r="B32" s="17" t="s">
        <v>92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0" t="s">
        <v>28</v>
      </c>
      <c r="B33" s="17" t="s">
        <v>98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</sheetData>
  <mergeCells count="1">
    <mergeCell ref="A18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  <col customWidth="1" min="5" max="6" width="18.5"/>
  </cols>
  <sheetData>
    <row r="6">
      <c r="E6" s="4">
        <f>SUM(E8:E10)</f>
        <v>7</v>
      </c>
    </row>
    <row r="7">
      <c r="D7" s="5" t="s">
        <v>1</v>
      </c>
      <c r="E7" s="6" t="s">
        <v>3</v>
      </c>
      <c r="F7" s="5" t="s">
        <v>5</v>
      </c>
    </row>
    <row r="8">
      <c r="D8" s="5" t="s">
        <v>7</v>
      </c>
      <c r="E8" s="6">
        <v>4.0</v>
      </c>
      <c r="F8" s="7">
        <v>46186.0</v>
      </c>
    </row>
    <row r="9">
      <c r="D9" s="5" t="s">
        <v>8</v>
      </c>
      <c r="E9" s="6">
        <v>2.0</v>
      </c>
      <c r="F9" s="7">
        <v>46189.0</v>
      </c>
    </row>
    <row r="10">
      <c r="D10" s="5" t="s">
        <v>11</v>
      </c>
      <c r="E10" s="6">
        <v>1.0</v>
      </c>
      <c r="F10" s="7">
        <v>46189.0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4.0"/>
    <col customWidth="1" min="3" max="3" width="14.88"/>
    <col customWidth="1" min="4" max="4" width="17.63"/>
    <col customWidth="1" min="5" max="5" width="16.75"/>
    <col customWidth="1" min="6" max="6" width="13.5"/>
    <col customWidth="1" min="7" max="15" width="11.88"/>
  </cols>
  <sheetData>
    <row r="1">
      <c r="A1" s="9"/>
      <c r="B1" s="9" t="s">
        <v>15</v>
      </c>
      <c r="C1" s="9"/>
      <c r="D1" s="9" t="s">
        <v>19</v>
      </c>
      <c r="G1" s="9" t="s">
        <v>21</v>
      </c>
      <c r="H1" s="9" t="s">
        <v>22</v>
      </c>
      <c r="J1" s="9" t="s">
        <v>23</v>
      </c>
      <c r="K1" s="9" t="s">
        <v>21</v>
      </c>
      <c r="L1" s="9" t="s">
        <v>24</v>
      </c>
      <c r="M1" s="9" t="s">
        <v>21</v>
      </c>
      <c r="N1" s="9" t="s">
        <v>25</v>
      </c>
      <c r="P1" s="16" t="s">
        <v>27</v>
      </c>
      <c r="Q1" s="18" t="s">
        <v>31</v>
      </c>
    </row>
    <row r="2">
      <c r="A2" s="20" t="s">
        <v>32</v>
      </c>
      <c r="B2" s="20" t="s">
        <v>33</v>
      </c>
      <c r="C2" s="21" t="s">
        <v>34</v>
      </c>
      <c r="D2" s="23" t="s">
        <v>35</v>
      </c>
      <c r="E2" s="23" t="s">
        <v>38</v>
      </c>
      <c r="F2" s="23" t="s">
        <v>39</v>
      </c>
      <c r="G2" s="23" t="s">
        <v>40</v>
      </c>
      <c r="H2" s="23" t="s">
        <v>41</v>
      </c>
      <c r="I2" s="23" t="s">
        <v>42</v>
      </c>
      <c r="J2" s="21" t="s">
        <v>43</v>
      </c>
      <c r="K2" s="23" t="s">
        <v>45</v>
      </c>
      <c r="L2" s="21" t="s">
        <v>46</v>
      </c>
      <c r="M2" s="23" t="s">
        <v>49</v>
      </c>
      <c r="N2" s="23" t="s">
        <v>50</v>
      </c>
      <c r="O2" s="23" t="s">
        <v>40</v>
      </c>
      <c r="Q2" s="24"/>
    </row>
    <row r="3">
      <c r="A3" s="16" t="s">
        <v>51</v>
      </c>
      <c r="B3" s="16">
        <v>1.0</v>
      </c>
      <c r="C3" s="25">
        <v>0.00636574074074074</v>
      </c>
      <c r="D3" s="25">
        <v>0.0059722222222222225</v>
      </c>
      <c r="E3" s="25">
        <v>0.0010185185185185184</v>
      </c>
      <c r="F3" s="25">
        <v>0.008101851851851851</v>
      </c>
      <c r="G3" s="27">
        <f>SUM(C3:F3)</f>
        <v>0.02145833333</v>
      </c>
      <c r="H3" s="25">
        <v>0.007175925925925926</v>
      </c>
      <c r="J3" s="25">
        <v>0.0023032407407407407</v>
      </c>
      <c r="K3" s="25">
        <v>0.007118055555555555</v>
      </c>
      <c r="L3" s="25">
        <v>0.007118055555555555</v>
      </c>
      <c r="M3" s="25">
        <v>0.004409722222222222</v>
      </c>
      <c r="N3" s="25">
        <v>0.0140625</v>
      </c>
      <c r="O3" s="27">
        <f>SUM(G3,H3:N3)</f>
        <v>0.06364583333</v>
      </c>
      <c r="P3" s="16">
        <v>8.0</v>
      </c>
      <c r="Q3" s="30">
        <f>P3/1.51</f>
        <v>5.298013245</v>
      </c>
      <c r="R3" s="16">
        <f>50/10</f>
        <v>5</v>
      </c>
    </row>
    <row r="4" hidden="1">
      <c r="A4" s="16" t="s">
        <v>90</v>
      </c>
      <c r="B4" s="16">
        <v>1.0</v>
      </c>
      <c r="D4" s="16"/>
      <c r="E4" s="16"/>
      <c r="F4" s="31"/>
      <c r="G4" s="16"/>
      <c r="I4" s="31"/>
      <c r="O4" s="27">
        <v>0.06364583333333333</v>
      </c>
    </row>
    <row r="5">
      <c r="A5" s="16" t="s">
        <v>51</v>
      </c>
      <c r="B5" s="16">
        <v>1.0</v>
      </c>
      <c r="C5" s="25">
        <v>0.00636574074074074</v>
      </c>
      <c r="D5" s="25">
        <v>0.0059722222222222225</v>
      </c>
      <c r="E5" s="25">
        <v>0.0010185185185185184</v>
      </c>
      <c r="F5" s="25">
        <v>0.008101851851851851</v>
      </c>
      <c r="G5" s="27">
        <f>SUM(C5:F5)</f>
        <v>0.02145833333</v>
      </c>
      <c r="H5" s="25">
        <v>0.007175925925925926</v>
      </c>
      <c r="I5" s="25">
        <v>0.021296296296296296</v>
      </c>
      <c r="J5" s="25">
        <v>0.0023032407407407407</v>
      </c>
      <c r="K5" s="25">
        <v>0.007118055555555555</v>
      </c>
      <c r="L5" s="25">
        <v>0.007118055555555555</v>
      </c>
      <c r="M5" s="25">
        <v>0.004409722222222222</v>
      </c>
      <c r="N5" s="25">
        <v>0.0140625</v>
      </c>
      <c r="O5" s="27">
        <f>SUM(G5,H5:N5)</f>
        <v>0.08494212963</v>
      </c>
      <c r="P5" s="16">
        <v>8.0</v>
      </c>
      <c r="Q5" s="30">
        <f>P5/2</f>
        <v>4</v>
      </c>
    </row>
    <row r="6">
      <c r="I6" s="31"/>
    </row>
    <row r="8">
      <c r="A8" s="37" t="s">
        <v>32</v>
      </c>
      <c r="B8" s="38" t="s">
        <v>109</v>
      </c>
      <c r="C8" s="9" t="s">
        <v>110</v>
      </c>
      <c r="D8" s="9" t="s">
        <v>19</v>
      </c>
      <c r="G8" s="19"/>
      <c r="H8" s="19"/>
      <c r="I8" s="19"/>
    </row>
    <row r="9">
      <c r="A9" s="18" t="s">
        <v>51</v>
      </c>
      <c r="B9" s="38">
        <v>1.0</v>
      </c>
      <c r="C9" s="38" t="s">
        <v>113</v>
      </c>
      <c r="D9" s="38" t="s">
        <v>35</v>
      </c>
      <c r="E9" s="38" t="s">
        <v>38</v>
      </c>
      <c r="F9" s="38" t="s">
        <v>39</v>
      </c>
      <c r="G9" s="23" t="s">
        <v>40</v>
      </c>
      <c r="H9" s="16" t="s">
        <v>27</v>
      </c>
      <c r="I9" s="18" t="s">
        <v>114</v>
      </c>
    </row>
    <row r="10">
      <c r="C10" s="39">
        <v>0.06331018518518519</v>
      </c>
      <c r="D10" s="39">
        <v>0.021296296296296296</v>
      </c>
      <c r="G10" s="27">
        <f>SUM(C10:F10)</f>
        <v>0.08460648148</v>
      </c>
      <c r="H10" s="16">
        <v>8.0</v>
      </c>
      <c r="I10" s="40">
        <f>H10/2</f>
        <v>4</v>
      </c>
    </row>
    <row r="11">
      <c r="C11" s="4"/>
      <c r="D11" s="4"/>
      <c r="E11" s="4"/>
      <c r="F11" s="4"/>
      <c r="G11" s="41" t="s">
        <v>123</v>
      </c>
      <c r="H11" s="4"/>
    </row>
    <row r="13">
      <c r="A13" s="16" t="s">
        <v>124</v>
      </c>
      <c r="M13" s="16" t="s">
        <v>125</v>
      </c>
      <c r="O13" s="16" t="s">
        <v>126</v>
      </c>
    </row>
    <row r="14">
      <c r="A14" s="16" t="s">
        <v>127</v>
      </c>
      <c r="M14" s="16">
        <v>10.0</v>
      </c>
      <c r="N14" s="42">
        <f t="shared" ref="N14:N17" si="1">M14/10</f>
        <v>1</v>
      </c>
      <c r="O14" s="42">
        <f t="shared" ref="O14:O18" si="2">N14+1</f>
        <v>2</v>
      </c>
    </row>
    <row r="15">
      <c r="A15" s="16" t="s">
        <v>132</v>
      </c>
      <c r="M15" s="16">
        <v>1.0</v>
      </c>
      <c r="N15" s="42">
        <f t="shared" si="1"/>
        <v>0.1</v>
      </c>
      <c r="O15" s="42">
        <f t="shared" si="2"/>
        <v>1.1</v>
      </c>
    </row>
    <row r="16">
      <c r="A16" s="16" t="s">
        <v>133</v>
      </c>
      <c r="M16" s="16">
        <v>50.0</v>
      </c>
      <c r="N16" s="42">
        <f t="shared" si="1"/>
        <v>5</v>
      </c>
      <c r="O16" s="42">
        <f t="shared" si="2"/>
        <v>6</v>
      </c>
    </row>
    <row r="17">
      <c r="M17" s="16">
        <v>9.0</v>
      </c>
      <c r="N17" s="42">
        <f t="shared" si="1"/>
        <v>0.9</v>
      </c>
      <c r="O17" s="42">
        <f t="shared" si="2"/>
        <v>1.9</v>
      </c>
    </row>
    <row r="18">
      <c r="A18" s="16" t="s">
        <v>137</v>
      </c>
      <c r="M18" s="16">
        <v>12.0</v>
      </c>
      <c r="N18" s="42">
        <f>M18/8</f>
        <v>1.5</v>
      </c>
      <c r="O18" s="42">
        <f t="shared" si="2"/>
        <v>2.5</v>
      </c>
    </row>
    <row r="19">
      <c r="A19" s="16" t="s">
        <v>141</v>
      </c>
    </row>
    <row r="20">
      <c r="A20" s="16" t="s">
        <v>142</v>
      </c>
    </row>
    <row r="21">
      <c r="A21" s="16" t="s">
        <v>143</v>
      </c>
    </row>
    <row r="23">
      <c r="J23" s="16" t="s">
        <v>144</v>
      </c>
    </row>
    <row r="24">
      <c r="J24" s="16" t="s">
        <v>145</v>
      </c>
    </row>
    <row r="25">
      <c r="J25" s="16" t="s">
        <v>146</v>
      </c>
    </row>
    <row r="32">
      <c r="E32" s="31"/>
      <c r="F32" s="31"/>
    </row>
    <row r="34">
      <c r="E34" s="31"/>
      <c r="F34" s="31"/>
    </row>
  </sheetData>
  <mergeCells count="4">
    <mergeCell ref="D1:F1"/>
    <mergeCell ref="H1:I1"/>
    <mergeCell ref="D8:F8"/>
    <mergeCell ref="D10:F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