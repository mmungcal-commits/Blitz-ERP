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ORCYCLE" sheetId="1" r:id="rId5"/>
    <sheet state="hidden" name="Sheet44" sheetId="2" r:id="rId6"/>
    <sheet state="visible" name="BATTERY" sheetId="3" r:id="rId7"/>
    <sheet state="visible" name="LOCKER" sheetId="4" r:id="rId8"/>
    <sheet state="visible" name="SSOT" sheetId="5" r:id="rId9"/>
    <sheet state="visible" name="INVOICE CODES" sheetId="6" r:id="rId10"/>
  </sheets>
  <definedNames>
    <definedName hidden="1" localSheetId="0" name="_xlnm._FilterDatabase">MOTORCYCLE!$A$1:$S$1297</definedName>
    <definedName hidden="1" localSheetId="3" name="_xlnm._FilterDatabase">LOCKER!$A$1:$N$52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tc={a38d270f-8f47-4207-88ca-eb48eabec45d}</author>
    <author>tc={f9b9f24a-bc84-4b69-a5db-7fdbbafd42fc}</author>
  </authors>
  <commentList>
    <comment authorId="0" xr:uid="{a38d270f-8f47-4207-88ca-eb48eabec4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Parameters:
- At least 2 batteries online
- At least 3 doors can be enabled
</t>
      </text>
    </comment>
    <comment authorId="1" xr:uid="{f9b9f24a-bc84-4b69-a5db-7fdbbafd42fc}" ref="K2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@judy@nrdev.ph
Assigned to judy@nrdev.ph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tc={5564f09f-4e14-4546-9e31-1784d006ff83}</author>
    <author>tc={686c0502-07dc-4ff1-9804-18f2ce2613af}</author>
    <author>tc={6cb74572-4c3f-4e26-a5eb-c037aff9abfa}</author>
    <author>tc={7a9d78a1-cbab-4165-ab3f-4bc512c629e3}</author>
    <author>tc={940abbd6-ecd1-4257-b3fd-525ed3176566}</author>
    <author>tc={a6367026-4b88-47cf-b5fe-c3e34ff8a999}</author>
    <author>tc={d833cfd4-01d8-4482-83a3-dd8ea7eea5ad}</author>
  </authors>
  <commentList>
    <comment authorId="0" xr:uid="{5564f09f-4e14-4546-9e31-1784d006ff83}" ref="J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@eusi@nrdev.ph
Assigned to eusi@nrdev.ph
</t>
      </text>
    </comment>
    <comment authorId="1" xr:uid="{686c0502-07dc-4ff1-9804-18f2ce2613af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@eusi@nrdev.ph
Reply:
	@jysaac@nrdev.ph
</t>
      </text>
    </comment>
    <comment authorId="2" xr:uid="{6cb74572-4c3f-4e26-a5eb-c037aff9abfa}" ref="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@eusi@nrdev.ph
Reply:
	@jysaac@nrdev.ph
</t>
      </text>
    </comment>
    <comment authorId="3" xr:uid="{7a9d78a1-cbab-4165-ab3f-4bc512c629e3}" ref="J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@eusi@nrdev.ph
</t>
      </text>
    </comment>
    <comment authorId="4" xr:uid="{940abbd6-ecd1-4257-b3fd-525ed3176566}" ref="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@eusi@nrdev.ph
</t>
      </text>
    </comment>
    <comment authorId="5" xr:uid="{a6367026-4b88-47cf-b5fe-c3e34ff8a999}" ref="J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@eusi@nrdev.ph
</t>
      </text>
    </comment>
    <comment authorId="6" xr:uid="{d833cfd4-01d8-4482-83a3-dd8ea7eea5ad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@eusi@nrdev.ph
</t>
      </text>
    </comment>
  </commentList>
</comments>
</file>

<file path=xl/sharedStrings.xml><?xml version="1.0" encoding="utf-8"?>
<sst xmlns="http://schemas.openxmlformats.org/spreadsheetml/2006/main" count="17131" uniqueCount="6095">
  <si>
    <t>BATCH</t>
  </si>
  <si>
    <t>MANUFACTURER</t>
  </si>
  <si>
    <t>MODEL</t>
  </si>
  <si>
    <t>SN No.</t>
  </si>
  <si>
    <t>COLOR</t>
  </si>
  <si>
    <t>COLOR 颜色</t>
  </si>
  <si>
    <t>IMSI</t>
  </si>
  <si>
    <t>LOCATION</t>
  </si>
  <si>
    <t>ONBOARDING DATE</t>
  </si>
  <si>
    <t>INVOICE CODE</t>
  </si>
  <si>
    <t>FRAME NO. 车架号 / VIN / CHASSIS</t>
  </si>
  <si>
    <t>SITE</t>
  </si>
  <si>
    <t>BAR CODE / Battery DevID</t>
  </si>
  <si>
    <t>NETWORK</t>
  </si>
  <si>
    <t>IMEI  / IMSI</t>
  </si>
  <si>
    <t>MOTOR NO. 电机号 / ENGINE</t>
  </si>
  <si>
    <t>ICCID</t>
  </si>
  <si>
    <t>SIM</t>
  </si>
  <si>
    <t>SIM CARD TYPE</t>
  </si>
  <si>
    <t>LOCKER RELEASE</t>
  </si>
  <si>
    <t>SIM CARD #</t>
  </si>
  <si>
    <t>SIMCARD ACTIVATION</t>
  </si>
  <si>
    <t xml:space="preserve">ONBOARDING </t>
  </si>
  <si>
    <t>CP NUMBER</t>
  </si>
  <si>
    <t>REMARKS</t>
  </si>
  <si>
    <t>LAST UPDATE</t>
  </si>
  <si>
    <t>LOCKER WITH UPDATEED STICKER</t>
  </si>
  <si>
    <t>2024Q2-01-BAT-PILOT</t>
  </si>
  <si>
    <t>ENTRY NUMBER</t>
  </si>
  <si>
    <t>2025Q1-01-BAT-PILOT</t>
  </si>
  <si>
    <t>ASGARD</t>
  </si>
  <si>
    <t>CSR NUMBER</t>
  </si>
  <si>
    <t>TPL - INSURANCE PROVIDER</t>
  </si>
  <si>
    <t>TPL - INSURANCE COC NUMBER</t>
  </si>
  <si>
    <t>YUNKU</t>
  </si>
  <si>
    <t>AMPACE</t>
  </si>
  <si>
    <t>TPL - INSURANCE POLICY</t>
  </si>
  <si>
    <t>RD5PPMEDR042</t>
  </si>
  <si>
    <t>519110002039240408000078</t>
  </si>
  <si>
    <t>SALES INVOICE</t>
  </si>
  <si>
    <t>YK-HDG05WF</t>
  </si>
  <si>
    <t>MV CLEARANCE NUMBER</t>
  </si>
  <si>
    <t>9M0001</t>
  </si>
  <si>
    <t>89630323297000019596</t>
  </si>
  <si>
    <t>PLATE NUMBER</t>
  </si>
  <si>
    <t>SMART</t>
  </si>
  <si>
    <t>Green</t>
  </si>
  <si>
    <t>SALES / ASSET</t>
  </si>
  <si>
    <t>01b9907123</t>
  </si>
  <si>
    <t>2024Q4-01-MC-PILOT</t>
  </si>
  <si>
    <t>OKLA</t>
  </si>
  <si>
    <t>Powerfill Tandang Sora</t>
  </si>
  <si>
    <t>R280</t>
  </si>
  <si>
    <t>BLACK</t>
  </si>
  <si>
    <t>0325288000307881</t>
  </si>
  <si>
    <t>519110002039240408000059</t>
  </si>
  <si>
    <t>89630323297000016006</t>
  </si>
  <si>
    <t>R5FBMGOC1RL000101</t>
  </si>
  <si>
    <t>12ZW7278324YA0314H0010</t>
  </si>
  <si>
    <t>519110002039240408000057</t>
  </si>
  <si>
    <t>89630323297000015990</t>
  </si>
  <si>
    <t>00095610023</t>
  </si>
  <si>
    <t>CSR-20250319-159021</t>
  </si>
  <si>
    <t>9M0002</t>
  </si>
  <si>
    <t>Stronghold Insurance Company, Inc.</t>
  </si>
  <si>
    <t>f8001dfb0e</t>
  </si>
  <si>
    <t>519110002039240408000060</t>
  </si>
  <si>
    <t>-</t>
  </si>
  <si>
    <t>AIM-MCY-7573900</t>
  </si>
  <si>
    <t>89630323297000015925</t>
  </si>
  <si>
    <t>Retail Store Sta. Rosa</t>
  </si>
  <si>
    <t>N245VC</t>
  </si>
  <si>
    <t>519110002039240408000071</t>
  </si>
  <si>
    <t>89630323297000015883</t>
  </si>
  <si>
    <t>9M0003</t>
  </si>
  <si>
    <t>R5FBMGOC3RL000102</t>
  </si>
  <si>
    <t>12ZW7278324YA0314H0060</t>
  </si>
  <si>
    <t>4cfcab9d97</t>
  </si>
  <si>
    <t>00095610034</t>
  </si>
  <si>
    <t>519110002039240408000015</t>
  </si>
  <si>
    <t>CSR-20250319-159022</t>
  </si>
  <si>
    <t>89630323297000015875</t>
  </si>
  <si>
    <t>AIM-MCY-7573930</t>
  </si>
  <si>
    <t>N246VC</t>
  </si>
  <si>
    <t>9M0004</t>
  </si>
  <si>
    <t>60020299a4</t>
  </si>
  <si>
    <t>ALFAMART INC. L1 B18 L BENNET ST BFRV 1 TALON LAS PINAS</t>
  </si>
  <si>
    <t>519110002039240408000069</t>
  </si>
  <si>
    <t>0325288000306479</t>
  </si>
  <si>
    <t>R5FBMGOC5RL000103</t>
  </si>
  <si>
    <t>89630323297000015867</t>
  </si>
  <si>
    <t>12ZW7278324YA0314H0036</t>
  </si>
  <si>
    <t>00095610045</t>
  </si>
  <si>
    <t>9M0005</t>
  </si>
  <si>
    <t>CSR-20250319-159023</t>
  </si>
  <si>
    <t>9cd9a674ce</t>
  </si>
  <si>
    <t>AIM-MCY-7573918</t>
  </si>
  <si>
    <t>519110002039240408000050</t>
  </si>
  <si>
    <t>Alfamart 4th State Paranaque</t>
  </si>
  <si>
    <t>89630323297000015859</t>
  </si>
  <si>
    <t>0325288000307816</t>
  </si>
  <si>
    <t>N247VC</t>
  </si>
  <si>
    <t>519110002039240408000037</t>
  </si>
  <si>
    <t>89630323297000035097</t>
  </si>
  <si>
    <t>R5FBMGOC7RL000104</t>
  </si>
  <si>
    <t>12ZW7278324YA0314H0065</t>
  </si>
  <si>
    <t>9M0006</t>
  </si>
  <si>
    <t>00095610056</t>
  </si>
  <si>
    <t>bde2ee3884</t>
  </si>
  <si>
    <t>519110002039240408000040</t>
  </si>
  <si>
    <t>CSR-20250319-159040</t>
  </si>
  <si>
    <t>ALFAMART SIXTO ANTONIO AVENUE CANIOGAN CITY OF PASIG</t>
  </si>
  <si>
    <t>89630323297000019646</t>
  </si>
  <si>
    <t>0325288000307766</t>
  </si>
  <si>
    <t>AIM-MCY-7573927</t>
  </si>
  <si>
    <t>N274VC</t>
  </si>
  <si>
    <t>9M0007</t>
  </si>
  <si>
    <t>519110002039240408000111</t>
  </si>
  <si>
    <t>R5FBMGOC9RL000105</t>
  </si>
  <si>
    <t>90e8a1be93</t>
  </si>
  <si>
    <t>12ZW7278324YA0314H0066</t>
  </si>
  <si>
    <t>89630323297000019612</t>
  </si>
  <si>
    <t>00095610067</t>
  </si>
  <si>
    <t>MERALCO ESPANA</t>
  </si>
  <si>
    <t>CSR-20250319-159041</t>
  </si>
  <si>
    <t>0325288000307808</t>
  </si>
  <si>
    <t>AIM-MCY-7303864</t>
  </si>
  <si>
    <t>N153VD</t>
  </si>
  <si>
    <t>519110002039240408000070</t>
  </si>
  <si>
    <t>9M0008</t>
  </si>
  <si>
    <t>89630323297000019604</t>
  </si>
  <si>
    <t>99f71c4505</t>
  </si>
  <si>
    <t>R5FBMGOC0RL000106</t>
  </si>
  <si>
    <t>12ZW7278324YA0314H0072</t>
  </si>
  <si>
    <t>00095610078</t>
  </si>
  <si>
    <t>CSR-20250319-159042</t>
  </si>
  <si>
    <t>BRIXTON</t>
  </si>
  <si>
    <t>AIM-MCY-7607151</t>
  </si>
  <si>
    <t>N224VC</t>
  </si>
  <si>
    <t>519110002039240408000035</t>
  </si>
  <si>
    <t>9M0009</t>
  </si>
  <si>
    <t>89630323297000015958</t>
  </si>
  <si>
    <t>6bcb2f2e24</t>
  </si>
  <si>
    <t>R5FBMGOC2RL000107</t>
  </si>
  <si>
    <t>Alfamart Santolan</t>
  </si>
  <si>
    <t>12ZW7278324YA0314H0045</t>
  </si>
  <si>
    <t>519110002039240408000079</t>
  </si>
  <si>
    <t>0325288000307832</t>
  </si>
  <si>
    <t>00095610089</t>
  </si>
  <si>
    <t>89630323297000015933</t>
  </si>
  <si>
    <t>CSR-20250319-159039</t>
  </si>
  <si>
    <t>AIM-MCY-7573889</t>
  </si>
  <si>
    <t>519110002039240408000133</t>
  </si>
  <si>
    <t>9M0010</t>
  </si>
  <si>
    <t>N248VC</t>
  </si>
  <si>
    <t>89630323297000035113</t>
  </si>
  <si>
    <t>78bbf5ffe7</t>
  </si>
  <si>
    <t>519110002039240408000089</t>
  </si>
  <si>
    <t>9M0011</t>
  </si>
  <si>
    <t>89630323297000019653</t>
  </si>
  <si>
    <t>R5FBMGOC4RL000108</t>
  </si>
  <si>
    <t>01b9172ad7</t>
  </si>
  <si>
    <t>12ZW7278324YA0314H0034</t>
  </si>
  <si>
    <t>Powerfill Damong Maliit</t>
  </si>
  <si>
    <t>00095610090</t>
  </si>
  <si>
    <t>0325288000307899</t>
  </si>
  <si>
    <t>CSR-20250319-159043</t>
  </si>
  <si>
    <t>519110002039240408000053</t>
  </si>
  <si>
    <t>AIM-MCY-7573924</t>
  </si>
  <si>
    <t>89630323297000015982</t>
  </si>
  <si>
    <t>N249VC</t>
  </si>
  <si>
    <t>9M0012</t>
  </si>
  <si>
    <t>f25f573b11</t>
  </si>
  <si>
    <t>519110002039240408000077</t>
  </si>
  <si>
    <t>MERALCO Mandaluyong</t>
  </si>
  <si>
    <t>89630323297000015974</t>
  </si>
  <si>
    <t>0325288000306420</t>
  </si>
  <si>
    <t>R5FBMGOC6RL000109</t>
  </si>
  <si>
    <t>12ZW7278324YA0314H0062</t>
  </si>
  <si>
    <t>00095610102</t>
  </si>
  <si>
    <t>519110002039240408000084</t>
  </si>
  <si>
    <t>CSR-20250319-159044</t>
  </si>
  <si>
    <t>9M0013</t>
  </si>
  <si>
    <t>89630323297000015941</t>
  </si>
  <si>
    <t>fad341077b</t>
  </si>
  <si>
    <t>AIM-MCY-7573935</t>
  </si>
  <si>
    <t>TCI - KAPITOLYO</t>
  </si>
  <si>
    <t>N250VC</t>
  </si>
  <si>
    <t>519110002039240408000055</t>
  </si>
  <si>
    <t>9M0014</t>
  </si>
  <si>
    <t>16cfa0dd80</t>
  </si>
  <si>
    <t>R5FBMGOC4RL000111</t>
  </si>
  <si>
    <t>12ZW7278324YA0314H0021</t>
  </si>
  <si>
    <t>RideBox Service Center</t>
  </si>
  <si>
    <t>00095610124</t>
  </si>
  <si>
    <t>CSR-20250319-159045</t>
  </si>
  <si>
    <t>89630323297000015917</t>
  </si>
  <si>
    <t>AIM-MCY-7573937</t>
  </si>
  <si>
    <t>9M0015</t>
  </si>
  <si>
    <t>N251VC</t>
  </si>
  <si>
    <t>3d3756d9af</t>
  </si>
  <si>
    <t>519110002039240408000094</t>
  </si>
  <si>
    <t>89630323297000015909</t>
  </si>
  <si>
    <t>R5FBMGOC6RL000112</t>
  </si>
  <si>
    <t>12ZW7278324YA0314H0081</t>
  </si>
  <si>
    <t>9M0016</t>
  </si>
  <si>
    <t>00095610135</t>
  </si>
  <si>
    <t>CSR-20250319-159046</t>
  </si>
  <si>
    <t>8a07702c0e</t>
  </si>
  <si>
    <t>519110002039240408000099</t>
  </si>
  <si>
    <t>AIM-MCY-7573919</t>
  </si>
  <si>
    <t>89630323297000015891</t>
  </si>
  <si>
    <t>N226VC</t>
  </si>
  <si>
    <t>519110002039240408000083</t>
  </si>
  <si>
    <t>9M0017</t>
  </si>
  <si>
    <t>89630323297000015842</t>
  </si>
  <si>
    <t>R5FBMGOC8RL000113</t>
  </si>
  <si>
    <t>020f38b9d7</t>
  </si>
  <si>
    <t>12ZW7278324YA0314H0078</t>
  </si>
  <si>
    <t>ALFAMART NAGA ROAD PULANG LUPA DOS CITY OF LAS PINAS NCR, FOURTH DISTRICT</t>
  </si>
  <si>
    <t>00095610146</t>
  </si>
  <si>
    <t>0325288000306453</t>
  </si>
  <si>
    <t>CSR-20250319-159047</t>
  </si>
  <si>
    <t>519110002039240408000086</t>
  </si>
  <si>
    <t>AIM-MCY-7573944</t>
  </si>
  <si>
    <t>89630323297000019638</t>
  </si>
  <si>
    <t>9M0018</t>
  </si>
  <si>
    <t>N229VC</t>
  </si>
  <si>
    <t>c0ab7a3c97</t>
  </si>
  <si>
    <t>ALFAMART LOT 5-A BLK 1 APOLLO 3 ST MOONWALK</t>
  </si>
  <si>
    <t>0325288000306487</t>
  </si>
  <si>
    <t>519110002039240408000067</t>
  </si>
  <si>
    <t>89630323297000019620</t>
  </si>
  <si>
    <t>R5FBMGOCXRL000114</t>
  </si>
  <si>
    <t>12ZW7278324YA0314H0056</t>
  </si>
  <si>
    <t>00095610157</t>
  </si>
  <si>
    <t>9M0019</t>
  </si>
  <si>
    <t>CSR-20250321-179566</t>
  </si>
  <si>
    <t>a88bc98a22</t>
  </si>
  <si>
    <t>519110002039240408000051</t>
  </si>
  <si>
    <t>BETTER EDGE SAN JUAN - OFFICE</t>
  </si>
  <si>
    <t>89630323297000035105</t>
  </si>
  <si>
    <t>AIM-MCY-7573894</t>
  </si>
  <si>
    <t>N239VC</t>
  </si>
  <si>
    <t>9M0020</t>
  </si>
  <si>
    <t>519110002039240408000074</t>
  </si>
  <si>
    <t>252d95be78</t>
  </si>
  <si>
    <t>89630323297000015966</t>
  </si>
  <si>
    <t>R5FBMGOC1RL000115</t>
  </si>
  <si>
    <t>2024Q4-01-BAT-PILOT</t>
  </si>
  <si>
    <t>12ZW7278324YA0314H0073</t>
  </si>
  <si>
    <t>519110002370AAXXXMJK0516</t>
  </si>
  <si>
    <t>863406074407433</t>
  </si>
  <si>
    <t>00095610168</t>
  </si>
  <si>
    <t>9M0021</t>
  </si>
  <si>
    <t>89630323297000523100</t>
  </si>
  <si>
    <t>a3f9165043</t>
  </si>
  <si>
    <t>CSR-20250319-159048</t>
  </si>
  <si>
    <t>Cornerstone San Juan</t>
  </si>
  <si>
    <t>0325288000307998</t>
  </si>
  <si>
    <t>AIM-MCY-7607149</t>
  </si>
  <si>
    <t>519110002370AAXXXJJK0090</t>
  </si>
  <si>
    <t>N268VC</t>
  </si>
  <si>
    <t>863406074392957</t>
  </si>
  <si>
    <t>89630323297000492363</t>
  </si>
  <si>
    <t>9M0022</t>
  </si>
  <si>
    <t>37757b2731</t>
  </si>
  <si>
    <t>Jordan Plains Subdivision QC</t>
  </si>
  <si>
    <t>0325288000307840</t>
  </si>
  <si>
    <t>519110002370AAXXXJJK0201</t>
  </si>
  <si>
    <t>R5FBMGOC3RL000116</t>
  </si>
  <si>
    <t>12ZW7278324YA0314H0071</t>
  </si>
  <si>
    <t>00095610179</t>
  </si>
  <si>
    <t>CSR-20250319-159049</t>
  </si>
  <si>
    <t>AIM-MCY-7607221</t>
  </si>
  <si>
    <t>863406074394383</t>
  </si>
  <si>
    <t>9M0023</t>
  </si>
  <si>
    <t>89630323297000493023</t>
  </si>
  <si>
    <t>N277VC</t>
  </si>
  <si>
    <t>a40ca8ab3b</t>
  </si>
  <si>
    <t>MNC STA. Rosa</t>
  </si>
  <si>
    <t>519110002370AAXXXJJK0217</t>
  </si>
  <si>
    <t>9M0024</t>
  </si>
  <si>
    <t>863406074397741</t>
  </si>
  <si>
    <t>89630323297000494179</t>
  </si>
  <si>
    <t>9982cbd185</t>
  </si>
  <si>
    <t>R5FBMGOC5RL000117</t>
  </si>
  <si>
    <t>12ZW7278324YA0314H0011</t>
  </si>
  <si>
    <t>Pateros Municipal</t>
  </si>
  <si>
    <t>COENEXA</t>
  </si>
  <si>
    <t>00095610180</t>
  </si>
  <si>
    <t>C/O Tech</t>
  </si>
  <si>
    <t>519110002370AAXXXJJK0198</t>
  </si>
  <si>
    <t>863406074348157</t>
  </si>
  <si>
    <t>89630323297000491878</t>
  </si>
  <si>
    <t>CSR-20250319-159050</t>
  </si>
  <si>
    <t>Reserve</t>
  </si>
  <si>
    <t>AIM-MCY-7573909</t>
  </si>
  <si>
    <t>9M0025</t>
  </si>
  <si>
    <t>d6506e608f</t>
  </si>
  <si>
    <t>519110002370AAXXXJJK0206</t>
  </si>
  <si>
    <t>N252VC</t>
  </si>
  <si>
    <t>Alfamart Muntinlupa</t>
  </si>
  <si>
    <t>863406074392312</t>
  </si>
  <si>
    <t>89630323297000490144</t>
  </si>
  <si>
    <t>0325288000307915</t>
  </si>
  <si>
    <t>9M0026</t>
  </si>
  <si>
    <t>519110002370AAXXXMJK0462</t>
  </si>
  <si>
    <t>55031c3123</t>
  </si>
  <si>
    <t>863406074407953</t>
  </si>
  <si>
    <t>R5FBMGOC7RL000118</t>
  </si>
  <si>
    <t>89630323297000491944</t>
  </si>
  <si>
    <t>12ZW7278324YA0314H0047</t>
  </si>
  <si>
    <t>Powerfill Sandoval</t>
  </si>
  <si>
    <t>0325288000307956</t>
  </si>
  <si>
    <t>00095610191</t>
  </si>
  <si>
    <t>CSR-20250319-159051</t>
  </si>
  <si>
    <t>519110002370AAXXXMJK0540</t>
  </si>
  <si>
    <t>AIM-MCY-7573899</t>
  </si>
  <si>
    <t>863406074409652</t>
  </si>
  <si>
    <t>9M0027</t>
  </si>
  <si>
    <t>89630323297000491985</t>
  </si>
  <si>
    <t>N253VC</t>
  </si>
  <si>
    <t>b722d8ff1d</t>
  </si>
  <si>
    <t>STM Builders /ATP P GOMEZ POBLACION MANDALUYONG</t>
  </si>
  <si>
    <t>0325288000307782</t>
  </si>
  <si>
    <t>519110002370AAXXXMJK0532</t>
  </si>
  <si>
    <t>863406074393286</t>
  </si>
  <si>
    <t>R5FBMGOC9RL000119</t>
  </si>
  <si>
    <t>89630323297000490201</t>
  </si>
  <si>
    <t>12ZW7278324YA0314H0076</t>
  </si>
  <si>
    <t>00095610203</t>
  </si>
  <si>
    <t>CSR-20250319-159055</t>
  </si>
  <si>
    <t>9M0028</t>
  </si>
  <si>
    <t>88c75bb7e3</t>
  </si>
  <si>
    <t>Powerfill Punturin</t>
  </si>
  <si>
    <t>0325288000307907</t>
  </si>
  <si>
    <t>519110002370AAXXXJJK0195</t>
  </si>
  <si>
    <t>AIM-MCY-7573906</t>
  </si>
  <si>
    <t>863406074394276</t>
  </si>
  <si>
    <t>89630323297000492561</t>
  </si>
  <si>
    <t>N279VС</t>
  </si>
  <si>
    <t>9M0029</t>
  </si>
  <si>
    <t>519110002370AAXXXMJK0535</t>
  </si>
  <si>
    <t>fdc7dd8efd</t>
  </si>
  <si>
    <t>863406074391413</t>
  </si>
  <si>
    <t>89630323297000493734</t>
  </si>
  <si>
    <t>Dasmarinas Village, Makati</t>
  </si>
  <si>
    <t>0325288000307873</t>
  </si>
  <si>
    <t>R5FBMGOC5RL000120</t>
  </si>
  <si>
    <t>12ZW7278324YA0314H0070</t>
  </si>
  <si>
    <t>519110002370AAXXXMJK0543</t>
  </si>
  <si>
    <t>00095610214</t>
  </si>
  <si>
    <t>863406074409611</t>
  </si>
  <si>
    <t>89630323297000494690</t>
  </si>
  <si>
    <t>9M0030</t>
  </si>
  <si>
    <t>CSR-20250319-159056</t>
  </si>
  <si>
    <t>f27d62ae3e</t>
  </si>
  <si>
    <t>AIM-MCY-7573939</t>
  </si>
  <si>
    <t>ALFAMART NO. 2, ST. THERESE ST TANYAG (BAGONG TANYAG) NCR, FOURTH DISTRICT TAGUIG CITY</t>
  </si>
  <si>
    <t>0325288000307774</t>
  </si>
  <si>
    <t>N254VC</t>
  </si>
  <si>
    <t>519110002370AAXXXMJK0534</t>
  </si>
  <si>
    <t>863406074392114</t>
  </si>
  <si>
    <t>89630323297000521252</t>
  </si>
  <si>
    <t>9M0031</t>
  </si>
  <si>
    <t>da46422527</t>
  </si>
  <si>
    <t>ENERGIZER BATTERY AUTOMOTIVE - MAKATI</t>
  </si>
  <si>
    <t>0325 2880 0030 7865</t>
  </si>
  <si>
    <t>Conexa Sim to Smart</t>
  </si>
  <si>
    <t>519110002370AAXXXJJK0252</t>
  </si>
  <si>
    <t>R5FBMGOC7RL000121</t>
  </si>
  <si>
    <t>863406074392858</t>
  </si>
  <si>
    <t>12ZW7278324YA0314H0052</t>
  </si>
  <si>
    <t>89630323297000491621</t>
  </si>
  <si>
    <t>00095610225</t>
  </si>
  <si>
    <t>9M0032</t>
  </si>
  <si>
    <t>CSR-20250319-159057</t>
  </si>
  <si>
    <t>1b7187880d</t>
  </si>
  <si>
    <t>AIM-MCY-7607153</t>
  </si>
  <si>
    <t>N255VC</t>
  </si>
  <si>
    <t>519110002370AAXXXJJK0021</t>
  </si>
  <si>
    <t>863406074394193</t>
  </si>
  <si>
    <t>89630323297000491100</t>
  </si>
  <si>
    <t>9M0033</t>
  </si>
  <si>
    <t>4528b40c1b</t>
  </si>
  <si>
    <t>Alfamart Tipas Taguig</t>
  </si>
  <si>
    <t>0325288000307980</t>
  </si>
  <si>
    <t>R5FBMGOC9RL000122</t>
  </si>
  <si>
    <t>12ZW7278324YA0314H0035</t>
  </si>
  <si>
    <t>519110002370AAXXXMJK0545</t>
  </si>
  <si>
    <t>863406078300634</t>
  </si>
  <si>
    <t>00095610236</t>
  </si>
  <si>
    <t>89630323297000492652</t>
  </si>
  <si>
    <t>9M0034</t>
  </si>
  <si>
    <t>CSR-20250319-159052</t>
  </si>
  <si>
    <t>ae722df8b0</t>
  </si>
  <si>
    <t>AIM-MCY-7573932</t>
  </si>
  <si>
    <t>N230VC</t>
  </si>
  <si>
    <t>9M0035</t>
  </si>
  <si>
    <t>519110002370AAXXXMJK0541</t>
  </si>
  <si>
    <t>863406074407870</t>
  </si>
  <si>
    <t>ed75d5f8d5</t>
  </si>
  <si>
    <t>89630323297000490235</t>
  </si>
  <si>
    <t>Corinthian Hills</t>
  </si>
  <si>
    <t>0325288000307857</t>
  </si>
  <si>
    <t>R5FBMGOC0RL000123</t>
  </si>
  <si>
    <t>12ZW7278324YA0314H0064</t>
  </si>
  <si>
    <t>9M0036</t>
  </si>
  <si>
    <t>00095610247</t>
  </si>
  <si>
    <t>65bdd73616</t>
  </si>
  <si>
    <t>CSR-20250319-159058</t>
  </si>
  <si>
    <t>519110002370AAXXXMJK0482</t>
  </si>
  <si>
    <t>863406078319428</t>
  </si>
  <si>
    <t>AIM-MCY-7573892</t>
  </si>
  <si>
    <t>89630323297000523217</t>
  </si>
  <si>
    <t>Barangay San Antonio</t>
  </si>
  <si>
    <t>Yunku Locker MQTT Credentials</t>
  </si>
  <si>
    <t>0325288000307972</t>
  </si>
  <si>
    <t>N256VC</t>
  </si>
  <si>
    <t>Unable to proceed with Smart due to poor signal; installed a DITO prepaid SIM instead.</t>
  </si>
  <si>
    <t>9M0037</t>
  </si>
  <si>
    <t>519110002370AAXXXMJK0477</t>
  </si>
  <si>
    <t>863406078300766</t>
  </si>
  <si>
    <t>89630323297000521591</t>
  </si>
  <si>
    <t>7843d3b2a6</t>
  </si>
  <si>
    <t>Angel's Pizza Mayon St Mandaluyong</t>
  </si>
  <si>
    <t>0325288000306495</t>
  </si>
  <si>
    <t>R5FBMGOC2RL000124</t>
  </si>
  <si>
    <t>12ZW7278324YA0314H0057</t>
  </si>
  <si>
    <t>519110002370AAXXXMJK0484</t>
  </si>
  <si>
    <t>863406074407797</t>
  </si>
  <si>
    <t>89630323297000494922</t>
  </si>
  <si>
    <t>00095610258</t>
  </si>
  <si>
    <t>CSR-20250319-159059</t>
  </si>
  <si>
    <t>AMPACE - 27x Manifest (B1).xlsx</t>
  </si>
  <si>
    <t>9M0038</t>
  </si>
  <si>
    <t>519110002370AAXXXMJK0487</t>
  </si>
  <si>
    <t>AIM-MCY-7573943</t>
  </si>
  <si>
    <t>863406078295800</t>
  </si>
  <si>
    <t>89630323297000493668</t>
  </si>
  <si>
    <t>0ccbee4d42</t>
  </si>
  <si>
    <t>N231VС</t>
  </si>
  <si>
    <t>ALFAMART L26 &amp; 28 B7 SEVERINA AVE. MARCELO GREEN VILLAGE NCR, FOURTH DISTRICT CITY OF PARANAQUE</t>
  </si>
  <si>
    <t>0325288000306461</t>
  </si>
  <si>
    <t>519110002370AAXXXMJK0506</t>
  </si>
  <si>
    <t>863406078295404</t>
  </si>
  <si>
    <t>89630323297000523159</t>
  </si>
  <si>
    <t>AMPACE - 808x Manifest (B2&amp;B3).xlsx</t>
  </si>
  <si>
    <t>9M0039</t>
  </si>
  <si>
    <t>41bbfa4ff7</t>
  </si>
  <si>
    <t>R5FBMGOC4RL000125</t>
  </si>
  <si>
    <t>12ZW7278324YA0314H0023</t>
  </si>
  <si>
    <t>MERALCO Malate Manila</t>
  </si>
  <si>
    <t>519110002370AAXXXMJK0479</t>
  </si>
  <si>
    <t>0325288000306438</t>
  </si>
  <si>
    <t>00095610269</t>
  </si>
  <si>
    <t>863406078319360</t>
  </si>
  <si>
    <t>89630323297000523738</t>
  </si>
  <si>
    <t>CSR-20250319-159060</t>
  </si>
  <si>
    <t>AMPACE - 720x Manifest (B4).xlsx</t>
  </si>
  <si>
    <t>AIM-MCY-7573911</t>
  </si>
  <si>
    <t>9M0040</t>
  </si>
  <si>
    <t>N270VC</t>
  </si>
  <si>
    <t>1fbf6b330a</t>
  </si>
  <si>
    <t>Alfamart Wawa Taguig</t>
  </si>
  <si>
    <t>0325288000307931</t>
  </si>
  <si>
    <t>519110002370AAXXXMJK0230</t>
  </si>
  <si>
    <t>863406078319154</t>
  </si>
  <si>
    <t>89630323297000521146</t>
  </si>
  <si>
    <t>SMART - 751x Manifest</t>
  </si>
  <si>
    <t>9M0041</t>
  </si>
  <si>
    <t>R5FBMGOC6RL000126</t>
  </si>
  <si>
    <t>33a788a906</t>
  </si>
  <si>
    <t>12ZW7278324YA0314H0037</t>
  </si>
  <si>
    <t>SMART - 27x only Manifest.xls</t>
  </si>
  <si>
    <t>519110002370AAXXXMJK0293</t>
  </si>
  <si>
    <t>863406078319329</t>
  </si>
  <si>
    <t>00095610270</t>
  </si>
  <si>
    <t>89630323297000494195</t>
  </si>
  <si>
    <t>CSR-20250319-159061</t>
  </si>
  <si>
    <t>AIM-MCY-7303859</t>
  </si>
  <si>
    <t>PCCW - 110x Manifest</t>
  </si>
  <si>
    <t>9M0042</t>
  </si>
  <si>
    <t>519110002370AAXXXMJK0229</t>
  </si>
  <si>
    <t>7c55633de8</t>
  </si>
  <si>
    <t>863406074392882</t>
  </si>
  <si>
    <t>89630323297000523753</t>
  </si>
  <si>
    <t>N170VD</t>
  </si>
  <si>
    <t>Alfamart Las Pinas (BF RESORT)</t>
  </si>
  <si>
    <t>0325288000307923</t>
  </si>
  <si>
    <t>PCCW - 750x Manifest.xlsx</t>
  </si>
  <si>
    <t>519110002370AAXXXMJK0099</t>
  </si>
  <si>
    <t>9M0043</t>
  </si>
  <si>
    <t>863406078319378</t>
  </si>
  <si>
    <t>9060c4240b</t>
  </si>
  <si>
    <t>R5FBMGOC8RL000127</t>
  </si>
  <si>
    <t>89630323297000493890</t>
  </si>
  <si>
    <t>12ZW7278324YA0314H0059</t>
  </si>
  <si>
    <t>Retai Store - Locker</t>
  </si>
  <si>
    <t>0325288000307865</t>
  </si>
  <si>
    <t>00095610281</t>
  </si>
  <si>
    <t>2025Q4 Motorcycle VIN and Engine number.xlsx</t>
  </si>
  <si>
    <t>CSR-20250319-159062</t>
  </si>
  <si>
    <t>AIM-MCY-7573888</t>
  </si>
  <si>
    <t>9M0044</t>
  </si>
  <si>
    <t>dce8992851</t>
  </si>
  <si>
    <t>SMART - 60 Lockers &amp; CCTV</t>
  </si>
  <si>
    <t>N275VС</t>
  </si>
  <si>
    <t>9M0045</t>
  </si>
  <si>
    <t>342c8e3ebc</t>
  </si>
  <si>
    <t>519110002370AAXXXMJK0185</t>
  </si>
  <si>
    <t>863406078318990</t>
  </si>
  <si>
    <t>Brgy Hall - BF Homes Paranaque City</t>
  </si>
  <si>
    <t>0325288000306404</t>
  </si>
  <si>
    <t>89630323297000493163</t>
  </si>
  <si>
    <t>R5FBMGOCXRL000128</t>
  </si>
  <si>
    <t>12ZW7278324YA0314H0051</t>
  </si>
  <si>
    <t>9M0046</t>
  </si>
  <si>
    <t>00095610292</t>
  </si>
  <si>
    <t>dffb6084a7</t>
  </si>
  <si>
    <t>CSR-20250319-159063</t>
  </si>
  <si>
    <t>AIM-MCY-7573905</t>
  </si>
  <si>
    <t>Powerfill Barangka</t>
  </si>
  <si>
    <t>0325288000307964</t>
  </si>
  <si>
    <t>N257VC</t>
  </si>
  <si>
    <t>519110002370AAXXXMJK0180</t>
  </si>
  <si>
    <t>863406074394789</t>
  </si>
  <si>
    <t>89630323297000524108</t>
  </si>
  <si>
    <t>9M0047</t>
  </si>
  <si>
    <t>a8a3d836ad</t>
  </si>
  <si>
    <t>R5FBMGOC1RL000129</t>
  </si>
  <si>
    <t>12ZW7278324YA0314H0080</t>
  </si>
  <si>
    <t>ATP Macanas St. – Panghulo, Malabon</t>
  </si>
  <si>
    <t>0325288000307824</t>
  </si>
  <si>
    <t>00095610304</t>
  </si>
  <si>
    <t>CSR-20250319-159064</t>
  </si>
  <si>
    <t>AIM-MCY-7573896</t>
  </si>
  <si>
    <t>519110002370AAXXXMJK0291</t>
  </si>
  <si>
    <t>863406078318966</t>
  </si>
  <si>
    <t>89630323297000493999</t>
  </si>
  <si>
    <t>N232VC</t>
  </si>
  <si>
    <t>9M0048</t>
  </si>
  <si>
    <t>ca8624e762</t>
  </si>
  <si>
    <t>Manila Golf and Country Club</t>
  </si>
  <si>
    <t>0325288000307949</t>
  </si>
  <si>
    <t>519110002370AAXXXMJK0186</t>
  </si>
  <si>
    <t>863406074394763</t>
  </si>
  <si>
    <t>2024Q3-01-BAT-PILOT</t>
  </si>
  <si>
    <t>89630323297000521153</t>
  </si>
  <si>
    <t>R5FBMGOC8RL000130</t>
  </si>
  <si>
    <t>12ZW7278324YA0314H0061</t>
  </si>
  <si>
    <t>00095610315</t>
  </si>
  <si>
    <t>8H0002</t>
  </si>
  <si>
    <t>CSR-20250319-159065</t>
  </si>
  <si>
    <t>AIM-MCY-7573893</t>
  </si>
  <si>
    <t>N258VC</t>
  </si>
  <si>
    <t>YK-HDG10WF</t>
  </si>
  <si>
    <t>8H0001</t>
  </si>
  <si>
    <t>519110002370AAXXXMJK0476</t>
  </si>
  <si>
    <t>863406078300642</t>
  </si>
  <si>
    <t>R5FBMGOCXRL000131</t>
  </si>
  <si>
    <t>12ZW7278324YA0314H0054</t>
  </si>
  <si>
    <t>89630323297000490268</t>
  </si>
  <si>
    <t>00095610326</t>
  </si>
  <si>
    <t>CSR-20250319-159066</t>
  </si>
  <si>
    <t>BYD</t>
  </si>
  <si>
    <t>BYD001</t>
  </si>
  <si>
    <t>519110002370AAXXXMJK0148</t>
  </si>
  <si>
    <t>Blue</t>
  </si>
  <si>
    <t>863406074393096</t>
  </si>
  <si>
    <t>89630323297000521377</t>
  </si>
  <si>
    <t>519110002370AAXXXMJK0547</t>
  </si>
  <si>
    <t>863406078291775</t>
  </si>
  <si>
    <t>R5FBMGOC1RL000132</t>
  </si>
  <si>
    <t>89630323297000493973</t>
  </si>
  <si>
    <t>12ZW7278324YA0314H0075</t>
  </si>
  <si>
    <t>00095610337</t>
  </si>
  <si>
    <t>CSR-20250319-159067</t>
  </si>
  <si>
    <t>AIM-MCY-7573938</t>
  </si>
  <si>
    <t>PRODUCT TYPE</t>
  </si>
  <si>
    <t>519110002370AAXXXMJK0090</t>
  </si>
  <si>
    <t>863406074409587</t>
  </si>
  <si>
    <t>PRODUCT</t>
  </si>
  <si>
    <t>N259VC</t>
  </si>
  <si>
    <t>89630323297000494369</t>
  </si>
  <si>
    <t>BRAND</t>
  </si>
  <si>
    <t>519110002370AAXXXMJK0102</t>
  </si>
  <si>
    <t>R5FBMGOC3RL000133</t>
  </si>
  <si>
    <t>12ZW7278324YA0314H0053</t>
  </si>
  <si>
    <t>863406074401576</t>
  </si>
  <si>
    <t>89630323297000494260</t>
  </si>
  <si>
    <t>00095610348</t>
  </si>
  <si>
    <t>BAT</t>
  </si>
  <si>
    <t>CSR-20250319-159068</t>
  </si>
  <si>
    <t>Silver</t>
  </si>
  <si>
    <t>Ampace</t>
  </si>
  <si>
    <t>AIM-MCY-7573914</t>
  </si>
  <si>
    <t>N273VС</t>
  </si>
  <si>
    <t>519110002370AAXXXMJK0228</t>
  </si>
  <si>
    <t>MC</t>
  </si>
  <si>
    <t>863406078319105</t>
  </si>
  <si>
    <t>89630323297000493304</t>
  </si>
  <si>
    <t>Black</t>
  </si>
  <si>
    <t>R5FBMGOC5RL000134</t>
  </si>
  <si>
    <t>12ZW7278324YA0314H0040</t>
  </si>
  <si>
    <t>White</t>
  </si>
  <si>
    <t>00095610359</t>
  </si>
  <si>
    <t>CSR-20250319-159069</t>
  </si>
  <si>
    <t>519110002370AAXXXMJK0194</t>
  </si>
  <si>
    <t>AIM-MCY-7573916</t>
  </si>
  <si>
    <t>863406078300733</t>
  </si>
  <si>
    <t>R280 Sport</t>
  </si>
  <si>
    <t>Red</t>
  </si>
  <si>
    <t>89630323297000493783</t>
  </si>
  <si>
    <t>N260VC</t>
  </si>
  <si>
    <t>D400</t>
  </si>
  <si>
    <t>519110002370AAXXXMJK0187</t>
  </si>
  <si>
    <t>863406074392908</t>
  </si>
  <si>
    <t>BSS</t>
  </si>
  <si>
    <t>R5FBMGOC7RL000135</t>
  </si>
  <si>
    <t>89630323297000491407</t>
  </si>
  <si>
    <t>5-door</t>
  </si>
  <si>
    <t>12ZW7278324YA0314H0044</t>
  </si>
  <si>
    <t>Yunku</t>
  </si>
  <si>
    <t>00095610360</t>
  </si>
  <si>
    <t>RUIDI</t>
  </si>
  <si>
    <t>Gray</t>
  </si>
  <si>
    <t>YOOHOO</t>
  </si>
  <si>
    <t>CSR-20250319-159087</t>
  </si>
  <si>
    <t>VESPA</t>
  </si>
  <si>
    <t>AIM-MCY-7303875</t>
  </si>
  <si>
    <t>519110002370AAXXXMJK0193</t>
  </si>
  <si>
    <t>863406074393278</t>
  </si>
  <si>
    <t>N181VD</t>
  </si>
  <si>
    <t>89630323297000490631</t>
  </si>
  <si>
    <t>LEOPARD</t>
  </si>
  <si>
    <t>OKT</t>
  </si>
  <si>
    <t>OKG</t>
  </si>
  <si>
    <t>519110002370AAXXXMJK0158</t>
  </si>
  <si>
    <t>R5FBMGOC9RL000136</t>
  </si>
  <si>
    <t>863406074401303</t>
  </si>
  <si>
    <t>12ZW7278324YA0314H0074</t>
  </si>
  <si>
    <t>89630323297000494203</t>
  </si>
  <si>
    <t>00095610371</t>
  </si>
  <si>
    <t>CSR-20250319-159088</t>
  </si>
  <si>
    <t>519110002370AAXXXMJK0091</t>
  </si>
  <si>
    <t>863406074399770</t>
  </si>
  <si>
    <t>89630323297000523613</t>
  </si>
  <si>
    <t>AIM-MCY-7573907</t>
  </si>
  <si>
    <t>N262VCС</t>
  </si>
  <si>
    <t>519110002370AAXXXMJK0100</t>
  </si>
  <si>
    <t>863406074393971</t>
  </si>
  <si>
    <t>89630323297000494625</t>
  </si>
  <si>
    <t>R5FBMGOC0RL000137</t>
  </si>
  <si>
    <t>12ZW7278324YA0314H0019</t>
  </si>
  <si>
    <t>00095610382</t>
  </si>
  <si>
    <t>519110002370AAXXXMJK0199</t>
  </si>
  <si>
    <t>CSR-20250319-159089</t>
  </si>
  <si>
    <t>863406074393401</t>
  </si>
  <si>
    <t>89630323297000523233</t>
  </si>
  <si>
    <t>AIM-MCY-7607154</t>
  </si>
  <si>
    <t>N269VC</t>
  </si>
  <si>
    <t>519110002370AAXXXMJK0203</t>
  </si>
  <si>
    <t>863406074407318</t>
  </si>
  <si>
    <t>R5FBMGOC2RL000138</t>
  </si>
  <si>
    <t>89630323297000523514</t>
  </si>
  <si>
    <t>12ZW7278324YA0314H0039</t>
  </si>
  <si>
    <t>00095610393</t>
  </si>
  <si>
    <t>CSR-20250319-159086</t>
  </si>
  <si>
    <t>Standard Insurance Co., Inc.</t>
  </si>
  <si>
    <t>519110002370AAXXXMJK0200</t>
  </si>
  <si>
    <t>863406074393054</t>
  </si>
  <si>
    <t>89630323297000490656</t>
  </si>
  <si>
    <t>SA-PMM-101410437</t>
  </si>
  <si>
    <t>519110002370AAXXXMJK0210</t>
  </si>
  <si>
    <t>863406074402491</t>
  </si>
  <si>
    <t>89630323297000523050</t>
  </si>
  <si>
    <t>R5FBMGOC4RL000139</t>
  </si>
  <si>
    <t>12ZW7278324YA0314H0041</t>
  </si>
  <si>
    <t>00095610405</t>
  </si>
  <si>
    <t>519110002370AAXXXMJK0299</t>
  </si>
  <si>
    <t>863406074392403</t>
  </si>
  <si>
    <t>89630323297000491563</t>
  </si>
  <si>
    <t>CSR-20250319-159090</t>
  </si>
  <si>
    <t>AIM-MCY-7573933</t>
  </si>
  <si>
    <t>519110002370AAXXXMJK0183</t>
  </si>
  <si>
    <t>863406074391785</t>
  </si>
  <si>
    <t>89630323297000521724</t>
  </si>
  <si>
    <t>N235VC</t>
  </si>
  <si>
    <t>519110002370AAXXXMJK0208</t>
  </si>
  <si>
    <t>863406078300139</t>
  </si>
  <si>
    <t>89630323297000523068</t>
  </si>
  <si>
    <t>R5FBMGOC0RL000140</t>
  </si>
  <si>
    <t>12ZW7278324YA0314H0028</t>
  </si>
  <si>
    <t>00095610416</t>
  </si>
  <si>
    <t>CSR-20250319-159091</t>
  </si>
  <si>
    <t>519110002370AAXXXMJK0304</t>
  </si>
  <si>
    <t>AIM-MCY-7573895</t>
  </si>
  <si>
    <t>863406074392916</t>
  </si>
  <si>
    <t>89630323297000494823</t>
  </si>
  <si>
    <t>N236VC</t>
  </si>
  <si>
    <t>WHITE</t>
  </si>
  <si>
    <t>R5FBMGOC2RL000141</t>
  </si>
  <si>
    <t>519110002370AAXXXMJK0221</t>
  </si>
  <si>
    <t>12ZW7278324YA0314H0079</t>
  </si>
  <si>
    <t>863406078320186</t>
  </si>
  <si>
    <t>00095610427</t>
  </si>
  <si>
    <t>89630323297000494484</t>
  </si>
  <si>
    <t>CSR-20250319-159092</t>
  </si>
  <si>
    <t>AIM-MCY-7303867</t>
  </si>
  <si>
    <t>N180VD</t>
  </si>
  <si>
    <t>519110002370AAXXXMJK0095</t>
  </si>
  <si>
    <t>863406074402418</t>
  </si>
  <si>
    <t>89630323297000493403</t>
  </si>
  <si>
    <t>519110002370AAXXXMJK0287</t>
  </si>
  <si>
    <t>863406074400925</t>
  </si>
  <si>
    <t>89630323297000493692</t>
  </si>
  <si>
    <t>R5FBMGOC4RL000142</t>
  </si>
  <si>
    <t>12ZW7278324YA0314H0043</t>
  </si>
  <si>
    <t>00095610438</t>
  </si>
  <si>
    <t>CSR-20250319-159093</t>
  </si>
  <si>
    <t>AIM-MCY-7303868</t>
  </si>
  <si>
    <t>519110002370AAXXXMJK0219</t>
  </si>
  <si>
    <t>N154VD</t>
  </si>
  <si>
    <t>863406078320236</t>
  </si>
  <si>
    <t>89630323297000494112</t>
  </si>
  <si>
    <t>R5FBMGOC6RL000143</t>
  </si>
  <si>
    <t>12ZW7278324YA0314H0020</t>
  </si>
  <si>
    <t>519110002370AAXXXMJK0222</t>
  </si>
  <si>
    <t>00095610449</t>
  </si>
  <si>
    <t>CSR-20250319-159094</t>
  </si>
  <si>
    <t>863406074393757</t>
  </si>
  <si>
    <t>89630323297000523597</t>
  </si>
  <si>
    <t>AIM-MCY-7303871</t>
  </si>
  <si>
    <t>N179VD</t>
  </si>
  <si>
    <t>519110002370AAXXXMJK0237</t>
  </si>
  <si>
    <t>863406074409686</t>
  </si>
  <si>
    <t>89630323297000521492</t>
  </si>
  <si>
    <t>R5FBMGOC8RL000144</t>
  </si>
  <si>
    <t>12ZW7278324YA0314H0029</t>
  </si>
  <si>
    <t>00095610450</t>
  </si>
  <si>
    <t>CSR-20250319-159095</t>
  </si>
  <si>
    <t>AIM-MCY-7303873</t>
  </si>
  <si>
    <t>N155VD</t>
  </si>
  <si>
    <t>519110002370AAXXXMJK0286</t>
  </si>
  <si>
    <t>863406078319477</t>
  </si>
  <si>
    <t>R5FBMGOCXRL000145</t>
  </si>
  <si>
    <t>89630323297000521765</t>
  </si>
  <si>
    <t>12ZW7278324YA0314H0012</t>
  </si>
  <si>
    <t>00095610461</t>
  </si>
  <si>
    <t>CSR-20250319-159096</t>
  </si>
  <si>
    <t>AIM-MCY-7303874</t>
  </si>
  <si>
    <t>519110002370AAXXXMJK0213</t>
  </si>
  <si>
    <t>N156VD</t>
  </si>
  <si>
    <t>863406078318784</t>
  </si>
  <si>
    <t>89630323297000493940</t>
  </si>
  <si>
    <t>519110002370AAXXXMJK0220</t>
  </si>
  <si>
    <t>863406074408316</t>
  </si>
  <si>
    <t>89630323297000493866</t>
  </si>
  <si>
    <t>R5FBMGOC1RL000146</t>
  </si>
  <si>
    <t>12ZW7278324YA0314H0063</t>
  </si>
  <si>
    <t>00095610472</t>
  </si>
  <si>
    <t>CSR-20250319-159097</t>
  </si>
  <si>
    <t>519110002370AAXXXMJK0051</t>
  </si>
  <si>
    <t>AIM-MCY-7303876</t>
  </si>
  <si>
    <t>863406074348058</t>
  </si>
  <si>
    <t>89630323297000492777</t>
  </si>
  <si>
    <t>N178VD</t>
  </si>
  <si>
    <t>519110002370AAXXXMJK0146</t>
  </si>
  <si>
    <t>863406074405593</t>
  </si>
  <si>
    <t>89630323297000494229</t>
  </si>
  <si>
    <t>R5FBMGOC3RL000147</t>
  </si>
  <si>
    <t>12ZW7278324YA0314H0077</t>
  </si>
  <si>
    <t>00095610483</t>
  </si>
  <si>
    <t>519110002370AAXXXMJK0217</t>
  </si>
  <si>
    <t>863406078319709</t>
  </si>
  <si>
    <t>CSR-20250319-159098</t>
  </si>
  <si>
    <t>89630323297000493981</t>
  </si>
  <si>
    <t>AIM-MCY-7303877</t>
  </si>
  <si>
    <t>N157VD</t>
  </si>
  <si>
    <t>519110002370AAXXXMJK0168</t>
  </si>
  <si>
    <t>863406074404794</t>
  </si>
  <si>
    <t>89630323297000492116</t>
  </si>
  <si>
    <t>519110002370AAXXXMJK0044</t>
  </si>
  <si>
    <t>R5FBMGOC5RL000148</t>
  </si>
  <si>
    <t>863406074404810</t>
  </si>
  <si>
    <t>12ZW7278324YA0314H0068</t>
  </si>
  <si>
    <t>89630323297000521344</t>
  </si>
  <si>
    <t>00095610494</t>
  </si>
  <si>
    <t>CSR-20250319-159099</t>
  </si>
  <si>
    <t>AIM-MCY-7303878</t>
  </si>
  <si>
    <t>519110002370AAXXXMJK0061</t>
  </si>
  <si>
    <t>863406074394615</t>
  </si>
  <si>
    <t>89630323297000490524</t>
  </si>
  <si>
    <t>N177VD</t>
  </si>
  <si>
    <t>519110002370AAXXXMJK0154</t>
  </si>
  <si>
    <t>863406074405676</t>
  </si>
  <si>
    <t>89630323297000490672</t>
  </si>
  <si>
    <t>R5FBMGOC3RL000150</t>
  </si>
  <si>
    <t>12ZW7278324YA0314H0033</t>
  </si>
  <si>
    <t>00095610517</t>
  </si>
  <si>
    <t>CSR-20250319-159100</t>
  </si>
  <si>
    <t>519110002370AAXXXMJK0160</t>
  </si>
  <si>
    <t>863406074391892</t>
  </si>
  <si>
    <t>89630323297000490953</t>
  </si>
  <si>
    <t>R5FBMGOC7RL000152</t>
  </si>
  <si>
    <t>519110002370AAXXXMJK0043</t>
  </si>
  <si>
    <t>863406074404711</t>
  </si>
  <si>
    <t>12ZW7278324YA0314H0004</t>
  </si>
  <si>
    <t>89630323297000494757</t>
  </si>
  <si>
    <t>00095610539</t>
  </si>
  <si>
    <t>CSR-20250319-159101</t>
  </si>
  <si>
    <t>519110002370AAXXXMJK0053</t>
  </si>
  <si>
    <t>AIM-MCY-7303880</t>
  </si>
  <si>
    <t>863406074405635</t>
  </si>
  <si>
    <t>89630323297000490755</t>
  </si>
  <si>
    <t>N158VD</t>
  </si>
  <si>
    <t>519110002370AAXXXMJK0155</t>
  </si>
  <si>
    <t>863406074348090</t>
  </si>
  <si>
    <t>89630323297000521856</t>
  </si>
  <si>
    <t>R5FBMGOC9RL000153</t>
  </si>
  <si>
    <t>519110002370AAXXXMJK0116</t>
  </si>
  <si>
    <t>12ZW7278324YA0314H0055</t>
  </si>
  <si>
    <t>863406074391744</t>
  </si>
  <si>
    <t>89630323297000490995</t>
  </si>
  <si>
    <t>00095610540</t>
  </si>
  <si>
    <t>CSR-20250319-159119</t>
  </si>
  <si>
    <t>AIM-MCY-7303883</t>
  </si>
  <si>
    <t>N162VD</t>
  </si>
  <si>
    <t>519110002370AAXXXMJK0167</t>
  </si>
  <si>
    <t>863406074348082</t>
  </si>
  <si>
    <t>89630323297000493700</t>
  </si>
  <si>
    <t>519110002370AAXXXMJK0474</t>
  </si>
  <si>
    <t>863406074409751</t>
  </si>
  <si>
    <t>89630323297000490110</t>
  </si>
  <si>
    <t>R5FBMGOC0RL000154</t>
  </si>
  <si>
    <t>12ZW7278324YA0314H0002</t>
  </si>
  <si>
    <t>00095610551</t>
  </si>
  <si>
    <t>CSR-20250319-159120</t>
  </si>
  <si>
    <t>519110002370AAXXXJJK0202</t>
  </si>
  <si>
    <t>863406074394342</t>
  </si>
  <si>
    <t>89630323297000523084</t>
  </si>
  <si>
    <t>AIM-MCY-7303884</t>
  </si>
  <si>
    <t>N163VD</t>
  </si>
  <si>
    <t>519110002370AAXXXMJK0546</t>
  </si>
  <si>
    <t>863406078319303</t>
  </si>
  <si>
    <t>89630323297000493270</t>
  </si>
  <si>
    <t>519110002370AAXXXJJK0038</t>
  </si>
  <si>
    <t>863406078291700</t>
  </si>
  <si>
    <t>R5FBMGOC2RL000155</t>
  </si>
  <si>
    <t>89630323297000521229</t>
  </si>
  <si>
    <t>12ZW7278324YA0314H0042</t>
  </si>
  <si>
    <t>00095610562</t>
  </si>
  <si>
    <t>CSR-20250319-159121</t>
  </si>
  <si>
    <t>519110002370AAXXXMJK0498</t>
  </si>
  <si>
    <t>863406078319014</t>
  </si>
  <si>
    <t>89630323297000523712</t>
  </si>
  <si>
    <t>519110002370AAXXXMJK0530</t>
  </si>
  <si>
    <t>R5FBMGOC4RL000156</t>
  </si>
  <si>
    <t>863406074407854</t>
  </si>
  <si>
    <t>12ZW7278324YA0314H0005</t>
  </si>
  <si>
    <t>89630323297000492801</t>
  </si>
  <si>
    <t>00095610573</t>
  </si>
  <si>
    <t>CSR-20250319-159118</t>
  </si>
  <si>
    <t>AIM-MCY-7303882</t>
  </si>
  <si>
    <t>519110002370AAXXXMJK0505</t>
  </si>
  <si>
    <t>863406078295396</t>
  </si>
  <si>
    <t>89630323297000523365</t>
  </si>
  <si>
    <t>N161VD</t>
  </si>
  <si>
    <t>519110002370AAXXXMJK0135</t>
  </si>
  <si>
    <t>863406074404562</t>
  </si>
  <si>
    <t>R5FBMGOC6RL000157</t>
  </si>
  <si>
    <t>89630323297000521088</t>
  </si>
  <si>
    <t>12ZW7278324YA0314H0058</t>
  </si>
  <si>
    <t>00095610584</t>
  </si>
  <si>
    <t>CSR-20250319-159122</t>
  </si>
  <si>
    <t>AIM-MCY-7303887</t>
  </si>
  <si>
    <t>519110002370AAXXXMJK0303</t>
  </si>
  <si>
    <t>863406078300196</t>
  </si>
  <si>
    <t>89630323297000523258</t>
  </si>
  <si>
    <t>N164VD</t>
  </si>
  <si>
    <t>519110002370AAXXXMJK0130</t>
  </si>
  <si>
    <t>863406078300519</t>
  </si>
  <si>
    <t>89630323297000493619</t>
  </si>
  <si>
    <t>R5FBMGOC8RL000158</t>
  </si>
  <si>
    <t>12ZW7278324YA0314H0015</t>
  </si>
  <si>
    <t>519110002370AAXXXMJK0197</t>
  </si>
  <si>
    <t>00095610595</t>
  </si>
  <si>
    <t>863406074394466</t>
  </si>
  <si>
    <t>89630323297000491472</t>
  </si>
  <si>
    <t>CSR-20250319-159123</t>
  </si>
  <si>
    <t>SA-PMM-101399699</t>
  </si>
  <si>
    <t>519110002370AAXXXMJK0106</t>
  </si>
  <si>
    <t>863406074348272</t>
  </si>
  <si>
    <t>89630323297000521617</t>
  </si>
  <si>
    <t>R5FBMGOCXRL000159</t>
  </si>
  <si>
    <t>519110002370AAXXXMJK0045</t>
  </si>
  <si>
    <t>12ZW7278324YA0314H0014</t>
  </si>
  <si>
    <t>863406074404695</t>
  </si>
  <si>
    <t>89630323297000493536</t>
  </si>
  <si>
    <t>00095610607</t>
  </si>
  <si>
    <t>CSR-20250319-159124</t>
  </si>
  <si>
    <t>AIM-MCY-7303902</t>
  </si>
  <si>
    <t>N188VD</t>
  </si>
  <si>
    <t>519110002370AAXXXMJK0295</t>
  </si>
  <si>
    <t>863406078319337</t>
  </si>
  <si>
    <t>89630323297000523548</t>
  </si>
  <si>
    <t>R5FBMGOC6RL000160</t>
  </si>
  <si>
    <t>12ZW7278324YA0314H0009</t>
  </si>
  <si>
    <t>00095610618</t>
  </si>
  <si>
    <t>CSR-20250319-159125</t>
  </si>
  <si>
    <t>519110002370AAXXXMJK0111</t>
  </si>
  <si>
    <t>863406074392106</t>
  </si>
  <si>
    <t>89630323297000493726</t>
  </si>
  <si>
    <t>519110002370AAXXXMJK0124</t>
  </si>
  <si>
    <t>863406078320392</t>
  </si>
  <si>
    <t>89630323297000521583</t>
  </si>
  <si>
    <t>R5FBMGOC8RL000161</t>
  </si>
  <si>
    <t>12ZW7278324YA0314H0031</t>
  </si>
  <si>
    <t>00095610629</t>
  </si>
  <si>
    <t>CSR-20250319-159126</t>
  </si>
  <si>
    <t>AIM-MCY-7303888</t>
  </si>
  <si>
    <t>N165VD</t>
  </si>
  <si>
    <t>519110002370AAXXXMJK0139</t>
  </si>
  <si>
    <t>863406078320251</t>
  </si>
  <si>
    <t>89630323297000494302</t>
  </si>
  <si>
    <t>R5FBMGOCXRL000162</t>
  </si>
  <si>
    <t>12ZW7278324YA0314H0018</t>
  </si>
  <si>
    <t>00095610630</t>
  </si>
  <si>
    <t>519110002370AAXXXMJK0184</t>
  </si>
  <si>
    <t>863406074393567</t>
  </si>
  <si>
    <t>CSR-20250319-159127</t>
  </si>
  <si>
    <t>89630323297000524454</t>
  </si>
  <si>
    <t>AIM-MCY-7303889</t>
  </si>
  <si>
    <t>N166VD</t>
  </si>
  <si>
    <t>519110002370AAXXXMJK0108</t>
  </si>
  <si>
    <t>863406078319469</t>
  </si>
  <si>
    <t>89630323297000493858</t>
  </si>
  <si>
    <t>R5FBMGOC1RL000163</t>
  </si>
  <si>
    <t>12ZW7278324YA0314H0003</t>
  </si>
  <si>
    <t>00095610641</t>
  </si>
  <si>
    <t>519110002370AAXXXMJK0088</t>
  </si>
  <si>
    <t>863406074348215</t>
  </si>
  <si>
    <t>CSR-20250319-159128</t>
  </si>
  <si>
    <t>89630323297000524041</t>
  </si>
  <si>
    <t>AIM-MCY-7573917</t>
  </si>
  <si>
    <t>N238VC</t>
  </si>
  <si>
    <t>519110002370AAXXXMJK0105</t>
  </si>
  <si>
    <t>863406078319170</t>
  </si>
  <si>
    <t>89630323297000490607</t>
  </si>
  <si>
    <t>R5FBMGOC5RL000165</t>
  </si>
  <si>
    <t>12ZW7278324YA0314H0022</t>
  </si>
  <si>
    <t>00095610663</t>
  </si>
  <si>
    <t>CSR-20250319-159129</t>
  </si>
  <si>
    <t>519110002370AAXXXJJK0214</t>
  </si>
  <si>
    <t>863406074407466</t>
  </si>
  <si>
    <t>89630323297000493262</t>
  </si>
  <si>
    <t>AIM-MCY-7303894</t>
  </si>
  <si>
    <t>N186VD</t>
  </si>
  <si>
    <t>519110002370AAXXXMJK0161</t>
  </si>
  <si>
    <t>863406074401261</t>
  </si>
  <si>
    <t>89630323297000493239</t>
  </si>
  <si>
    <t>R5FBMGOC7RL000166</t>
  </si>
  <si>
    <t>12ZW7278324YA0314H0030</t>
  </si>
  <si>
    <t>00095610674</t>
  </si>
  <si>
    <t>CSR-20250321-179567</t>
  </si>
  <si>
    <t>519110002370AAXXXMJK0134</t>
  </si>
  <si>
    <t>863406078320244</t>
  </si>
  <si>
    <t>89630323297000494666</t>
  </si>
  <si>
    <t>519110002370AAXXXMJK0131</t>
  </si>
  <si>
    <t>863406074392833</t>
  </si>
  <si>
    <t>89630323297000521849</t>
  </si>
  <si>
    <t>R5FBMGOC9RL000167</t>
  </si>
  <si>
    <t>12ZW7278324YA0314H0016</t>
  </si>
  <si>
    <t>519110002370AAXXXMJK0288</t>
  </si>
  <si>
    <t>863406074392890</t>
  </si>
  <si>
    <t>89630323297000493825</t>
  </si>
  <si>
    <t>00095610685</t>
  </si>
  <si>
    <t>CSR-20250319-159130</t>
  </si>
  <si>
    <t>AIM-MCY-7303896</t>
  </si>
  <si>
    <t>N185VD</t>
  </si>
  <si>
    <t>519110002370AAXXXMJK0119</t>
  </si>
  <si>
    <t>863406078319261</t>
  </si>
  <si>
    <t>89630323297000491167</t>
  </si>
  <si>
    <t>R5FBMGOC0RL000168</t>
  </si>
  <si>
    <t>12ZW7278324YA0314H0049</t>
  </si>
  <si>
    <t>519110002370AAXXXMJK0125</t>
  </si>
  <si>
    <t>00095610696</t>
  </si>
  <si>
    <t>CSR-20250319-159131</t>
  </si>
  <si>
    <t>863406078320368</t>
  </si>
  <si>
    <t>89630323297000491746</t>
  </si>
  <si>
    <t>AIM-MCY-7303897</t>
  </si>
  <si>
    <t>N167VD</t>
  </si>
  <si>
    <t>519110002370AAXXXMJK0129</t>
  </si>
  <si>
    <t>863406074404752</t>
  </si>
  <si>
    <t>R5FBMGOC2RL000169</t>
  </si>
  <si>
    <t>89630323297000494906</t>
  </si>
  <si>
    <t>12ZW7278324YA0314H0025</t>
  </si>
  <si>
    <t>00095610708</t>
  </si>
  <si>
    <t>CSR-20250319-159132</t>
  </si>
  <si>
    <t>AIM-MCY-7303898</t>
  </si>
  <si>
    <t>N168VD</t>
  </si>
  <si>
    <t>519110002370AAXXXMJK0133</t>
  </si>
  <si>
    <t>863406078320350</t>
  </si>
  <si>
    <t>89630323297000494781</t>
  </si>
  <si>
    <t>R5FBMGOC9RL000170</t>
  </si>
  <si>
    <t>12ZW7278324YA0314H0007</t>
  </si>
  <si>
    <t>00095610719</t>
  </si>
  <si>
    <t>CSR-20250319-159133</t>
  </si>
  <si>
    <t>AIM-MCY-7303900</t>
  </si>
  <si>
    <t>519110002370AAXXXJJK0029</t>
  </si>
  <si>
    <t>863406074392452</t>
  </si>
  <si>
    <t>89630323297000492249</t>
  </si>
  <si>
    <t>N169VD</t>
  </si>
  <si>
    <t>519110002370AAXXXMJK0114</t>
  </si>
  <si>
    <t>863406074399754</t>
  </si>
  <si>
    <t>R5FBMGOC0RL000171</t>
  </si>
  <si>
    <t>89630323297000523357</t>
  </si>
  <si>
    <t>12ZW7278324YA0314H0046</t>
  </si>
  <si>
    <t>00095610720</t>
  </si>
  <si>
    <t>CSR-20250319-158883</t>
  </si>
  <si>
    <t>AIM-MCY-7303852</t>
  </si>
  <si>
    <t>N142VD</t>
  </si>
  <si>
    <t>519110002370AAXXXMJK0123</t>
  </si>
  <si>
    <t>863406078320343</t>
  </si>
  <si>
    <t>89630323297000521195</t>
  </si>
  <si>
    <t>R5FBMGOC2RL000172</t>
  </si>
  <si>
    <t>12ZW7278324YA0314H0048</t>
  </si>
  <si>
    <t>00095610731</t>
  </si>
  <si>
    <t>CSR-20250319-158884</t>
  </si>
  <si>
    <t>519110002370AAXXXMJK0235</t>
  </si>
  <si>
    <t>AIM-MCY-7303853</t>
  </si>
  <si>
    <t>863406078319030</t>
  </si>
  <si>
    <t>89630323297000521575</t>
  </si>
  <si>
    <t>N143VD</t>
  </si>
  <si>
    <t>519110002370AAXXXMJK0140</t>
  </si>
  <si>
    <t>863406074397550</t>
  </si>
  <si>
    <t>89630323297000490748</t>
  </si>
  <si>
    <t>R5FBMGOC4RL000173</t>
  </si>
  <si>
    <t>12ZW7278324YA0314H0038</t>
  </si>
  <si>
    <t>00095610742</t>
  </si>
  <si>
    <t>CSR-20250319-158885</t>
  </si>
  <si>
    <t>AIM-MCY-7303854</t>
  </si>
  <si>
    <t>519110002370AAXXXMJK0107</t>
  </si>
  <si>
    <t>863406074408498</t>
  </si>
  <si>
    <t>N144VD</t>
  </si>
  <si>
    <t>89630323297000521567</t>
  </si>
  <si>
    <t>R5FBMGOC6RL000174</t>
  </si>
  <si>
    <t>12ZW7278324YA0314H0027</t>
  </si>
  <si>
    <t>519110002370AAXXXMJK0298</t>
  </si>
  <si>
    <t>863406074402467</t>
  </si>
  <si>
    <t>00095610753</t>
  </si>
  <si>
    <t>89630323297000493627</t>
  </si>
  <si>
    <t>CSR-20250319-158886</t>
  </si>
  <si>
    <t>AIM-MCY-7303855</t>
  </si>
  <si>
    <t>N145VD</t>
  </si>
  <si>
    <t>R5FBMGOC8RL000175</t>
  </si>
  <si>
    <t>519110002370AAXXXMJK0236</t>
  </si>
  <si>
    <t>12ZW7278324YA0314H0032</t>
  </si>
  <si>
    <t>863406078319089</t>
  </si>
  <si>
    <t>00095610764</t>
  </si>
  <si>
    <t>89630323297000493817</t>
  </si>
  <si>
    <t>CSR-20250319-158887</t>
  </si>
  <si>
    <t>AIM-MCY-7303856</t>
  </si>
  <si>
    <t>N146VD</t>
  </si>
  <si>
    <t>519110002370AAXXXMJK0110</t>
  </si>
  <si>
    <t>863406074393450</t>
  </si>
  <si>
    <t>89630323297000523225</t>
  </si>
  <si>
    <t>R5FBMGOCXRL000176</t>
  </si>
  <si>
    <t>12ZW7278324YA0314H0008</t>
  </si>
  <si>
    <t>00095610775</t>
  </si>
  <si>
    <t>CSR-20250319-158888</t>
  </si>
  <si>
    <t>519110002370AAXXXJJK0048</t>
  </si>
  <si>
    <t>863406074397782</t>
  </si>
  <si>
    <t>AIM-MCY-7303861</t>
  </si>
  <si>
    <t>89630323297000521633</t>
  </si>
  <si>
    <t>N147VD</t>
  </si>
  <si>
    <t>519110002370AAXXXMJK0098</t>
  </si>
  <si>
    <t>863406074393559</t>
  </si>
  <si>
    <t>R5FBMGOC1RL000177</t>
  </si>
  <si>
    <t>89630323297000493882</t>
  </si>
  <si>
    <t>12ZW7278324YA0314H0024</t>
  </si>
  <si>
    <t>00095610786</t>
  </si>
  <si>
    <t>CSR-20250319-158889</t>
  </si>
  <si>
    <t>AIM-MCY-7303862</t>
  </si>
  <si>
    <t>519110002370AAXXXMJK0128</t>
  </si>
  <si>
    <t>863406078319436</t>
  </si>
  <si>
    <t>89630323297000491043</t>
  </si>
  <si>
    <t>N171VD</t>
  </si>
  <si>
    <t>519110002370AAXXXMJK0122</t>
  </si>
  <si>
    <t>863406078320467</t>
  </si>
  <si>
    <t>89630323297000492504</t>
  </si>
  <si>
    <t>R5FBMGOC3RL000178</t>
  </si>
  <si>
    <t>12ZW7278324YA0314H0050</t>
  </si>
  <si>
    <t>00095610797</t>
  </si>
  <si>
    <t>CSR-20250319-158890</t>
  </si>
  <si>
    <t>519110002370AAXXXJJK0014</t>
  </si>
  <si>
    <t>AIM-MCY-7303863</t>
  </si>
  <si>
    <t>863406074383873</t>
  </si>
  <si>
    <t>89630323297000493437</t>
  </si>
  <si>
    <t>N148VD</t>
  </si>
  <si>
    <t>519110002370AAXXXJJK0190</t>
  </si>
  <si>
    <t>863406074391678</t>
  </si>
  <si>
    <t>89630323297000494153</t>
  </si>
  <si>
    <t>R5FBMGOC5RL000179</t>
  </si>
  <si>
    <t>12ZW7278324YA0314H0017</t>
  </si>
  <si>
    <t>00095610809</t>
  </si>
  <si>
    <t>CSR-20250319-158891</t>
  </si>
  <si>
    <t>519110002370AAXXXJJK0106</t>
  </si>
  <si>
    <t>863406074393922</t>
  </si>
  <si>
    <t>89630323297000491969</t>
  </si>
  <si>
    <t>519110002370AAXXXJJK0246</t>
  </si>
  <si>
    <t>863406074394003</t>
  </si>
  <si>
    <t>89630323297000521674</t>
  </si>
  <si>
    <t>R5FBMGOC1RL000180</t>
  </si>
  <si>
    <t>12ZW7278324YA0314H0013</t>
  </si>
  <si>
    <t>00095610810</t>
  </si>
  <si>
    <t>519110002370AAXXXJJK0194</t>
  </si>
  <si>
    <t>863406074383790</t>
  </si>
  <si>
    <t>CSR-20250319-158892</t>
  </si>
  <si>
    <t>89630323297000493486</t>
  </si>
  <si>
    <t>AIM-MCY-7303865</t>
  </si>
  <si>
    <t>N172VD</t>
  </si>
  <si>
    <t>519110002370AAXXXJJK0056</t>
  </si>
  <si>
    <t>863406074400693</t>
  </si>
  <si>
    <t>89630323297000493353</t>
  </si>
  <si>
    <t>R280 SPORT</t>
  </si>
  <si>
    <t>RED</t>
  </si>
  <si>
    <t>519110002370AAXXXJJK0108</t>
  </si>
  <si>
    <t>863406074347985</t>
  </si>
  <si>
    <t>R5FBMGOB2RL000101</t>
  </si>
  <si>
    <t>89630323297000492983</t>
  </si>
  <si>
    <t>12ZW7291326YA0308H0012</t>
  </si>
  <si>
    <t>00095609650</t>
  </si>
  <si>
    <t>CSR-20250319-158893</t>
  </si>
  <si>
    <t>AIM-MCY-7573913</t>
  </si>
  <si>
    <t>519110002370AAXXXJJK0115</t>
  </si>
  <si>
    <t>863406074405163</t>
  </si>
  <si>
    <t>89630323297000494120</t>
  </si>
  <si>
    <t>N211VС</t>
  </si>
  <si>
    <t>519110002370AAXXXJJK0113</t>
  </si>
  <si>
    <t>863406074394052</t>
  </si>
  <si>
    <t>89630323297000490805</t>
  </si>
  <si>
    <t>R5FBMGOB4RL000102</t>
  </si>
  <si>
    <t>12ZW7291326YA0308H0023</t>
  </si>
  <si>
    <t>00095609661</t>
  </si>
  <si>
    <t>519110002370AAXXXJJK0118</t>
  </si>
  <si>
    <t>CSR-20250319-158894</t>
  </si>
  <si>
    <t>863406074400586</t>
  </si>
  <si>
    <t>89630323297000490862</t>
  </si>
  <si>
    <t>AIM-MCY-7573923</t>
  </si>
  <si>
    <t>N213VC</t>
  </si>
  <si>
    <t>519110002370AAXXXJJK0022</t>
  </si>
  <si>
    <t>863406074392775</t>
  </si>
  <si>
    <t>89630323297000523001</t>
  </si>
  <si>
    <t>519110002370AAXXXJJK0193</t>
  </si>
  <si>
    <t>863406074395414</t>
  </si>
  <si>
    <t>89630323297000491902</t>
  </si>
  <si>
    <t>R5FBMGOB6RL000103</t>
  </si>
  <si>
    <t>12ZW7291326YA0308H0005</t>
  </si>
  <si>
    <t>519110002370AAXXXJJK0248</t>
  </si>
  <si>
    <t>00095609672</t>
  </si>
  <si>
    <t>863406074400578</t>
  </si>
  <si>
    <t>89630323297000490821</t>
  </si>
  <si>
    <t>CSR-20250319-158895</t>
  </si>
  <si>
    <t>519110002370AAXXXJJK0109</t>
  </si>
  <si>
    <t>863406074393864</t>
  </si>
  <si>
    <t>89630323297000493056</t>
  </si>
  <si>
    <t>519110002370AAXXXJJK0120</t>
  </si>
  <si>
    <t>863406074394201</t>
  </si>
  <si>
    <t>89630323297000491761</t>
  </si>
  <si>
    <t>R5FBMGOB8RL000104</t>
  </si>
  <si>
    <t>12ZW7291326YA0308H0017</t>
  </si>
  <si>
    <t>00095609683</t>
  </si>
  <si>
    <t>519110002370AAXXXJJK0030</t>
  </si>
  <si>
    <t>863406074392429</t>
  </si>
  <si>
    <t>CSR-20250319-158896</t>
  </si>
  <si>
    <t>89630323297000492934</t>
  </si>
  <si>
    <t>AIM-MCY-7607152</t>
  </si>
  <si>
    <t>N214VС</t>
  </si>
  <si>
    <t>519110002370AAXXXMJK0265</t>
  </si>
  <si>
    <t>863406078320426</t>
  </si>
  <si>
    <t>89630323297000494096</t>
  </si>
  <si>
    <t>R5FBMGOBXRL000105</t>
  </si>
  <si>
    <t>519110002370AAXXXJJK0101</t>
  </si>
  <si>
    <t>12ZW7291326YA0308H0048</t>
  </si>
  <si>
    <t>863406074392643</t>
  </si>
  <si>
    <t>89630323297000493718</t>
  </si>
  <si>
    <t>00095609694</t>
  </si>
  <si>
    <t>CSR-20250319-158897</t>
  </si>
  <si>
    <t>519110002370AAXXXJJK0164</t>
  </si>
  <si>
    <t>863406074400669</t>
  </si>
  <si>
    <t>89630323297000492165</t>
  </si>
  <si>
    <t>519110002370AAXXXMJK0209</t>
  </si>
  <si>
    <t>863406078320210</t>
  </si>
  <si>
    <t>89630323297000493577</t>
  </si>
  <si>
    <t>R5FBMGOB1RL000106</t>
  </si>
  <si>
    <t>12ZW7291326YA0308H0009</t>
  </si>
  <si>
    <t>519110002370AAXXXMJK0211</t>
  </si>
  <si>
    <t>863406074394722</t>
  </si>
  <si>
    <t>00095609380</t>
  </si>
  <si>
    <t>89630323297000490508</t>
  </si>
  <si>
    <t>CSR-20250319-158898</t>
  </si>
  <si>
    <t>AIM-MCY-7573902</t>
  </si>
  <si>
    <t>519110002370AAXXXJJK0140</t>
  </si>
  <si>
    <t>863406074394425</t>
  </si>
  <si>
    <t>89630323297000491928</t>
  </si>
  <si>
    <t>N215VС</t>
  </si>
  <si>
    <t>519110002370AAXXXJJK0124</t>
  </si>
  <si>
    <t>863406074394524</t>
  </si>
  <si>
    <t>89630323297000494476</t>
  </si>
  <si>
    <t>519110002370AAXXXJJK0031</t>
  </si>
  <si>
    <t>R5FBMGOB3RL000107</t>
  </si>
  <si>
    <t>863406074409488</t>
  </si>
  <si>
    <t>89630323297000490193</t>
  </si>
  <si>
    <t>12ZW7291326YA0308H0024</t>
  </si>
  <si>
    <t>00095609391</t>
  </si>
  <si>
    <t>519110002370AAXXXJJK0160</t>
  </si>
  <si>
    <t>863406074389250</t>
  </si>
  <si>
    <t>89630323297000493015</t>
  </si>
  <si>
    <t>CSR-20250319-158916</t>
  </si>
  <si>
    <t>AIM-MCY-7573887</t>
  </si>
  <si>
    <t>519110002370AAXXXMJK0253</t>
  </si>
  <si>
    <t>863406078300147</t>
  </si>
  <si>
    <t>N217VС</t>
  </si>
  <si>
    <t>89630323297000523266</t>
  </si>
  <si>
    <t>519110002370AAXXXMJK0240</t>
  </si>
  <si>
    <t>863406074407367</t>
  </si>
  <si>
    <t>89630323297000490722</t>
  </si>
  <si>
    <t>R5FBMGOB5RL000108</t>
  </si>
  <si>
    <t>12ZW7291326YA0308H0047</t>
  </si>
  <si>
    <t>00095609403</t>
  </si>
  <si>
    <t>519110002370AAXXXJJK0257</t>
  </si>
  <si>
    <t>CSR-20250319-158917</t>
  </si>
  <si>
    <t>863406078300543</t>
  </si>
  <si>
    <t>89630323297000492306</t>
  </si>
  <si>
    <t>E88 Asgard Warehouse 1</t>
  </si>
  <si>
    <t>519110002370AAXXXJJK0245</t>
  </si>
  <si>
    <t>863406074400313</t>
  </si>
  <si>
    <t>89630323297000491589</t>
  </si>
  <si>
    <t>519110002370AAXXXMJK0205</t>
  </si>
  <si>
    <t>863406078318818</t>
  </si>
  <si>
    <t>89630323297000523555</t>
  </si>
  <si>
    <t>R5FBMGOB7RL000109</t>
  </si>
  <si>
    <t>12ZW7291326YA0308H0055</t>
  </si>
  <si>
    <t>519110002370AAXXXMJK0251</t>
  </si>
  <si>
    <t>863406074402566</t>
  </si>
  <si>
    <t>00095609414</t>
  </si>
  <si>
    <t>89630323297000490086</t>
  </si>
  <si>
    <t>CSR-20250319-158918</t>
  </si>
  <si>
    <t>AIM-MCY-7573922</t>
  </si>
  <si>
    <t>519110002370AAXXXMJK0246</t>
  </si>
  <si>
    <t>863406074402335</t>
  </si>
  <si>
    <t>89630323297000523456</t>
  </si>
  <si>
    <t>N267VC</t>
  </si>
  <si>
    <t>519110002370AAXXXMJK0252</t>
  </si>
  <si>
    <t>863406078318925</t>
  </si>
  <si>
    <t>89630323297000490177</t>
  </si>
  <si>
    <t>R5FBMGOB3RL000110</t>
  </si>
  <si>
    <t>12ZW7291326YA0308H0016</t>
  </si>
  <si>
    <t>519110002370AAXXXJJK0184</t>
  </si>
  <si>
    <t>00095609425</t>
  </si>
  <si>
    <t>863406074394300</t>
  </si>
  <si>
    <t>89630323297000494146</t>
  </si>
  <si>
    <t>CSR-20250319-158915</t>
  </si>
  <si>
    <t>AIM-MCY-7573934</t>
  </si>
  <si>
    <t>N216VС</t>
  </si>
  <si>
    <t>519110002370AAXXXMJK0489</t>
  </si>
  <si>
    <t>863406074348074</t>
  </si>
  <si>
    <t>89630323297000492173</t>
  </si>
  <si>
    <t>519110002370AAXXXMJK0327</t>
  </si>
  <si>
    <t>863406074408548</t>
  </si>
  <si>
    <t>R5FBMGOB5RL000111</t>
  </si>
  <si>
    <t>89630323297000494005</t>
  </si>
  <si>
    <t>12ZW7291326YA0308H0018</t>
  </si>
  <si>
    <t>00095609436</t>
  </si>
  <si>
    <t>CSR-20250319-158919</t>
  </si>
  <si>
    <t>AIM-MCY-7303857</t>
  </si>
  <si>
    <t>N149VD</t>
  </si>
  <si>
    <t>519110002370AAXXXMJK0488</t>
  </si>
  <si>
    <t>863406074407714</t>
  </si>
  <si>
    <t>89630323297000490433</t>
  </si>
  <si>
    <t>R5FBMGOB7RL000112</t>
  </si>
  <si>
    <t>12ZW7291326YA0308H0065</t>
  </si>
  <si>
    <t>00095609447</t>
  </si>
  <si>
    <t>CSR-20250319-159150</t>
  </si>
  <si>
    <t>519110002370AAXXXMJK0446</t>
  </si>
  <si>
    <t>863406074408563</t>
  </si>
  <si>
    <t>89630323297000521807</t>
  </si>
  <si>
    <t>519110002370AAXXXMJK0319</t>
  </si>
  <si>
    <t>863406078295784</t>
  </si>
  <si>
    <t>89630323297000524348</t>
  </si>
  <si>
    <t>R5FBMGOB9RL000113</t>
  </si>
  <si>
    <t>12ZW7291326YA0308H0015</t>
  </si>
  <si>
    <t>00095609458</t>
  </si>
  <si>
    <t>519110002370AAXXXJJK0128</t>
  </si>
  <si>
    <t>863406074402947</t>
  </si>
  <si>
    <t>89630323297000493742</t>
  </si>
  <si>
    <t>CSR-20250319-158920</t>
  </si>
  <si>
    <t>SA-PMM-101384863</t>
  </si>
  <si>
    <t>519110002370AAXXXMJK0277</t>
  </si>
  <si>
    <t>863406074393153</t>
  </si>
  <si>
    <t>89630323297000491704</t>
  </si>
  <si>
    <t>R5FBMGOB0RL000114</t>
  </si>
  <si>
    <t>12ZW7291326YA0308H0006</t>
  </si>
  <si>
    <t>519110002370AAXXXJJK0165</t>
  </si>
  <si>
    <t>863406074400644</t>
  </si>
  <si>
    <t>89630323297000492405</t>
  </si>
  <si>
    <t>00095609469</t>
  </si>
  <si>
    <t>CSR-20250319-158921</t>
  </si>
  <si>
    <t>AIM-MCY-7573928</t>
  </si>
  <si>
    <t>519110002370AAXXXJJK0114</t>
  </si>
  <si>
    <t>N240VC</t>
  </si>
  <si>
    <t>863406074407557</t>
  </si>
  <si>
    <t>89630323297000492074</t>
  </si>
  <si>
    <t>R5FBMGOB2RL000115</t>
  </si>
  <si>
    <t>519110002370AAXXXJJK0250</t>
  </si>
  <si>
    <t>12ZW7291326YA0308H0043</t>
  </si>
  <si>
    <t>863406074400610</t>
  </si>
  <si>
    <t>89630323297000491449</t>
  </si>
  <si>
    <t>00095609470</t>
  </si>
  <si>
    <t>CSR-20250319-158922</t>
  </si>
  <si>
    <t>AIM-MCY-7573940</t>
  </si>
  <si>
    <t>519110002370AAXXXMJK0255</t>
  </si>
  <si>
    <t>N271VC</t>
  </si>
  <si>
    <t>863406074402350</t>
  </si>
  <si>
    <t>89630323297000493684</t>
  </si>
  <si>
    <t>R5FBMGOB6RL000117</t>
  </si>
  <si>
    <t>519110002370AAXXXJJK0103</t>
  </si>
  <si>
    <t>12ZW7291326YA0308H0007</t>
  </si>
  <si>
    <t>863406074400735</t>
  </si>
  <si>
    <t>89630323297000494336</t>
  </si>
  <si>
    <t>00095609492</t>
  </si>
  <si>
    <t>CSR-20250319-158923</t>
  </si>
  <si>
    <t>AIM-MCY-7573903</t>
  </si>
  <si>
    <t>N218VC</t>
  </si>
  <si>
    <t>519110002370AAXXXJJK0211</t>
  </si>
  <si>
    <t>863406074394250</t>
  </si>
  <si>
    <t>89630323297000493361</t>
  </si>
  <si>
    <t>R5FBMGOB8RL000118</t>
  </si>
  <si>
    <t>12ZW7291326YA0308H0021</t>
  </si>
  <si>
    <t>519110002370AAXXXJJK0150</t>
  </si>
  <si>
    <t>863406074402723</t>
  </si>
  <si>
    <t>00095609504</t>
  </si>
  <si>
    <t>89630323297000492991</t>
  </si>
  <si>
    <t>CSR-20250319-158924</t>
  </si>
  <si>
    <t>AIM-MCY-7573921</t>
  </si>
  <si>
    <t>N272VС</t>
  </si>
  <si>
    <t>519110002370AAXXXJJK0122</t>
  </si>
  <si>
    <t>863406074394185</t>
  </si>
  <si>
    <t>89630323297000491993</t>
  </si>
  <si>
    <t>R5FBMGOBXRL000119</t>
  </si>
  <si>
    <t>12ZW7291326YA0308H0013</t>
  </si>
  <si>
    <t>00095609515</t>
  </si>
  <si>
    <t>CSR-20250319-158925</t>
  </si>
  <si>
    <t>519110002370AAXXXJJK0255</t>
  </si>
  <si>
    <t>863406074348140</t>
  </si>
  <si>
    <t>89630323297000494997</t>
  </si>
  <si>
    <t>AIM-MCY-7573908</t>
  </si>
  <si>
    <t>N219VС</t>
  </si>
  <si>
    <t>519110002370AAXXXJJK0249</t>
  </si>
  <si>
    <t>863406074400461</t>
  </si>
  <si>
    <t>89630323297000521690</t>
  </si>
  <si>
    <t>R5FBMGOB6RL000120</t>
  </si>
  <si>
    <t>12ZW7291326YA0308H0037</t>
  </si>
  <si>
    <t>00095609526</t>
  </si>
  <si>
    <t>519110002370AAXXXMJK0207</t>
  </si>
  <si>
    <t>863406078318826</t>
  </si>
  <si>
    <t>CSR-20250319-158926</t>
  </si>
  <si>
    <t>89630323297000523274</t>
  </si>
  <si>
    <t>AIM-MCY-7573901</t>
  </si>
  <si>
    <t>519110002370AAXXXJJK0117</t>
  </si>
  <si>
    <t>863406074394128</t>
  </si>
  <si>
    <t>89630323297000491811</t>
  </si>
  <si>
    <t>N220VC</t>
  </si>
  <si>
    <t>519110002370AAXXXMJK0271</t>
  </si>
  <si>
    <t>863406078320400</t>
  </si>
  <si>
    <t>89630323297000493254</t>
  </si>
  <si>
    <t>R5FBMGOB8RL000121</t>
  </si>
  <si>
    <t>12ZW7291326YA0308H0003</t>
  </si>
  <si>
    <t>519110002370AAXXXMJK0245</t>
  </si>
  <si>
    <t>863406074401527</t>
  </si>
  <si>
    <t>00095609537</t>
  </si>
  <si>
    <t>89630323297000490045</t>
  </si>
  <si>
    <t>CSR-20250319-158927</t>
  </si>
  <si>
    <t>AIM-MCY-7607148</t>
  </si>
  <si>
    <t>N221VС</t>
  </si>
  <si>
    <t>519110002370AAXXXMJK0268</t>
  </si>
  <si>
    <t>863406078299471</t>
  </si>
  <si>
    <t>89630323297000491183</t>
  </si>
  <si>
    <t>R5FBMGOBXRL000122</t>
  </si>
  <si>
    <t>12ZW7291326YA0308H0010</t>
  </si>
  <si>
    <t>00095609548</t>
  </si>
  <si>
    <t>519110002370AAXXXMJK0254</t>
  </si>
  <si>
    <t>CSR-20250319-158928</t>
  </si>
  <si>
    <t>863406074392718</t>
  </si>
  <si>
    <t>89630323297000492231</t>
  </si>
  <si>
    <t>AIM-MCY-7573904</t>
  </si>
  <si>
    <t>N222VC</t>
  </si>
  <si>
    <t>519110002370AAXXXMJK0270</t>
  </si>
  <si>
    <t>863406078291478</t>
  </si>
  <si>
    <t>89630323297000524058</t>
  </si>
  <si>
    <t>R5FBMGOB1RL000123</t>
  </si>
  <si>
    <t>12ZW7291326YA0308H0051</t>
  </si>
  <si>
    <t>00095609559</t>
  </si>
  <si>
    <t>CSR-20250319-158929</t>
  </si>
  <si>
    <t>519110002370AAXXXMJK0528</t>
  </si>
  <si>
    <t>863406074392841</t>
  </si>
  <si>
    <t>89630323297000520007</t>
  </si>
  <si>
    <t>SA-PMM-101449136</t>
  </si>
  <si>
    <t>519110002370AAXXXJJK0196</t>
  </si>
  <si>
    <t>863406074409694</t>
  </si>
  <si>
    <t>89630323297000490227</t>
  </si>
  <si>
    <t>R5FBMGOB3RL000124</t>
  </si>
  <si>
    <t>12ZW7291326YA0308H0058</t>
  </si>
  <si>
    <t>00095609560</t>
  </si>
  <si>
    <t>519110002370AAXXXMJK0450</t>
  </si>
  <si>
    <t>CSR-20250319-158930</t>
  </si>
  <si>
    <t>863406074397519</t>
  </si>
  <si>
    <t>89630323297000490169</t>
  </si>
  <si>
    <t>AIM-MCY-7303869</t>
  </si>
  <si>
    <t>N173VD</t>
  </si>
  <si>
    <t>519110002370AAXXXMJK0283</t>
  </si>
  <si>
    <t>863406074391462</t>
  </si>
  <si>
    <t>89630323297000493767</t>
  </si>
  <si>
    <t>R5FBMGOB5RL000125</t>
  </si>
  <si>
    <t>12ZW7291326YA0308H0046</t>
  </si>
  <si>
    <t>00095609571</t>
  </si>
  <si>
    <t>519110002370AAXXXMJK0424</t>
  </si>
  <si>
    <t>863406078291502</t>
  </si>
  <si>
    <t>CSR-20250319-158948</t>
  </si>
  <si>
    <t>89630323297000490441</t>
  </si>
  <si>
    <t>AIM-MCY-7303891</t>
  </si>
  <si>
    <t>N175VD</t>
  </si>
  <si>
    <t>519110002370AAXXXMJK0294</t>
  </si>
  <si>
    <t>863406074400388</t>
  </si>
  <si>
    <t>89630323297000491860</t>
  </si>
  <si>
    <t>R5FBMGOB7RL000126</t>
  </si>
  <si>
    <t>12ZW7291326YA0308H0035</t>
  </si>
  <si>
    <t>00095609582</t>
  </si>
  <si>
    <t>CSR-20250319-158949</t>
  </si>
  <si>
    <t>AIM-MCY-7607156</t>
  </si>
  <si>
    <t>519110002370AAXXXMJK0263</t>
  </si>
  <si>
    <t>N278VC</t>
  </si>
  <si>
    <t>863406078299547</t>
  </si>
  <si>
    <t>89630323297000491886</t>
  </si>
  <si>
    <t>R5FBMGOB9RL000127</t>
  </si>
  <si>
    <t>519110002370AAXXXMJK0399</t>
  </si>
  <si>
    <t>12ZW7291326YA0308H0064</t>
  </si>
  <si>
    <t>863406078300832</t>
  </si>
  <si>
    <t>89630323297000493494</t>
  </si>
  <si>
    <t>00095609593</t>
  </si>
  <si>
    <t>CSR-20250319-158950</t>
  </si>
  <si>
    <t>AIM-MCY-7573925</t>
  </si>
  <si>
    <t>N241VC</t>
  </si>
  <si>
    <t>519110002370AAXXXJJK0036</t>
  </si>
  <si>
    <t>863406078300154</t>
  </si>
  <si>
    <t>89630323297000491092</t>
  </si>
  <si>
    <t>R5FBMGOB0RL000128</t>
  </si>
  <si>
    <t>12ZW7291326YA0308H0022</t>
  </si>
  <si>
    <t>519110002370AAXXXJJK0170</t>
  </si>
  <si>
    <t>00095609605</t>
  </si>
  <si>
    <t>863406074407789</t>
  </si>
  <si>
    <t>89630323297000494658</t>
  </si>
  <si>
    <t>CSR-20250319-158947</t>
  </si>
  <si>
    <t>AIM-MCY-7303890</t>
  </si>
  <si>
    <t>N174VD</t>
  </si>
  <si>
    <t>519110002370AAXXXMJK0418</t>
  </si>
  <si>
    <t>863406074393252</t>
  </si>
  <si>
    <t>89630323297000524363</t>
  </si>
  <si>
    <t>R5FBMGOB2RL000129</t>
  </si>
  <si>
    <t>12ZW7291326YA0308H0050</t>
  </si>
  <si>
    <t>00095609616</t>
  </si>
  <si>
    <t>CSR-20250319-158951</t>
  </si>
  <si>
    <t>AIM-MCY-7573897</t>
  </si>
  <si>
    <t>519110002370AAXXXJJK0116</t>
  </si>
  <si>
    <t>863406074394086</t>
  </si>
  <si>
    <t>89630323297000490573</t>
  </si>
  <si>
    <t>N223VС</t>
  </si>
  <si>
    <t>R5FBMGOB9RL000130</t>
  </si>
  <si>
    <t>12ZW7291326YA0308H0042</t>
  </si>
  <si>
    <t>00095609627</t>
  </si>
  <si>
    <t>519110002370AAXXXJJK0174</t>
  </si>
  <si>
    <t>863406074402889</t>
  </si>
  <si>
    <t>CSR-20250319-158952</t>
  </si>
  <si>
    <t>AIM-MCY-7573931</t>
  </si>
  <si>
    <t>89630323297000523803</t>
  </si>
  <si>
    <t>N264VС</t>
  </si>
  <si>
    <t>519110002370AAXXXJJK0075</t>
  </si>
  <si>
    <t>863406074394136</t>
  </si>
  <si>
    <t>89630323297000523027</t>
  </si>
  <si>
    <t>R5FBMGOB0RL000131</t>
  </si>
  <si>
    <t>12ZW7291326YA0308H0002</t>
  </si>
  <si>
    <t>00095609638</t>
  </si>
  <si>
    <t>CSR-20250319-158953</t>
  </si>
  <si>
    <t>519110002370AAXXXJJK0055</t>
  </si>
  <si>
    <t>AIM-MCY-7607155</t>
  </si>
  <si>
    <t>863406074400594</t>
  </si>
  <si>
    <t>89630323297000492371</t>
  </si>
  <si>
    <t>N228VС</t>
  </si>
  <si>
    <t>519110002370AAXXXJJK0212</t>
  </si>
  <si>
    <t>863406074394680</t>
  </si>
  <si>
    <t>89630323297000492660</t>
  </si>
  <si>
    <t>R5FBMGOB2RL000132</t>
  </si>
  <si>
    <t>12ZW7291326YA0308H0014</t>
  </si>
  <si>
    <t>00095609649</t>
  </si>
  <si>
    <t>519110002370AAXXXJJK0187</t>
  </si>
  <si>
    <t>863406074405205</t>
  </si>
  <si>
    <t>CSR-20250319-158954</t>
  </si>
  <si>
    <t>89630323297000491571</t>
  </si>
  <si>
    <t>519110002370AAXXXJJK0189</t>
  </si>
  <si>
    <t>BLUE</t>
  </si>
  <si>
    <t>863406074392239</t>
  </si>
  <si>
    <t>89630323297000490052</t>
  </si>
  <si>
    <t>R5FBMGOB4RL000133</t>
  </si>
  <si>
    <t>12ZW7291326YA0308H0004</t>
  </si>
  <si>
    <t>00095609706</t>
  </si>
  <si>
    <t>519110002370AAXXXJJK0119</t>
  </si>
  <si>
    <t>863406074400487</t>
  </si>
  <si>
    <t>CSR-20250319-158955</t>
  </si>
  <si>
    <t>89630323297000491654</t>
  </si>
  <si>
    <t>SA-PMM-101448816</t>
  </si>
  <si>
    <t>E88 Asgard Warehouse</t>
  </si>
  <si>
    <t>519110002370AAXXXMJK0241</t>
  </si>
  <si>
    <t>863406074393146</t>
  </si>
  <si>
    <t>89630323297000490888</t>
  </si>
  <si>
    <t>R5FBMGOB6RL000134</t>
  </si>
  <si>
    <t>12ZW7291326YA0308H0056</t>
  </si>
  <si>
    <t>00095609717</t>
  </si>
  <si>
    <t>CSR-20250319-158956</t>
  </si>
  <si>
    <t>519110002370AAXXXMJK0328</t>
  </si>
  <si>
    <t>863406078294910</t>
  </si>
  <si>
    <t>89630323297000523969</t>
  </si>
  <si>
    <t>AIM-MCY-7573941</t>
  </si>
  <si>
    <t>N212VС</t>
  </si>
  <si>
    <t>519110002370AAXXXJJK0161</t>
  </si>
  <si>
    <t>863406074402632</t>
  </si>
  <si>
    <t>R5FBMGOB8RL000135</t>
  </si>
  <si>
    <t>89630323297000493965</t>
  </si>
  <si>
    <t>12ZW7291326YA0308H0054</t>
  </si>
  <si>
    <t>00095609728</t>
  </si>
  <si>
    <t>CSR-20250319-158957</t>
  </si>
  <si>
    <t>519110002370AAXXXMJK0150</t>
  </si>
  <si>
    <t>863406074348116</t>
  </si>
  <si>
    <t>89630323297000491365</t>
  </si>
  <si>
    <t>SA-PMM-101449023</t>
  </si>
  <si>
    <t>519110002370AAXXXMJK0396</t>
  </si>
  <si>
    <t>863406078300873</t>
  </si>
  <si>
    <t>89630323297000493197</t>
  </si>
  <si>
    <t>R5FBMGOBXRL000136</t>
  </si>
  <si>
    <t>12ZW7291326YA0308H0045</t>
  </si>
  <si>
    <t>519110002370AAXXXMJK0259</t>
  </si>
  <si>
    <t>00095609739</t>
  </si>
  <si>
    <t>863406078300113</t>
  </si>
  <si>
    <t>89630323297000521831</t>
  </si>
  <si>
    <t>CSR-20250319-158958</t>
  </si>
  <si>
    <t>SA-PMM-101449107</t>
  </si>
  <si>
    <t>519110002370AAXXXMJK0256</t>
  </si>
  <si>
    <t>863406074402582</t>
  </si>
  <si>
    <t>89630323297000493569</t>
  </si>
  <si>
    <t>R5FBMGOB1RL000137</t>
  </si>
  <si>
    <t>519110002370AAXXXJJK0028</t>
  </si>
  <si>
    <t>863406074394151</t>
  </si>
  <si>
    <t>12ZW7291326YA0308H0034</t>
  </si>
  <si>
    <t>89630323297000523605</t>
  </si>
  <si>
    <t>00095609740</t>
  </si>
  <si>
    <t>CSR-20250319-158959</t>
  </si>
  <si>
    <t>519110002370AAXXXMJK0248</t>
  </si>
  <si>
    <t>863406078300105</t>
  </si>
  <si>
    <t>89630323297000523175</t>
  </si>
  <si>
    <t>SA-PMM-101448807</t>
  </si>
  <si>
    <t>519110002370AAXXXJJK0216</t>
  </si>
  <si>
    <t>863406074392254</t>
  </si>
  <si>
    <t>89630323297000492462</t>
  </si>
  <si>
    <t>R5FBMGOB3RL000138</t>
  </si>
  <si>
    <t>12ZW7291326YA0308H0029</t>
  </si>
  <si>
    <t>519110002370AAXXXMJK0550</t>
  </si>
  <si>
    <t>00095609751</t>
  </si>
  <si>
    <t>863406078300865</t>
  </si>
  <si>
    <t>89630323297000523480</t>
  </si>
  <si>
    <t>CSR-20250319-158960</t>
  </si>
  <si>
    <t>SA-PMM-101399707</t>
  </si>
  <si>
    <t>519110002370AAXXXMJK0375</t>
  </si>
  <si>
    <t>863406074392056</t>
  </si>
  <si>
    <t>89630323297000492785</t>
  </si>
  <si>
    <t>519110002370AAXXXMJK0204</t>
  </si>
  <si>
    <t>863406078319725</t>
  </si>
  <si>
    <t>89630323297000493874</t>
  </si>
  <si>
    <t>R5FBMGOB5RL000139</t>
  </si>
  <si>
    <t>12ZW7291326YA0308H0026</t>
  </si>
  <si>
    <t>00095609762</t>
  </si>
  <si>
    <t>CSR-20250319-158961</t>
  </si>
  <si>
    <t>519110002370AAXXXJJK0095</t>
  </si>
  <si>
    <t>863406074394516</t>
  </si>
  <si>
    <t>SA-PMM-101449041</t>
  </si>
  <si>
    <t>89630323297000492348</t>
  </si>
  <si>
    <t>519110002370AAXXXJJK0064</t>
  </si>
  <si>
    <t>863406074405064</t>
  </si>
  <si>
    <t>89630323297000490151</t>
  </si>
  <si>
    <t>R5FBMGOB1RL000140</t>
  </si>
  <si>
    <t>12ZW7291326YA0308H0040</t>
  </si>
  <si>
    <t>00095609773</t>
  </si>
  <si>
    <t>CSR-20250319-158962</t>
  </si>
  <si>
    <t>519110002370AAXXXMJK0384</t>
  </si>
  <si>
    <t>863406078291445</t>
  </si>
  <si>
    <t>89630323297000523241</t>
  </si>
  <si>
    <t>519110002370AAXXXMJK0267</t>
  </si>
  <si>
    <t>863406078300535</t>
  </si>
  <si>
    <t>89630323297000491803</t>
  </si>
  <si>
    <t>R5FBMGOB3RL000141</t>
  </si>
  <si>
    <t>12ZW7291326YA0308H0020</t>
  </si>
  <si>
    <t>00095609784</t>
  </si>
  <si>
    <t>CSR-20250319-158976</t>
  </si>
  <si>
    <t>519110002370AAXXXJJK0166</t>
  </si>
  <si>
    <t>863406074402533</t>
  </si>
  <si>
    <t>89630323297000523464</t>
  </si>
  <si>
    <t>519110002370AAXXXMJK0411</t>
  </si>
  <si>
    <t>863406074392007</t>
  </si>
  <si>
    <t>R5FBMGOB5RL000142</t>
  </si>
  <si>
    <t>89630323297000524124</t>
  </si>
  <si>
    <t>12ZW7291326YA0308H0030</t>
  </si>
  <si>
    <t>00095609795</t>
  </si>
  <si>
    <t>CSR-20250319-158977</t>
  </si>
  <si>
    <t>519110002370AAXXXJJK0173</t>
  </si>
  <si>
    <t>863406074402616</t>
  </si>
  <si>
    <t>89630323297000523761</t>
  </si>
  <si>
    <t>519110002370AAXXXJJK0188</t>
  </si>
  <si>
    <t>R5FBMGOB7RL000143</t>
  </si>
  <si>
    <t>863406074394540</t>
  </si>
  <si>
    <t>12ZW7291326YA0308H0031</t>
  </si>
  <si>
    <t>89630323297000524066</t>
  </si>
  <si>
    <t>00095609807</t>
  </si>
  <si>
    <t>CSR-20250319-158978</t>
  </si>
  <si>
    <t>519110002370AAXXXJJK0074</t>
  </si>
  <si>
    <t>863406074394565</t>
  </si>
  <si>
    <t>89630323297000491175</t>
  </si>
  <si>
    <t>519110002370AAXXXMJK0414</t>
  </si>
  <si>
    <t>R5FBMGOB9RL000144</t>
  </si>
  <si>
    <t>863406078295776</t>
  </si>
  <si>
    <t>12ZW7291326YA0308H0062</t>
  </si>
  <si>
    <t>89630323297000491662</t>
  </si>
  <si>
    <t>00095609818</t>
  </si>
  <si>
    <t>CSR-20250319-158975</t>
  </si>
  <si>
    <t>519110002370AAXXXMJK0276</t>
  </si>
  <si>
    <t>AIM-MCY-7573926</t>
  </si>
  <si>
    <t>863406074395059</t>
  </si>
  <si>
    <t>89630323297000490581</t>
  </si>
  <si>
    <t>N242VС</t>
  </si>
  <si>
    <t>519110002370AAXXXJJK0078</t>
  </si>
  <si>
    <t>863406074394078</t>
  </si>
  <si>
    <t>R5FBMGOB2RL000146</t>
  </si>
  <si>
    <t>89630323297000491977</t>
  </si>
  <si>
    <t>12ZW7291326YA0308H0032</t>
  </si>
  <si>
    <t>00095609830</t>
  </si>
  <si>
    <t>CSR-20250319-158979</t>
  </si>
  <si>
    <t>AIM-MCY-7303901</t>
  </si>
  <si>
    <t>519110002370AAXXXMJK0412</t>
  </si>
  <si>
    <t>863406074400651</t>
  </si>
  <si>
    <t>89630323297000524462</t>
  </si>
  <si>
    <t>N151VD</t>
  </si>
  <si>
    <t>519110002370AAXXXMJK0334</t>
  </si>
  <si>
    <t>863406078295651</t>
  </si>
  <si>
    <t>89630323297000524371</t>
  </si>
  <si>
    <t>R5FBMGOB4RL000147</t>
  </si>
  <si>
    <t>12ZW7291326YA0308H0052</t>
  </si>
  <si>
    <t>00095609841</t>
  </si>
  <si>
    <t>CSR-20250319-158980</t>
  </si>
  <si>
    <t>519110002370AAXXXJJK0141</t>
  </si>
  <si>
    <t>863406074407995</t>
  </si>
  <si>
    <t>89630323297000490557</t>
  </si>
  <si>
    <t>519110002370AAXXXMJK0324</t>
  </si>
  <si>
    <t>863406078284309</t>
  </si>
  <si>
    <t>89630323297000521427</t>
  </si>
  <si>
    <t>R5FBMGOB6RL000148</t>
  </si>
  <si>
    <t>12ZW7291326YA0308H0038</t>
  </si>
  <si>
    <t>00095609852</t>
  </si>
  <si>
    <t>CSR-20250319-158981</t>
  </si>
  <si>
    <t>519110002370AAXXXMJK0063</t>
  </si>
  <si>
    <t>863406074394102</t>
  </si>
  <si>
    <t>89630323297000494641</t>
  </si>
  <si>
    <t>519110002370AAXXXMJK0300</t>
  </si>
  <si>
    <t>863406074404521</t>
  </si>
  <si>
    <t>R5FBMGOB8RL000149</t>
  </si>
  <si>
    <t>89630323297000491118</t>
  </si>
  <si>
    <t>12ZW7291326YA0308H0019</t>
  </si>
  <si>
    <t>00095609863</t>
  </si>
  <si>
    <t>CSR-20250319-158982</t>
  </si>
  <si>
    <t>519110002370AAXXXMJK0273</t>
  </si>
  <si>
    <t>863406074392932</t>
  </si>
  <si>
    <t>89630323297000491795</t>
  </si>
  <si>
    <t>R5FBMGOB4RL000150</t>
  </si>
  <si>
    <t>12ZW7291326YA0308H0001</t>
  </si>
  <si>
    <t>519110002370AAXXXMJK0308</t>
  </si>
  <si>
    <t>00095609874</t>
  </si>
  <si>
    <t>863406074407409</t>
  </si>
  <si>
    <t>89630323297000490532</t>
  </si>
  <si>
    <t>CSR-20250319-158983</t>
  </si>
  <si>
    <t>519110002370AAXXXMJK0393</t>
  </si>
  <si>
    <t>863406074392049</t>
  </si>
  <si>
    <t>89630323297000494963</t>
  </si>
  <si>
    <t>R5FBMGOB6RL000151</t>
  </si>
  <si>
    <t>12ZW7291326YA0308H0041</t>
  </si>
  <si>
    <t>00095609885</t>
  </si>
  <si>
    <t>519110002370AAXXXMJK0281</t>
  </si>
  <si>
    <t>CSR-20250319-158984</t>
  </si>
  <si>
    <t>863406078300717</t>
  </si>
  <si>
    <t>89630323297000493478</t>
  </si>
  <si>
    <t>519110002370AAXXXJJK0247</t>
  </si>
  <si>
    <t>R5FBMGOB8RL000152</t>
  </si>
  <si>
    <t>12ZW7291326YA0308H0008</t>
  </si>
  <si>
    <t>00095609896</t>
  </si>
  <si>
    <t>CSR-20250321-179568</t>
  </si>
  <si>
    <t>863406074400701</t>
  </si>
  <si>
    <t>89630323297000493064</t>
  </si>
  <si>
    <t>SA-PMM-101384874</t>
  </si>
  <si>
    <t>519110002370AAXXXJJK0136</t>
  </si>
  <si>
    <t>863406074402897</t>
  </si>
  <si>
    <t>89630323297000494450</t>
  </si>
  <si>
    <t>R5FBMGOBXRL000153</t>
  </si>
  <si>
    <t>12ZW7291326YA0308H0028</t>
  </si>
  <si>
    <t>519110002370AAXXXMJK0275</t>
  </si>
  <si>
    <t>863406074393641</t>
  </si>
  <si>
    <t>00095609908</t>
  </si>
  <si>
    <t>89630323297000494344</t>
  </si>
  <si>
    <t>CSR-20250319-158985</t>
  </si>
  <si>
    <t>SA-PMM-101449126</t>
  </si>
  <si>
    <t>519110002370AAXXXJJK0138</t>
  </si>
  <si>
    <t>863406074402921</t>
  </si>
  <si>
    <t>89630323297000494500</t>
  </si>
  <si>
    <t>R5FBMGOB1RL000154</t>
  </si>
  <si>
    <t>12ZW7291326YA0308H0053</t>
  </si>
  <si>
    <t>00095609919</t>
  </si>
  <si>
    <t>CSR-20250319-158986</t>
  </si>
  <si>
    <t>519110002370AAXXXMJK0372</t>
  </si>
  <si>
    <t>863406074347928</t>
  </si>
  <si>
    <t>89630323297000524215</t>
  </si>
  <si>
    <t>519110002370AAXXXJJK0169</t>
  </si>
  <si>
    <t>863406074393518</t>
  </si>
  <si>
    <t>89630323297000523019</t>
  </si>
  <si>
    <t>R5FBMGOB3RL000155</t>
  </si>
  <si>
    <t>12ZW7291326YA0308H0011</t>
  </si>
  <si>
    <t>00095609920</t>
  </si>
  <si>
    <t>CSR-20250319-158987</t>
  </si>
  <si>
    <t>AIM-MCY-7303866</t>
  </si>
  <si>
    <t>519110002370AAXXXMJK0417</t>
  </si>
  <si>
    <t>863406074393682</t>
  </si>
  <si>
    <t>89630323297000521393</t>
  </si>
  <si>
    <t>N183VD</t>
  </si>
  <si>
    <t>519110002370AAXXXJJK0163</t>
  </si>
  <si>
    <t>863406074409553</t>
  </si>
  <si>
    <t>R5FBMGOB5RL000156</t>
  </si>
  <si>
    <t>89630323297000523746</t>
  </si>
  <si>
    <t>12ZW7291326YA0308H0060</t>
  </si>
  <si>
    <t>00095609931</t>
  </si>
  <si>
    <t>CSR-20250319-158988</t>
  </si>
  <si>
    <t>519110002370AAXXXJJK0181</t>
  </si>
  <si>
    <t>863406074348033</t>
  </si>
  <si>
    <t>89630323297000490391</t>
  </si>
  <si>
    <t>R5FBMGOB7RL000157</t>
  </si>
  <si>
    <t>12ZW7291326YA0308H0039</t>
  </si>
  <si>
    <t>519110002370AAXXXJJK0046</t>
  </si>
  <si>
    <t>00095609942</t>
  </si>
  <si>
    <t>863406074404901</t>
  </si>
  <si>
    <t>89630323297000492314</t>
  </si>
  <si>
    <t>CSR-20250319-158990</t>
  </si>
  <si>
    <t>519110002370AAXXXMJK0443</t>
  </si>
  <si>
    <t>863406074394771</t>
  </si>
  <si>
    <t>89630323297000521369</t>
  </si>
  <si>
    <t>R5FBMGOB9RL000158</t>
  </si>
  <si>
    <t>12ZW7291326YA0308H0033</t>
  </si>
  <si>
    <t>00095609953</t>
  </si>
  <si>
    <t>519110002370AAXXXJJK0102</t>
  </si>
  <si>
    <t>863406074405023</t>
  </si>
  <si>
    <t>CSR-20250319-158991</t>
  </si>
  <si>
    <t>89630323297000492512</t>
  </si>
  <si>
    <t>519110002370AAXXXJJK0207</t>
  </si>
  <si>
    <t>863406074407474</t>
  </si>
  <si>
    <t>89630323297000494971</t>
  </si>
  <si>
    <t>R5FBMGOB0RL000159</t>
  </si>
  <si>
    <t>12ZW7291326YA0308H0027</t>
  </si>
  <si>
    <t>00095609964</t>
  </si>
  <si>
    <t>519110002370AAXXXJJK0213</t>
  </si>
  <si>
    <t>863406074392387</t>
  </si>
  <si>
    <t>CSR-20250319-158992</t>
  </si>
  <si>
    <t>89630323297000492694</t>
  </si>
  <si>
    <t>SA-PMM-101449013</t>
  </si>
  <si>
    <t>519110002370AAXXXJJK0057</t>
  </si>
  <si>
    <t>863406074400560</t>
  </si>
  <si>
    <t>89630323297000491779</t>
  </si>
  <si>
    <t>R5FBMGOB7RL000160</t>
  </si>
  <si>
    <t>12ZW7291326YA0308H0025</t>
  </si>
  <si>
    <t>00095609975</t>
  </si>
  <si>
    <t>519110002370AAXXXMJK0239</t>
  </si>
  <si>
    <t>863406074401543</t>
  </si>
  <si>
    <t>CSR-20250319-158989</t>
  </si>
  <si>
    <t>89630323297000494898</t>
  </si>
  <si>
    <t>SA-PMM-101449098</t>
  </si>
  <si>
    <t>519110002370AAXXXMJK0455</t>
  </si>
  <si>
    <t>863406078291544</t>
  </si>
  <si>
    <t>89630323297000491381</t>
  </si>
  <si>
    <t>R5FBMGOB9RL000161</t>
  </si>
  <si>
    <t>12ZW7291326YA0308H0059</t>
  </si>
  <si>
    <t>00095609986</t>
  </si>
  <si>
    <t>519110002370AAXXXMJK0387</t>
  </si>
  <si>
    <t>CSR-20250319-158993</t>
  </si>
  <si>
    <t>863406078318909</t>
  </si>
  <si>
    <t>89630323297000524314</t>
  </si>
  <si>
    <t>519110002370AAXXXMJK0050</t>
  </si>
  <si>
    <t>863406074347944</t>
  </si>
  <si>
    <t>89630323297000524033</t>
  </si>
  <si>
    <t>519110002370AAXXXJJK0186</t>
  </si>
  <si>
    <t>863406074392866</t>
  </si>
  <si>
    <t>89630323297000494880</t>
  </si>
  <si>
    <t>519110002370AAXXXMJK0507</t>
  </si>
  <si>
    <t>863406078291379</t>
  </si>
  <si>
    <t>R5FBMGOB0RL000162</t>
  </si>
  <si>
    <t>89630323297000521468</t>
  </si>
  <si>
    <t>12ZW7291326YA0308H0061</t>
  </si>
  <si>
    <t>00095609997</t>
  </si>
  <si>
    <t>CSR-20250319-158994</t>
  </si>
  <si>
    <t>519110002370AAXXXMJK0376</t>
  </si>
  <si>
    <t>863406078291361</t>
  </si>
  <si>
    <t>89630323297000524264</t>
  </si>
  <si>
    <t>AIM-MCY-7573929</t>
  </si>
  <si>
    <t>N243VC</t>
  </si>
  <si>
    <t>519110002370AAXXXMJK0385</t>
  </si>
  <si>
    <t>863406078318883</t>
  </si>
  <si>
    <t>89630323297000521237</t>
  </si>
  <si>
    <t>R5FBMGOB2RL000163</t>
  </si>
  <si>
    <t>12ZW7291326YA0308H0036</t>
  </si>
  <si>
    <t>00095610001</t>
  </si>
  <si>
    <t>CSR-20250319-158996</t>
  </si>
  <si>
    <t>519110002370AAXXXMJK0365</t>
  </si>
  <si>
    <t>AIM-MCY-7573912</t>
  </si>
  <si>
    <t>863406078319048</t>
  </si>
  <si>
    <t>89630323297000523902</t>
  </si>
  <si>
    <t>N227VС</t>
  </si>
  <si>
    <t>519110002370AAXXXMJK0333</t>
  </si>
  <si>
    <t>863406074393419</t>
  </si>
  <si>
    <t>R5FBMGOB4RL000164</t>
  </si>
  <si>
    <t>89630323297000523043</t>
  </si>
  <si>
    <t>12ZW7291326YA0308H0049</t>
  </si>
  <si>
    <t>00095610012</t>
  </si>
  <si>
    <t>CSR-20250319-158997</t>
  </si>
  <si>
    <t>519110002370AAXXXJJK0043</t>
  </si>
  <si>
    <t>863406078295677</t>
  </si>
  <si>
    <t>89630323297000492207</t>
  </si>
  <si>
    <t>519110002370AAXXXJJK0157</t>
  </si>
  <si>
    <t>R5FBMGOC5RL000151</t>
  </si>
  <si>
    <t>863406074406195</t>
  </si>
  <si>
    <t>12ZW7278324YA0314H0006</t>
  </si>
  <si>
    <t>89630323297000521096</t>
  </si>
  <si>
    <t>00095610528</t>
  </si>
  <si>
    <t>CSR-20250319-158998</t>
  </si>
  <si>
    <t>SA-PMM-101377495</t>
  </si>
  <si>
    <t>519110002370AAXXXMJK0369</t>
  </si>
  <si>
    <t>863406074392205</t>
  </si>
  <si>
    <t>89630323297000524280</t>
  </si>
  <si>
    <t>519110002370AAXXXMJK0386</t>
  </si>
  <si>
    <t>863406078319600</t>
  </si>
  <si>
    <t>89630323297000521484</t>
  </si>
  <si>
    <t>R5FBMGOC3RL000164</t>
  </si>
  <si>
    <t>12ZW7278324YA0314H0026</t>
  </si>
  <si>
    <t>00095610652</t>
  </si>
  <si>
    <t>CSR-20250319-158995</t>
  </si>
  <si>
    <t>519110002370AAXXXJJK0251</t>
  </si>
  <si>
    <t>863406074400628</t>
  </si>
  <si>
    <t>SA-PMM-101377574</t>
  </si>
  <si>
    <t>89630323297000523191</t>
  </si>
  <si>
    <t>2024Q4-02-MC-PILOT</t>
  </si>
  <si>
    <t>519110002370AAXXXMJK0454</t>
  </si>
  <si>
    <t>863406078319626</t>
  </si>
  <si>
    <t>89630323297000521435</t>
  </si>
  <si>
    <t>R5FBMX0B9RL000452</t>
  </si>
  <si>
    <t>170ZW-J7211435NA0124J0129</t>
  </si>
  <si>
    <t>519110002370AAXXXJJK0155</t>
  </si>
  <si>
    <t>00095796826</t>
  </si>
  <si>
    <t>863406074394482</t>
  </si>
  <si>
    <t>89630323297000521021</t>
  </si>
  <si>
    <t>C154771-24</t>
  </si>
  <si>
    <t>CSR-20250319-158999</t>
  </si>
  <si>
    <t>SA-PMM-101399709</t>
  </si>
  <si>
    <t>519110002370AAXXXJJK0224</t>
  </si>
  <si>
    <t>863406074397758</t>
  </si>
  <si>
    <t>89630323297000493106</t>
  </si>
  <si>
    <t>R5FBMX0B0RL000503</t>
  </si>
  <si>
    <t>170ZW-J7211435NA0124J0062</t>
  </si>
  <si>
    <t>519110002370AAXXXJJK0132</t>
  </si>
  <si>
    <t>863406074348132</t>
  </si>
  <si>
    <t>00095796332</t>
  </si>
  <si>
    <t>89630323297000491001</t>
  </si>
  <si>
    <t>CSR-20250319-159000</t>
  </si>
  <si>
    <t>SA-PMM-101424461</t>
  </si>
  <si>
    <t>519110002370AAXXXMJK0420</t>
  </si>
  <si>
    <t>863406074391926</t>
  </si>
  <si>
    <t>89630323297000524272</t>
  </si>
  <si>
    <t>R5FBMX0B9RL000404</t>
  </si>
  <si>
    <t>170ZW-J7211435NA0124J0004</t>
  </si>
  <si>
    <t>00095795948</t>
  </si>
  <si>
    <t>519110002370AAXXXMJK0435</t>
  </si>
  <si>
    <t>CSR-20250319-159001</t>
  </si>
  <si>
    <t>863406074407219</t>
  </si>
  <si>
    <t>89630323297000521047</t>
  </si>
  <si>
    <t>519110002370AAXXXJJK0171</t>
  </si>
  <si>
    <t>863406074404414</t>
  </si>
  <si>
    <t>89630323297000490763</t>
  </si>
  <si>
    <t>R5FBMX0B0RL000405</t>
  </si>
  <si>
    <t>170ZW-J7211435NA0124J0145</t>
  </si>
  <si>
    <t>00095795937</t>
  </si>
  <si>
    <t>CSR-20250319-159002</t>
  </si>
  <si>
    <t>519110002370AAXXXJJK0081</t>
  </si>
  <si>
    <t>863406074393195</t>
  </si>
  <si>
    <t>89630323297000492157</t>
  </si>
  <si>
    <t>519110002370AAXXXMJK0441</t>
  </si>
  <si>
    <t>863406078301145</t>
  </si>
  <si>
    <t>89630323297000523209</t>
  </si>
  <si>
    <t>R5FBMX0B2RL000406</t>
  </si>
  <si>
    <t>170ZW-J7211435NA0124J0009</t>
  </si>
  <si>
    <t>00095795926</t>
  </si>
  <si>
    <t>CSR-20250319-159004</t>
  </si>
  <si>
    <t>519110002370AAXXXMJK0537</t>
  </si>
  <si>
    <t>863406074391421</t>
  </si>
  <si>
    <t>89630323297000490383</t>
  </si>
  <si>
    <t>519110002370AAXXXJJK0052</t>
  </si>
  <si>
    <t>863406074407656</t>
  </si>
  <si>
    <t>R5FBMX0B4RL000407</t>
  </si>
  <si>
    <t>89630323297000492611</t>
  </si>
  <si>
    <t>170ZW-J7211435NA0124J0030</t>
  </si>
  <si>
    <t>00095795915</t>
  </si>
  <si>
    <t>CSR-20250319-159005</t>
  </si>
  <si>
    <t>519110002370AAXXXMJK0409</t>
  </si>
  <si>
    <t>863406078300949</t>
  </si>
  <si>
    <t>89630323297000521070</t>
  </si>
  <si>
    <t>519110002370AAXXXMJK0419</t>
  </si>
  <si>
    <t>863406074393393</t>
  </si>
  <si>
    <t>R5FBMX0B6RL000408</t>
  </si>
  <si>
    <t>89630323297000524132</t>
  </si>
  <si>
    <t>170ZW-J7211435NA0124J0007</t>
  </si>
  <si>
    <t>00095795904</t>
  </si>
  <si>
    <t>CSR-20250319-159006</t>
  </si>
  <si>
    <t>519110002370AAXXXMJK0351</t>
  </si>
  <si>
    <t>AIM-MCY-7573936</t>
  </si>
  <si>
    <t>863406074393955</t>
  </si>
  <si>
    <t>89630323297000524249</t>
  </si>
  <si>
    <t>N244VC</t>
  </si>
  <si>
    <t>519110002370AAXXXJJK0253</t>
  </si>
  <si>
    <t>863406078320376</t>
  </si>
  <si>
    <t>89630323297000490219</t>
  </si>
  <si>
    <t>R5FBMX0B8RL000409</t>
  </si>
  <si>
    <t>170ZW-J7211435NA0124J0032</t>
  </si>
  <si>
    <t>00095795892</t>
  </si>
  <si>
    <t>519110002370AAXXXMJK0149</t>
  </si>
  <si>
    <t>CSR-20250319-159007</t>
  </si>
  <si>
    <t>863406074404851</t>
  </si>
  <si>
    <t>89630323297000493676</t>
  </si>
  <si>
    <t>519110002370AAXXXMJK0355</t>
  </si>
  <si>
    <t>863406074393849</t>
  </si>
  <si>
    <t>89630323297000524140</t>
  </si>
  <si>
    <t>R5FBMX0B4RL000410</t>
  </si>
  <si>
    <t>170ZW-J7211435NA0124J0008</t>
  </si>
  <si>
    <t>519110002370AAXXXMJK0429</t>
  </si>
  <si>
    <t>00095795881</t>
  </si>
  <si>
    <t>863406078300725</t>
  </si>
  <si>
    <t>89630323297000492587</t>
  </si>
  <si>
    <t>CSR-20250319-159008</t>
  </si>
  <si>
    <t>519110002370AAXXXMJK0371</t>
  </si>
  <si>
    <t>863406078303810</t>
  </si>
  <si>
    <t>89630323297000523985</t>
  </si>
  <si>
    <t>R5FBMX0B6RL000411</t>
  </si>
  <si>
    <t>519110002370AAXXXJJK0228</t>
  </si>
  <si>
    <t>863406074407623</t>
  </si>
  <si>
    <t>170ZW-J7211435NA0124J0014</t>
  </si>
  <si>
    <t>89630323297000521062</t>
  </si>
  <si>
    <t>00095795870</t>
  </si>
  <si>
    <t>CSR-20250319-159003</t>
  </si>
  <si>
    <t>519110002370AAXXXJJK0088</t>
  </si>
  <si>
    <t>863406074408118</t>
  </si>
  <si>
    <t>89630323297000492843</t>
  </si>
  <si>
    <t>R5FBMX0B8RL000412</t>
  </si>
  <si>
    <t>170ZW-J7211435NA0124J0017</t>
  </si>
  <si>
    <t>519110002370AAXXXJJK0073</t>
  </si>
  <si>
    <t>863406074391587</t>
  </si>
  <si>
    <t>89630323297000490078</t>
  </si>
  <si>
    <t>00095795869</t>
  </si>
  <si>
    <t>CSR-20250319-159009</t>
  </si>
  <si>
    <t>519110002370AAXXXMJK0513</t>
  </si>
  <si>
    <t>863406074409546</t>
  </si>
  <si>
    <t>89630323297000494609</t>
  </si>
  <si>
    <t>519110002370AAXXXJJK0241</t>
  </si>
  <si>
    <t>863406078291601</t>
  </si>
  <si>
    <t>89630323297000524330</t>
  </si>
  <si>
    <t>R5FBMX0BXRL000413</t>
  </si>
  <si>
    <t>170ZW-J7211435NA0124J0021</t>
  </si>
  <si>
    <t>00095795858</t>
  </si>
  <si>
    <t>CSR-20250319-159010</t>
  </si>
  <si>
    <t>519110002370AAXXXJJK0059</t>
  </si>
  <si>
    <t>863406074402863</t>
  </si>
  <si>
    <t>89630323297000492199</t>
  </si>
  <si>
    <t>519110002370AAXXXJJK0229</t>
  </si>
  <si>
    <t>863406074397733</t>
  </si>
  <si>
    <t>89630323297000493759</t>
  </si>
  <si>
    <t>R5FBMX0B1RL000414</t>
  </si>
  <si>
    <t>170ZW-J7211435NA0124J0024</t>
  </si>
  <si>
    <t>00095795847</t>
  </si>
  <si>
    <t>519110002370AAXXXMJK0410</t>
  </si>
  <si>
    <t>863406074407193</t>
  </si>
  <si>
    <t>CSR-20250319-159011</t>
  </si>
  <si>
    <t>89630323297000494161</t>
  </si>
  <si>
    <t>519110002370AAXXXJJK0230</t>
  </si>
  <si>
    <t>863406074407250</t>
  </si>
  <si>
    <t>89630323297000494328</t>
  </si>
  <si>
    <t>519110002370AAXXXJJK0041</t>
  </si>
  <si>
    <t>863406074407243</t>
  </si>
  <si>
    <t>89630323297000491324</t>
  </si>
  <si>
    <t>R5FBMX0B3RL000415</t>
  </si>
  <si>
    <t>170ZW-J7211435NA0124J0036</t>
  </si>
  <si>
    <t>519110002370AAXXXJJK0098</t>
  </si>
  <si>
    <t>863406074397584</t>
  </si>
  <si>
    <t>00095795836</t>
  </si>
  <si>
    <t>89630323297000491076</t>
  </si>
  <si>
    <t>CSR-20250319-159012</t>
  </si>
  <si>
    <t>PIONEER INSURANCE</t>
  </si>
  <si>
    <t>519110002370AAXXXMJK0520</t>
  </si>
  <si>
    <t>863406074407391</t>
  </si>
  <si>
    <t>89630323297000521419</t>
  </si>
  <si>
    <t>R5FBMX0B5RL000416</t>
  </si>
  <si>
    <t>170ZW-J7211435NA0124J0013</t>
  </si>
  <si>
    <t>519110002370AAXXXJJK0220</t>
  </si>
  <si>
    <t>863406074394334</t>
  </si>
  <si>
    <t>00095795825</t>
  </si>
  <si>
    <t>89630323297000523688</t>
  </si>
  <si>
    <t>CSR-20250319-159013</t>
  </si>
  <si>
    <t>519110002370AAXXXJJK0110</t>
  </si>
  <si>
    <t>863406074402590</t>
  </si>
  <si>
    <t>89630323297000493502</t>
  </si>
  <si>
    <t>R5FBMX0B7RL000417</t>
  </si>
  <si>
    <t>170ZW-J7211435NA0124J0035</t>
  </si>
  <si>
    <t>519110002370AAXXXJJK0221</t>
  </si>
  <si>
    <t>00095795814</t>
  </si>
  <si>
    <t>863406074394748</t>
  </si>
  <si>
    <t>89630323297000492884</t>
  </si>
  <si>
    <t>CSR-20250319-159014</t>
  </si>
  <si>
    <t>519110002370AAXXXMJK0038</t>
  </si>
  <si>
    <t>863406078304628</t>
  </si>
  <si>
    <t>89630323297000492918</t>
  </si>
  <si>
    <t>R5FBMX0B9RL000418</t>
  </si>
  <si>
    <t>170ZW-J7211435NA0124J0019</t>
  </si>
  <si>
    <t>519110002370AAXXXMJK0357</t>
  </si>
  <si>
    <t>00095795803</t>
  </si>
  <si>
    <t>863406074392551</t>
  </si>
  <si>
    <t>89630323297000524298</t>
  </si>
  <si>
    <t>CSR-20250319-159015</t>
  </si>
  <si>
    <t>519110002370AAXXXMJK0326</t>
  </si>
  <si>
    <t>863406074394730</t>
  </si>
  <si>
    <t>89630323297000523845</t>
  </si>
  <si>
    <t>R5FBMX0B0RL000419</t>
  </si>
  <si>
    <t>170ZW-J7211435NA0124J0010</t>
  </si>
  <si>
    <t>00095795791</t>
  </si>
  <si>
    <t>CSR-20250319-159016</t>
  </si>
  <si>
    <t>519110002370AAXXXJJK0145</t>
  </si>
  <si>
    <t>863406074348181</t>
  </si>
  <si>
    <t>89630323297000523126</t>
  </si>
  <si>
    <t>519110002370AAXXXJJK0168</t>
  </si>
  <si>
    <t>863406074402657</t>
  </si>
  <si>
    <t>89630323297000524017</t>
  </si>
  <si>
    <t>R5FBMX0B7RL000420</t>
  </si>
  <si>
    <t>170ZW-J7211435NA0124J0041</t>
  </si>
  <si>
    <t>00095795780</t>
  </si>
  <si>
    <t>CSR-20250319-159017</t>
  </si>
  <si>
    <t>519110002370AAXXXMJK0422</t>
  </si>
  <si>
    <t>863406074393484</t>
  </si>
  <si>
    <t>AIM-MCY-7573890</t>
  </si>
  <si>
    <t>89630323297000523852</t>
  </si>
  <si>
    <t>N225VC</t>
  </si>
  <si>
    <t>519110002370AAXXXMJK0544</t>
  </si>
  <si>
    <t>863406074392726</t>
  </si>
  <si>
    <t>89630323297000492819</t>
  </si>
  <si>
    <t>R5FBMX0B9RL000421</t>
  </si>
  <si>
    <t>170ZW-J7211435NA0124J0031</t>
  </si>
  <si>
    <t>00095795779</t>
  </si>
  <si>
    <t>CSR-20250319-159018</t>
  </si>
  <si>
    <t>519110002370AAXXXJJK0032</t>
  </si>
  <si>
    <t>863406074407763</t>
  </si>
  <si>
    <t>89630323297000492967</t>
  </si>
  <si>
    <t>519110002370AAXXXJJK0143</t>
  </si>
  <si>
    <t>863406074407904</t>
  </si>
  <si>
    <t>R5FBMX0B0RL000422</t>
  </si>
  <si>
    <t>89630323297000490771</t>
  </si>
  <si>
    <t>170ZW-J7211435NA0124J0027</t>
  </si>
  <si>
    <t>00095795768</t>
  </si>
  <si>
    <t>CSR-20250319-159019</t>
  </si>
  <si>
    <t>519110002370AAXXXMJK0307</t>
  </si>
  <si>
    <t>863406078318958</t>
  </si>
  <si>
    <t>89630323297000494245</t>
  </si>
  <si>
    <t>519110002370AAXXXMJK0054</t>
  </si>
  <si>
    <t>R5FBMX0B2RL000423</t>
  </si>
  <si>
    <t>863406074404505</t>
  </si>
  <si>
    <t>170ZW-J7211435NA0124J0001</t>
  </si>
  <si>
    <t>89630323297000491258</t>
  </si>
  <si>
    <t>00095795757</t>
  </si>
  <si>
    <t>CSR-20250319-159024</t>
  </si>
  <si>
    <t>519110002370AAXXXMJK0058</t>
  </si>
  <si>
    <t>863406074348223</t>
  </si>
  <si>
    <t>89630323297000490896</t>
  </si>
  <si>
    <t>519110002370AAXXXJJK0192</t>
  </si>
  <si>
    <t>863406074392791</t>
  </si>
  <si>
    <t>R5FBMX0B4RL000424</t>
  </si>
  <si>
    <t>89630323297000492256</t>
  </si>
  <si>
    <t>170ZW-J7211435NA0124J0110</t>
  </si>
  <si>
    <t>00095795746</t>
  </si>
  <si>
    <t>CSR-20250319-159025</t>
  </si>
  <si>
    <t>519110002370AAXXXMJK0518</t>
  </si>
  <si>
    <t>863406078304685</t>
  </si>
  <si>
    <t>89630323297000490565</t>
  </si>
  <si>
    <t>AIM-MCY-7303858</t>
  </si>
  <si>
    <t>N187VD</t>
  </si>
  <si>
    <t>519110002370AAXXXMJK0521</t>
  </si>
  <si>
    <t>863406074392163</t>
  </si>
  <si>
    <t>89630323297000524157</t>
  </si>
  <si>
    <t>R5FBMX0B6RL000425</t>
  </si>
  <si>
    <t>170ZW-J7211435NA0124J0026</t>
  </si>
  <si>
    <t>00095795735</t>
  </si>
  <si>
    <t>CSR-20250319-159020</t>
  </si>
  <si>
    <t>519110002370AAXXXMJK0445</t>
  </si>
  <si>
    <t>863406074394797</t>
  </si>
  <si>
    <t>89630323297000521815</t>
  </si>
  <si>
    <t>SA-PMM-101399714</t>
  </si>
  <si>
    <t>519110002370AAXXXMJK0059</t>
  </si>
  <si>
    <t>863406078318917</t>
  </si>
  <si>
    <t>89630323297000490938</t>
  </si>
  <si>
    <t>519110002370AAXXXJJK0179</t>
  </si>
  <si>
    <t>863406074404661</t>
  </si>
  <si>
    <t>89630323297000523134</t>
  </si>
  <si>
    <t>R5FBMX0B8RL000426</t>
  </si>
  <si>
    <t>170ZW-J7211435NA0124J0003</t>
  </si>
  <si>
    <t>00095795724</t>
  </si>
  <si>
    <t>519110002370AAXXXJJK0209</t>
  </si>
  <si>
    <t>CSR-20250319-159026</t>
  </si>
  <si>
    <t>863406074397279</t>
  </si>
  <si>
    <t>89630323297000490060</t>
  </si>
  <si>
    <t>AIM-MCY-7303870</t>
  </si>
  <si>
    <t>N152VD</t>
  </si>
  <si>
    <t>519110002370AAXXXMJK0448</t>
  </si>
  <si>
    <t>863406078318891</t>
  </si>
  <si>
    <t>89630323297000523571</t>
  </si>
  <si>
    <t>519110002370AAXXXMJK0042</t>
  </si>
  <si>
    <t>863406074407938</t>
  </si>
  <si>
    <t>R5FBMX0BXRL000427</t>
  </si>
  <si>
    <t>89630323297000493411</t>
  </si>
  <si>
    <t>170ZW-J7211435NA0124J0002</t>
  </si>
  <si>
    <t>00095795713</t>
  </si>
  <si>
    <t>CSR-20250319-159027</t>
  </si>
  <si>
    <t>519110002370AAXXXMJK0040</t>
  </si>
  <si>
    <t>863406078304586</t>
  </si>
  <si>
    <t>89630323297000490847</t>
  </si>
  <si>
    <t>519110002370AAXXXMJK0039</t>
  </si>
  <si>
    <t>863406078319568</t>
  </si>
  <si>
    <t>89630323297000492710</t>
  </si>
  <si>
    <t>R5FBMX0B1RL000428</t>
  </si>
  <si>
    <t>170ZW-J7211435NA0124J0006</t>
  </si>
  <si>
    <t>00095795702</t>
  </si>
  <si>
    <t>CSR-20250319-159028</t>
  </si>
  <si>
    <t>519110002370AAXXXMJK0525</t>
  </si>
  <si>
    <t>863406074409629</t>
  </si>
  <si>
    <t>89630323297000492264</t>
  </si>
  <si>
    <t>519110002370AAXXXMJK0041</t>
  </si>
  <si>
    <t>863406078304602</t>
  </si>
  <si>
    <t>89630323297000524447</t>
  </si>
  <si>
    <t>R5FBMX0B3RL000429</t>
  </si>
  <si>
    <t>170ZW-J7211435NA0124J0132</t>
  </si>
  <si>
    <t>00095795690</t>
  </si>
  <si>
    <t>519110002370AAXXXMJK0280</t>
  </si>
  <si>
    <t>863406074392536</t>
  </si>
  <si>
    <t>89630323297000491894</t>
  </si>
  <si>
    <t>CSR-20250319-159029</t>
  </si>
  <si>
    <t>519110002370AAXXXMJK0522</t>
  </si>
  <si>
    <t>863406074391991</t>
  </si>
  <si>
    <t>89630323297000523944</t>
  </si>
  <si>
    <t>R5FBMX0BXRL000430</t>
  </si>
  <si>
    <t>170ZW-J7211435NA0124J0012</t>
  </si>
  <si>
    <t>00095795689</t>
  </si>
  <si>
    <t>519110002370AAXXXMJK0290</t>
  </si>
  <si>
    <t>863406078300857</t>
  </si>
  <si>
    <t>89630323297000490276</t>
  </si>
  <si>
    <t>CSR-20250319-159030</t>
  </si>
  <si>
    <t>519110002370AAXXXMJK0037</t>
  </si>
  <si>
    <t>863406074397634</t>
  </si>
  <si>
    <t>89630323297000490375</t>
  </si>
  <si>
    <t>519110002370AAXXXMJK0426</t>
  </si>
  <si>
    <t>863406074401352</t>
  </si>
  <si>
    <t>89630323297000494955</t>
  </si>
  <si>
    <t>R5FBMX0B1RL000431</t>
  </si>
  <si>
    <t>170ZW-J7211435NA0124J0148</t>
  </si>
  <si>
    <t>00095795678</t>
  </si>
  <si>
    <t>CSR-20250319-159031</t>
  </si>
  <si>
    <t>519110002370AAXXXJJK0205</t>
  </si>
  <si>
    <t>863406074394359</t>
  </si>
  <si>
    <t>89630323297000493809</t>
  </si>
  <si>
    <t>AIM-MCY-7573915</t>
  </si>
  <si>
    <t>N265VС</t>
  </si>
  <si>
    <t>519110002370AAXXXMJK0191</t>
  </si>
  <si>
    <t>863406074348322</t>
  </si>
  <si>
    <t>89630323297000523399</t>
  </si>
  <si>
    <t>R5FBMX0B3RL000432</t>
  </si>
  <si>
    <t>170ZW-J7211435NA0124J0029</t>
  </si>
  <si>
    <t>00095795667</t>
  </si>
  <si>
    <t>CSR-20250319-159032</t>
  </si>
  <si>
    <t>519110002370AAXXXMJK0226</t>
  </si>
  <si>
    <t>863406074408340</t>
  </si>
  <si>
    <t>89630323297000493924</t>
  </si>
  <si>
    <t>R5FBMX0B5RL000433</t>
  </si>
  <si>
    <t>170ZW-J7211435NA0124J0018</t>
  </si>
  <si>
    <t>519110002370AAXXXMJK0244</t>
  </si>
  <si>
    <t>863406074393161</t>
  </si>
  <si>
    <t>00095795656</t>
  </si>
  <si>
    <t>89630323297000491282</t>
  </si>
  <si>
    <t>CSR-20250319-159033</t>
  </si>
  <si>
    <t>519110002370AAXXXMJK0363</t>
  </si>
  <si>
    <t>863406078313801</t>
  </si>
  <si>
    <t>89630323297000494393</t>
  </si>
  <si>
    <t>R5FBMX0B7RL000434</t>
  </si>
  <si>
    <t>170ZW-J7211435NA0124J0022</t>
  </si>
  <si>
    <t>519110002370AAXXXMJK0165</t>
  </si>
  <si>
    <t>00095797007</t>
  </si>
  <si>
    <t>863406074394490</t>
  </si>
  <si>
    <t>89630323297000491639</t>
  </si>
  <si>
    <t>CSR-20250319-159034</t>
  </si>
  <si>
    <t>519110002370AAXXXJJK0017</t>
  </si>
  <si>
    <t>863406074391470</t>
  </si>
  <si>
    <t>89630323297000492389</t>
  </si>
  <si>
    <t>R5FBMX0B9RL000435</t>
  </si>
  <si>
    <t>170ZW-J7211435NA0124J0033</t>
  </si>
  <si>
    <t>00095796994</t>
  </si>
  <si>
    <t>CSR-20250319-159035</t>
  </si>
  <si>
    <t>519110002370AAXXXMJK0214</t>
  </si>
  <si>
    <t>863406078318750</t>
  </si>
  <si>
    <t>89630323297000524207</t>
  </si>
  <si>
    <t>519110002370AAXXXMJK0250</t>
  </si>
  <si>
    <t>R5FBMX0B0RL000436</t>
  </si>
  <si>
    <t>863406074402269</t>
  </si>
  <si>
    <t>89630323297000490037</t>
  </si>
  <si>
    <t>170ZW-J7211435NA0124J0028</t>
  </si>
  <si>
    <t>00095796983</t>
  </si>
  <si>
    <t>CSR-20250319-159036</t>
  </si>
  <si>
    <t>519110002370AAXXXJJK0242</t>
  </si>
  <si>
    <t>863406074404992</t>
  </si>
  <si>
    <t>89630323297000492603</t>
  </si>
  <si>
    <t>519110002370AAXXXMJK0175</t>
  </si>
  <si>
    <t>863406074394474</t>
  </si>
  <si>
    <t>89630323297000491084</t>
  </si>
  <si>
    <t>R5FBMX0B2RL000437</t>
  </si>
  <si>
    <t>170ZW-J7211435NA0124J0143</t>
  </si>
  <si>
    <t>00095796972</t>
  </si>
  <si>
    <t>CSR-20250319-159037</t>
  </si>
  <si>
    <t>519110002370AAXXXMJK0257</t>
  </si>
  <si>
    <t>863406078300238</t>
  </si>
  <si>
    <t>89630323297000491720</t>
  </si>
  <si>
    <t>519110002370AAXXXMJK0364</t>
  </si>
  <si>
    <t>863406074400941</t>
  </si>
  <si>
    <t>R5FBMX0B4RL000438</t>
  </si>
  <si>
    <t>89630323297000523431</t>
  </si>
  <si>
    <t>170ZW-J7211435NA0124J0150</t>
  </si>
  <si>
    <t>00095796961</t>
  </si>
  <si>
    <t>CSR-20250319-159038</t>
  </si>
  <si>
    <t>519110002370AAXXXJJK0162</t>
  </si>
  <si>
    <t>863406074404547</t>
  </si>
  <si>
    <t>89630323297000521104</t>
  </si>
  <si>
    <t>519110002370AAXXXMJK0362</t>
  </si>
  <si>
    <t>863406074347902</t>
  </si>
  <si>
    <t>R5FBMX0B6RL000439</t>
  </si>
  <si>
    <t>89630323297000524439</t>
  </si>
  <si>
    <t>170ZW-J7211435NA0124J0020</t>
  </si>
  <si>
    <t>00095796950</t>
  </si>
  <si>
    <t>CSR-20250319-159053</t>
  </si>
  <si>
    <t>519110002370AAXXXJJK0167</t>
  </si>
  <si>
    <t>863406074402830</t>
  </si>
  <si>
    <t>89630323297000494062</t>
  </si>
  <si>
    <t>519110002370AAXXXJJK0148</t>
  </si>
  <si>
    <t>R5FBMX0B2RL000440</t>
  </si>
  <si>
    <t>863406074407755</t>
  </si>
  <si>
    <t>89630323297000490128</t>
  </si>
  <si>
    <t>170ZW-J7211435NA0124J0144</t>
  </si>
  <si>
    <t>00095796949</t>
  </si>
  <si>
    <t>CSR-20250319-159054</t>
  </si>
  <si>
    <t>519110002370AAXXXJJK0254</t>
  </si>
  <si>
    <t>863406074348124</t>
  </si>
  <si>
    <t>89630323297000523696</t>
  </si>
  <si>
    <t>519110002370AAXXXJJK0232</t>
  </si>
  <si>
    <t>863406074397675</t>
  </si>
  <si>
    <t>89630323297000490797</t>
  </si>
  <si>
    <t>519110002370AAXXXJJK0237</t>
  </si>
  <si>
    <t>R5FBMX0B4RL000441</t>
  </si>
  <si>
    <t>863406074407516</t>
  </si>
  <si>
    <t>89630323297000523167</t>
  </si>
  <si>
    <t>170ZW-J7211435NA0124J0131</t>
  </si>
  <si>
    <t>00095796938</t>
  </si>
  <si>
    <t>CSR-20250319-159071</t>
  </si>
  <si>
    <t>519110002370AAXXXMJK0260</t>
  </si>
  <si>
    <t>863406078300014</t>
  </si>
  <si>
    <t>89630323297000492900</t>
  </si>
  <si>
    <t>519110002370AAXXXMJK0500</t>
  </si>
  <si>
    <t>863406074409744</t>
  </si>
  <si>
    <t>89630323297000492181</t>
  </si>
  <si>
    <t>R5FBMX0B6RL000442</t>
  </si>
  <si>
    <t>170ZW-J7211435NA0124J0048</t>
  </si>
  <si>
    <t>00095796927</t>
  </si>
  <si>
    <t>519110002370AAXXXJJK0158</t>
  </si>
  <si>
    <t>863406074393856</t>
  </si>
  <si>
    <t>CSR-20250319-159072</t>
  </si>
  <si>
    <t>89630323297000521385</t>
  </si>
  <si>
    <t>AIM-MCY-7303860</t>
  </si>
  <si>
    <t>N182VD</t>
  </si>
  <si>
    <t>519110002370AAXXXMJK0510</t>
  </si>
  <si>
    <t>863406074397808</t>
  </si>
  <si>
    <t>89630323297000521005</t>
  </si>
  <si>
    <t>519110002370AAXXXMJK0439</t>
  </si>
  <si>
    <t>863406074393427</t>
  </si>
  <si>
    <t>89630323297000524082</t>
  </si>
  <si>
    <t>R5FBMX0B8RL000443</t>
  </si>
  <si>
    <t>170ZW-J7211435NA0124J0074</t>
  </si>
  <si>
    <t>00095796916</t>
  </si>
  <si>
    <t>519110002370AAXXXJJK0135</t>
  </si>
  <si>
    <t>CSR-20250319-159073</t>
  </si>
  <si>
    <t>863406074402772</t>
  </si>
  <si>
    <t>89630323297000523373</t>
  </si>
  <si>
    <t>AIM-MCY-7573942</t>
  </si>
  <si>
    <t>N266VC</t>
  </si>
  <si>
    <t>519110002370AAXXXMJK0402</t>
  </si>
  <si>
    <t>863406074391355</t>
  </si>
  <si>
    <t>89630323297000493296</t>
  </si>
  <si>
    <t>R5FBMX0BXRL000444</t>
  </si>
  <si>
    <t>170ZW-J7211435NA0124J0146</t>
  </si>
  <si>
    <t>00095796905</t>
  </si>
  <si>
    <t>CSR-20250319-159070</t>
  </si>
  <si>
    <t>519110002370AAXXXJJK0146</t>
  </si>
  <si>
    <t>863406074407888</t>
  </si>
  <si>
    <t>89630323297000492926</t>
  </si>
  <si>
    <t>R5FBMX0B1RL000445</t>
  </si>
  <si>
    <t>170ZW-J7211435NA0124J0147</t>
  </si>
  <si>
    <t>519110002370AAXXXJJK0244</t>
  </si>
  <si>
    <t>863406074408092</t>
  </si>
  <si>
    <t>00095796893</t>
  </si>
  <si>
    <t>89630323297000490334</t>
  </si>
  <si>
    <t>CSR-20250319-159074</t>
  </si>
  <si>
    <t>519110002370AAXXXMJK0423</t>
  </si>
  <si>
    <t>863406078319451</t>
  </si>
  <si>
    <t>89630323297000521039</t>
  </si>
  <si>
    <t>519110002370AAXXXMJK0350</t>
  </si>
  <si>
    <t>863406078319519</t>
  </si>
  <si>
    <t>R5FBMX0B3RL000446</t>
  </si>
  <si>
    <t>170ZW-J7211435NA0124J0133</t>
  </si>
  <si>
    <t>89630323297000521823</t>
  </si>
  <si>
    <t>00095796882</t>
  </si>
  <si>
    <t>CSR-20250319-159075</t>
  </si>
  <si>
    <t>519110002370AAXXXMJK0512</t>
  </si>
  <si>
    <t>863406074391553</t>
  </si>
  <si>
    <t>89630323297000493916</t>
  </si>
  <si>
    <t>519110002370AAXXXMJK0457</t>
  </si>
  <si>
    <t>863406074408381</t>
  </si>
  <si>
    <t>89630323297000524322</t>
  </si>
  <si>
    <t>R5FBMX0B5RL000447</t>
  </si>
  <si>
    <t>170ZW-J7211435NA0124J0134</t>
  </si>
  <si>
    <t>519110002370AAXXXJJK0130</t>
  </si>
  <si>
    <t>863406074407979</t>
  </si>
  <si>
    <t>89630323297000490912</t>
  </si>
  <si>
    <t>00095796871</t>
  </si>
  <si>
    <t>CSR-20250319-159076</t>
  </si>
  <si>
    <t>519110002370AAXXXMJK0527</t>
  </si>
  <si>
    <t>863406074404943</t>
  </si>
  <si>
    <t>89630323297000521658</t>
  </si>
  <si>
    <t>519110002370AAXXXMJK0349</t>
  </si>
  <si>
    <t>863406078320285</t>
  </si>
  <si>
    <t>89630323297000521310</t>
  </si>
  <si>
    <t>R5FBMX0B7RL000448</t>
  </si>
  <si>
    <t>519110002370AAXXXJJK0025</t>
  </si>
  <si>
    <t>170ZW-J7211435NA0124J0142</t>
  </si>
  <si>
    <t>863406078313660</t>
  </si>
  <si>
    <t>89630323297000524116</t>
  </si>
  <si>
    <t>00095796860</t>
  </si>
  <si>
    <t>CSR-20250319-159077</t>
  </si>
  <si>
    <t>519110002370AAXXXMJK0529</t>
  </si>
  <si>
    <t>863406078291759</t>
  </si>
  <si>
    <t>89630323297000491670</t>
  </si>
  <si>
    <t>R5FBMX0B9RL000449</t>
  </si>
  <si>
    <t>170ZW-J7211435NA0124J0011</t>
  </si>
  <si>
    <t>519110002370AAXXXMJK0342</t>
  </si>
  <si>
    <t>863406078300923</t>
  </si>
  <si>
    <t>89630323297000521054</t>
  </si>
  <si>
    <t>00095796859</t>
  </si>
  <si>
    <t>CSR-20250319-159078</t>
  </si>
  <si>
    <t>AIM-MCY-7607150</t>
  </si>
  <si>
    <t>519110002370AAXXXJJK0225</t>
  </si>
  <si>
    <t>863406074392015</t>
  </si>
  <si>
    <t>89630323297000490649</t>
  </si>
  <si>
    <t>N233VC</t>
  </si>
  <si>
    <t>519110002370AAXXXMJK0262</t>
  </si>
  <si>
    <t>863406078320202</t>
  </si>
  <si>
    <t>89630323297000494617</t>
  </si>
  <si>
    <t>R5FBMX0B5RL000450</t>
  </si>
  <si>
    <t>170ZW-J7211435NA0124J0130</t>
  </si>
  <si>
    <t>00095796848</t>
  </si>
  <si>
    <t>CSR-20250319-159079</t>
  </si>
  <si>
    <t>519110002370AAXXXMJK0466</t>
  </si>
  <si>
    <t>863406074347951</t>
  </si>
  <si>
    <t>89630323297000521138</t>
  </si>
  <si>
    <t>519110002370AAXXXMJK0415</t>
  </si>
  <si>
    <t>863406074393914</t>
  </si>
  <si>
    <t>89630323297000523977</t>
  </si>
  <si>
    <t>R5FBMX0B7RL000451</t>
  </si>
  <si>
    <t>170ZW-J7211435NA0124J0136</t>
  </si>
  <si>
    <t>519110002370AAXXXJJK0240</t>
  </si>
  <si>
    <t>00095796837</t>
  </si>
  <si>
    <t>863406074407300</t>
  </si>
  <si>
    <t>89630323297000491423</t>
  </si>
  <si>
    <t>CSR-20250319-159080</t>
  </si>
  <si>
    <t>AIM-MCY-7573891</t>
  </si>
  <si>
    <t>519110002370AAXXXMJK0330</t>
  </si>
  <si>
    <t>863406078301152</t>
  </si>
  <si>
    <t>N261VС</t>
  </si>
  <si>
    <t>89630323297000490904</t>
  </si>
  <si>
    <t>519110002370AAXXXJJK0026</t>
  </si>
  <si>
    <t>863406074394177</t>
  </si>
  <si>
    <t>89630323297000492546</t>
  </si>
  <si>
    <t>R5FBMX0B0RL000453</t>
  </si>
  <si>
    <t>170ZW-J7211435NA0124J0124</t>
  </si>
  <si>
    <t>00095796815</t>
  </si>
  <si>
    <t>519110002370AAXXXMJK0511</t>
  </si>
  <si>
    <t>863406078300741</t>
  </si>
  <si>
    <t>CSR-20250319-159081</t>
  </si>
  <si>
    <t>89630323297000492892</t>
  </si>
  <si>
    <t>R5FBMX0B2RL000454</t>
  </si>
  <si>
    <t>170ZW-J7211435NA0124J0137</t>
  </si>
  <si>
    <t>519110002370AAXXXMJK0524</t>
  </si>
  <si>
    <t>863406074408035</t>
  </si>
  <si>
    <t>00095796804</t>
  </si>
  <si>
    <t>89630323297000490409</t>
  </si>
  <si>
    <t>CSR-20250319-159082</t>
  </si>
  <si>
    <t>AIM-MCY-7573920</t>
  </si>
  <si>
    <t>N234VC</t>
  </si>
  <si>
    <t>519110002370AAXXXJJK0238</t>
  </si>
  <si>
    <t>863406074407508</t>
  </si>
  <si>
    <t>89630323297000524223</t>
  </si>
  <si>
    <t>519110002370AAXXXMJK0526</t>
  </si>
  <si>
    <t>R5FBMX0B4RL000455</t>
  </si>
  <si>
    <t>863406074408043</t>
  </si>
  <si>
    <t>170ZW-J7211435NA0124J0121</t>
  </si>
  <si>
    <t>89630323297000490367</t>
  </si>
  <si>
    <t>00095796792</t>
  </si>
  <si>
    <t>CSR-20250319-159083</t>
  </si>
  <si>
    <t>519110002370AAXXXMJK0519</t>
  </si>
  <si>
    <t>863406074407417</t>
  </si>
  <si>
    <t>89630323297000523829</t>
  </si>
  <si>
    <t>519110002370AAXXXJJK0069</t>
  </si>
  <si>
    <t>863406074397592</t>
  </si>
  <si>
    <t>89630323297000491308</t>
  </si>
  <si>
    <t>R5FBMX0B6RL000456</t>
  </si>
  <si>
    <t>170ZW-J7211435NA0124J0141</t>
  </si>
  <si>
    <t>519110002370AAXXXJJK0231</t>
  </si>
  <si>
    <t>00095796781</t>
  </si>
  <si>
    <t>863406074397691</t>
  </si>
  <si>
    <t>89630323297000523381</t>
  </si>
  <si>
    <t>CSR-20250319-159084</t>
  </si>
  <si>
    <t>519110002370AAXXXMJK0490</t>
  </si>
  <si>
    <t>863406078313785</t>
  </si>
  <si>
    <t>89630323297000491415</t>
  </si>
  <si>
    <t>519110002370AAXXXJJK0226</t>
  </si>
  <si>
    <t>863406074392544</t>
  </si>
  <si>
    <t>89630323297000492876</t>
  </si>
  <si>
    <t>R5FBMX0B8RL000457</t>
  </si>
  <si>
    <t>170ZW-J7211435NA0124J0139</t>
  </si>
  <si>
    <t>519110002370AAXXXMJK0523</t>
  </si>
  <si>
    <t>00095796770</t>
  </si>
  <si>
    <t>863406074407110</t>
  </si>
  <si>
    <t>89630323297000521443</t>
  </si>
  <si>
    <t>CSR-20250319-159085</t>
  </si>
  <si>
    <t>519110002370AAXXXJJK0076</t>
  </si>
  <si>
    <t>863406074391504</t>
  </si>
  <si>
    <t>89630323297000492058</t>
  </si>
  <si>
    <t>519110002370AAXXXJJK0087</t>
  </si>
  <si>
    <t>863406074392569</t>
  </si>
  <si>
    <t>89630323297000492520</t>
  </si>
  <si>
    <t>R5FBMX0BXRL000458</t>
  </si>
  <si>
    <t>170ZW-J7211435NA0124J0138</t>
  </si>
  <si>
    <t>00095796769</t>
  </si>
  <si>
    <t>519110002370AAXXXMJK0442</t>
  </si>
  <si>
    <t>863406074401758</t>
  </si>
  <si>
    <t>89630323297000494104</t>
  </si>
  <si>
    <t>CSR-20250321-179569</t>
  </si>
  <si>
    <t>519110002370AAXXXMJK0314</t>
  </si>
  <si>
    <t>863406078284119</t>
  </si>
  <si>
    <t>89630323297000523720</t>
  </si>
  <si>
    <t>519110002370AAXXXMJK0495</t>
  </si>
  <si>
    <t>863406074407599</t>
  </si>
  <si>
    <t>89630323297000494278</t>
  </si>
  <si>
    <t>R5FBMX0B8RL000460</t>
  </si>
  <si>
    <t>170ZW-J7211435NA0124J0120</t>
  </si>
  <si>
    <t>00095796758</t>
  </si>
  <si>
    <t>CSR-20250319-159103</t>
  </si>
  <si>
    <t>519110002370AAXXXJJK0080</t>
  </si>
  <si>
    <t>863406074391330</t>
  </si>
  <si>
    <t>89630323297000523035</t>
  </si>
  <si>
    <t>519110002370AAXXXMJK0316</t>
  </si>
  <si>
    <t>863406078284135</t>
  </si>
  <si>
    <t>89630323297000524306</t>
  </si>
  <si>
    <t>R5FBMX0BXRL000461</t>
  </si>
  <si>
    <t>170ZW-J7211435NA0124J0103</t>
  </si>
  <si>
    <t>519110002370AAXXXMJK0354</t>
  </si>
  <si>
    <t>863406078303786</t>
  </si>
  <si>
    <t>00095796747</t>
  </si>
  <si>
    <t>89630323297000492959</t>
  </si>
  <si>
    <t>CSR-20250319-159104</t>
  </si>
  <si>
    <t>519110002370AAXXXJJK0094</t>
  </si>
  <si>
    <t>863406074393443</t>
  </si>
  <si>
    <t>AIM-MCY-7573898</t>
  </si>
  <si>
    <t>89630323297000493841</t>
  </si>
  <si>
    <t>N237VC</t>
  </si>
  <si>
    <t>519110002370AAXXXMJK0343</t>
  </si>
  <si>
    <t>863406074404604</t>
  </si>
  <si>
    <t>89630323297000521542</t>
  </si>
  <si>
    <t>519110002370AAXXXMJK0469</t>
  </si>
  <si>
    <t>863406074408514</t>
  </si>
  <si>
    <t>89630323297000492140</t>
  </si>
  <si>
    <t>R5FBMX0B1RL000462</t>
  </si>
  <si>
    <t>170ZW-J7211435NA0124J0118</t>
  </si>
  <si>
    <t>00095796736</t>
  </si>
  <si>
    <t>519110002370AAXXXMJK0143</t>
  </si>
  <si>
    <t>CSR-20250319-159105</t>
  </si>
  <si>
    <t>863406074405684</t>
  </si>
  <si>
    <t>89630323297000490623</t>
  </si>
  <si>
    <t>519110002370AAXXXJJK0047</t>
  </si>
  <si>
    <t>863406078295461</t>
  </si>
  <si>
    <t>89630323297000523811</t>
  </si>
  <si>
    <t>519110002370AAXXXJJK0235</t>
  </si>
  <si>
    <t>863406078291767</t>
  </si>
  <si>
    <t>89630323297000523282</t>
  </si>
  <si>
    <t>R5FBMX0B3RL000463</t>
  </si>
  <si>
    <t>170ZW-J7211435NA0124J0126</t>
  </si>
  <si>
    <t>00095796725</t>
  </si>
  <si>
    <t>CSR-20250319-159102</t>
  </si>
  <si>
    <t>519110002370AAXXXJJK0239</t>
  </si>
  <si>
    <t>863406074407276</t>
  </si>
  <si>
    <t>89630323297000521559</t>
  </si>
  <si>
    <t>519110002370AAXXXMJK0348</t>
  </si>
  <si>
    <t>863406074391975</t>
  </si>
  <si>
    <t>R5FBMX0B5RL000464</t>
  </si>
  <si>
    <t>89630323297000492793</t>
  </si>
  <si>
    <t>170ZW-J7211435NA0124J0115</t>
  </si>
  <si>
    <t>00095796714</t>
  </si>
  <si>
    <t>CSR-20250319-159106</t>
  </si>
  <si>
    <t>519110002370AAXXXMJK0381</t>
  </si>
  <si>
    <t>863406074402848</t>
  </si>
  <si>
    <t>89630323297000494872</t>
  </si>
  <si>
    <t>519110002370AAXXXJJK0256</t>
  </si>
  <si>
    <t>863406074405098</t>
  </si>
  <si>
    <t>89630323297000492645</t>
  </si>
  <si>
    <t>R5FBMX0B0RL000467</t>
  </si>
  <si>
    <t>170ZW-J7211435NA0124J0096</t>
  </si>
  <si>
    <t>519110002370AAXXXMJK0514</t>
  </si>
  <si>
    <t>863406074407425</t>
  </si>
  <si>
    <t>89630323297000521203</t>
  </si>
  <si>
    <t>00095796691</t>
  </si>
  <si>
    <t>CSR-20250319-159107</t>
  </si>
  <si>
    <t>519110002370AAXXXJJK0061</t>
  </si>
  <si>
    <t>863406074405072</t>
  </si>
  <si>
    <t>89630323297000491852</t>
  </si>
  <si>
    <t>519110002370AAXXXMJK0431</t>
  </si>
  <si>
    <t>863406078300782</t>
  </si>
  <si>
    <t>R5FBMX0B2RL000468</t>
  </si>
  <si>
    <t>89630323297000524025</t>
  </si>
  <si>
    <t>170ZW-J7211435NA0124J0094</t>
  </si>
  <si>
    <t>00095796680</t>
  </si>
  <si>
    <t>CSR-20250319-159108</t>
  </si>
  <si>
    <t>519110002370AAXXXJJK0045</t>
  </si>
  <si>
    <t>863406074408027</t>
  </si>
  <si>
    <t>89630323297000521294</t>
  </si>
  <si>
    <t>519110002370AAXXXMJK0395</t>
  </si>
  <si>
    <t>863406078299448</t>
  </si>
  <si>
    <t>89630323297000490961</t>
  </si>
  <si>
    <t>R5FBMX0B4RL000469</t>
  </si>
  <si>
    <t>170ZW-J7211435NA0124J0112</t>
  </si>
  <si>
    <t>519110002370AAXXXJJK0027</t>
  </si>
  <si>
    <t>863406078313827</t>
  </si>
  <si>
    <t>00095796679</t>
  </si>
  <si>
    <t>89630323297000524090</t>
  </si>
  <si>
    <t>CSR-20250319-159109</t>
  </si>
  <si>
    <t>AIM-MCY-7303899</t>
  </si>
  <si>
    <t>N159VD</t>
  </si>
  <si>
    <t>519110002370AAXXXJJK0222</t>
  </si>
  <si>
    <t>863406074394862</t>
  </si>
  <si>
    <t>89630323297000492850</t>
  </si>
  <si>
    <t>R5FBMX0B0RL000470</t>
  </si>
  <si>
    <t>170ZW-J7211435NA0124J0128</t>
  </si>
  <si>
    <t>00095796668</t>
  </si>
  <si>
    <t>519110002370AAXXXJJK0035</t>
  </si>
  <si>
    <t>863406078313819</t>
  </si>
  <si>
    <t>CSR-20250319-159110</t>
  </si>
  <si>
    <t>89630323297000490714</t>
  </si>
  <si>
    <t>519110002370AAXXXMJK0456</t>
  </si>
  <si>
    <t>863406074394755</t>
  </si>
  <si>
    <t>89630323297000524405</t>
  </si>
  <si>
    <t>519110002370AAXXXMJK0055</t>
  </si>
  <si>
    <t>863406074404687</t>
  </si>
  <si>
    <t>R5FBMX0B2RL000471</t>
  </si>
  <si>
    <t>89630323297000521476</t>
  </si>
  <si>
    <t>170ZW-J7211435NA0124J0114</t>
  </si>
  <si>
    <t>00095796657</t>
  </si>
  <si>
    <t>CSR-20250319-159111</t>
  </si>
  <si>
    <t>519110002370AAXXXJJK0178</t>
  </si>
  <si>
    <t>863406074409512</t>
  </si>
  <si>
    <t>89630323297000492769</t>
  </si>
  <si>
    <t>SA-PMM-101422764</t>
  </si>
  <si>
    <t>519110002370AAXXXMJK0382</t>
  </si>
  <si>
    <t>863406078318933</t>
  </si>
  <si>
    <t>89630323297000494401</t>
  </si>
  <si>
    <t>519110002370AAXXXMJK0392</t>
  </si>
  <si>
    <t>863406078303802</t>
  </si>
  <si>
    <t>R5FBMX0B4RL000472</t>
  </si>
  <si>
    <t>89630323297000523415</t>
  </si>
  <si>
    <t>170ZW-J7211435NA0124J0025</t>
  </si>
  <si>
    <t>00095796646</t>
  </si>
  <si>
    <t>CSR-20250319-159112</t>
  </si>
  <si>
    <t>SA-PMM-101399721</t>
  </si>
  <si>
    <t>519110002370AAXXXMJK0331</t>
  </si>
  <si>
    <t>863406078296576</t>
  </si>
  <si>
    <t>89630323297000523951</t>
  </si>
  <si>
    <t>519110002370AAXXXMJK0438</t>
  </si>
  <si>
    <t>863406074391942</t>
  </si>
  <si>
    <t>89630323297000491241</t>
  </si>
  <si>
    <t>R5FBMX0B6RL000473</t>
  </si>
  <si>
    <t>519110002370AAXXXMJK0430</t>
  </si>
  <si>
    <t>170ZW-J7211435NA0124J0119</t>
  </si>
  <si>
    <t>863406074392510</t>
  </si>
  <si>
    <t>89630323297000523894</t>
  </si>
  <si>
    <t>00095796635</t>
  </si>
  <si>
    <t>CSR-20250319-159113</t>
  </si>
  <si>
    <t>519110002370AAXXXMJK0408</t>
  </si>
  <si>
    <t>863406078300899</t>
  </si>
  <si>
    <t>SA-PMM-101425315</t>
  </si>
  <si>
    <t>89630323297000521450</t>
  </si>
  <si>
    <t>519110002370AAXXXMJK0341</t>
  </si>
  <si>
    <t>863406078300816</t>
  </si>
  <si>
    <t>89630323297000491464</t>
  </si>
  <si>
    <t>R5FBMX0B8RL000474</t>
  </si>
  <si>
    <t>519110002370AAXXXMJK0215</t>
  </si>
  <si>
    <t>170ZW-J7211435NA0124J0023</t>
  </si>
  <si>
    <t>863406078318982</t>
  </si>
  <si>
    <t>89630323297000523118</t>
  </si>
  <si>
    <t>00095796624</t>
  </si>
  <si>
    <t>CSR-20250319-159114</t>
  </si>
  <si>
    <t>519110002370AAXXXJJK0112</t>
  </si>
  <si>
    <t>863406074409520</t>
  </si>
  <si>
    <t>89630323297000492090</t>
  </si>
  <si>
    <t>R5FBMX0BXRL000475</t>
  </si>
  <si>
    <t>170ZW-J7211435NA0124J0125</t>
  </si>
  <si>
    <t>00095796613</t>
  </si>
  <si>
    <t>CSR-20250319-159115</t>
  </si>
  <si>
    <t>519110002370AAXXXMJK0509</t>
  </si>
  <si>
    <t>SA-PMM-101422762</t>
  </si>
  <si>
    <t>863406078319063</t>
  </si>
  <si>
    <t>89630323297000493072</t>
  </si>
  <si>
    <t>519110002370AAXXXMJK0389</t>
  </si>
  <si>
    <t>863406078303638</t>
  </si>
  <si>
    <t>R5FBMX0B1RL000476</t>
  </si>
  <si>
    <t>89630323297000524389</t>
  </si>
  <si>
    <t>170ZW-J7211435NA0124J0005</t>
  </si>
  <si>
    <t>00095796602</t>
  </si>
  <si>
    <t>CSR-20250319-159116</t>
  </si>
  <si>
    <t>AIM-MCY-7303892</t>
  </si>
  <si>
    <t>N160VD</t>
  </si>
  <si>
    <t>519110002370AAXXXMJK0337</t>
  </si>
  <si>
    <t>863406078320509</t>
  </si>
  <si>
    <t>89630323297000521500</t>
  </si>
  <si>
    <t>R5FBMX0B3RL000477</t>
  </si>
  <si>
    <t>170ZW-J7211435NA0124J0123</t>
  </si>
  <si>
    <t>519110002370AAXXXMJK0394</t>
  </si>
  <si>
    <t>863406078295826</t>
  </si>
  <si>
    <t>00095796590</t>
  </si>
  <si>
    <t>89630323297000492868</t>
  </si>
  <si>
    <t>CSR-20250319-159117</t>
  </si>
  <si>
    <t>SA-PMM-101377479</t>
  </si>
  <si>
    <t>519110002370AAXXXMJK0338</t>
  </si>
  <si>
    <t>863406074404489</t>
  </si>
  <si>
    <t>89630323297000491316</t>
  </si>
  <si>
    <t>519110002370AAXXXMJK0377</t>
  </si>
  <si>
    <t>863406074404778</t>
  </si>
  <si>
    <t>R5FBMX0B5RL000478</t>
  </si>
  <si>
    <t>89630323297000491340</t>
  </si>
  <si>
    <t>170ZW-J7211435NA0124J0107</t>
  </si>
  <si>
    <t>00095796589</t>
  </si>
  <si>
    <t>CSR-20250319-159135</t>
  </si>
  <si>
    <t>519110002370AAXXXMJK0181</t>
  </si>
  <si>
    <t>863406074400800</t>
  </si>
  <si>
    <t>89630323297000494286</t>
  </si>
  <si>
    <t>R5FBMX0B7RL000479</t>
  </si>
  <si>
    <t>170ZW-J7211435NA0124J0113</t>
  </si>
  <si>
    <t>00095796578</t>
  </si>
  <si>
    <t>519110002370AAXXXMJK0056</t>
  </si>
  <si>
    <t>863406078291387</t>
  </si>
  <si>
    <t>CSR-20250319-159136</t>
  </si>
  <si>
    <t>89630323297000523860</t>
  </si>
  <si>
    <t>519110002370AAXXXMJK0379</t>
  </si>
  <si>
    <t>863406074392486</t>
  </si>
  <si>
    <t>89630323297000523589</t>
  </si>
  <si>
    <t>R5FBMX0B3RL000480</t>
  </si>
  <si>
    <t>170ZW-J7211435NA0124J0095</t>
  </si>
  <si>
    <t>00095796567</t>
  </si>
  <si>
    <t>CSR-20250319-159137</t>
  </si>
  <si>
    <t>519110002370AAXXXMJK0344</t>
  </si>
  <si>
    <t>863406078320301</t>
  </si>
  <si>
    <t>89630323297000493932</t>
  </si>
  <si>
    <t>519110002370AAXXXMJK0322</t>
  </si>
  <si>
    <t>R5FBMX0B5RL000481</t>
  </si>
  <si>
    <t>170ZW-J7211435NA0124J0127</t>
  </si>
  <si>
    <t>863406078294928</t>
  </si>
  <si>
    <t>00095796556</t>
  </si>
  <si>
    <t>CSR-20250319-159134</t>
  </si>
  <si>
    <t>89630323297000491035</t>
  </si>
  <si>
    <t>519110002370AAXXXMJK0388</t>
  </si>
  <si>
    <t>863406074408084</t>
  </si>
  <si>
    <t>89630323297000494765</t>
  </si>
  <si>
    <t>R5FBMX0B7RL000482</t>
  </si>
  <si>
    <t>170ZW-J7211435NA0124J0122</t>
  </si>
  <si>
    <t>00095796545</t>
  </si>
  <si>
    <t>CSR-20250319-159138</t>
  </si>
  <si>
    <t>519110002370AAXXXMJK0321</t>
  </si>
  <si>
    <t>863406078320384</t>
  </si>
  <si>
    <t>89630323297000523308</t>
  </si>
  <si>
    <t>R5FBMX0B9RL000483</t>
  </si>
  <si>
    <t>519110002370AAXXXMJK0320</t>
  </si>
  <si>
    <t>170ZW-J7211435NA0124J0086</t>
  </si>
  <si>
    <t>863406074391959</t>
  </si>
  <si>
    <t>89630323297000493643</t>
  </si>
  <si>
    <t>00095796534</t>
  </si>
  <si>
    <t>CSR-20250319-159139</t>
  </si>
  <si>
    <t>519110002370AAXXXMJK0436</t>
  </si>
  <si>
    <t>863406078300915</t>
  </si>
  <si>
    <t>R5FBMX0B2RL000485</t>
  </si>
  <si>
    <t>89630323297000521732</t>
  </si>
  <si>
    <t>170ZW-J7211435NA0124J0117</t>
  </si>
  <si>
    <t>00095796512</t>
  </si>
  <si>
    <t>CSR-20250319-159140</t>
  </si>
  <si>
    <t>519110002370AAXXXMJK0315</t>
  </si>
  <si>
    <t>863406078303596</t>
  </si>
  <si>
    <t>89630323297000494039</t>
  </si>
  <si>
    <t>R5FBMX0B4RL000486</t>
  </si>
  <si>
    <t>170ZW-J7211435NA0124J0092</t>
  </si>
  <si>
    <t>519110002370AAXXXJJK0233</t>
  </si>
  <si>
    <t>00095796501</t>
  </si>
  <si>
    <t>863406078291825</t>
  </si>
  <si>
    <t>89630323297000494351</t>
  </si>
  <si>
    <t>CSR-20250319-159141</t>
  </si>
  <si>
    <t>519110002370AAXXXMJK0317</t>
  </si>
  <si>
    <t>863406074393351</t>
  </si>
  <si>
    <t>89630323297000493346</t>
  </si>
  <si>
    <t>R5FBMX0B6RL000487</t>
  </si>
  <si>
    <t>170ZW-J7211435NA0124J0016</t>
  </si>
  <si>
    <t>00095796499</t>
  </si>
  <si>
    <t>CSR-20250319-159142</t>
  </si>
  <si>
    <t>519110002370AAXXXMJK0471</t>
  </si>
  <si>
    <t>863406074408530</t>
  </si>
  <si>
    <t>89630323297000523787</t>
  </si>
  <si>
    <t>519110002370AAXXXMJK0478</t>
  </si>
  <si>
    <t>R5FBMX0B8RL000488</t>
  </si>
  <si>
    <t>863406078319444</t>
  </si>
  <si>
    <t>170ZW-J7211435NA0124J0093</t>
  </si>
  <si>
    <t>89630323297000490284</t>
  </si>
  <si>
    <t>00095796488</t>
  </si>
  <si>
    <t>CSR-20250319-159143</t>
  </si>
  <si>
    <t>SA-PMM-101449115</t>
  </si>
  <si>
    <t>519110002370AAXXXMJK0542</t>
  </si>
  <si>
    <t>863406074399853</t>
  </si>
  <si>
    <t>89630323297000492066</t>
  </si>
  <si>
    <t>R5FBMX0BXRL000489</t>
  </si>
  <si>
    <t>170ZW-J7211435NA0124J0015</t>
  </si>
  <si>
    <t>00095796477</t>
  </si>
  <si>
    <t>519110002370AAXXXMJK0336</t>
  </si>
  <si>
    <t>863406074404620</t>
  </si>
  <si>
    <t>89630323297000523878</t>
  </si>
  <si>
    <t>CSR-20250319-159144</t>
  </si>
  <si>
    <t>519110002370AAXXXJJK0175</t>
  </si>
  <si>
    <t>863406074403044</t>
  </si>
  <si>
    <t>89630323297000492124</t>
  </si>
  <si>
    <t>R5FBMX0B6RL000490</t>
  </si>
  <si>
    <t>170ZW-J7211435NA0124J0149</t>
  </si>
  <si>
    <t>00095796466</t>
  </si>
  <si>
    <t>CSR-20250319-159145</t>
  </si>
  <si>
    <t>519110002370AAXXXJJK0033</t>
  </si>
  <si>
    <t>863406074393328</t>
  </si>
  <si>
    <t>89630323297000490318</t>
  </si>
  <si>
    <t>SA-PMM-101422765</t>
  </si>
  <si>
    <t>519110002370AAXXXJJK0236</t>
  </si>
  <si>
    <t>R5FBMX0B8RL000491</t>
  </si>
  <si>
    <t>863406074407649</t>
  </si>
  <si>
    <t>89630323297000523290</t>
  </si>
  <si>
    <t>170ZW-J7211435NA0124J0151</t>
  </si>
  <si>
    <t>00095796455</t>
  </si>
  <si>
    <t>CSR-20250319-159146</t>
  </si>
  <si>
    <t>519110002370AAXXXJJK0068</t>
  </si>
  <si>
    <t>863406078291718</t>
  </si>
  <si>
    <t>89630323297000491191</t>
  </si>
  <si>
    <t>R5FBMX0BXRL000492</t>
  </si>
  <si>
    <t>170ZW-J7211435NA0124J0099</t>
  </si>
  <si>
    <t>519110002370AAXXXJJK0176</t>
  </si>
  <si>
    <t>00095796444</t>
  </si>
  <si>
    <t>863406074377727</t>
  </si>
  <si>
    <t>89630323297000523563</t>
  </si>
  <si>
    <t>CSR-20250319-159147</t>
  </si>
  <si>
    <t>AIM-MCY-7573910</t>
  </si>
  <si>
    <t>N263VС</t>
  </si>
  <si>
    <t>519110002370AAXXXMJK0093</t>
  </si>
  <si>
    <t>863406074394557</t>
  </si>
  <si>
    <t>89630323297000493544</t>
  </si>
  <si>
    <t>R5FBMX0B1RL000493</t>
  </si>
  <si>
    <t>519110002370AAXXXJJK0015</t>
  </si>
  <si>
    <t>170ZW-J7211435NA0124J0100</t>
  </si>
  <si>
    <t>863406074400768</t>
  </si>
  <si>
    <t>89630323297000491159</t>
  </si>
  <si>
    <t>00095796433</t>
  </si>
  <si>
    <t>CSR-20250319-159148</t>
  </si>
  <si>
    <t>519110002370AAXXXMJK0269</t>
  </si>
  <si>
    <t>863406078300097</t>
  </si>
  <si>
    <t>89630323297000494047</t>
  </si>
  <si>
    <t>R5FBMX0B3RL000494</t>
  </si>
  <si>
    <t>170ZW-J7211435NA0124J0135</t>
  </si>
  <si>
    <t>00095796422</t>
  </si>
  <si>
    <t>CSR-20250319-159149</t>
  </si>
  <si>
    <t>AIM-MCY-7303893</t>
  </si>
  <si>
    <t>519110002370AAXXXMJK0373</t>
  </si>
  <si>
    <t>863406078319584</t>
  </si>
  <si>
    <t>N176VD</t>
  </si>
  <si>
    <t>89630323297000493031</t>
  </si>
  <si>
    <t>R5FBMX0B5RL000495</t>
  </si>
  <si>
    <t>170ZW-J7211435NA0124J0140</t>
  </si>
  <si>
    <t>00095796411</t>
  </si>
  <si>
    <t>519110002370AAXXXMJK0282</t>
  </si>
  <si>
    <t>CSR-20250319-158899</t>
  </si>
  <si>
    <t>89630323297000520015</t>
  </si>
  <si>
    <t>R5FBMX0B7RL000496</t>
  </si>
  <si>
    <t>170ZW-J7211435NA0124J0106</t>
  </si>
  <si>
    <t>519110002370AAXXXMJK0421</t>
  </si>
  <si>
    <t>00095796400</t>
  </si>
  <si>
    <t>89630323297000523472</t>
  </si>
  <si>
    <t>CSR-20250319-158900</t>
  </si>
  <si>
    <t>STA ROSA</t>
  </si>
  <si>
    <t>SA-PMM-101422758</t>
  </si>
  <si>
    <t>519110002370AAXXXMJK0536</t>
  </si>
  <si>
    <t>863406074391397</t>
  </si>
  <si>
    <t>89630323297000523704</t>
  </si>
  <si>
    <t>519110002370AAXXXMJK0485</t>
  </si>
  <si>
    <t>R5FBMX0B9RL000497</t>
  </si>
  <si>
    <t>170ZW-J7211435NA0124J0105</t>
  </si>
  <si>
    <t>863406074391645</t>
  </si>
  <si>
    <t>89630323297000492082</t>
  </si>
  <si>
    <t>00095796398</t>
  </si>
  <si>
    <t>CSR-20250319-158901</t>
  </si>
  <si>
    <t>519110002370AAXXXMJK0481</t>
  </si>
  <si>
    <t>R5FBMX0B0RL000498</t>
  </si>
  <si>
    <t>863406078319022</t>
  </si>
  <si>
    <t>170ZW-J7211435NA0124J0111</t>
  </si>
  <si>
    <t>89630323297000494187</t>
  </si>
  <si>
    <t>00095796387</t>
  </si>
  <si>
    <t>CSR-20250319-158902</t>
  </si>
  <si>
    <t>519110002370AAXXXMJK0486</t>
  </si>
  <si>
    <t>863406074407896</t>
  </si>
  <si>
    <t>89630323297000492553</t>
  </si>
  <si>
    <t>R5FBMX0B2RL000499</t>
  </si>
  <si>
    <t>170ZW-J7211435NA0124J0102</t>
  </si>
  <si>
    <t>00095796376</t>
  </si>
  <si>
    <t>519110002370AAXXXMJK0296</t>
  </si>
  <si>
    <t>CSR-20250319-158903</t>
  </si>
  <si>
    <t>863406074391868</t>
  </si>
  <si>
    <t>89630323297000494740</t>
  </si>
  <si>
    <t>519110002370AAXXXMJK0232</t>
  </si>
  <si>
    <t>863406078291411</t>
  </si>
  <si>
    <t>89630323297000493155</t>
  </si>
  <si>
    <t>R5FBMX0B5RL000500</t>
  </si>
  <si>
    <t>170ZW-J7211435NA0124J0108</t>
  </si>
  <si>
    <t>00095796365</t>
  </si>
  <si>
    <t>CSR-20250319-158904</t>
  </si>
  <si>
    <t>519110002370AAXXXMJK0201</t>
  </si>
  <si>
    <t>863406074391918</t>
  </si>
  <si>
    <t>89630323297000491027</t>
  </si>
  <si>
    <t>R5FBMX0B7RL000501</t>
  </si>
  <si>
    <t>170ZW-J7211435NA0124J0049</t>
  </si>
  <si>
    <t>00095796354</t>
  </si>
  <si>
    <t>CSR-20250319-158905</t>
  </si>
  <si>
    <t>519110002370AAXXXMJK0198</t>
  </si>
  <si>
    <t>863406074399788</t>
  </si>
  <si>
    <t>89630323297000523142</t>
  </si>
  <si>
    <t>519110002370AAXXXMJK0182</t>
  </si>
  <si>
    <t>863406074402624</t>
  </si>
  <si>
    <t>89630323297000493510</t>
  </si>
  <si>
    <t>R5FBMX0B9RL000502</t>
  </si>
  <si>
    <t>170ZW-J7211435NA0124J0109</t>
  </si>
  <si>
    <t>00095796343</t>
  </si>
  <si>
    <t>519110002370AAXXXMJK0179</t>
  </si>
  <si>
    <t>863406074392445</t>
  </si>
  <si>
    <t>89630323297000521864</t>
  </si>
  <si>
    <t>CSR-20250319-158906</t>
  </si>
  <si>
    <t>SA-PMM-101422761</t>
  </si>
  <si>
    <t>519110002370AAXXXMJK0145</t>
  </si>
  <si>
    <t>863406078320533</t>
  </si>
  <si>
    <t>89630323297000521682</t>
  </si>
  <si>
    <t>R5FBMX0B2RL000504</t>
  </si>
  <si>
    <t>170ZW-J7211435NA0124J0061</t>
  </si>
  <si>
    <t>00095796321</t>
  </si>
  <si>
    <t>519110002370AAXXXMJK0297</t>
  </si>
  <si>
    <t>863406078291346</t>
  </si>
  <si>
    <t>89630323297000494849</t>
  </si>
  <si>
    <t>CSR-20250319-158907</t>
  </si>
  <si>
    <t>091L00000500869</t>
  </si>
  <si>
    <t>SA-PMM-101422754</t>
  </si>
  <si>
    <t>519110002370AAXXXMJK0223</t>
  </si>
  <si>
    <t>863406074409769</t>
  </si>
  <si>
    <t>89630323297000490680</t>
  </si>
  <si>
    <t>R5FBMX0B4RL000505</t>
  </si>
  <si>
    <t>170ZW-J7211435NA0124J0104</t>
  </si>
  <si>
    <t>519110002370AAXXXMJK0171</t>
  </si>
  <si>
    <t>00095796310</t>
  </si>
  <si>
    <t>863406078300626</t>
  </si>
  <si>
    <t>89630323297000494435</t>
  </si>
  <si>
    <t>CSR-20250319-158908</t>
  </si>
  <si>
    <t>SA-PMM-101422763</t>
  </si>
  <si>
    <t>519110002370AAXXXMJK0176</t>
  </si>
  <si>
    <t>863406074404828</t>
  </si>
  <si>
    <t>89630323297000491373</t>
  </si>
  <si>
    <t>R5FBMX0B6RL000506</t>
  </si>
  <si>
    <t>170ZW-J7211435NA0124J0064</t>
  </si>
  <si>
    <t>00095796309</t>
  </si>
  <si>
    <t>CSR-20250319-158909</t>
  </si>
  <si>
    <t>519110002370AAXXXMJK0483</t>
  </si>
  <si>
    <t>863406074408019</t>
  </si>
  <si>
    <t>89630323297000523621</t>
  </si>
  <si>
    <t>R5FBMX0B8RL000507</t>
  </si>
  <si>
    <t>170ZW-J7211435NA0124J0060</t>
  </si>
  <si>
    <t>00095796297</t>
  </si>
  <si>
    <t>CSR-20250319-158910</t>
  </si>
  <si>
    <t>519110002370AAXXXMJK0458</t>
  </si>
  <si>
    <t>863406074407946</t>
  </si>
  <si>
    <t>89630323297000492298</t>
  </si>
  <si>
    <t>519110002370AAXXXJJK0016</t>
  </si>
  <si>
    <t>863406078291585</t>
  </si>
  <si>
    <t>89630323297000491217</t>
  </si>
  <si>
    <t>519110002370AAXXXMJK0496</t>
  </si>
  <si>
    <t>863406078291692</t>
  </si>
  <si>
    <t>89630323297000490094</t>
  </si>
  <si>
    <t>R5FBMX0BXRL000508</t>
  </si>
  <si>
    <t>170ZW-J7211435NA0124J0057</t>
  </si>
  <si>
    <t>00095796286</t>
  </si>
  <si>
    <t>CSR-20250321-179570</t>
  </si>
  <si>
    <t>AIM-MCY-7303895</t>
  </si>
  <si>
    <t>519110002370AAXXXMJK0118</t>
  </si>
  <si>
    <t>863406078300550</t>
  </si>
  <si>
    <t>N184VD</t>
  </si>
  <si>
    <t>89630323297000521187</t>
  </si>
  <si>
    <t>R5FBMX0B1RL000509</t>
  </si>
  <si>
    <t>170ZW-J7211435NA0124J0059</t>
  </si>
  <si>
    <t>519110002370AAXXXMJK0127</t>
  </si>
  <si>
    <t>863406078320459</t>
  </si>
  <si>
    <t>00095796275</t>
  </si>
  <si>
    <t>89630323297000493601</t>
  </si>
  <si>
    <t>CSR-20250319-158911</t>
  </si>
  <si>
    <t>SA-PMM-101422757</t>
  </si>
  <si>
    <t>519110002370AAXXXMJK0113</t>
  </si>
  <si>
    <t>863406074408308</t>
  </si>
  <si>
    <t>89630323297000490839</t>
  </si>
  <si>
    <t>R5FBMX0B8RL000510</t>
  </si>
  <si>
    <t>170ZW-J7211435NA0124J0054</t>
  </si>
  <si>
    <t>00095796264</t>
  </si>
  <si>
    <t>CSR-20250319-158912</t>
  </si>
  <si>
    <t>519110002370AAXXXMJK0109</t>
  </si>
  <si>
    <t>863406074405080</t>
  </si>
  <si>
    <t>89630323297000491688</t>
  </si>
  <si>
    <t>519110002370AAXXXMJK0177</t>
  </si>
  <si>
    <t>863406074404836</t>
  </si>
  <si>
    <t>89630323297000490870</t>
  </si>
  <si>
    <t>519110002370AAXXXMJK0216</t>
  </si>
  <si>
    <t>R5FBMX0BXRL000511</t>
  </si>
  <si>
    <t>863406078320269</t>
  </si>
  <si>
    <t>170ZW-J7211435NA0124J0058</t>
  </si>
  <si>
    <t>89630323297000523340</t>
  </si>
  <si>
    <t>00095796253</t>
  </si>
  <si>
    <t>CSR-20250319-158913</t>
  </si>
  <si>
    <t>519110002370AAXXXMJK0178</t>
  </si>
  <si>
    <t>863406074348173</t>
  </si>
  <si>
    <t>89630323297000491050</t>
  </si>
  <si>
    <t>R5FBMX0B1RL000512</t>
  </si>
  <si>
    <t>170ZW-J7211435NA0124J0055</t>
  </si>
  <si>
    <t>00095796242</t>
  </si>
  <si>
    <t>CSR-20250319-158914</t>
  </si>
  <si>
    <t>519110002370AAXXXMJK0227</t>
  </si>
  <si>
    <t>863406074407227</t>
  </si>
  <si>
    <t>89630323297000523639</t>
  </si>
  <si>
    <t>R5FBMX0B3RL000513</t>
  </si>
  <si>
    <t>170ZW-J7211435NA0124J0051</t>
  </si>
  <si>
    <t>00095796231</t>
  </si>
  <si>
    <t>519110002370AAXXXMJK0306</t>
  </si>
  <si>
    <t>CSR-20250319-158932</t>
  </si>
  <si>
    <t>863406078299539</t>
  </si>
  <si>
    <t>89630323297000521641</t>
  </si>
  <si>
    <t>SA-PMM-101422759</t>
  </si>
  <si>
    <t>519110002370AAXXXMJK0413</t>
  </si>
  <si>
    <t>863406074392023</t>
  </si>
  <si>
    <t>R5FBMX0B5RL000514</t>
  </si>
  <si>
    <t>89630323297000524470</t>
  </si>
  <si>
    <t>170ZW-J7211435NA0124J0052</t>
  </si>
  <si>
    <t>00095796220</t>
  </si>
  <si>
    <t>CSR-20250319-158933</t>
  </si>
  <si>
    <t>519110002370AAXXXJJK0172</t>
  </si>
  <si>
    <t>863406074409579</t>
  </si>
  <si>
    <t>89630323297000491480</t>
  </si>
  <si>
    <t>R5FBMX0B7RL000515</t>
  </si>
  <si>
    <t>519110002370AAXXXJJK0011</t>
  </si>
  <si>
    <t>170ZW-J7211435NA0124J0056</t>
  </si>
  <si>
    <t>863406074392973</t>
  </si>
  <si>
    <t>00095796219</t>
  </si>
  <si>
    <t>89630323297000492686</t>
  </si>
  <si>
    <t>CSR-20250319-158934</t>
  </si>
  <si>
    <t>519110002370AAXXXJJK0071</t>
  </si>
  <si>
    <t>863406074397774</t>
  </si>
  <si>
    <t>89630323297000490136</t>
  </si>
  <si>
    <t>R5FBMX0B9RL000516</t>
  </si>
  <si>
    <t>170ZW-J7211435NA0124J0047</t>
  </si>
  <si>
    <t>519110002370AAXXXMJK0249</t>
  </si>
  <si>
    <t>00095796208</t>
  </si>
  <si>
    <t>863406078300584</t>
  </si>
  <si>
    <t>89630323297000490516</t>
  </si>
  <si>
    <t>CSR-20250319-158931</t>
  </si>
  <si>
    <t>519110002370AAXXXMJK0404</t>
  </si>
  <si>
    <t>863406078301103</t>
  </si>
  <si>
    <t>R5FBMX0B0RL000517</t>
  </si>
  <si>
    <t>170ZW-J7211435NA0124J0045</t>
  </si>
  <si>
    <t>89630323297000494732</t>
  </si>
  <si>
    <t>00095796196</t>
  </si>
  <si>
    <t>CSR-20250319-158935</t>
  </si>
  <si>
    <t>SA-PMM-101424459</t>
  </si>
  <si>
    <t>519110002370AAXXXMJK0272</t>
  </si>
  <si>
    <t>863406074395075</t>
  </si>
  <si>
    <t>89630323297000490698</t>
  </si>
  <si>
    <t>R5FBMX0B2RL000518</t>
  </si>
  <si>
    <t>170ZW-J7211435NA0124J0037</t>
  </si>
  <si>
    <t>519110002370AAXXXJJK0111</t>
  </si>
  <si>
    <t>00095796185</t>
  </si>
  <si>
    <t>863406078295693</t>
  </si>
  <si>
    <t>89630323297000492215</t>
  </si>
  <si>
    <t>CSR-20250319-158936</t>
  </si>
  <si>
    <t>519110002370AAXXXMJK0261</t>
  </si>
  <si>
    <t>863406074402434</t>
  </si>
  <si>
    <t>89630323297000492637</t>
  </si>
  <si>
    <t>519110002370AAXXXMJK0278</t>
  </si>
  <si>
    <t>R5FBMX0B4RL000519</t>
  </si>
  <si>
    <t>863406074407383</t>
  </si>
  <si>
    <t>170ZW-J7211435NA0124J0038</t>
  </si>
  <si>
    <t>89630323297000521781</t>
  </si>
  <si>
    <t>00095796174</t>
  </si>
  <si>
    <t>CSR-20250319-158937</t>
  </si>
  <si>
    <t>AIM-MCY-7303879</t>
  </si>
  <si>
    <t>N189VD</t>
  </si>
  <si>
    <t>519110002370AAXXXMJK0403</t>
  </si>
  <si>
    <t>863406074407912</t>
  </si>
  <si>
    <t>89630323297000521278</t>
  </si>
  <si>
    <t>R5FBMX0B0RL000520</t>
  </si>
  <si>
    <t>170ZW-J7211435NA0124J0039</t>
  </si>
  <si>
    <t>00095796163</t>
  </si>
  <si>
    <t>CSR-20250319-158938</t>
  </si>
  <si>
    <t>519110002370AAXXXMJK0447</t>
  </si>
  <si>
    <t>863406078319188</t>
  </si>
  <si>
    <t>AIM-MCY-7303881</t>
  </si>
  <si>
    <t>89630323297000493551</t>
  </si>
  <si>
    <t>N150VD</t>
  </si>
  <si>
    <t>519110002370AAXXXJJK0040</t>
  </si>
  <si>
    <t>863406074393138</t>
  </si>
  <si>
    <t>89630323297000521211</t>
  </si>
  <si>
    <t>R5FBMX0B2RL000521</t>
  </si>
  <si>
    <t>170ZW-J7211435NA0124J0043</t>
  </si>
  <si>
    <t>00095796152</t>
  </si>
  <si>
    <t>CSR-20250319-158939</t>
  </si>
  <si>
    <t>519110002370AAXXXMJK0427</t>
  </si>
  <si>
    <t>863406078291452</t>
  </si>
  <si>
    <t>89630323297000521245</t>
  </si>
  <si>
    <t>519110002370AAXXXJJK0133</t>
  </si>
  <si>
    <t>863406074402871</t>
  </si>
  <si>
    <t>89630323297000493585</t>
  </si>
  <si>
    <t>R5FBMX0B4RL000522</t>
  </si>
  <si>
    <t>170ZW-J7211435NA0124J0046</t>
  </si>
  <si>
    <t>519110002370AAXXXMJK0224</t>
  </si>
  <si>
    <t>863406074401642</t>
  </si>
  <si>
    <t>00095796141</t>
  </si>
  <si>
    <t>89630323297000494294</t>
  </si>
  <si>
    <t>CSR-20250319-158940</t>
  </si>
  <si>
    <t>519110002370AAXXXMJK0452</t>
  </si>
  <si>
    <t>863406074391967</t>
  </si>
  <si>
    <t>89630323297000524256</t>
  </si>
  <si>
    <t>519110002370AAXXXJJK0034</t>
  </si>
  <si>
    <t>R5FBMX0B6RL000523</t>
  </si>
  <si>
    <t>863406078319279</t>
  </si>
  <si>
    <t>89630323297000490243</t>
  </si>
  <si>
    <t>170ZW-J7211435NA0124J0044</t>
  </si>
  <si>
    <t>00095796130</t>
  </si>
  <si>
    <t>CSR-20250319-158941</t>
  </si>
  <si>
    <t>519110002370AAXXXMJK0494</t>
  </si>
  <si>
    <t>863406078291528</t>
  </si>
  <si>
    <t>89630323297000493148</t>
  </si>
  <si>
    <t>519110002370AAXXXMJK0432</t>
  </si>
  <si>
    <t>863406078301137</t>
  </si>
  <si>
    <t>89630323297000523316</t>
  </si>
  <si>
    <t>R5FBMX0B8RL000524</t>
  </si>
  <si>
    <t>170ZW-J7211435NA0124J0053</t>
  </si>
  <si>
    <t>00095796129</t>
  </si>
  <si>
    <t>519110002370AAXXXMJK0156</t>
  </si>
  <si>
    <t>863406074394110</t>
  </si>
  <si>
    <t>CSR-20250319-158942</t>
  </si>
  <si>
    <t>89630323297000490003</t>
  </si>
  <si>
    <t>519110002370AAXXXMJK0361</t>
  </si>
  <si>
    <t>863406074391231</t>
  </si>
  <si>
    <t>89630323297000493908</t>
  </si>
  <si>
    <t>R5FBMX0BXRL000525</t>
  </si>
  <si>
    <t>170ZW-J7211435NA0124J0042</t>
  </si>
  <si>
    <t>519110002370AAXXXMJK0453</t>
  </si>
  <si>
    <t>863406074391371</t>
  </si>
  <si>
    <t>00095796118</t>
  </si>
  <si>
    <t>89630323297000494948</t>
  </si>
  <si>
    <t>CSR-20250319-158943</t>
  </si>
  <si>
    <t>519110002370AAXXXMJK0359</t>
  </si>
  <si>
    <t>863406078320491</t>
  </si>
  <si>
    <t>89630323297000521609</t>
  </si>
  <si>
    <t>R5FBMX0B1RL000526</t>
  </si>
  <si>
    <t>170ZW-J7211435NA0124J0091</t>
  </si>
  <si>
    <t>00095796107</t>
  </si>
  <si>
    <t>CSR-20250319-158944</t>
  </si>
  <si>
    <t>519110002370AAXXXMJK0345</t>
  </si>
  <si>
    <t>863406074392742</t>
  </si>
  <si>
    <t>89630323297000490599</t>
  </si>
  <si>
    <t>R5FBMX0B3RL000527</t>
  </si>
  <si>
    <t>170ZW-J7211435NA0124J0063</t>
  </si>
  <si>
    <t>00095796095</t>
  </si>
  <si>
    <t>CSR-20250319-158945</t>
  </si>
  <si>
    <t>519110002370AAXXXMJK0502</t>
  </si>
  <si>
    <t>863406078295842</t>
  </si>
  <si>
    <t>89630323297000494419</t>
  </si>
  <si>
    <t>519110002370AAXXXMJK0503</t>
  </si>
  <si>
    <t>863406078319410</t>
  </si>
  <si>
    <t>R5FBMX0B5RL000528</t>
  </si>
  <si>
    <t>89630323297000493833</t>
  </si>
  <si>
    <t>170ZW-J7211435NA0124J0088</t>
  </si>
  <si>
    <t>00095796084</t>
  </si>
  <si>
    <t>CSR-20250319-158946</t>
  </si>
  <si>
    <t>SA-PMM-101422760</t>
  </si>
  <si>
    <t>519110002370AAXXXMJK0202</t>
  </si>
  <si>
    <t>863406074397535</t>
  </si>
  <si>
    <t>89630323297000490706</t>
  </si>
  <si>
    <t>519110002370AAXXXJJK0099</t>
  </si>
  <si>
    <t>863406074405015</t>
  </si>
  <si>
    <t>R5FBMX0B7RL000529</t>
  </si>
  <si>
    <t>170ZW-J7211435NA0124J0089</t>
  </si>
  <si>
    <t>00095796073</t>
  </si>
  <si>
    <t>89630323297000491522</t>
  </si>
  <si>
    <t>CSR-20250319-158964</t>
  </si>
  <si>
    <t>519110002370AAXXXMJK0274</t>
  </si>
  <si>
    <t>863406074393658</t>
  </si>
  <si>
    <t>89630323297000493189</t>
  </si>
  <si>
    <t>R5FBMX0B3RL000530</t>
  </si>
  <si>
    <t>170ZW-J7211435NA0124J0087</t>
  </si>
  <si>
    <t>00095796062</t>
  </si>
  <si>
    <t>519110002370AAXXXMJK0416</t>
  </si>
  <si>
    <t>863406074395034</t>
  </si>
  <si>
    <t>89630323297000524231</t>
  </si>
  <si>
    <t>CSR-20250319-158965</t>
  </si>
  <si>
    <t>519110002370AAXXXJJK0127</t>
  </si>
  <si>
    <t>863406074408209</t>
  </si>
  <si>
    <t>89630323297000493007</t>
  </si>
  <si>
    <t>R5FBMX0B5RL000531</t>
  </si>
  <si>
    <t>170ZW-J7211435NA0124J0083</t>
  </si>
  <si>
    <t>00095796051</t>
  </si>
  <si>
    <t>519110002370AAXXXJJK0219</t>
  </si>
  <si>
    <t>CSR-20250319-158966</t>
  </si>
  <si>
    <t>863406074408407</t>
  </si>
  <si>
    <t>89630323297000524181</t>
  </si>
  <si>
    <t>519110002370AAXXXMJK0551</t>
  </si>
  <si>
    <t>863406078319238</t>
  </si>
  <si>
    <t>89630323297000523498</t>
  </si>
  <si>
    <t>R5FBMX0B7RL000532</t>
  </si>
  <si>
    <t>170ZW-J7211435NA0124J0040</t>
  </si>
  <si>
    <t>00095796040</t>
  </si>
  <si>
    <t>CSR-20250319-158963</t>
  </si>
  <si>
    <t>519110002370AAXXXMJK0231</t>
  </si>
  <si>
    <t>863406074393211</t>
  </si>
  <si>
    <t>89630323297000493098</t>
  </si>
  <si>
    <t>519110002370AAXXXMJK0096</t>
  </si>
  <si>
    <t>863406074399747</t>
  </si>
  <si>
    <t>89630323297000523324</t>
  </si>
  <si>
    <t>R5FBMX0B9RL000533</t>
  </si>
  <si>
    <t>170ZW-J7211435NA0124J0081</t>
  </si>
  <si>
    <t>00095796039</t>
  </si>
  <si>
    <t>CSR-20250319-158967</t>
  </si>
  <si>
    <t>519110002370AAXXXJJK0091</t>
  </si>
  <si>
    <t>863406074347894</t>
  </si>
  <si>
    <t>SA-PMM-101449155</t>
  </si>
  <si>
    <t>89630323297000490474</t>
  </si>
  <si>
    <t>R5FBMX0B0RL000534</t>
  </si>
  <si>
    <t>170ZW-J7211435NA0124J0050</t>
  </si>
  <si>
    <t>519110002370AAXXXMJK0062</t>
  </si>
  <si>
    <t>00095796028</t>
  </si>
  <si>
    <t>863406074404653</t>
  </si>
  <si>
    <t>89630323297000490359</t>
  </si>
  <si>
    <t>CSR-20250319-158968</t>
  </si>
  <si>
    <t>AIM-MCY-7573945</t>
  </si>
  <si>
    <t>N276VC</t>
  </si>
  <si>
    <t>519110002370AAXXXMJK0092</t>
  </si>
  <si>
    <t>863406078300188</t>
  </si>
  <si>
    <t>89630323297000491068</t>
  </si>
  <si>
    <t>R5FBMX0B2RL000535</t>
  </si>
  <si>
    <t>170ZW-J7211435NA0124J0090</t>
  </si>
  <si>
    <t>00095796017</t>
  </si>
  <si>
    <t>CSR-20250319-158969</t>
  </si>
  <si>
    <t>519110002370AAXXXMJK0115</t>
  </si>
  <si>
    <t>863406078319162</t>
  </si>
  <si>
    <t>89630323297000493288</t>
  </si>
  <si>
    <t>R5FBMX0B7RL000465</t>
  </si>
  <si>
    <t>170ZW-J7211435NA0124J0116</t>
  </si>
  <si>
    <t>00095796703</t>
  </si>
  <si>
    <t>CSR-20250319-158970</t>
  </si>
  <si>
    <t>519110002370AAXXXJJK0063</t>
  </si>
  <si>
    <t>863406074392171</t>
  </si>
  <si>
    <t>89630323297000492579</t>
  </si>
  <si>
    <t>519110002370AAXXXJJK0019</t>
  </si>
  <si>
    <t>863406074394698</t>
  </si>
  <si>
    <t>89630323297000492751</t>
  </si>
  <si>
    <t>R5FBMX0B0RL000484</t>
  </si>
  <si>
    <t>170ZW-J7211435NA0124J0101</t>
  </si>
  <si>
    <t>00095796523</t>
  </si>
  <si>
    <t>CSR-20250321-179571</t>
  </si>
  <si>
    <t>519110002370AAXXXJJK0105</t>
  </si>
  <si>
    <t>863406074394144</t>
  </si>
  <si>
    <t>89630323297000490540</t>
  </si>
  <si>
    <t>2024Q2-01-MC-TESTER</t>
  </si>
  <si>
    <t>R5FBMX0B3RL000172</t>
  </si>
  <si>
    <t>170ZW-J7211435NA-0107D0011</t>
  </si>
  <si>
    <t>519110002370AAXXXMJK0164</t>
  </si>
  <si>
    <t>863406074405551</t>
  </si>
  <si>
    <t>89630323297000521880</t>
  </si>
  <si>
    <t>GM10</t>
  </si>
  <si>
    <t>519110002370AAXXXJJK0121</t>
  </si>
  <si>
    <t>863406074392650</t>
  </si>
  <si>
    <t>R5FDBR0B8RL000100</t>
  </si>
  <si>
    <t>89630323297000523936</t>
  </si>
  <si>
    <t>220972C35-12ZW72375YA-0324D 0100</t>
  </si>
  <si>
    <t>519110002370AAXXXJJK0104</t>
  </si>
  <si>
    <t>863406074393948</t>
  </si>
  <si>
    <t>89630323297000491712</t>
  </si>
  <si>
    <t>2024Q3-01-MC-TESTER</t>
  </si>
  <si>
    <t>519110002370AAXXXJJK0024</t>
  </si>
  <si>
    <t>863406074391637</t>
  </si>
  <si>
    <t>89630323297000492322</t>
  </si>
  <si>
    <t>LLMDME692RLE03540</t>
  </si>
  <si>
    <t>YH240670001</t>
  </si>
  <si>
    <t>519110002370AAXXXMJK0444</t>
  </si>
  <si>
    <t>863406074394870</t>
  </si>
  <si>
    <t>89630323297000521773</t>
  </si>
  <si>
    <t>519110002370AAXXXJJK0152</t>
  </si>
  <si>
    <t>863406074402855</t>
  </si>
  <si>
    <t>89630323297000493122</t>
  </si>
  <si>
    <t>519110002370AAXXXMJK0247</t>
  </si>
  <si>
    <t>863406074401501</t>
  </si>
  <si>
    <t>LBJDT36C4PA108264</t>
  </si>
  <si>
    <t>89630323297000490029</t>
  </si>
  <si>
    <t>519110002370AAXXXMJK0266</t>
  </si>
  <si>
    <t>863406078300279</t>
  </si>
  <si>
    <t>2024Q4-01-MC-TESTER</t>
  </si>
  <si>
    <t>89630323297000493395</t>
  </si>
  <si>
    <t>519110002370AAXXXJJK0082</t>
  </si>
  <si>
    <t>863406074392668</t>
  </si>
  <si>
    <t>89630323297000521625</t>
  </si>
  <si>
    <t>R5FBMGOC2RL000110</t>
  </si>
  <si>
    <t>12ZW7278324YA0314H0067</t>
  </si>
  <si>
    <t>519110002370AAXXXMJK0258</t>
  </si>
  <si>
    <t>863406074402293</t>
  </si>
  <si>
    <t>00095610113</t>
  </si>
  <si>
    <t>89630323297000490185</t>
  </si>
  <si>
    <t>CSR-20250319-158971</t>
  </si>
  <si>
    <t>SA-PMM-101399671</t>
  </si>
  <si>
    <t>519110002370AAXXXJJK0149</t>
  </si>
  <si>
    <t>863406074400271</t>
  </si>
  <si>
    <t>89630323297000494237</t>
  </si>
  <si>
    <t>MC-R280-White</t>
  </si>
  <si>
    <t>R5FBMGOC7RL000149</t>
  </si>
  <si>
    <t>12ZW7278324YA0314H0069</t>
  </si>
  <si>
    <t>519110002370AAXXXMJK0378</t>
  </si>
  <si>
    <t>863406074394011</t>
  </si>
  <si>
    <t>89630323297000524009</t>
  </si>
  <si>
    <t>00095610506</t>
  </si>
  <si>
    <t>CSR-20250319-158972</t>
  </si>
  <si>
    <t>SA-PMM-101399735</t>
  </si>
  <si>
    <t>519110002370AAXXXJJK0067</t>
  </si>
  <si>
    <t>863406074391900</t>
  </si>
  <si>
    <t>89630323297000492678</t>
  </si>
  <si>
    <t>519110002370AAXXXJJK0227</t>
  </si>
  <si>
    <t>863406074392213</t>
  </si>
  <si>
    <t>89630323297000490664</t>
  </si>
  <si>
    <t>R5FBMGOB0RL000145</t>
  </si>
  <si>
    <t>12ZW7291326YA0308H0057</t>
  </si>
  <si>
    <t>519110002370AAXXXJJK0123</t>
  </si>
  <si>
    <t>863406074400545</t>
  </si>
  <si>
    <t>00095609829</t>
  </si>
  <si>
    <t>89630323297000491555</t>
  </si>
  <si>
    <t>CSR-20250319-158973</t>
  </si>
  <si>
    <t>SA-PMM-101399728</t>
  </si>
  <si>
    <t>519110002370AAXXXJJK0084</t>
  </si>
  <si>
    <t>863406074404950</t>
  </si>
  <si>
    <t>89630323297000492736</t>
  </si>
  <si>
    <t>519110002370AAXXXJJK0054</t>
  </si>
  <si>
    <t>863406074402574</t>
  </si>
  <si>
    <t>89630323297000521351</t>
  </si>
  <si>
    <t>R5FBMGOB4RL000116</t>
  </si>
  <si>
    <t>12ZW7291326YA0308H0044</t>
  </si>
  <si>
    <t>00095609481</t>
  </si>
  <si>
    <t>519110002370AAXXXJJK0191</t>
  </si>
  <si>
    <t>863406074392379</t>
  </si>
  <si>
    <t>CSR-20250319-158974</t>
  </si>
  <si>
    <t>89630323297000494716</t>
  </si>
  <si>
    <t>SA-PMM-101424457</t>
  </si>
  <si>
    <t>519110002370AAXXXMJK0374</t>
  </si>
  <si>
    <t>863406074408365</t>
  </si>
  <si>
    <t>89630323297000523449</t>
  </si>
  <si>
    <t>LLMDME697RLE03534</t>
  </si>
  <si>
    <t>519110002370AAXXXJJK0070</t>
  </si>
  <si>
    <t>YH240570003</t>
  </si>
  <si>
    <t>863406074407961</t>
  </si>
  <si>
    <t>89630323297000490946</t>
  </si>
  <si>
    <t>519110002370AAXXXMJK0340</t>
  </si>
  <si>
    <t>863406074392809</t>
  </si>
  <si>
    <t>89630323297000523670</t>
  </si>
  <si>
    <t>LLMDME696RLE03536</t>
  </si>
  <si>
    <t>YH240570002</t>
  </si>
  <si>
    <t>519110002370AAXXXMJK0346</t>
  </si>
  <si>
    <t>863406074391983</t>
  </si>
  <si>
    <t>89630323297000523993</t>
  </si>
  <si>
    <t>2025Q2-01-MC-TESTER</t>
  </si>
  <si>
    <t>HORWIN</t>
  </si>
  <si>
    <t>SK1</t>
  </si>
  <si>
    <t>519110002370AAXXXJJK0010</t>
  </si>
  <si>
    <t>863406074392296</t>
  </si>
  <si>
    <t>89630323297000492538</t>
  </si>
  <si>
    <t>R45TP6C55R3000011</t>
  </si>
  <si>
    <t>HW72V2000W-2024072300145</t>
  </si>
  <si>
    <t>00096399152</t>
  </si>
  <si>
    <t>C198456-25</t>
  </si>
  <si>
    <t>519110002370AAXXXJJK0012</t>
  </si>
  <si>
    <t>863406074392759</t>
  </si>
  <si>
    <t>89630323297000521526</t>
  </si>
  <si>
    <t>2025Q3-01-MC-TESTER</t>
  </si>
  <si>
    <t>SK3</t>
  </si>
  <si>
    <t>Metallic Blue</t>
  </si>
  <si>
    <t>519110002370AAXXXJJK0020</t>
  </si>
  <si>
    <t>863406074400826</t>
  </si>
  <si>
    <t>89630323297000491613</t>
  </si>
  <si>
    <t>R45LA3D71P2001014</t>
  </si>
  <si>
    <t>138YC7232409PD0005</t>
  </si>
  <si>
    <t>00096591943</t>
  </si>
  <si>
    <t>C-244693</t>
  </si>
  <si>
    <t>519110002370AAXXXJJK0023</t>
  </si>
  <si>
    <t>863406074394169</t>
  </si>
  <si>
    <t>89630323297000491597</t>
  </si>
  <si>
    <t>2025Q3-02-MC-TESTER</t>
  </si>
  <si>
    <t>R5FBMX0B1SL000032</t>
  </si>
  <si>
    <t>170ZW-J7211435NA0124F0023</t>
  </si>
  <si>
    <t>519110002370AAXXXJJK0039</t>
  </si>
  <si>
    <t>863406078319386</t>
  </si>
  <si>
    <t>89630323297000493171</t>
  </si>
  <si>
    <t>519110002370AAXXXJJK0042</t>
  </si>
  <si>
    <t>NOVA</t>
  </si>
  <si>
    <t>863406074393906</t>
  </si>
  <si>
    <t>89630323297000492629</t>
  </si>
  <si>
    <t>Matt Black</t>
  </si>
  <si>
    <t>R5F0TF0A7RL000087</t>
  </si>
  <si>
    <t>12ZW7283337YA0325E0004</t>
  </si>
  <si>
    <t>519110002370AAXXXJJK0044</t>
  </si>
  <si>
    <t>863406074392478</t>
  </si>
  <si>
    <t>89630323297000492942</t>
  </si>
  <si>
    <t>519110002370AAXXXJJK0049</t>
  </si>
  <si>
    <t>863406074400727</t>
  </si>
  <si>
    <t>89630323297000492280</t>
  </si>
  <si>
    <t>R5FBMX0BXRL000459</t>
  </si>
  <si>
    <t>170ZW-J7211435NA0124J0097</t>
  </si>
  <si>
    <t>519110002370AAXXXJJK0050</t>
  </si>
  <si>
    <t>863406074397568</t>
  </si>
  <si>
    <t>89630323297000493320</t>
  </si>
  <si>
    <t>00096543142</t>
  </si>
  <si>
    <t>C47987-25</t>
  </si>
  <si>
    <t>519110002370AAXXXJJK0051</t>
  </si>
  <si>
    <t>863406074392676</t>
  </si>
  <si>
    <t>89630323297000491753</t>
  </si>
  <si>
    <t>519110002370AAXXXJJK0053</t>
  </si>
  <si>
    <t>R5FBMX0B7RL000466</t>
  </si>
  <si>
    <t>863406078304669</t>
  </si>
  <si>
    <t>170ZW-J7211435NA0124J0098</t>
  </si>
  <si>
    <t>89630323297000523076</t>
  </si>
  <si>
    <t>00096543131</t>
  </si>
  <si>
    <t>519110002370AAXXXJJK0058</t>
  </si>
  <si>
    <t>863406074402806</t>
  </si>
  <si>
    <t>89630323297000491910</t>
  </si>
  <si>
    <t>2025Q4-01-MC-NEXUS</t>
  </si>
  <si>
    <t>519110002370AAXXXJJK0060</t>
  </si>
  <si>
    <t>863406074402780</t>
  </si>
  <si>
    <t>89630323297000492744</t>
  </si>
  <si>
    <t>R5FBMG0C6SL000181</t>
  </si>
  <si>
    <t>12ZW7278324YA 0325A3003</t>
  </si>
  <si>
    <t>519110002370AAXXXJJK0062</t>
  </si>
  <si>
    <t>00096855812</t>
  </si>
  <si>
    <t>863406074348686</t>
  </si>
  <si>
    <t>89630323297000493650</t>
  </si>
  <si>
    <t>CSR-20260210-035089</t>
  </si>
  <si>
    <t>519110002370AAXXXJJK0065</t>
  </si>
  <si>
    <t>863406078300576</t>
  </si>
  <si>
    <t>89630323297000490326</t>
  </si>
  <si>
    <t>519110002370AAXXXJJK0066</t>
  </si>
  <si>
    <t>863406074394375</t>
  </si>
  <si>
    <t>89630323297000493213</t>
  </si>
  <si>
    <t>519110002370AAXXXJJK0072</t>
  </si>
  <si>
    <t>863406074391603</t>
  </si>
  <si>
    <t>R5FBMG0C8SL000182</t>
  </si>
  <si>
    <t>89630323297000523183</t>
  </si>
  <si>
    <t>12ZW7278324YA 0325A8004</t>
  </si>
  <si>
    <t>00096855823</t>
  </si>
  <si>
    <t>CSR-20260210-035090</t>
  </si>
  <si>
    <t>519110002370AAXXXJJK0077</t>
  </si>
  <si>
    <t>863406074393245</t>
  </si>
  <si>
    <t>89630323297000491357</t>
  </si>
  <si>
    <t>519110002370AAXXXJJK0079</t>
  </si>
  <si>
    <t>863406074397576</t>
  </si>
  <si>
    <t>89630323297000491225</t>
  </si>
  <si>
    <t>R5FBMG0CXSL000183</t>
  </si>
  <si>
    <t>12ZW7278324YA 0325H0217</t>
  </si>
  <si>
    <t>00096855834</t>
  </si>
  <si>
    <t>CSR-20260210-035091</t>
  </si>
  <si>
    <t>519110002370AAXXXJJK0083</t>
  </si>
  <si>
    <t>863406074408100</t>
  </si>
  <si>
    <t>89630323297000491332</t>
  </si>
  <si>
    <t>519110002370AAXXXJJK0085</t>
  </si>
  <si>
    <t>R5FBMG0C1SL000184</t>
  </si>
  <si>
    <t>863406074407359</t>
  </si>
  <si>
    <t>12ZW7278324YA 0325H0238</t>
  </si>
  <si>
    <t>89630323297000493452</t>
  </si>
  <si>
    <t>00096855845</t>
  </si>
  <si>
    <t>CSR-20260210-034952</t>
  </si>
  <si>
    <t>519110002370AAXXXJJK0086</t>
  </si>
  <si>
    <t>863406074402905</t>
  </si>
  <si>
    <t>89630323297000523423</t>
  </si>
  <si>
    <t>R5FBMG0C3SL000185</t>
  </si>
  <si>
    <t>12ZW7278324YA 0325A3013</t>
  </si>
  <si>
    <t>00096855856</t>
  </si>
  <si>
    <t>CSR-20260210-034953</t>
  </si>
  <si>
    <t>519110002370AAXXXJJK0089</t>
  </si>
  <si>
    <t>863406074405171</t>
  </si>
  <si>
    <t>89630323297000491787</t>
  </si>
  <si>
    <t>R5FBMG0C5SL000186</t>
  </si>
  <si>
    <t>12ZW7278324YA 0325A3008</t>
  </si>
  <si>
    <t>00096855867</t>
  </si>
  <si>
    <t>CSR-20260210-034954</t>
  </si>
  <si>
    <t>519110002370AAXXXJJK0092</t>
  </si>
  <si>
    <t>863406074393732</t>
  </si>
  <si>
    <t>89630323297000492827</t>
  </si>
  <si>
    <t>R5FBMG0C7SL000187</t>
  </si>
  <si>
    <t>12ZW7278324YA 0325A3011</t>
  </si>
  <si>
    <t>00096855878</t>
  </si>
  <si>
    <t>CSR-20260210-034955</t>
  </si>
  <si>
    <t>519110002370AAXXXJJK0093</t>
  </si>
  <si>
    <t>863406074392155</t>
  </si>
  <si>
    <t>89630323297000492223</t>
  </si>
  <si>
    <t>519110002370AAXXXJJK0096</t>
  </si>
  <si>
    <t>863406074393039</t>
  </si>
  <si>
    <t>89630323297000491837</t>
  </si>
  <si>
    <t>R5FBMG0C9SL000188</t>
  </si>
  <si>
    <t>12ZW7278324YA 0325A3009</t>
  </si>
  <si>
    <t>519110002370AAXXXJJK0097</t>
  </si>
  <si>
    <t>863406074407268</t>
  </si>
  <si>
    <t>00096855889</t>
  </si>
  <si>
    <t>89630323297000491019</t>
  </si>
  <si>
    <t>CSR-20260210-034956</t>
  </si>
  <si>
    <t>519110002370AAXXXJJK0100</t>
  </si>
  <si>
    <t>863406074400602</t>
  </si>
  <si>
    <t>89630323297000491738</t>
  </si>
  <si>
    <t>R5FBMG0C0SL000189</t>
  </si>
  <si>
    <t>12ZW7278324YA 0325A3001</t>
  </si>
  <si>
    <t>00096855890</t>
  </si>
  <si>
    <t>519110002370AAXXXJJK0107</t>
  </si>
  <si>
    <t>863406074394417</t>
  </si>
  <si>
    <t>CSR-20260210-034957</t>
  </si>
  <si>
    <t>89630323297000490011</t>
  </si>
  <si>
    <t>519110002370AAXXXJJK0125</t>
  </si>
  <si>
    <t>863406074405031</t>
  </si>
  <si>
    <t>89630323297000494252</t>
  </si>
  <si>
    <t>R5FBMG0C7SL000190</t>
  </si>
  <si>
    <t>12ZW7278324YA 0325A8002</t>
  </si>
  <si>
    <t>00096855902</t>
  </si>
  <si>
    <t>CSR-20260210-034958</t>
  </si>
  <si>
    <t>519110002370AAXXXJJK0129</t>
  </si>
  <si>
    <t>863406074405114</t>
  </si>
  <si>
    <t>89630323297000492835</t>
  </si>
  <si>
    <t>519110002370AAXXXJJK0131</t>
  </si>
  <si>
    <t>863406074348199</t>
  </si>
  <si>
    <t>R5FBMG0C9SL000191</t>
  </si>
  <si>
    <t>89630323297000521799</t>
  </si>
  <si>
    <t>12ZW7278324YA 0325H0216</t>
  </si>
  <si>
    <t>00096855913</t>
  </si>
  <si>
    <t>CSR-20260210-034959</t>
  </si>
  <si>
    <t>519110002370AAXXXJJK0137</t>
  </si>
  <si>
    <t>863406078300063</t>
  </si>
  <si>
    <t>89630323297000493791</t>
  </si>
  <si>
    <t>R5FBMG0C0SL000192</t>
  </si>
  <si>
    <t>12ZW7278324YA 0325H0212</t>
  </si>
  <si>
    <t>00096855924</t>
  </si>
  <si>
    <t>CSR-20260210-034960</t>
  </si>
  <si>
    <t>519110002370AAXXXJJK0139</t>
  </si>
  <si>
    <t>863406074383832</t>
  </si>
  <si>
    <t>89630323297000521112</t>
  </si>
  <si>
    <t>R5FBMG0C2SL000193</t>
  </si>
  <si>
    <t>12ZW7278324YA 0325H0258</t>
  </si>
  <si>
    <t>00096855935</t>
  </si>
  <si>
    <t>CSR-20260210-034981</t>
  </si>
  <si>
    <t>519110002370AAXXXJJK0142</t>
  </si>
  <si>
    <t>863406074407987</t>
  </si>
  <si>
    <t>89630323297000490458</t>
  </si>
  <si>
    <t>R5FBMG0C4SL000194</t>
  </si>
  <si>
    <t>12ZW7278324YA 0325H0240</t>
  </si>
  <si>
    <t>00096855946</t>
  </si>
  <si>
    <t>CSR-20260210-034982</t>
  </si>
  <si>
    <t>519110002370AAXXXJJK0144</t>
  </si>
  <si>
    <t>863406074402798</t>
  </si>
  <si>
    <t>89630323297000523506</t>
  </si>
  <si>
    <t>R5FBMG0C6SL000195</t>
  </si>
  <si>
    <t>12ZW7278324YA 0325H0214</t>
  </si>
  <si>
    <t>00096855957</t>
  </si>
  <si>
    <t>CSR-20260210-034983</t>
  </si>
  <si>
    <t>519110002370AAXXXJJK0147</t>
  </si>
  <si>
    <t>863406074407771</t>
  </si>
  <si>
    <t>89630323297000490417</t>
  </si>
  <si>
    <t>519110002370AAXXXJJK0151</t>
  </si>
  <si>
    <t>863406074402913</t>
  </si>
  <si>
    <t>89630323297000494070</t>
  </si>
  <si>
    <t>R5FBMG0C8SL000196</t>
  </si>
  <si>
    <t>12ZW7278324YA 0325H0259</t>
  </si>
  <si>
    <t>00096855968</t>
  </si>
  <si>
    <t>CSR-20260210-034984</t>
  </si>
  <si>
    <t>519110002370AAXXXJJK0153</t>
  </si>
  <si>
    <t>R5FBMG0CXSL000197</t>
  </si>
  <si>
    <t>863406074402822</t>
  </si>
  <si>
    <t>12ZW7278324YA 0325H0256</t>
  </si>
  <si>
    <t>89630323297000493460</t>
  </si>
  <si>
    <t>00096855979</t>
  </si>
  <si>
    <t>CSR-20260210-034985</t>
  </si>
  <si>
    <t>R5FBMG0C1SL000198</t>
  </si>
  <si>
    <t>519110002370AAXXXJJK0156</t>
  </si>
  <si>
    <t>12ZW7278324YA 0325H0261</t>
  </si>
  <si>
    <t>863406074408217</t>
  </si>
  <si>
    <t>89630323297000524173</t>
  </si>
  <si>
    <t>00096855980</t>
  </si>
  <si>
    <t>CSR-20260210-034986</t>
  </si>
  <si>
    <t>R5FBMG0C3SL000199</t>
  </si>
  <si>
    <t>519110002370AAXXXJJK0159</t>
  </si>
  <si>
    <t>12ZW7278324YA 0325H0255</t>
  </si>
  <si>
    <t>863406074394367</t>
  </si>
  <si>
    <t>00096855991</t>
  </si>
  <si>
    <t>89630323297000494807</t>
  </si>
  <si>
    <t>CSR-20260210-034987</t>
  </si>
  <si>
    <t>519110002370AAXXXJJK0177</t>
  </si>
  <si>
    <t>863406074409454</t>
  </si>
  <si>
    <t>89630323297000494930</t>
  </si>
  <si>
    <t>R5FBMG0C6SL000200</t>
  </si>
  <si>
    <t>12ZW7278324YA 0325H0264</t>
  </si>
  <si>
    <t>00096856004</t>
  </si>
  <si>
    <t>CSR-20260210-034988</t>
  </si>
  <si>
    <t>519110002370AAXXXJJK0180</t>
  </si>
  <si>
    <t>863406074400446</t>
  </si>
  <si>
    <t>89630323297000492355</t>
  </si>
  <si>
    <t>R5FBMG0C8SL000201</t>
  </si>
  <si>
    <t>12ZW7278324YA 0325H0187</t>
  </si>
  <si>
    <t>00096856015</t>
  </si>
  <si>
    <t>CSR-20260210-034989</t>
  </si>
  <si>
    <t>519110002370AAXXXJJK0182</t>
  </si>
  <si>
    <t>863406074407730</t>
  </si>
  <si>
    <t>89630323297000490425</t>
  </si>
  <si>
    <t>519110002370AAXXXJJK0183</t>
  </si>
  <si>
    <t>863406074394409</t>
  </si>
  <si>
    <t>89630323297000492272</t>
  </si>
  <si>
    <t>R5FBMG0CXSL000202</t>
  </si>
  <si>
    <t>12ZW7278324YA 0325H0199</t>
  </si>
  <si>
    <t>00096856026</t>
  </si>
  <si>
    <t>CSR-20260210-034990</t>
  </si>
  <si>
    <t>519110002370AAXXXJJK0185</t>
  </si>
  <si>
    <t>863406078296261</t>
  </si>
  <si>
    <t>89630323297000521666</t>
  </si>
  <si>
    <t>R5FBMG0C1SL000203</t>
  </si>
  <si>
    <t>12ZW7278324YA 0325H0186</t>
  </si>
  <si>
    <t>519110002370AAXXXJJK0197</t>
  </si>
  <si>
    <t>863406074394391</t>
  </si>
  <si>
    <t>00096856037</t>
  </si>
  <si>
    <t>89630323297000493221</t>
  </si>
  <si>
    <t>CSR-20260210-034991</t>
  </si>
  <si>
    <t>519110002370AAXXXJJK0199</t>
  </si>
  <si>
    <t>R5FBMG0C3SL000204</t>
  </si>
  <si>
    <t>863406074393013</t>
  </si>
  <si>
    <t>12ZW7278324YA 0325H0260</t>
  </si>
  <si>
    <t>89630323297000492397</t>
  </si>
  <si>
    <t>00096856048</t>
  </si>
  <si>
    <t>CSR-20260210-034992</t>
  </si>
  <si>
    <t>519110002370AAXXXJJK0200</t>
  </si>
  <si>
    <t>863406074391611</t>
  </si>
  <si>
    <t>R5FBMG0C5SL000205</t>
  </si>
  <si>
    <t>12ZW7278324YA 0325H0244</t>
  </si>
  <si>
    <t>89630323297000491126</t>
  </si>
  <si>
    <t>00096856059</t>
  </si>
  <si>
    <t>CSR-20260210-034993</t>
  </si>
  <si>
    <t>519110002370AAXXXJJK0203</t>
  </si>
  <si>
    <t>863406074393088</t>
  </si>
  <si>
    <t>R5FBMG0C7SL000206</t>
  </si>
  <si>
    <t>89630323297000491951</t>
  </si>
  <si>
    <t>12ZW7278324YA 0325H0195</t>
  </si>
  <si>
    <t>00096856060</t>
  </si>
  <si>
    <t>CSR-20260210-034994</t>
  </si>
  <si>
    <t>519110002370AAXXXJJK0208</t>
  </si>
  <si>
    <t>863406074407284</t>
  </si>
  <si>
    <t>89630323297000490102</t>
  </si>
  <si>
    <t>R5FBMG0C9SL000207</t>
  </si>
  <si>
    <t>12ZW7278324YA 0325H0262</t>
  </si>
  <si>
    <t>00096856071</t>
  </si>
  <si>
    <t>CSR-20260210-034995</t>
  </si>
  <si>
    <t>519110002370AAXXXJJK0215</t>
  </si>
  <si>
    <t>863406074392528</t>
  </si>
  <si>
    <t>89630323297000493429</t>
  </si>
  <si>
    <t>R5FBMG0C0SL000208</t>
  </si>
  <si>
    <t>12ZW7278324YA 0325H0236</t>
  </si>
  <si>
    <t>519110002370AAXXXJJK0218</t>
  </si>
  <si>
    <t>00096856082</t>
  </si>
  <si>
    <t>863406078295750</t>
  </si>
  <si>
    <t>89630323297000490615</t>
  </si>
  <si>
    <t>CSR-20260210-034996</t>
  </si>
  <si>
    <t>519110002370AAXXXJJK0223</t>
  </si>
  <si>
    <t>863406078298663</t>
  </si>
  <si>
    <t>89630323297000493312</t>
  </si>
  <si>
    <t>R5FBMG0C2SL000209</t>
  </si>
  <si>
    <t>12ZW7278324YA 0325H0200</t>
  </si>
  <si>
    <t>00096856093</t>
  </si>
  <si>
    <t>CSR-20260210-034997</t>
  </si>
  <si>
    <t>519110002370AAXXXJJK0234</t>
  </si>
  <si>
    <t>863406074397394</t>
  </si>
  <si>
    <t>89630323297000491696</t>
  </si>
  <si>
    <t>519110002370AAXXXJJK0243</t>
  </si>
  <si>
    <t>R5FBMG0C9SL000210</t>
  </si>
  <si>
    <t>863406074392460</t>
  </si>
  <si>
    <t>12ZW7278324YA 0325H0257</t>
  </si>
  <si>
    <t>89630323297000493247</t>
  </si>
  <si>
    <t>00096856105</t>
  </si>
  <si>
    <t>CSR-20260210-034998</t>
  </si>
  <si>
    <t>519110002370AAXXXMJK0046</t>
  </si>
  <si>
    <t>863406074404885</t>
  </si>
  <si>
    <t>89630323297000521013</t>
  </si>
  <si>
    <t>519110002370AAXXXMJK0047</t>
  </si>
  <si>
    <t>863406074404612</t>
  </si>
  <si>
    <t>89630323297000494468</t>
  </si>
  <si>
    <t>R5FBMG0C0SL000211</t>
  </si>
  <si>
    <t>12ZW7278324YA 0325H0190</t>
  </si>
  <si>
    <t>00096856116</t>
  </si>
  <si>
    <t>CSR-20260210-034999</t>
  </si>
  <si>
    <t>519110002370AAXXXMJK0049</t>
  </si>
  <si>
    <t>863406074348041</t>
  </si>
  <si>
    <t>89630323297000521328</t>
  </si>
  <si>
    <t>R5FBMG0C2SL000212</t>
  </si>
  <si>
    <t>12ZW7278324YA 0325H0251</t>
  </si>
  <si>
    <t>00096856127</t>
  </si>
  <si>
    <t>519110002370AAXXXMJK0060</t>
  </si>
  <si>
    <t>863406074394458</t>
  </si>
  <si>
    <t>89630323297000494864</t>
  </si>
  <si>
    <t>CSR-20260210-035000</t>
  </si>
  <si>
    <t>519110002370AAXXXMJK0094</t>
  </si>
  <si>
    <t>863406078300121</t>
  </si>
  <si>
    <t>89630323297000491514</t>
  </si>
  <si>
    <t>R5FBMG0C4SL000213</t>
  </si>
  <si>
    <t>12ZW7278324YA 0325H0252</t>
  </si>
  <si>
    <t>00096856138</t>
  </si>
  <si>
    <t>CSR-20260210-035001</t>
  </si>
  <si>
    <t>519110002370AAXXXMJK0097</t>
  </si>
  <si>
    <t>863406074407292</t>
  </si>
  <si>
    <t>89630323297000524199</t>
  </si>
  <si>
    <t>R5FBMG0C6SL000214</t>
  </si>
  <si>
    <t>12ZW7278324YA 0325H0247</t>
  </si>
  <si>
    <t>519110002370AAXXXMJK0101</t>
  </si>
  <si>
    <t>863406074400909</t>
  </si>
  <si>
    <t>89630323297000493528</t>
  </si>
  <si>
    <t>00096856149</t>
  </si>
  <si>
    <t>CSR-20260210-035002</t>
  </si>
  <si>
    <t>519110002370AAXXXMJK0103</t>
  </si>
  <si>
    <t>863406074391439</t>
  </si>
  <si>
    <t>89630323297000491290</t>
  </si>
  <si>
    <t>R5FBMG0C8SL000215</t>
  </si>
  <si>
    <t>12ZW7278324YA 0325H0242</t>
  </si>
  <si>
    <t>00096856150</t>
  </si>
  <si>
    <t>CSR-20260210-035003</t>
  </si>
  <si>
    <t>519110002370AAXXXMJK0104</t>
  </si>
  <si>
    <t>863406074391314</t>
  </si>
  <si>
    <t>89630323297000491266</t>
  </si>
  <si>
    <t>519110002370AAXXXMJK0112</t>
  </si>
  <si>
    <t>R5FBMG0CXSL000216</t>
  </si>
  <si>
    <t>863406074408332</t>
  </si>
  <si>
    <t>12ZW7278324YA 0325H0254</t>
  </si>
  <si>
    <t>89630323297000493130</t>
  </si>
  <si>
    <t>00096856161</t>
  </si>
  <si>
    <t>CSR-20260210-035004</t>
  </si>
  <si>
    <t>519110002370AAXXXMJK0120</t>
  </si>
  <si>
    <t>863406078320483</t>
  </si>
  <si>
    <t>89630323297000494443</t>
  </si>
  <si>
    <t>R5FBMG0C1SL000217</t>
  </si>
  <si>
    <t>12ZW7278324YA 0325H0241</t>
  </si>
  <si>
    <t>519110002370AAXXXMJK0121</t>
  </si>
  <si>
    <t>00096856172</t>
  </si>
  <si>
    <t>863406078319097</t>
  </si>
  <si>
    <t>CSR-20260210-035005</t>
  </si>
  <si>
    <t>89630323297000494724</t>
  </si>
  <si>
    <t>R5FBMG0C3SL000218</t>
  </si>
  <si>
    <t>12ZW7278324YA 0325H0263</t>
  </si>
  <si>
    <t>519110002370AAXXXMJK0126</t>
  </si>
  <si>
    <t>863406074391801</t>
  </si>
  <si>
    <t>00096856183</t>
  </si>
  <si>
    <t>89630323297000494799</t>
  </si>
  <si>
    <t>CSR-20260210-035006</t>
  </si>
  <si>
    <t>519110002370AAXXXMJK0132</t>
  </si>
  <si>
    <t>R5FBMG0C5SL000219</t>
  </si>
  <si>
    <t>863406078320228</t>
  </si>
  <si>
    <t>12ZW7278324YA 0325H0208</t>
  </si>
  <si>
    <t>89630323297000490789</t>
  </si>
  <si>
    <t>00096856194</t>
  </si>
  <si>
    <t>CSR-20260210-035007</t>
  </si>
  <si>
    <t>519110002370AAXXXMJK0141</t>
  </si>
  <si>
    <t>863406078303760</t>
  </si>
  <si>
    <t>R5FBMG0C1SL000220</t>
  </si>
  <si>
    <t>12ZW7278324YA 0325H0183</t>
  </si>
  <si>
    <t>89630323297000521518</t>
  </si>
  <si>
    <t>00096856206</t>
  </si>
  <si>
    <t>CSR-20260210-035008</t>
  </si>
  <si>
    <t>519110002370AAXXXMJK0142</t>
  </si>
  <si>
    <t>863406078319253</t>
  </si>
  <si>
    <t>89630323297000491647</t>
  </si>
  <si>
    <t>R5FBMG0C3SL000221</t>
  </si>
  <si>
    <t>12ZW7278324YA 0325H0198</t>
  </si>
  <si>
    <t>00096856217</t>
  </si>
  <si>
    <t>CSR-20260210-035009</t>
  </si>
  <si>
    <t>519110002370AAXXXMJK0147</t>
  </si>
  <si>
    <t>863406074392700</t>
  </si>
  <si>
    <t>89630323297000523647</t>
  </si>
  <si>
    <t>R5FBMG0C5SL000222</t>
  </si>
  <si>
    <t>12ZW7278324YA 0325H0207</t>
  </si>
  <si>
    <t>00096856228</t>
  </si>
  <si>
    <t>CSR-20260210-035010</t>
  </si>
  <si>
    <t>519110002370AAXXXMJK0151</t>
  </si>
  <si>
    <t>863406074401246</t>
  </si>
  <si>
    <t>89630323297000493205</t>
  </si>
  <si>
    <t>519110002370AAXXXMJK0152</t>
  </si>
  <si>
    <t>863406074405536</t>
  </si>
  <si>
    <t>89630323297000490813</t>
  </si>
  <si>
    <t>R5FBMG0C7SL000223</t>
  </si>
  <si>
    <t>12ZW7278324YA 0325H0209</t>
  </si>
  <si>
    <t>00096856239</t>
  </si>
  <si>
    <t>CSR-20260210-035011</t>
  </si>
  <si>
    <t>519110002370AAXXXMJK0153</t>
  </si>
  <si>
    <t>863406074404588</t>
  </si>
  <si>
    <t>89630323297000494773</t>
  </si>
  <si>
    <t>519110002370AAXXXMJK0157</t>
  </si>
  <si>
    <t>863406074404638</t>
  </si>
  <si>
    <t>89630323297000490920</t>
  </si>
  <si>
    <t>R5FBMG0C9SL000224</t>
  </si>
  <si>
    <t>12ZW7278324YA 0325H0224</t>
  </si>
  <si>
    <t>00096856240</t>
  </si>
  <si>
    <t>CSR-20260210-035012</t>
  </si>
  <si>
    <t>519110002370AAXXXMJK0159</t>
  </si>
  <si>
    <t>863406074392072</t>
  </si>
  <si>
    <t>89630323297000523910</t>
  </si>
  <si>
    <t>519110002370AAXXXMJK0163</t>
  </si>
  <si>
    <t>863406074348108</t>
  </si>
  <si>
    <t>R5FBMG0C0SL000225</t>
  </si>
  <si>
    <t>89630323297000493635</t>
  </si>
  <si>
    <t>12ZW7278324YA 0325H0223</t>
  </si>
  <si>
    <t>00096856251</t>
  </si>
  <si>
    <t>CSR-20260210-035013</t>
  </si>
  <si>
    <t>519110002370AAXXXMJK0166</t>
  </si>
  <si>
    <t>863406074394094</t>
  </si>
  <si>
    <t>89630323297000521708</t>
  </si>
  <si>
    <t>R5FBMG0C2SL000226</t>
  </si>
  <si>
    <t>12ZW7278324YA 0325A3012</t>
  </si>
  <si>
    <t>519110002370AAXXXMJK0170</t>
  </si>
  <si>
    <t>00096856262</t>
  </si>
  <si>
    <t>863406074391769</t>
  </si>
  <si>
    <t>89630323297000521898</t>
  </si>
  <si>
    <t>CSR-20260210-035014</t>
  </si>
  <si>
    <t>519110002370AAXXXMJK0172</t>
  </si>
  <si>
    <t>863406074404703</t>
  </si>
  <si>
    <t>R5FBMG0C4SL000227</t>
  </si>
  <si>
    <t>89630323297000492132</t>
  </si>
  <si>
    <t>12ZW7278324YA 0325H0249</t>
  </si>
  <si>
    <t>00096856273</t>
  </si>
  <si>
    <t>CSR-20260210-035015</t>
  </si>
  <si>
    <t>519110002370AAXXXMJK0173</t>
  </si>
  <si>
    <t>863406074405650</t>
  </si>
  <si>
    <t>89630323297000491233</t>
  </si>
  <si>
    <t>R5FBMG0C6SL000228</t>
  </si>
  <si>
    <t>12ZW7278324YA 0325H0246</t>
  </si>
  <si>
    <t>519110002370AAXXXMJK0174</t>
  </si>
  <si>
    <t>863406074404463</t>
  </si>
  <si>
    <t>00096856284</t>
  </si>
  <si>
    <t>89630323297000521302</t>
  </si>
  <si>
    <t>CSR-20260210-035016</t>
  </si>
  <si>
    <t>519110002370AAXXXMJK0188</t>
  </si>
  <si>
    <t>863406074394631</t>
  </si>
  <si>
    <t>89630323297000493080</t>
  </si>
  <si>
    <t>R5FBMG0C8SL000229</t>
  </si>
  <si>
    <t>12ZW7278324YA 0325H0215</t>
  </si>
  <si>
    <t>519110002370AAXXXMJK0189</t>
  </si>
  <si>
    <t>00096856295</t>
  </si>
  <si>
    <t>863406078284234</t>
  </si>
  <si>
    <t>89630323297000493049</t>
  </si>
  <si>
    <t>CSR-20260210-035017</t>
  </si>
  <si>
    <t>519110002370AAXXXMJK0190</t>
  </si>
  <si>
    <t>863406074392098</t>
  </si>
  <si>
    <t>89630323297000521716</t>
  </si>
  <si>
    <t>R5FBMG0C4SL000230</t>
  </si>
  <si>
    <t>12ZW7278324YA 0325A3007</t>
  </si>
  <si>
    <t>00096856307</t>
  </si>
  <si>
    <t>519110002370AAXXXMJK0195</t>
  </si>
  <si>
    <t>863406074391843</t>
  </si>
  <si>
    <t>CSR-20260210-035018</t>
  </si>
  <si>
    <t>89630323297000491142</t>
  </si>
  <si>
    <t>519110002370AAXXXMJK0196</t>
  </si>
  <si>
    <t>R5FBMG0C6SL000231</t>
  </si>
  <si>
    <t>863406074391876</t>
  </si>
  <si>
    <t>12ZW7278324YA 0325H0218</t>
  </si>
  <si>
    <t>89630323297000521740</t>
  </si>
  <si>
    <t>00096856318</t>
  </si>
  <si>
    <t>CSR-20260210-035019</t>
  </si>
  <si>
    <t>519110002370AAXXXMJK0206</t>
  </si>
  <si>
    <t>863406078318800</t>
  </si>
  <si>
    <t>89630323297000523522</t>
  </si>
  <si>
    <t>R5FBMG0C8SL000232</t>
  </si>
  <si>
    <t>12ZW7278324YA 0325H0220</t>
  </si>
  <si>
    <t>00096856329</t>
  </si>
  <si>
    <t>CSR-20260210-035021</t>
  </si>
  <si>
    <t>519110002370AAXXXMJK0212</t>
  </si>
  <si>
    <t>863406074401568</t>
  </si>
  <si>
    <t>89630323297000494427</t>
  </si>
  <si>
    <t>R5FBMG0CXSL000233</t>
  </si>
  <si>
    <t>12ZW7278324YA 0325H0222</t>
  </si>
  <si>
    <t>00096856330</t>
  </si>
  <si>
    <t>CSR-20260210-035022</t>
  </si>
  <si>
    <t>519110002370AAXXXMJK0225</t>
  </si>
  <si>
    <t>863406078300527</t>
  </si>
  <si>
    <t>89630323297000523092</t>
  </si>
  <si>
    <t>R5FBMG0C1SL000234</t>
  </si>
  <si>
    <t>12ZW7278324YA 0325H0245</t>
  </si>
  <si>
    <t>00096856374</t>
  </si>
  <si>
    <t>519110002370AAXXXMJK0233</t>
  </si>
  <si>
    <t>863406078300246</t>
  </si>
  <si>
    <t>89630323297000523795</t>
  </si>
  <si>
    <t>CSR-20260210-035023</t>
  </si>
  <si>
    <t>R5FBMG0C3SL000235</t>
  </si>
  <si>
    <t>12ZW7278324YA 0325H0203</t>
  </si>
  <si>
    <t>00096856385</t>
  </si>
  <si>
    <t>519110002370AAXXXMJK0234</t>
  </si>
  <si>
    <t>863406074408324</t>
  </si>
  <si>
    <t>CSR-20260210-035020</t>
  </si>
  <si>
    <t>89630323297000494831</t>
  </si>
  <si>
    <t>519110002370AAXXXMJK0242</t>
  </si>
  <si>
    <t>863406074393666</t>
  </si>
  <si>
    <t>89630323297000490490</t>
  </si>
  <si>
    <t>R5FBMG0C5SL000236</t>
  </si>
  <si>
    <t>12ZW7278324YA 0325H0189</t>
  </si>
  <si>
    <t>00096856396</t>
  </si>
  <si>
    <t>CSR-20260210-035024</t>
  </si>
  <si>
    <t>519110002370AAXXXMJK0243</t>
  </si>
  <si>
    <t>863406074407375</t>
  </si>
  <si>
    <t>89630323297000492330</t>
  </si>
  <si>
    <t>R5FBMG0C7SL000237</t>
  </si>
  <si>
    <t>12ZW7278324YA 0325H0202</t>
  </si>
  <si>
    <t>519110002370AAXXXMJK0264</t>
  </si>
  <si>
    <t>863406078320327</t>
  </si>
  <si>
    <t>00096856408</t>
  </si>
  <si>
    <t>89630323297000521179</t>
  </si>
  <si>
    <t>CSR-20260210-035025</t>
  </si>
  <si>
    <t>519110002370AAXXXMJK0279</t>
  </si>
  <si>
    <t>863406074392346</t>
  </si>
  <si>
    <t>89630323297000494914</t>
  </si>
  <si>
    <t>R5FBMG0C9SL000238</t>
  </si>
  <si>
    <t>12ZW7278324YA 0325H0243</t>
  </si>
  <si>
    <t>00096856419</t>
  </si>
  <si>
    <t>CSR-20260210-035026</t>
  </si>
  <si>
    <t>519110002370AAXXXMJK0285</t>
  </si>
  <si>
    <t>863406074393591</t>
  </si>
  <si>
    <t>89630323297000523928</t>
  </si>
  <si>
    <t>R5FBMG0C0SL000239</t>
  </si>
  <si>
    <t>12ZW7278324YA 0325H0221</t>
  </si>
  <si>
    <t>519110002370AAXXXMJK0289</t>
  </si>
  <si>
    <t>00096856420</t>
  </si>
  <si>
    <t>863406078319352</t>
  </si>
  <si>
    <t>89630323297000523530</t>
  </si>
  <si>
    <t>CSR-20260210-035027</t>
  </si>
  <si>
    <t>519110002370AAXXXMJK0292</t>
  </si>
  <si>
    <t>863406074393468</t>
  </si>
  <si>
    <t>89630323297000493445</t>
  </si>
  <si>
    <t>519110002370AAXXXMJK0301</t>
  </si>
  <si>
    <t>863406074391454</t>
  </si>
  <si>
    <t>R5FBMG0C7SL000240</t>
  </si>
  <si>
    <t>89630323297000493593</t>
  </si>
  <si>
    <t>12ZW7278324YA 0325H0188</t>
  </si>
  <si>
    <t>00096856431</t>
  </si>
  <si>
    <t>CSR-20260210-035028</t>
  </si>
  <si>
    <t>519110002370AAXXXMJK0302</t>
  </si>
  <si>
    <t>863406074401287</t>
  </si>
  <si>
    <t>89630323297000494708</t>
  </si>
  <si>
    <t>519110002370AAXXXMJK0305</t>
  </si>
  <si>
    <t>863406074401600</t>
  </si>
  <si>
    <t>R5FBMG0C9SL000241</t>
  </si>
  <si>
    <t>89630323297000491845</t>
  </si>
  <si>
    <t>12ZW7278324YA 0325H0185</t>
  </si>
  <si>
    <t>00096856442</t>
  </si>
  <si>
    <t>CSR-20260210-035029</t>
  </si>
  <si>
    <t>519110002370AAXXXMJK0309</t>
  </si>
  <si>
    <t>863406078296568</t>
  </si>
  <si>
    <t>89630323297000523886</t>
  </si>
  <si>
    <t>R5FBMG0C0SL000242</t>
  </si>
  <si>
    <t>12ZW7278324YA 0325H0205</t>
  </si>
  <si>
    <t>00096856453</t>
  </si>
  <si>
    <t>519110002370AAXXXMJK0310</t>
  </si>
  <si>
    <t>CSR-20260210-035030</t>
  </si>
  <si>
    <t>863406074402277</t>
  </si>
  <si>
    <t>89630323297000490250</t>
  </si>
  <si>
    <t>519110002370AAXXXMJK0311</t>
  </si>
  <si>
    <t>863406074393492</t>
  </si>
  <si>
    <t>89630323297000524397</t>
  </si>
  <si>
    <t>R5FBMG0C2SL000243</t>
  </si>
  <si>
    <t>12ZW7278324YA 0325H0211</t>
  </si>
  <si>
    <t>00096856464</t>
  </si>
  <si>
    <t>CSR-20260210-035031</t>
  </si>
  <si>
    <t>519110002370AAXXXMJK0312</t>
  </si>
  <si>
    <t>863406074392395</t>
  </si>
  <si>
    <t>89630323297000523654</t>
  </si>
  <si>
    <t>R5FBMG0C4SL000244</t>
  </si>
  <si>
    <t>12ZW7278324YA 0325H0225</t>
  </si>
  <si>
    <t>519110002370AAXXXMJK0313</t>
  </si>
  <si>
    <t>00096856475</t>
  </si>
  <si>
    <t>863406078298929</t>
  </si>
  <si>
    <t>89630323297000493957</t>
  </si>
  <si>
    <t>CSR-20260210-035032</t>
  </si>
  <si>
    <t>519110002370AAXXXMJK0318</t>
  </si>
  <si>
    <t>R5FBMG0C6SL000245</t>
  </si>
  <si>
    <t>12ZW7278324YA 0325H0248</t>
  </si>
  <si>
    <t>863406078300931</t>
  </si>
  <si>
    <t>89630323297000494633</t>
  </si>
  <si>
    <t>00096856486</t>
  </si>
  <si>
    <t>CSR-20260210-035033</t>
  </si>
  <si>
    <t>R5FBMG0C8SL000246</t>
  </si>
  <si>
    <t>519110002370AAXXXMJK0323</t>
  </si>
  <si>
    <t>12ZW7278324YA 0325H0219</t>
  </si>
  <si>
    <t>863406078298945</t>
  </si>
  <si>
    <t>00096856497</t>
  </si>
  <si>
    <t>89630323297000524165</t>
  </si>
  <si>
    <t>CSR-20260210-035034</t>
  </si>
  <si>
    <t>519110002370AAXXXMJK0325</t>
  </si>
  <si>
    <t>863406078294985</t>
  </si>
  <si>
    <t>89630323297000523407</t>
  </si>
  <si>
    <t>R5FBMG0CXSL000247</t>
  </si>
  <si>
    <t>12ZW7278324YA 0325H0210</t>
  </si>
  <si>
    <t>00096856509</t>
  </si>
  <si>
    <t>CSR-20260210-035035</t>
  </si>
  <si>
    <t>519110002370AAXXXMJK0329</t>
  </si>
  <si>
    <t>863406078301194</t>
  </si>
  <si>
    <t>89630323297000491209</t>
  </si>
  <si>
    <t>R5FBMG0C1SL000248</t>
  </si>
  <si>
    <t>12ZW7278324YA 0325H0204</t>
  </si>
  <si>
    <t>00096856510</t>
  </si>
  <si>
    <t>CSR-20260210-035036</t>
  </si>
  <si>
    <t>519110002370AAXXXMJK0332</t>
  </si>
  <si>
    <t>863406074392221</t>
  </si>
  <si>
    <t>89630323297000524413</t>
  </si>
  <si>
    <t>519110002370AAXXXMJK0339</t>
  </si>
  <si>
    <t>R5FBMG0C3SL000249</t>
  </si>
  <si>
    <t>863406074392635</t>
  </si>
  <si>
    <t>12ZW7278324YA 0325H0227</t>
  </si>
  <si>
    <t>89630323297000521120</t>
  </si>
  <si>
    <t>00096856521</t>
  </si>
  <si>
    <t>CSR-20260210-035037</t>
  </si>
  <si>
    <t>519110002370AAXXXMJK0347</t>
  </si>
  <si>
    <t>863406078320517</t>
  </si>
  <si>
    <t>89630323297000494138</t>
  </si>
  <si>
    <t>R5FBMG0CXSL000250</t>
  </si>
  <si>
    <t>12ZW7278324YA 0325H0206</t>
  </si>
  <si>
    <t>519110002370AAXXXMJK0352</t>
  </si>
  <si>
    <t>863406078319055</t>
  </si>
  <si>
    <t>00096856532</t>
  </si>
  <si>
    <t>89630323297000521757</t>
  </si>
  <si>
    <t>CSR-20260210-035038</t>
  </si>
  <si>
    <t>519110002370AAXXXMJK0353</t>
  </si>
  <si>
    <t>863406078318875</t>
  </si>
  <si>
    <t>89630323297000494815</t>
  </si>
  <si>
    <t>R5FBMG0C1SL000251</t>
  </si>
  <si>
    <t>12ZW7278324YA 0325H0234</t>
  </si>
  <si>
    <t>00096856543</t>
  </si>
  <si>
    <t>CSR-20260210-035039</t>
  </si>
  <si>
    <t>519110002370AAXXXMJK0358</t>
  </si>
  <si>
    <t>863406078318974</t>
  </si>
  <si>
    <t>89630323297000524074</t>
  </si>
  <si>
    <t>R5FBMG0C3SL000252</t>
  </si>
  <si>
    <t>12ZW7278324YA 0325H0233</t>
  </si>
  <si>
    <t>519110002370AAXXXMJK0360</t>
  </si>
  <si>
    <t>863406078320558</t>
  </si>
  <si>
    <t>00096856554</t>
  </si>
  <si>
    <t>89630323297000521286</t>
  </si>
  <si>
    <t>CSR-20260210-035040</t>
  </si>
  <si>
    <t>519110002370AAXXXMJK0366</t>
  </si>
  <si>
    <t>863406074400339</t>
  </si>
  <si>
    <t>89630323297000491399</t>
  </si>
  <si>
    <t>R5FBMG0C5SL000253</t>
  </si>
  <si>
    <t>12ZW7278324YA 0325H0235</t>
  </si>
  <si>
    <t>00096856565</t>
  </si>
  <si>
    <t>519110002370AAXXXMJK0367</t>
  </si>
  <si>
    <t>863406074402764</t>
  </si>
  <si>
    <t>CSR-20260210-035041</t>
  </si>
  <si>
    <t>89630323297000491605</t>
  </si>
  <si>
    <t>519110002370AAXXXMJK0368</t>
  </si>
  <si>
    <t>863406074348009</t>
  </si>
  <si>
    <t>89630323297000524496</t>
  </si>
  <si>
    <t>R5FBMG0C7SL000254</t>
  </si>
  <si>
    <t>12ZW7278324YA 0325H0232</t>
  </si>
  <si>
    <t>00096856576</t>
  </si>
  <si>
    <t>CSR-20260210-035042</t>
  </si>
  <si>
    <t>519110002370AAXXXMJK0370</t>
  </si>
  <si>
    <t>863406078299422</t>
  </si>
  <si>
    <t>89630323297000493387</t>
  </si>
  <si>
    <t>519110002370AAXXXMJK0380</t>
  </si>
  <si>
    <t>863406074393344</t>
  </si>
  <si>
    <t>89630323297000494989</t>
  </si>
  <si>
    <t>R5FBMG0C9SL000255</t>
  </si>
  <si>
    <t>12ZW7278324YA 0325H0196</t>
  </si>
  <si>
    <t>00096856587</t>
  </si>
  <si>
    <t>CSR-20260210-035043</t>
  </si>
  <si>
    <t>519110002370AAXXXMJK0390</t>
  </si>
  <si>
    <t>863406078294951</t>
  </si>
  <si>
    <t>89630323297000494013</t>
  </si>
  <si>
    <t>519110002370AAXXXMJK0391</t>
  </si>
  <si>
    <t>863406078301129</t>
  </si>
  <si>
    <t>89630323297000491431</t>
  </si>
  <si>
    <t>R5FBMG0C0SL000256</t>
  </si>
  <si>
    <t>12ZW7278324YA 0325H0237</t>
  </si>
  <si>
    <t>00096856598</t>
  </si>
  <si>
    <t>CSR-20260210-035044</t>
  </si>
  <si>
    <t>519110002370AAXXXMJK0397</t>
  </si>
  <si>
    <t>863406074392148</t>
  </si>
  <si>
    <t>89630323297000521260</t>
  </si>
  <si>
    <t>519110002370AAXXXMJK0398</t>
  </si>
  <si>
    <t>863406078300162</t>
  </si>
  <si>
    <t>R5FBMG0C2SL000257</t>
  </si>
  <si>
    <t>89630323297000490987</t>
  </si>
  <si>
    <t>12ZW7278324YA 0325H0197</t>
  </si>
  <si>
    <t>00096856600</t>
  </si>
  <si>
    <t>CSR-20260210-035045</t>
  </si>
  <si>
    <t>519110002370AAXXXMJK0400</t>
  </si>
  <si>
    <t>863406078301228</t>
  </si>
  <si>
    <t>89630323297000521401</t>
  </si>
  <si>
    <t>R5FBMG0C4SL000258</t>
  </si>
  <si>
    <t>12ZW7278324YA 0325H0194</t>
  </si>
  <si>
    <t>00096856611</t>
  </si>
  <si>
    <t>CSR-20260210-035046</t>
  </si>
  <si>
    <t>519110002370AAXXXMJK0401</t>
  </si>
  <si>
    <t>863406078300170</t>
  </si>
  <si>
    <t>89630323297000490979</t>
  </si>
  <si>
    <t>R5FBMG0C6SL000259</t>
  </si>
  <si>
    <t>12ZW7278324YA 0325H0239</t>
  </si>
  <si>
    <t>00096856622</t>
  </si>
  <si>
    <t>CSR-20260210-035047</t>
  </si>
  <si>
    <t>519110002370AAXXXMJK0405</t>
  </si>
  <si>
    <t>863406078299406</t>
  </si>
  <si>
    <t>89630323297000493379</t>
  </si>
  <si>
    <t>R5FBMG0C2SL000260</t>
  </si>
  <si>
    <t>12ZW7278324YA 0325H0191</t>
  </si>
  <si>
    <t>00096856633</t>
  </si>
  <si>
    <t>CSR-20260210-035048</t>
  </si>
  <si>
    <t>519110002370AAXXXMJK0406</t>
  </si>
  <si>
    <t>863406078298861</t>
  </si>
  <si>
    <t>89630323297000524421</t>
  </si>
  <si>
    <t>R5FBMG0C4SL000261</t>
  </si>
  <si>
    <t>12ZW7278324YA 0325H0229</t>
  </si>
  <si>
    <t>00096856644</t>
  </si>
  <si>
    <t>CSR-20260210-035049</t>
  </si>
  <si>
    <t>519110002370AAXXXMJK0407</t>
  </si>
  <si>
    <t>863406078298838</t>
  </si>
  <si>
    <t>89630323297000523662</t>
  </si>
  <si>
    <t>R5FBMG0C6SL000262</t>
  </si>
  <si>
    <t>12ZW7278324YA 0325H0192</t>
  </si>
  <si>
    <t>00096856655</t>
  </si>
  <si>
    <t>CSR-20260210-035050</t>
  </si>
  <si>
    <t>519110002370AAXXXMJK0425</t>
  </si>
  <si>
    <t>863406078284218</t>
  </si>
  <si>
    <t>89630323297000521534</t>
  </si>
  <si>
    <t>519110002370AAXXXMJK0428</t>
  </si>
  <si>
    <t>863406078318941</t>
  </si>
  <si>
    <t>89630323297000492728</t>
  </si>
  <si>
    <t>R5FBMG0C8SL000263</t>
  </si>
  <si>
    <t>12ZW7278324YA 0325H0230</t>
  </si>
  <si>
    <t>00096856666</t>
  </si>
  <si>
    <t>CSR-20260210-035051</t>
  </si>
  <si>
    <t>519110002370AAXXXMJK0433</t>
  </si>
  <si>
    <t>863406078300774</t>
  </si>
  <si>
    <t>89630323297000494377</t>
  </si>
  <si>
    <t>519110002370AAXXXMJK0434</t>
  </si>
  <si>
    <t>R5FBMG0CXSL000264</t>
  </si>
  <si>
    <t>863406078301202</t>
  </si>
  <si>
    <t>12ZW7278324YA 0325H0228</t>
  </si>
  <si>
    <t>89630323297000521161</t>
  </si>
  <si>
    <t>00096856677</t>
  </si>
  <si>
    <t>CSR-20260210-035052</t>
  </si>
  <si>
    <t>519110002370AAXXXMJK0437</t>
  </si>
  <si>
    <t>863406074393716</t>
  </si>
  <si>
    <t>89630323297000524355</t>
  </si>
  <si>
    <t>R5FBMG0C1SL000265</t>
  </si>
  <si>
    <t>12ZW7278324YA 0325H0226</t>
  </si>
  <si>
    <t>519110002370AAXXXMJK0440</t>
  </si>
  <si>
    <t>863406074401675</t>
  </si>
  <si>
    <t>00096856688</t>
  </si>
  <si>
    <t>89630323297000492975</t>
  </si>
  <si>
    <t>CSR-20260210-035053</t>
  </si>
  <si>
    <t>519110002370AAXXXMJK0449</t>
  </si>
  <si>
    <t>863406078295735</t>
  </si>
  <si>
    <t>89630323297000494674</t>
  </si>
  <si>
    <t>R5FBMG0C3SL000266</t>
  </si>
  <si>
    <t>12ZW7278324YA 0325H0193</t>
  </si>
  <si>
    <t>00096856699</t>
  </si>
  <si>
    <t>CSR-20260210-035054</t>
  </si>
  <si>
    <t>519110002370AAXXXMJK0460</t>
  </si>
  <si>
    <t>863406078319295</t>
  </si>
  <si>
    <t>89630323297000491506</t>
  </si>
  <si>
    <t>519110002370AAXXXMJK0461</t>
  </si>
  <si>
    <t>R5FBMG0C5SL000267</t>
  </si>
  <si>
    <t>863406074409645</t>
  </si>
  <si>
    <t>12ZW7278324YA 0325H0231</t>
  </si>
  <si>
    <t>89630323297000492702</t>
  </si>
  <si>
    <t>00096856701</t>
  </si>
  <si>
    <t>CSR-20260210-035055</t>
  </si>
  <si>
    <t>519110002370AAXXXMJK0463</t>
  </si>
  <si>
    <t>863406078319287</t>
  </si>
  <si>
    <t>89630323297000494310</t>
  </si>
  <si>
    <t>R5FBMG0C7SL000268</t>
  </si>
  <si>
    <t>12ZW7278324YA 0325H0184</t>
  </si>
  <si>
    <t>00096856712</t>
  </si>
  <si>
    <t>CSR-20260210-035056</t>
  </si>
  <si>
    <t>519110002370AAXXXMJK0464</t>
  </si>
  <si>
    <t>863406074409462</t>
  </si>
  <si>
    <t>89630323297000491829</t>
  </si>
  <si>
    <t>R5FBMG0C9SL000269</t>
  </si>
  <si>
    <t>12ZW7278324YA 0325H0253</t>
  </si>
  <si>
    <t>519110002370AAXXXMJK0465</t>
  </si>
  <si>
    <t>863406074408415</t>
  </si>
  <si>
    <t>89630323297000494211</t>
  </si>
  <si>
    <t>00096856723</t>
  </si>
  <si>
    <t>CSR-20260210-035057</t>
  </si>
  <si>
    <t>519110002370AAXXXMJK0467</t>
  </si>
  <si>
    <t>863406078302549</t>
  </si>
  <si>
    <t>89630323297000494385</t>
  </si>
  <si>
    <t>R5FBMG0C5SL000270</t>
  </si>
  <si>
    <t>12ZW7278324YA 0325H0201</t>
  </si>
  <si>
    <t>00096856734</t>
  </si>
  <si>
    <t>CSR-20260210-035058</t>
  </si>
  <si>
    <t>519110002370AAXXXMJK0470</t>
  </si>
  <si>
    <t>863406074409736</t>
  </si>
  <si>
    <t>89630323297000490342</t>
  </si>
  <si>
    <t>R5FBMX0B7SL000536</t>
  </si>
  <si>
    <t>170ZW-J7211435NA 0124F0069</t>
  </si>
  <si>
    <t>00096856745</t>
  </si>
  <si>
    <t>519110002370AAXXXMJK0472</t>
  </si>
  <si>
    <t>863406078295941</t>
  </si>
  <si>
    <t>CSR-20260210-035059</t>
  </si>
  <si>
    <t>89630323297000493775</t>
  </si>
  <si>
    <t>R5FBMX0B9SL000537</t>
  </si>
  <si>
    <t>170ZW-J7211435NA 0124F0075</t>
  </si>
  <si>
    <t>00096856756</t>
  </si>
  <si>
    <t>519110002370AAXXXMJK0473</t>
  </si>
  <si>
    <t>CSR-20260210-035060</t>
  </si>
  <si>
    <t>863406078319196</t>
  </si>
  <si>
    <t>89630323297000523332</t>
  </si>
  <si>
    <t>R5FBMX0B0SL000538</t>
  </si>
  <si>
    <t>170ZW-J7211435NA 0124F0061</t>
  </si>
  <si>
    <t>00096856767</t>
  </si>
  <si>
    <t>CSR-20260210-035061</t>
  </si>
  <si>
    <t>519110002370AAXXXMJK0475</t>
  </si>
  <si>
    <t>863406074397766</t>
  </si>
  <si>
    <t>89630323297000494682</t>
  </si>
  <si>
    <t>R5FBMX0B2SL000539</t>
  </si>
  <si>
    <t>170ZW-J7211435NA 0124F0070</t>
  </si>
  <si>
    <t>00096856778</t>
  </si>
  <si>
    <t>519110002370AAXXXMJK0480</t>
  </si>
  <si>
    <t>863406074404935</t>
  </si>
  <si>
    <t>CSR-20260210-035062</t>
  </si>
  <si>
    <t>89630323297000491274</t>
  </si>
  <si>
    <t>R5FBMX0B9SL000540</t>
  </si>
  <si>
    <t>170ZW-J7211435NA 0124F0074</t>
  </si>
  <si>
    <t>519110002370AAXXXMJK0491</t>
  </si>
  <si>
    <t>863406078300881</t>
  </si>
  <si>
    <t>00096856789</t>
  </si>
  <si>
    <t>89630323297000490854</t>
  </si>
  <si>
    <t>CSR-20260210-035063</t>
  </si>
  <si>
    <t>519110002370AAXXXMJK0492</t>
  </si>
  <si>
    <t>863406078319394</t>
  </si>
  <si>
    <t>89630323297000490466</t>
  </si>
  <si>
    <t>R5FBMX0B0SL000541</t>
  </si>
  <si>
    <t>170ZW-J7211435NA 0124F0066</t>
  </si>
  <si>
    <t>00096856790</t>
  </si>
  <si>
    <t>519110002370AAXXXMJK0493</t>
  </si>
  <si>
    <t>CSR-20260210-035064</t>
  </si>
  <si>
    <t>863406078313645</t>
  </si>
  <si>
    <t>89630323297000491456</t>
  </si>
  <si>
    <t>519110002370AAXXXMJK0497</t>
  </si>
  <si>
    <t>863406078291684</t>
  </si>
  <si>
    <t>R5FBMX0B2SL000542</t>
  </si>
  <si>
    <t>89630323297000494088</t>
  </si>
  <si>
    <t>170ZW-J7211435NA 0124F0068</t>
  </si>
  <si>
    <t>00096856802</t>
  </si>
  <si>
    <t>CSR-20260210-035065</t>
  </si>
  <si>
    <t>519110002370AAXXXMJK0499</t>
  </si>
  <si>
    <t>863406078291437</t>
  </si>
  <si>
    <t>89630323297000493114</t>
  </si>
  <si>
    <t>R5FBMX0B4SL000543</t>
  </si>
  <si>
    <t>170ZW-J7211435NA 0124F0073</t>
  </si>
  <si>
    <t>00096856813</t>
  </si>
  <si>
    <t>CSR-20260210-035066</t>
  </si>
  <si>
    <t>519110002370AAXXXMJK0501</t>
  </si>
  <si>
    <t>863406078319345</t>
  </si>
  <si>
    <t>89630323297000494054</t>
  </si>
  <si>
    <t>519110002370AAXXXMJK0504</t>
  </si>
  <si>
    <t>863406078319402</t>
  </si>
  <si>
    <t>89630323297000523779</t>
  </si>
  <si>
    <t>R5FBMX0B6SL000544</t>
  </si>
  <si>
    <t>170ZW-J7211435NA 0124F0065</t>
  </si>
  <si>
    <t>00096856824</t>
  </si>
  <si>
    <t>CSR-20260210-035067</t>
  </si>
  <si>
    <t>519110002370AAXXXMJK0508</t>
  </si>
  <si>
    <t>863406078291486</t>
  </si>
  <si>
    <t>89630323297000494021</t>
  </si>
  <si>
    <t>519110002370AAXXXMJK0517</t>
  </si>
  <si>
    <t>863406078304693</t>
  </si>
  <si>
    <t>89630323297000521872</t>
  </si>
  <si>
    <t>R5FBMX0B8SL000545</t>
  </si>
  <si>
    <t>170ZW-J7211435NA 0124F0071</t>
  </si>
  <si>
    <t>00096856835</t>
  </si>
  <si>
    <t>CSR-20260210-035068</t>
  </si>
  <si>
    <t>519110002370AAXXXMJK0531</t>
  </si>
  <si>
    <t>863406074393963</t>
  </si>
  <si>
    <t>89630323297000492595</t>
  </si>
  <si>
    <t>519110002370AAXXXMJK0533</t>
  </si>
  <si>
    <t>R5FBMX0BXSL000546</t>
  </si>
  <si>
    <t>170ZW-J7211435NA 0124F0063</t>
  </si>
  <si>
    <t>00096856846</t>
  </si>
  <si>
    <t>863406078319311</t>
  </si>
  <si>
    <t>CSR-20260210-035069</t>
  </si>
  <si>
    <t>89630323297000490292</t>
  </si>
  <si>
    <t>519110002370AAXXXMJK0538</t>
  </si>
  <si>
    <t>863406078319121</t>
  </si>
  <si>
    <t>89630323297000490300</t>
  </si>
  <si>
    <t>R5FBMX0B1SL000547</t>
  </si>
  <si>
    <t>170ZW-J7211435NA 0124F0057</t>
  </si>
  <si>
    <t>519110002370AAXXXMJK0539</t>
  </si>
  <si>
    <t>00096856857</t>
  </si>
  <si>
    <t>863406074407136</t>
  </si>
  <si>
    <t>89630323297000521336</t>
  </si>
  <si>
    <t>CSR-20260210-035070</t>
  </si>
  <si>
    <t>519110002370AAXXXMJK0548</t>
  </si>
  <si>
    <t>863406074407342</t>
  </si>
  <si>
    <t>89630323297000490482</t>
  </si>
  <si>
    <t>R5FBMX0B3SL000548</t>
  </si>
  <si>
    <t>170ZW-J7211435NA 0124F0056</t>
  </si>
  <si>
    <t>00096856868</t>
  </si>
  <si>
    <t>CSR-20260210-035071</t>
  </si>
  <si>
    <t>519110002370AAXXXNNK0007</t>
  </si>
  <si>
    <t>863406078295503</t>
  </si>
  <si>
    <t>8985200015506382977F</t>
  </si>
  <si>
    <t>PCCW</t>
  </si>
  <si>
    <t>519110002370AAXXXNNK0008</t>
  </si>
  <si>
    <t>863406074402608</t>
  </si>
  <si>
    <t>8985200015506382043F</t>
  </si>
  <si>
    <t>R5FBMX0B5SL000549</t>
  </si>
  <si>
    <t>170ZW-J7211435NA 0124F0058</t>
  </si>
  <si>
    <t>00096856879</t>
  </si>
  <si>
    <t>CSR-20260210-035072</t>
  </si>
  <si>
    <t>519110002370AAXXXNNK0009</t>
  </si>
  <si>
    <t>863406074406591</t>
  </si>
  <si>
    <t>8985200015506382076F</t>
  </si>
  <si>
    <t>519110002370AAXXXNNK0010</t>
  </si>
  <si>
    <t>863406074383238</t>
  </si>
  <si>
    <t>8985200015506383033F</t>
  </si>
  <si>
    <t>R5FBMX0B1SL000550</t>
  </si>
  <si>
    <t>170ZW-J7211435NA 0124F0053</t>
  </si>
  <si>
    <t>00096856880</t>
  </si>
  <si>
    <t>CSR-20260210-035073</t>
  </si>
  <si>
    <t>519110002370AAXXXNNK0011</t>
  </si>
  <si>
    <t>863406074406385</t>
  </si>
  <si>
    <t>8985200015506382928F</t>
  </si>
  <si>
    <t>R5FBMX0B3SL000551</t>
  </si>
  <si>
    <t>170ZW-J7211435NA 0124F0054</t>
  </si>
  <si>
    <t>00096856891</t>
  </si>
  <si>
    <t>CSR-20260210-035074</t>
  </si>
  <si>
    <t>519110002370AAXXXNNK0013</t>
  </si>
  <si>
    <t>863406074406351</t>
  </si>
  <si>
    <t>8985200015506381953F</t>
  </si>
  <si>
    <t>R5FBMX0B5SL000552</t>
  </si>
  <si>
    <t>170ZW-J7211435NA 0124F0055</t>
  </si>
  <si>
    <t>00096856903</t>
  </si>
  <si>
    <t>CSR-20260210-035075</t>
  </si>
  <si>
    <t>519110002370AAXXXNNK0016</t>
  </si>
  <si>
    <t>863406074391488</t>
  </si>
  <si>
    <t>8985200015506381730F</t>
  </si>
  <si>
    <t>R5FBMX0B7SL000553</t>
  </si>
  <si>
    <t>170ZW-J7211435NA 0124F0022</t>
  </si>
  <si>
    <t>00096856914</t>
  </si>
  <si>
    <t>CSR-20260210-035076</t>
  </si>
  <si>
    <t>519110002370AAXXXNNK0017</t>
  </si>
  <si>
    <t>863406074402038</t>
  </si>
  <si>
    <t>8985200015506382092F</t>
  </si>
  <si>
    <t>R5FBMX0B9SL000554</t>
  </si>
  <si>
    <t>170ZW-J7211435NA 0124F0049</t>
  </si>
  <si>
    <t>00096856925</t>
  </si>
  <si>
    <t>519110002370AAXXXNNK0018</t>
  </si>
  <si>
    <t>CSR-20260210-035077</t>
  </si>
  <si>
    <t>863406074392130</t>
  </si>
  <si>
    <t>8985200015506382209F</t>
  </si>
  <si>
    <t>519110002370AAXXXNNK0019</t>
  </si>
  <si>
    <t>R5FBMX0B0SL000555</t>
  </si>
  <si>
    <t>863406074401410</t>
  </si>
  <si>
    <t>8985200015506382167F</t>
  </si>
  <si>
    <t>170ZW-J7211435NA 0124F0067</t>
  </si>
  <si>
    <t>00096856936</t>
  </si>
  <si>
    <t>519110002370AAXXXNNK0020</t>
  </si>
  <si>
    <t>863406074392080</t>
  </si>
  <si>
    <t>8985200015506382290F</t>
  </si>
  <si>
    <t>CSR-20260210-035078</t>
  </si>
  <si>
    <t>519110002370AAXXXNNK0021</t>
  </si>
  <si>
    <t>863406074348777</t>
  </si>
  <si>
    <t>8985200015506382225F</t>
  </si>
  <si>
    <t>519110002370AAXXXNNK0022</t>
  </si>
  <si>
    <t>R5FBMX0B2SL000556</t>
  </si>
  <si>
    <t>863406074382727</t>
  </si>
  <si>
    <t>170ZW-J7211435NA 0124F0060</t>
  </si>
  <si>
    <t>8985200015506382217F</t>
  </si>
  <si>
    <t>00096856947</t>
  </si>
  <si>
    <t>CSR-20260210-035079</t>
  </si>
  <si>
    <t>519110002370AAXXXNNK0023</t>
  </si>
  <si>
    <t>863406074408944</t>
  </si>
  <si>
    <t>8985200015506381904F</t>
  </si>
  <si>
    <t>R5FBMX0B4SL000557</t>
  </si>
  <si>
    <t>170ZW-J7211435NA 0124F0064</t>
  </si>
  <si>
    <t>00096856958</t>
  </si>
  <si>
    <t>519110002370AAXXXNNK0024</t>
  </si>
  <si>
    <t>863406074387775</t>
  </si>
  <si>
    <t>8985200015506382498F</t>
  </si>
  <si>
    <t>CSR-20260210-035080</t>
  </si>
  <si>
    <t>519110002370AAXXXNNK0025</t>
  </si>
  <si>
    <t>863406074405304</t>
  </si>
  <si>
    <t>8985200015506383041F</t>
  </si>
  <si>
    <t>R5FBMX0B6SL000558</t>
  </si>
  <si>
    <t>170ZW-J7211435NA 0124F0059</t>
  </si>
  <si>
    <t>00096856969</t>
  </si>
  <si>
    <t>519110002370AAXXXNNK0026</t>
  </si>
  <si>
    <t>CSR-20260210-035081</t>
  </si>
  <si>
    <t>863406074406013</t>
  </si>
  <si>
    <t>8985200015506382134F</t>
  </si>
  <si>
    <t>519110002370AAXXXNNK0027</t>
  </si>
  <si>
    <t>863406074393302</t>
  </si>
  <si>
    <t>8985200015506382266F</t>
  </si>
  <si>
    <t>R5FBMX0B8SL000559</t>
  </si>
  <si>
    <t>170ZW-J7211435NA 0124F0062</t>
  </si>
  <si>
    <t>00096856970</t>
  </si>
  <si>
    <t>CSR-20260210-035082</t>
  </si>
  <si>
    <t>519110002370AAXXXNNK0028</t>
  </si>
  <si>
    <t>863406074401451</t>
  </si>
  <si>
    <t>8985200015506381862F</t>
  </si>
  <si>
    <t>519110002370AAXXXNNK0029</t>
  </si>
  <si>
    <t>863406074401550</t>
  </si>
  <si>
    <t>R5FBMX0B4SL000560</t>
  </si>
  <si>
    <t>8985200015506382233F</t>
  </si>
  <si>
    <t>170ZW-J7211435NA 0124F0051</t>
  </si>
  <si>
    <t>00096856981</t>
  </si>
  <si>
    <t>CSR-20260210-035083</t>
  </si>
  <si>
    <t>519110002370AAXXXNNK0030</t>
  </si>
  <si>
    <t>863406074402368</t>
  </si>
  <si>
    <t>8985200015506383025F</t>
  </si>
  <si>
    <t>R5FBMX0B6SL000561</t>
  </si>
  <si>
    <t>170ZW-J7211435NA 0124F0047</t>
  </si>
  <si>
    <t>519110002370AAXXXNNK0031</t>
  </si>
  <si>
    <t>00096856992</t>
  </si>
  <si>
    <t>863406074401378</t>
  </si>
  <si>
    <t>8985200015506382951F</t>
  </si>
  <si>
    <t>CSR-20260210-035084</t>
  </si>
  <si>
    <t>519110002370AAXXXNNK0032</t>
  </si>
  <si>
    <t>863406074348892</t>
  </si>
  <si>
    <t>8985200015506381664F</t>
  </si>
  <si>
    <t>R5FBMX0B8SL000562</t>
  </si>
  <si>
    <t>170ZW-J7211435NA 0124F0048</t>
  </si>
  <si>
    <t>00096857005</t>
  </si>
  <si>
    <t>CSR-20260210-035085</t>
  </si>
  <si>
    <t>519110002370AAXXXNNK0033</t>
  </si>
  <si>
    <t>863406074397055</t>
  </si>
  <si>
    <t>8985200015506382456F</t>
  </si>
  <si>
    <t>519110002370AAXXXNNK0034</t>
  </si>
  <si>
    <t>863406074348751</t>
  </si>
  <si>
    <t>8985200015506382068F</t>
  </si>
  <si>
    <t>R5FBMX0BXSL000563</t>
  </si>
  <si>
    <t>170ZW-J7211435NA 0124F0050</t>
  </si>
  <si>
    <t>00096857016</t>
  </si>
  <si>
    <t>CSR-20260210-035086</t>
  </si>
  <si>
    <t>519110002370AAXXXNNK0035</t>
  </si>
  <si>
    <t>863406074405783</t>
  </si>
  <si>
    <t>8985200015506382365F</t>
  </si>
  <si>
    <t>R5FBMX0B1SL000564</t>
  </si>
  <si>
    <t>170ZW-J7211435NA 0124F0045</t>
  </si>
  <si>
    <t>519110002370AAXXXNNK0036</t>
  </si>
  <si>
    <t>00096857027</t>
  </si>
  <si>
    <t>863406074401006</t>
  </si>
  <si>
    <t>CSR-20260210-035087</t>
  </si>
  <si>
    <t>8985200015506381763F</t>
  </si>
  <si>
    <t>R5FBMX0B3SL000565</t>
  </si>
  <si>
    <t>519110002370AAXXXNNK0037</t>
  </si>
  <si>
    <t>170ZW-J7211435NA 0124F0046</t>
  </si>
  <si>
    <t>863406074406328</t>
  </si>
  <si>
    <t>00096857836</t>
  </si>
  <si>
    <t>8985200015506382969F</t>
  </si>
  <si>
    <t>CSR-20260210-035088</t>
  </si>
  <si>
    <t>2025Q4-01-MC-TESTER</t>
  </si>
  <si>
    <t>519110002370AAXXXNNK0038</t>
  </si>
  <si>
    <t>863406074406484</t>
  </si>
  <si>
    <t>8985200015506381870F</t>
  </si>
  <si>
    <t>R5FFKKGEA8SL000020</t>
  </si>
  <si>
    <t>519110002370AAXXXNNK0039</t>
  </si>
  <si>
    <t>863406074406302</t>
  </si>
  <si>
    <t>8985200015506383124F</t>
  </si>
  <si>
    <t>519110002370AAXXXNNK0040</t>
  </si>
  <si>
    <t>863406074409025</t>
  </si>
  <si>
    <t>8985200015506381573F</t>
  </si>
  <si>
    <t>519110002370AAXXXNNK0041</t>
  </si>
  <si>
    <t>863406074406146</t>
  </si>
  <si>
    <t>8985200015506382316F</t>
  </si>
  <si>
    <t>519110002370AAXXXNNK0042</t>
  </si>
  <si>
    <t>863406074348694</t>
  </si>
  <si>
    <t>8985200015506382035F</t>
  </si>
  <si>
    <t>519110002370AAXXXNNK0044</t>
  </si>
  <si>
    <t>863406074401386</t>
  </si>
  <si>
    <t>8985200015506382373F</t>
  </si>
  <si>
    <t>519110002370AAXXXNNK0045</t>
  </si>
  <si>
    <t>863406074405494</t>
  </si>
  <si>
    <t>8985200015506381961F</t>
  </si>
  <si>
    <t>519110002370AAXXXNNK0046</t>
  </si>
  <si>
    <t>863406074406294</t>
  </si>
  <si>
    <t>8985200015506382001F</t>
  </si>
  <si>
    <t>519110002370AAXXXNNK0048</t>
  </si>
  <si>
    <t>863406074406401</t>
  </si>
  <si>
    <t>8985200015506383082F</t>
  </si>
  <si>
    <t>519110002370AAXXXNNK0049</t>
  </si>
  <si>
    <t>863406074404927</t>
  </si>
  <si>
    <t>8985200015506382126F</t>
  </si>
  <si>
    <t>519110002370AAXXXNNK0050</t>
  </si>
  <si>
    <t>863406074406138</t>
  </si>
  <si>
    <t>8985200015506381946F</t>
  </si>
  <si>
    <t>519110002370AAXXXNNK0051</t>
  </si>
  <si>
    <t>863406074405528</t>
  </si>
  <si>
    <t>8985200015506382308F</t>
  </si>
  <si>
    <t>519110002370AAXXXNNK0052</t>
  </si>
  <si>
    <t>863406074405585</t>
  </si>
  <si>
    <t>8985200015506381656F</t>
  </si>
  <si>
    <t>519110002370AAXXXNNK0053</t>
  </si>
  <si>
    <t>863406074406427</t>
  </si>
  <si>
    <t>8985200015506381714F</t>
  </si>
  <si>
    <t>519110002370AAXXXNNK0057</t>
  </si>
  <si>
    <t>863406074391082</t>
  </si>
  <si>
    <t>8985200015506381995F</t>
  </si>
  <si>
    <t>519110002370AAXXXNNK0058</t>
  </si>
  <si>
    <t>863406074401428</t>
  </si>
  <si>
    <t>8985200015506383116F</t>
  </si>
  <si>
    <t>519110002370AAXXXNNK0059</t>
  </si>
  <si>
    <t>863406074401444</t>
  </si>
  <si>
    <t>8985200015506381888F</t>
  </si>
  <si>
    <t>519110002370AAXXXNNK0060</t>
  </si>
  <si>
    <t>863406074405601</t>
  </si>
  <si>
    <t>8985200015506381722F</t>
  </si>
  <si>
    <t>519110002370AAXXXNNK0061</t>
  </si>
  <si>
    <t>863406074405643</t>
  </si>
  <si>
    <t>8985200015506382159F</t>
  </si>
  <si>
    <t>519110002370AAXXXNNK0062</t>
  </si>
  <si>
    <t>863406074406559</t>
  </si>
  <si>
    <t>8985200015506383066F</t>
  </si>
  <si>
    <t>519110002370AAXXXNNK0063</t>
  </si>
  <si>
    <t>863406074405668</t>
  </si>
  <si>
    <t>8985200015506382381F</t>
  </si>
  <si>
    <t>519110002370AAXXXNNK0064</t>
  </si>
  <si>
    <t>863406074405106</t>
  </si>
  <si>
    <t>8985200015506381912F</t>
  </si>
  <si>
    <t>519110002370AAXXXNNK0065</t>
  </si>
  <si>
    <t>863406074406534</t>
  </si>
  <si>
    <t>8985200015506382480F</t>
  </si>
  <si>
    <t>519110002370AAXXXNNK0066</t>
  </si>
  <si>
    <t>863406074406260</t>
  </si>
  <si>
    <t>8985200015506382944F</t>
  </si>
  <si>
    <t>519110002370AAXXXNNK0067</t>
  </si>
  <si>
    <t>863406074405627</t>
  </si>
  <si>
    <t>8985200015506382332F</t>
  </si>
  <si>
    <t>519110002370AAXXXNNK0068</t>
  </si>
  <si>
    <t>863406074348850</t>
  </si>
  <si>
    <t>8985200015506382050F</t>
  </si>
  <si>
    <t>519110002370AAXXXNNK0069</t>
  </si>
  <si>
    <t>863406074406278</t>
  </si>
  <si>
    <t>8985200015506382399F</t>
  </si>
  <si>
    <t>519110002370AAXXXNNK0086</t>
  </si>
  <si>
    <t>863406074348736</t>
  </si>
  <si>
    <t>8985200015506381847F</t>
  </si>
  <si>
    <t>519110002370AAXXXNNK0087</t>
  </si>
  <si>
    <t>863406074406369</t>
  </si>
  <si>
    <t>8985200015506382472F</t>
  </si>
  <si>
    <t>519110002370AAXXXNNK0088</t>
  </si>
  <si>
    <t>863406074406492</t>
  </si>
  <si>
    <t>8985200015506382274F</t>
  </si>
  <si>
    <t>519110002370AAXXXNNK0089</t>
  </si>
  <si>
    <t>863406078299729</t>
  </si>
  <si>
    <t>8985200015506382936F</t>
  </si>
  <si>
    <t>519110002370AAXXXNNK0090</t>
  </si>
  <si>
    <t>863406074401493</t>
  </si>
  <si>
    <t>8985200015506383058F</t>
  </si>
  <si>
    <t>519110002370AAXXXNNK0093</t>
  </si>
  <si>
    <t>863406074401360</t>
  </si>
  <si>
    <t>8985200015506381672F</t>
  </si>
  <si>
    <t>519110002370AAXXXNNK0094</t>
  </si>
  <si>
    <t>863406074387726</t>
  </si>
  <si>
    <t>8985200015506382019F</t>
  </si>
  <si>
    <t>519110002370AAXXXNNK0095</t>
  </si>
  <si>
    <t>863406074405239</t>
  </si>
  <si>
    <t>8985200015506381680F</t>
  </si>
  <si>
    <t>519110002370AAXXXNNK0096</t>
  </si>
  <si>
    <t>863406074405189</t>
  </si>
  <si>
    <t>8985200015506382282F</t>
  </si>
  <si>
    <t>519110002370AAXXXNNK0097</t>
  </si>
  <si>
    <t>863406074406187</t>
  </si>
  <si>
    <t>8985200015506382324F</t>
  </si>
  <si>
    <t>519110002370AAXXXNNK0098</t>
  </si>
  <si>
    <t>863406074405254</t>
  </si>
  <si>
    <t>8985200015506381706F</t>
  </si>
  <si>
    <t>519110002370AAXXXNNK0099</t>
  </si>
  <si>
    <t>863406074406096</t>
  </si>
  <si>
    <t>8985200015506382100F</t>
  </si>
  <si>
    <t>519110002370AAXXXNNK0100</t>
  </si>
  <si>
    <t>863406074405288</t>
  </si>
  <si>
    <t>8985200015506381441F</t>
  </si>
  <si>
    <t>519110002370AAXXXNNK0101</t>
  </si>
  <si>
    <t>863406074406500</t>
  </si>
  <si>
    <t>8985200015506381979F</t>
  </si>
  <si>
    <t>519110002370AAXXXNNK0102</t>
  </si>
  <si>
    <t>863406074400453</t>
  </si>
  <si>
    <t>8985200015506383074F</t>
  </si>
  <si>
    <t>519110002370AAXXXNNK0105</t>
  </si>
  <si>
    <t>863406074391447</t>
  </si>
  <si>
    <t>8985200015506381565F</t>
  </si>
  <si>
    <t>519110002370AAXXXNNK0106</t>
  </si>
  <si>
    <t>863406078298705</t>
  </si>
  <si>
    <t>8985200015506382142F</t>
  </si>
  <si>
    <t>519110002370AAXXXNNK0107</t>
  </si>
  <si>
    <t>863406078298457</t>
  </si>
  <si>
    <t>8985200015506381938F</t>
  </si>
  <si>
    <t>519110002370AAXXXNNK0109</t>
  </si>
  <si>
    <t>863406074387791</t>
  </si>
  <si>
    <t>8985200015506381631F</t>
  </si>
  <si>
    <t>519110002370AAXXXNNK0110</t>
  </si>
  <si>
    <t>863406078297822</t>
  </si>
  <si>
    <t>8985200015506383108F</t>
  </si>
  <si>
    <t>519110002370AAXXXNNK0111</t>
  </si>
  <si>
    <t>863406078298556</t>
  </si>
  <si>
    <t>8985200015506381920F</t>
  </si>
  <si>
    <t>519110002370AAXXXNNK0112</t>
  </si>
  <si>
    <t>863406078297848</t>
  </si>
  <si>
    <t>8985200015506383017F</t>
  </si>
  <si>
    <t>519110002370AAXXXNNK0113</t>
  </si>
  <si>
    <t>863406074405395</t>
  </si>
  <si>
    <t>8985200015506382340F</t>
  </si>
  <si>
    <t>519110002370AAXXXNNK0114</t>
  </si>
  <si>
    <t>863406074400297</t>
  </si>
  <si>
    <t>8985200015506381607F</t>
  </si>
  <si>
    <t>519110002370AAXXXNNK0115</t>
  </si>
  <si>
    <t>863406078297962</t>
  </si>
  <si>
    <t>8985200015506382084F</t>
  </si>
  <si>
    <t>519110002370AAXXXNNK0116</t>
  </si>
  <si>
    <t>863406074400479</t>
  </si>
  <si>
    <t>8985200015506381623F</t>
  </si>
  <si>
    <t>519110002370AAXXXNNK0117</t>
  </si>
  <si>
    <t>863406074401659</t>
  </si>
  <si>
    <t>8985200015506382407F</t>
  </si>
  <si>
    <t>519110002370AAXXXNNK0118</t>
  </si>
  <si>
    <t>863406078298580</t>
  </si>
  <si>
    <t>8985200015506382191F</t>
  </si>
  <si>
    <t>519110002370AAXXXNNK0119</t>
  </si>
  <si>
    <t>863406078297905</t>
  </si>
  <si>
    <t>8985200015506381581F</t>
  </si>
  <si>
    <t>519110002370AAXXXNNK0120</t>
  </si>
  <si>
    <t>863406078298382</t>
  </si>
  <si>
    <t>8985200015506382449F</t>
  </si>
  <si>
    <t>519110002370AAXXXNNK0121</t>
  </si>
  <si>
    <t>863406078298432</t>
  </si>
  <si>
    <t>8985200015506381698F</t>
  </si>
  <si>
    <t>519110002370AAXXXNNK0122</t>
  </si>
  <si>
    <t>863406074406245</t>
  </si>
  <si>
    <t>8985200015506383009F</t>
  </si>
  <si>
    <t>519110002370AAXXXNNK0123</t>
  </si>
  <si>
    <t>863406074405353</t>
  </si>
  <si>
    <t>8985200015506381649F</t>
  </si>
  <si>
    <t>519110002370AAXXXNNK0124</t>
  </si>
  <si>
    <t>863406074404281</t>
  </si>
  <si>
    <t>8985200015506382431F</t>
  </si>
  <si>
    <t>519110002370AAXXXNNK0125</t>
  </si>
  <si>
    <t>863406074365904</t>
  </si>
  <si>
    <t>8985200015506382027F</t>
  </si>
  <si>
    <t>519110002370AAXXXNNK0126</t>
  </si>
  <si>
    <t>863406074400982</t>
  </si>
  <si>
    <t>8985200015506382415F</t>
  </si>
  <si>
    <t>519110002370AAXXXNNK0127</t>
  </si>
  <si>
    <t>863406074405155</t>
  </si>
  <si>
    <t>8985200015506382183F</t>
  </si>
  <si>
    <t>519110002370AAXXXNNK0128</t>
  </si>
  <si>
    <t>863406074405452</t>
  </si>
  <si>
    <t>8985200015506381854F</t>
  </si>
  <si>
    <t>519110002370AAXXXNNK0129</t>
  </si>
  <si>
    <t>863406074406468</t>
  </si>
  <si>
    <t>8985200015506381599F</t>
  </si>
  <si>
    <t>519110002370AAXXXNNK0130</t>
  </si>
  <si>
    <t>863406078296766</t>
  </si>
  <si>
    <t>8985200015506382985F</t>
  </si>
  <si>
    <t>519110002370AAXXXNNK0132</t>
  </si>
  <si>
    <t>863406078298697</t>
  </si>
  <si>
    <t>8985200015506382464F</t>
  </si>
  <si>
    <t>519110002370AAXXXSNK0005</t>
  </si>
  <si>
    <t>863406074403689</t>
  </si>
  <si>
    <t>8985200015506382118F</t>
  </si>
  <si>
    <t>519110002370AAXXXSNK0006</t>
  </si>
  <si>
    <t>863406074386777</t>
  </si>
  <si>
    <t>8985200015506381821F</t>
  </si>
  <si>
    <t>519110002370AAXXXSNK0007</t>
  </si>
  <si>
    <t>863406078295529</t>
  </si>
  <si>
    <t>8985200015506383090F</t>
  </si>
  <si>
    <t>519110002370AAXXXSNK0008</t>
  </si>
  <si>
    <t>863406078298374</t>
  </si>
  <si>
    <t>8985200015506382910F</t>
  </si>
  <si>
    <t>GREENWAY</t>
  </si>
  <si>
    <t>x</t>
  </si>
  <si>
    <t>A253AE0005501</t>
  </si>
  <si>
    <t>SAMPLE UNIT - IAN</t>
  </si>
  <si>
    <t>A253AE0005502</t>
  </si>
  <si>
    <t>SAMPLE UNIT</t>
  </si>
  <si>
    <t>2025Q4-01-BAT-NEXUS</t>
  </si>
  <si>
    <t>519110002370AAXXXLJL0567</t>
  </si>
  <si>
    <t>8985200015507055754F</t>
  </si>
  <si>
    <t>519110002370AAXXXLJL0490</t>
  </si>
  <si>
    <t>8985200015507055721F</t>
  </si>
  <si>
    <t>519110002370AAXXXLJL0591</t>
  </si>
  <si>
    <t>8985200015507055820F</t>
  </si>
  <si>
    <t>519110002370AAXXXLJL0313</t>
  </si>
  <si>
    <t>8985200015507055846F</t>
  </si>
  <si>
    <t>519110002370AAXXXLJL0317</t>
  </si>
  <si>
    <t>8985200015507055838F</t>
  </si>
  <si>
    <t>519110002370AAXXXLJL0319</t>
  </si>
  <si>
    <t>8985200015507055853F</t>
  </si>
  <si>
    <t>519110002370AAXXXLJL0400</t>
  </si>
  <si>
    <t>8985200015507057057F</t>
  </si>
  <si>
    <t>519110002370AAXXXLJL0510</t>
  </si>
  <si>
    <t>8985200015507057131F</t>
  </si>
  <si>
    <t>519110002370AAXXXLJL0511</t>
  </si>
  <si>
    <t>8985200015507057065F</t>
  </si>
  <si>
    <t>519110002370AAXXXLJL0316</t>
  </si>
  <si>
    <t>8985200015507055861F</t>
  </si>
  <si>
    <t>519110002370AAXXXLJL0525</t>
  </si>
  <si>
    <t>8985200015507056620F</t>
  </si>
  <si>
    <t>519110002370AAXXXLJL0526</t>
  </si>
  <si>
    <t>8985200015507056588F</t>
  </si>
  <si>
    <t>519110002370AAXXXLJL0528</t>
  </si>
  <si>
    <t>8985200015507056604F</t>
  </si>
  <si>
    <t>519110002370AAXXXLJL0532</t>
  </si>
  <si>
    <t>8985200015507056554F</t>
  </si>
  <si>
    <t>519110002370AAXXXLJL0512</t>
  </si>
  <si>
    <t>8985200015507056182F</t>
  </si>
  <si>
    <t>519110002370AAXXXLJL0515</t>
  </si>
  <si>
    <t>8985200015507056703F</t>
  </si>
  <si>
    <t>519110002370AAXXXLJL0263</t>
  </si>
  <si>
    <t>8985200015507056257F</t>
  </si>
  <si>
    <t>519110002370AAXXXLJL0377</t>
  </si>
  <si>
    <t>8985200015507057099F</t>
  </si>
  <si>
    <t>519110002370AAXXXLJL0385</t>
  </si>
  <si>
    <t>8985200015507056133F</t>
  </si>
  <si>
    <t>519110002370AAXXXLJL0269</t>
  </si>
  <si>
    <t>8985200015507057594F</t>
  </si>
  <si>
    <t>519110002370AAXXXLJL0596</t>
  </si>
  <si>
    <t>8985200015507057388F</t>
  </si>
  <si>
    <t>519110002370AAXXXLJL0549</t>
  </si>
  <si>
    <t>8985200015507057891F</t>
  </si>
  <si>
    <t>519110002370AAXXXLJL0550</t>
  </si>
  <si>
    <t>8985200015507057784F</t>
  </si>
  <si>
    <t>519110002370AAXXXLJL0563</t>
  </si>
  <si>
    <t>8985200015507057677F</t>
  </si>
  <si>
    <t>519110002370AAXXXLJL0347</t>
  </si>
  <si>
    <t>8985200015507057222F</t>
  </si>
  <si>
    <t>519110002370AAXXXLJL0409</t>
  </si>
  <si>
    <t>8985200015507057198F</t>
  </si>
  <si>
    <t>519110002370AAXXXLJL0413</t>
  </si>
  <si>
    <t>8985200015507057214F</t>
  </si>
  <si>
    <t>519110002370AAXXXLJL0434</t>
  </si>
  <si>
    <t>8985200015507058345F</t>
  </si>
  <si>
    <t>519110002370AAXXXLJL0437</t>
  </si>
  <si>
    <t>8985200015507058261F</t>
  </si>
  <si>
    <t>519110002370AAXXXLJL0564</t>
  </si>
  <si>
    <t>8985200015507057818F</t>
  </si>
  <si>
    <t>519110002370AAXXXLJL0569</t>
  </si>
  <si>
    <t>8985200015507057586F</t>
  </si>
  <si>
    <t>519110002370AAXXXLJL0573</t>
  </si>
  <si>
    <t>8985200015507056430F</t>
  </si>
  <si>
    <t>519110002370AAXXXLJL0458</t>
  </si>
  <si>
    <t>8985200015507055986F</t>
  </si>
  <si>
    <t>519110002370AAXXXLJL0576</t>
  </si>
  <si>
    <t>8985200015507055952F</t>
  </si>
  <si>
    <t>519110002370AAXXXLJL0470</t>
  </si>
  <si>
    <t>8985200015507056711F</t>
  </si>
  <si>
    <t>519110002370AAXXXLJL0268</t>
  </si>
  <si>
    <t>8985200015507056893F</t>
  </si>
  <si>
    <t>519110002370AAXXXLJL0587</t>
  </si>
  <si>
    <t>8985200015507058733F</t>
  </si>
  <si>
    <t>519110002370AAXXXLJL0472</t>
  </si>
  <si>
    <t>8985200015507058766F</t>
  </si>
  <si>
    <t>519110002370AAXXXLJL0279</t>
  </si>
  <si>
    <t>8985200015507058493F</t>
  </si>
  <si>
    <t>519110002370AAXXXLJL0288</t>
  </si>
  <si>
    <t>8985200015507058519F</t>
  </si>
  <si>
    <t>519110002370AAXXXLJL0486</t>
  </si>
  <si>
    <t>8985200015507059103F</t>
  </si>
  <si>
    <t>519110002370AAXXXLJL0485</t>
  </si>
  <si>
    <t>8985200015507058394F</t>
  </si>
  <si>
    <t>519110002370AAXXXLJL0479</t>
  </si>
  <si>
    <t>8985200015507058386F</t>
  </si>
  <si>
    <t>519110002370AAXXXLJL0370</t>
  </si>
  <si>
    <t>8985200015507058485F</t>
  </si>
  <si>
    <t>519110002370AAXXXLJL0465</t>
  </si>
  <si>
    <t>8985200015507056851F</t>
  </si>
  <si>
    <t>519110002370AAXXXLJL0487</t>
  </si>
  <si>
    <t>8985200015507057982F</t>
  </si>
  <si>
    <t>519110002370AAXXXLJL0588</t>
  </si>
  <si>
    <t>8985200015507058857F</t>
  </si>
  <si>
    <t>519110002370AAXXXLJL0213</t>
  </si>
  <si>
    <t>8985200015507059590F</t>
  </si>
  <si>
    <t>519110002370AAXXXLJL0208</t>
  </si>
  <si>
    <t>8985200015507059665F</t>
  </si>
  <si>
    <t>519110002370AAXXXLJL0176</t>
  </si>
  <si>
    <t>8985200015507059871F</t>
  </si>
  <si>
    <t>519110002370AAXXXLJL0033</t>
  </si>
  <si>
    <t>8985200015507056786F</t>
  </si>
  <si>
    <t>519110002370AAXXXLJL0207</t>
  </si>
  <si>
    <t>8985200015507059772F</t>
  </si>
  <si>
    <t>519110002370AAXXXLJL0162</t>
  </si>
  <si>
    <t>8985200015507059939F</t>
  </si>
  <si>
    <t>519110002370AAXXXLJL0017</t>
  </si>
  <si>
    <t>8985200015507060093F</t>
  </si>
  <si>
    <t>519110002370AAXXXLJL0011</t>
  </si>
  <si>
    <t>8985200015507059723F</t>
  </si>
  <si>
    <t>519110002370AAXXXLJL0156</t>
  </si>
  <si>
    <t>8985200015507059293F</t>
  </si>
  <si>
    <t>519110002370AAXXXLJL0083</t>
  </si>
  <si>
    <t>8985200015507059426F</t>
  </si>
  <si>
    <t>519110002370AAXXXLJL0179</t>
  </si>
  <si>
    <t>8985200015507059475F</t>
  </si>
  <si>
    <t>519110002370AAXXXLJL0082</t>
  </si>
  <si>
    <t>8985200015507059244F</t>
  </si>
  <si>
    <t>519110002370AAXXXLJL0061</t>
  </si>
  <si>
    <t>8985200015507059384F</t>
  </si>
  <si>
    <t>519110002370AAXXXLJL0060</t>
  </si>
  <si>
    <t>8985200015507060390F</t>
  </si>
  <si>
    <t>519110002370AAXXXLJL0038</t>
  </si>
  <si>
    <t>8985200015507060382F</t>
  </si>
  <si>
    <t>519110002370AAXXXLJL0070</t>
  </si>
  <si>
    <t>8985200015507059434F</t>
  </si>
  <si>
    <t>519110002370AAXXXLJL0049</t>
  </si>
  <si>
    <t>8985200015507060325F</t>
  </si>
  <si>
    <t>519110002370AAXXXLJL0095</t>
  </si>
  <si>
    <t>8985200015507060515F</t>
  </si>
  <si>
    <t>519110002370AAXXXLJL0250</t>
  </si>
  <si>
    <t>8985200015507060309F</t>
  </si>
  <si>
    <t>519110002370AAXXXLJL0113</t>
  </si>
  <si>
    <t>8985200015507053312F</t>
  </si>
  <si>
    <t>519110002370AAXXXLJL0138</t>
  </si>
  <si>
    <t>8985200015507053478F</t>
  </si>
  <si>
    <t>519110002370AAXXXLJL0139</t>
  </si>
  <si>
    <t>8985200015507054013F</t>
  </si>
  <si>
    <t>519110002370AAXXXLJL0137</t>
  </si>
  <si>
    <t>8985200015507053304F</t>
  </si>
  <si>
    <t>519110002370AAXXXLJL0216</t>
  </si>
  <si>
    <t>8985200015507054336F</t>
  </si>
  <si>
    <t>519110002370AAXXXLJL0228</t>
  </si>
  <si>
    <t>8985200015507053981F</t>
  </si>
  <si>
    <t>519110002370AAXXXLJL0235</t>
  </si>
  <si>
    <t>8985200015507054195F</t>
  </si>
  <si>
    <t>519110002370AAXXXLJL0234</t>
  </si>
  <si>
    <t>8985200015507054187F</t>
  </si>
  <si>
    <t>519110002370AAXXXLJL0243</t>
  </si>
  <si>
    <t>8985200015507054419F</t>
  </si>
  <si>
    <t>519110002370AAXXXLJL0193</t>
  </si>
  <si>
    <t>8985200015507054393F</t>
  </si>
  <si>
    <t>519110002370AAXXXLJL0248</t>
  </si>
  <si>
    <t>8985200015507054427F</t>
  </si>
  <si>
    <t>519110002370AAXXXNJL0188</t>
  </si>
  <si>
    <t>8985200015507055085F</t>
  </si>
  <si>
    <t>519110002370AAXXXNJL0197</t>
  </si>
  <si>
    <t>8985200015507053767F</t>
  </si>
  <si>
    <t>519110002370AAXXXNJL0173</t>
  </si>
  <si>
    <t>8985200015507055119F</t>
  </si>
  <si>
    <t>519110002370AAXXXNJL0169</t>
  </si>
  <si>
    <t>8985200015507054997F</t>
  </si>
  <si>
    <t>519110002370AAXXXNJL0151</t>
  </si>
  <si>
    <t>8985200015507054559F</t>
  </si>
  <si>
    <t>519110002370AAXXXLJL0597</t>
  </si>
  <si>
    <t>8985200015507056380F</t>
  </si>
  <si>
    <t>519110002370AAXXXLJL0494</t>
  </si>
  <si>
    <t>8985200015507055770F</t>
  </si>
  <si>
    <t>519110002370AAXXXLJL0492</t>
  </si>
  <si>
    <t>8985200015507055788F</t>
  </si>
  <si>
    <t>519110002370AAXXXLJL0404</t>
  </si>
  <si>
    <t>8985200015507056687F</t>
  </si>
  <si>
    <t>519110002370AAXXXLJL0392</t>
  </si>
  <si>
    <t>8985200015507055879F</t>
  </si>
  <si>
    <t>519110002370AAXXXLJL0517</t>
  </si>
  <si>
    <t>8985200015507056190F</t>
  </si>
  <si>
    <t>519110002370AAXXXLJL0381</t>
  </si>
  <si>
    <t>8985200015507056356F</t>
  </si>
  <si>
    <t>519110002370AAXXXLJL0271</t>
  </si>
  <si>
    <t>8985200015507057511F</t>
  </si>
  <si>
    <t>519110002370AAXXXLJL0274</t>
  </si>
  <si>
    <t>8985200015507057529F</t>
  </si>
  <si>
    <t>519110002370AAXXXLJL0507</t>
  </si>
  <si>
    <t>8985200015507057875F</t>
  </si>
  <si>
    <t>519110002370AAXXXLJL0546</t>
  </si>
  <si>
    <t>8985200015507057883F</t>
  </si>
  <si>
    <t>519110002370AAXXXLJL0547</t>
  </si>
  <si>
    <t>8985200015507057909F</t>
  </si>
  <si>
    <t>519110002370AAXXXLJL0560</t>
  </si>
  <si>
    <t>8985200015507057693F</t>
  </si>
  <si>
    <t>519110002370AAXXXLJL0421</t>
  </si>
  <si>
    <t>8985200015507057248F</t>
  </si>
  <si>
    <t>519110002370AAXXXLJL0435</t>
  </si>
  <si>
    <t>8985200015507058329F</t>
  </si>
  <si>
    <t>519110002370AAXXXLJL0558</t>
  </si>
  <si>
    <t>8985200015507058360F</t>
  </si>
  <si>
    <t>519110002370AAXXXLJL0431</t>
  </si>
  <si>
    <t>8985200015507058287F</t>
  </si>
  <si>
    <t>519110002370AAXXXLJL0462</t>
  </si>
  <si>
    <t>8985200015507055960F</t>
  </si>
  <si>
    <t>519110002370AAXXXLJL0463</t>
  </si>
  <si>
    <t>8985200015507056802F</t>
  </si>
  <si>
    <t>519110002370AAXXXLJL0582</t>
  </si>
  <si>
    <t>8985200015507058832F</t>
  </si>
  <si>
    <t>519110002370AAXXXLJL0356</t>
  </si>
  <si>
    <t>8985200015507058170F</t>
  </si>
  <si>
    <t>519110002370AAXXXLJL0352</t>
  </si>
  <si>
    <t>8985200015507059087F</t>
  </si>
  <si>
    <t>519110002370AAXXXLJL0311</t>
  </si>
  <si>
    <t>8985200015507056737F</t>
  </si>
  <si>
    <t>519110002370AAXXXLJL0310</t>
  </si>
  <si>
    <t>8985200015507058931F</t>
  </si>
  <si>
    <t>519110002370AAXXXLJL0294</t>
  </si>
  <si>
    <t>8985200015507057727F</t>
  </si>
  <si>
    <t>519110002370AAXXXLJL0287</t>
  </si>
  <si>
    <t>8985200015507058469F</t>
  </si>
  <si>
    <t>519110002370AAXXXLJL0284</t>
  </si>
  <si>
    <t>8985200015507058410F</t>
  </si>
  <si>
    <t>519110002370AAXXXLJL0276</t>
  </si>
  <si>
    <t>8985200015507059095F</t>
  </si>
  <si>
    <t>519110002370AAXXXLJL0480</t>
  </si>
  <si>
    <t>8985200015507059038F</t>
  </si>
  <si>
    <t>519110002370AAXXXLJL0335</t>
  </si>
  <si>
    <t>8985200015507059269F</t>
  </si>
  <si>
    <t>519110002370AAXXXLJL0469</t>
  </si>
  <si>
    <t>8985200015507056901F</t>
  </si>
  <si>
    <t>519110002370AAXXXLJL0589</t>
  </si>
  <si>
    <t>8985200015507059012F</t>
  </si>
  <si>
    <t>519110002370AAXXXLJL0197</t>
  </si>
  <si>
    <t>8985200015507059756F</t>
  </si>
  <si>
    <t>519110002370AAXXXLJL0146</t>
  </si>
  <si>
    <t>8985200015507059418F</t>
  </si>
  <si>
    <t>519110002370AAXXXLJL0154</t>
  </si>
  <si>
    <t>8985200015507059863F</t>
  </si>
  <si>
    <t>519110002370AAXXXLJL0175</t>
  </si>
  <si>
    <t>8985200015507059806F</t>
  </si>
  <si>
    <t>519110002370AAXXXLJL0026</t>
  </si>
  <si>
    <t>8985200015507060010F</t>
  </si>
  <si>
    <t>519110002370AAXXXLJL0022</t>
  </si>
  <si>
    <t>8985200015507060077F</t>
  </si>
  <si>
    <t>519110002370AAXXXLJL0167</t>
  </si>
  <si>
    <t>8985200015507058212F</t>
  </si>
  <si>
    <t>519110002370AAXXXLJL0171</t>
  </si>
  <si>
    <t>8985200015507058238F</t>
  </si>
  <si>
    <t>519110002370AAXXXLJL0194</t>
  </si>
  <si>
    <t>8985200015507059491F</t>
  </si>
  <si>
    <t>519110002370AAXXXLJL0157</t>
  </si>
  <si>
    <t>8985200015507058188F</t>
  </si>
  <si>
    <t>519110002370AAXXXLJL0085</t>
  </si>
  <si>
    <t>8985200015507059459F</t>
  </si>
  <si>
    <t>519110002370AAXXXLJL0178</t>
  </si>
  <si>
    <t>8985200015507059814F</t>
  </si>
  <si>
    <t>519110002370AAXXXLJL0043</t>
  </si>
  <si>
    <t>8985200015507060275F</t>
  </si>
  <si>
    <t>519110002370AAXXXLJL0112</t>
  </si>
  <si>
    <t>8985200015507059897F</t>
  </si>
  <si>
    <t>519110002370AAXXXLJL0101</t>
  </si>
  <si>
    <t>8985200015507060192F</t>
  </si>
  <si>
    <t>519110002370AAXXXLJL0099</t>
  </si>
  <si>
    <t>8985200015507059780F</t>
  </si>
  <si>
    <t>519110002370AAXXXLJL0093</t>
  </si>
  <si>
    <t>8985200015507053361F</t>
  </si>
  <si>
    <t>519110002370AAXXXLJL0089</t>
  </si>
  <si>
    <t>8985200015507053338F</t>
  </si>
  <si>
    <t>519110002370AAXXXLJL0247</t>
  </si>
  <si>
    <t>8985200015507053270F</t>
  </si>
  <si>
    <t>519110002370AAXXXLJL0221</t>
  </si>
  <si>
    <t>8985200015507054237F</t>
  </si>
  <si>
    <t>519110002370AAXXXLJL0575</t>
  </si>
  <si>
    <t>8985200015507056414F</t>
  </si>
  <si>
    <t>519110002370AAXXXLJL0226</t>
  </si>
  <si>
    <t>8985200015507054179F</t>
  </si>
  <si>
    <t>519110002370AAXXXLJL0242</t>
  </si>
  <si>
    <t>8985200015507054385F</t>
  </si>
  <si>
    <t>519110002370AAXXXLJL0126</t>
  </si>
  <si>
    <t>8985200015507053825F</t>
  </si>
  <si>
    <t>519110002370AAXXXLJL0189</t>
  </si>
  <si>
    <t>8985200015507053882F</t>
  </si>
  <si>
    <t>519110002370AAXXXLJL0185</t>
  </si>
  <si>
    <t>8985200015507053940F</t>
  </si>
  <si>
    <t>519110002370AAXXXLJL0123</t>
  </si>
  <si>
    <t>8985200015507053551F</t>
  </si>
  <si>
    <t>519110002370AAXXXNJL0201</t>
  </si>
  <si>
    <t>8985200015507053627F</t>
  </si>
  <si>
    <t>519110002370AAXXXNJL0198</t>
  </si>
  <si>
    <t>8985200015507055259F</t>
  </si>
  <si>
    <t>519110002370AAXXXNJL0193</t>
  </si>
  <si>
    <t>8985200015507055242F</t>
  </si>
  <si>
    <t>519110002370AAXXXNJL0190</t>
  </si>
  <si>
    <t>8985200015507055069F</t>
  </si>
  <si>
    <t>519110002370AAXXXNJL0189</t>
  </si>
  <si>
    <t>8985200015507055010F</t>
  </si>
  <si>
    <t>519110002370AAXXXNJL0164</t>
  </si>
  <si>
    <t>8985200015507054963F</t>
  </si>
  <si>
    <t>519110002370AAXXXNJL0166</t>
  </si>
  <si>
    <t>8985200015507055044F</t>
  </si>
  <si>
    <t>519110002370AAXXXNJL0150</t>
  </si>
  <si>
    <t>8985200015507053742F</t>
  </si>
  <si>
    <t>519110002370AAXXXNJL0148</t>
  </si>
  <si>
    <t>8985200015507054252F</t>
  </si>
  <si>
    <t>519110002370AAXXXLJL0559</t>
  </si>
  <si>
    <t>8985200015507054575F</t>
  </si>
  <si>
    <t>519110002370AAXXXNJL0146</t>
  </si>
  <si>
    <t>8985200015507054542F</t>
  </si>
  <si>
    <t>519110002370AAXXXNJL0162</t>
  </si>
  <si>
    <t>8985200015507054567F</t>
  </si>
  <si>
    <t>519110002370AAXXXNJL0160</t>
  </si>
  <si>
    <t>8985200015507054849F</t>
  </si>
  <si>
    <t>519110002370AAXXXNJL0135</t>
  </si>
  <si>
    <t>8985200015507054823F</t>
  </si>
  <si>
    <t>519110002370AAXXXNJL0137</t>
  </si>
  <si>
    <t>8985200015507054815F</t>
  </si>
  <si>
    <t>519110002370AAXXXNJL0133</t>
  </si>
  <si>
    <t>8985200015507054807F</t>
  </si>
  <si>
    <t>519110002370AAXXXNJL0119</t>
  </si>
  <si>
    <t>8985200015507054708F</t>
  </si>
  <si>
    <t>519110002370AAXXXNJL0117</t>
  </si>
  <si>
    <t>8985200015507054716F</t>
  </si>
  <si>
    <t>519110002370AAXXXNJL0087</t>
  </si>
  <si>
    <t>8985200015507053221F</t>
  </si>
  <si>
    <t>519110002370AAXXXNJL0072</t>
  </si>
  <si>
    <t>8985200015507060556F</t>
  </si>
  <si>
    <t>519110002370AAXXXNJL0091</t>
  </si>
  <si>
    <t>8985200015507060523F</t>
  </si>
  <si>
    <t>519110002370AAXXXNJL0061</t>
  </si>
  <si>
    <t>8985200015507056943F</t>
  </si>
  <si>
    <t>519110002370AAXXXNJL0059</t>
  </si>
  <si>
    <t>8985200015507058147F</t>
  </si>
  <si>
    <t>519110002370AAXXXLJL0481</t>
  </si>
  <si>
    <t>8985200015507056422F</t>
  </si>
  <si>
    <t>519110002370AAXXXLJL0401</t>
  </si>
  <si>
    <t>8985200015507056539F</t>
  </si>
  <si>
    <t>519110002370AAXXXLJL0405</t>
  </si>
  <si>
    <t>8985200015507057081F</t>
  </si>
  <si>
    <t>519110002370AAXXXLJL0312</t>
  </si>
  <si>
    <t>8985200015507055812F</t>
  </si>
  <si>
    <t>519110002370AAXXXLJL0508</t>
  </si>
  <si>
    <t>8985200015507057107F</t>
  </si>
  <si>
    <t>519110002370AAXXXLJL0513</t>
  </si>
  <si>
    <t>8985200015507056695F</t>
  </si>
  <si>
    <t>519110002370AAXXXLJL0503</t>
  </si>
  <si>
    <t>8985200015507057032F</t>
  </si>
  <si>
    <t>519110002370AAXXXLJL0262</t>
  </si>
  <si>
    <t>8985200015507056216F</t>
  </si>
  <si>
    <t>519110002370AAXXXLJL0520</t>
  </si>
  <si>
    <t>8985200015507056307F</t>
  </si>
  <si>
    <t>519110002370AAXXXLJL0371</t>
  </si>
  <si>
    <t>8985200015507056042F</t>
  </si>
  <si>
    <t>519110002370AAXXXLJL0599</t>
  </si>
  <si>
    <t>8985200015507057925F</t>
  </si>
  <si>
    <t>519110002370AAXXXLJL0572</t>
  </si>
  <si>
    <t>8985200015507057651F</t>
  </si>
  <si>
    <t>519110002370AAXXXLJL0411</t>
  </si>
  <si>
    <t>8985200015507057180F</t>
  </si>
  <si>
    <t>519110002370AAXXXLJL0412</t>
  </si>
  <si>
    <t>8985200015507058246F</t>
  </si>
  <si>
    <t>519110002370AAXXXLJL0414</t>
  </si>
  <si>
    <t>8985200015507056455F</t>
  </si>
  <si>
    <t>519110002370AAXXXLJL0498</t>
  </si>
  <si>
    <t>8985200015507057776F</t>
  </si>
  <si>
    <t>519110002370AAXXXLJL0448</t>
  </si>
  <si>
    <t>8985200015507058972F</t>
  </si>
  <si>
    <t>519110002370AAXXXLJL0453</t>
  </si>
  <si>
    <t>8985200015507055937F</t>
  </si>
  <si>
    <t>519110002370AAXXXLJL0571</t>
  </si>
  <si>
    <t>8985200015507057560F</t>
  </si>
  <si>
    <t>519110002370AAXXXLJL0578</t>
  </si>
  <si>
    <t>8985200015507058758F</t>
  </si>
  <si>
    <t>519110002370AAXXXLJL0579</t>
  </si>
  <si>
    <t>8985200015507058725F</t>
  </si>
  <si>
    <t>519110002370AAXXXLJL0427</t>
  </si>
  <si>
    <t>8985200015507056877F</t>
  </si>
  <si>
    <t>519110002370AAXXXLJL0361</t>
  </si>
  <si>
    <t>8985200015507058907F</t>
  </si>
  <si>
    <t>519110002370AAXXXLJL0362</t>
  </si>
  <si>
    <t>8985200015507058840F</t>
  </si>
  <si>
    <t>519110002370AAXXXLJL0351</t>
  </si>
  <si>
    <t>8985200015507059145F</t>
  </si>
  <si>
    <t>519110002370AAXXXLJL0308</t>
  </si>
  <si>
    <t>8985200015507058659F</t>
  </si>
  <si>
    <t>519110002370AAXXXLJL0304</t>
  </si>
  <si>
    <t>8985200015507058667F</t>
  </si>
  <si>
    <t>519110002370AAXXXLJL0302</t>
  </si>
  <si>
    <t>8985200015507058626F</t>
  </si>
  <si>
    <t>519110002370AAXXXLJL0299</t>
  </si>
  <si>
    <t>8985200015507059004F</t>
  </si>
  <si>
    <t>519110002370AAXXXLJL0298</t>
  </si>
  <si>
    <t>8985200015507059079F</t>
  </si>
  <si>
    <t>519110002370AAXXXLJL0286</t>
  </si>
  <si>
    <t>8985200015507058576F</t>
  </si>
  <si>
    <t>519110002370AAXXXLJL0283</t>
  </si>
  <si>
    <t>8985200015507058501F</t>
  </si>
  <si>
    <t>519110002370AAXXXLJL0282</t>
  </si>
  <si>
    <t>8985200015507058428F</t>
  </si>
  <si>
    <t>519110002370AAXXXLJL0280</t>
  </si>
  <si>
    <t>8985200015507058444F</t>
  </si>
  <si>
    <t>519110002370AAXXXLJL0281</t>
  </si>
  <si>
    <t>8985200015507056745F</t>
  </si>
  <si>
    <t>519110002370AAXXXLJL0277</t>
  </si>
  <si>
    <t>8985200015507058402F</t>
  </si>
  <si>
    <t>519110002370AAXXXLJL0477</t>
  </si>
  <si>
    <t>8985200015507058477F</t>
  </si>
  <si>
    <t>519110002370AAXXXLJL0332</t>
  </si>
  <si>
    <t>8985200015507057990F</t>
  </si>
  <si>
    <t>519110002370AAXXXLJL0326</t>
  </si>
  <si>
    <t>8985200015507058022F</t>
  </si>
  <si>
    <t>519110002370AAXXXLJL0199</t>
  </si>
  <si>
    <t>8985200015507058949F</t>
  </si>
  <si>
    <t>519110002370AAXXXLJL0148</t>
  </si>
  <si>
    <t>8985200015507059582F</t>
  </si>
  <si>
    <t>519110002370AAXXXLJL0177</t>
  </si>
  <si>
    <t>8985200015507059855F</t>
  </si>
  <si>
    <t>519110002370AAXXXLJL0164</t>
  </si>
  <si>
    <t>8985200015507059848F</t>
  </si>
  <si>
    <t>519110002370AAXXXLJL0165</t>
  </si>
  <si>
    <t>8985200015507059988F</t>
  </si>
  <si>
    <t>519110002370AAXXXLJL0035</t>
  </si>
  <si>
    <t>8985200015507059715F</t>
  </si>
  <si>
    <t>519110002370AAXXXLJL0036</t>
  </si>
  <si>
    <t>8985200015507059830F</t>
  </si>
  <si>
    <t>519110002370AAXXXLJL0024</t>
  </si>
  <si>
    <t>8985200015507059954F</t>
  </si>
  <si>
    <t>519110002370AAXXXLJL0018</t>
  </si>
  <si>
    <t>8985200015507059335F</t>
  </si>
  <si>
    <t>519110002370AAXXXLJL0046</t>
  </si>
  <si>
    <t>8985200015507060119F</t>
  </si>
  <si>
    <t>519110002370AAXXXLJL0174</t>
  </si>
  <si>
    <t>8985200015507059558F</t>
  </si>
  <si>
    <t>519110002370AAXXXLJL0150</t>
  </si>
  <si>
    <t>8985200015507059541F</t>
  </si>
  <si>
    <t>519110002370AAXXXLJL0155</t>
  </si>
  <si>
    <t>8985200015507059533F</t>
  </si>
  <si>
    <t>519110002370AAXXXLJL0206</t>
  </si>
  <si>
    <t>8985200015507055887F</t>
  </si>
  <si>
    <t>519110002370AAXXXLJL0063</t>
  </si>
  <si>
    <t>8985200015507060267F</t>
  </si>
  <si>
    <t>519110002370AAXXXLJL0106</t>
  </si>
  <si>
    <t>8985200015507060242F</t>
  </si>
  <si>
    <t>519110002370AAXXXLJL0108</t>
  </si>
  <si>
    <t>8985200015507059889F</t>
  </si>
  <si>
    <t>519110002370AAXXXLJL0044</t>
  </si>
  <si>
    <t>8985200015507058816F</t>
  </si>
  <si>
    <t>519110002370AAXXXLJL0096</t>
  </si>
  <si>
    <t>8985200015507060663F</t>
  </si>
  <si>
    <t>519110002370AAXXXLJL0092</t>
  </si>
  <si>
    <t>8985200015507053346F</t>
  </si>
  <si>
    <t>519110002370AAXXXLJL0249</t>
  </si>
  <si>
    <t>8985200015507053288F</t>
  </si>
  <si>
    <t>519110002370AAXXXLJL0233</t>
  </si>
  <si>
    <t>8985200015507054005F</t>
  </si>
  <si>
    <t>519110002370AAXXXLJL0211</t>
  </si>
  <si>
    <t>8985200015507053999F</t>
  </si>
  <si>
    <t>519110002370AAXXXLJL0251</t>
  </si>
  <si>
    <t>8985200015507053726F</t>
  </si>
  <si>
    <t>519110002370AAXXXLJL0240</t>
  </si>
  <si>
    <t>8985200015507054401F</t>
  </si>
  <si>
    <t>519110002370AAXXXLJL0122</t>
  </si>
  <si>
    <t>8985200015507053601F</t>
  </si>
  <si>
    <t>519110002370AAXXXLJL0183</t>
  </si>
  <si>
    <t>8985200015507053957F</t>
  </si>
  <si>
    <t>519110002370AAXXXLJL0120</t>
  </si>
  <si>
    <t>8985200015507053619F</t>
  </si>
  <si>
    <t>519110002370AAXXXLJL0116</t>
  </si>
  <si>
    <t>8985200015507053486F</t>
  </si>
  <si>
    <t>519110002370AAXXXNJL0213</t>
  </si>
  <si>
    <t>8985200015507053452F</t>
  </si>
  <si>
    <t>519110002370AAXXXNJL0204</t>
  </si>
  <si>
    <t>8985200015507053924F</t>
  </si>
  <si>
    <t>519110002370AAXXXNJL0199</t>
  </si>
  <si>
    <t>8985200015507053676F</t>
  </si>
  <si>
    <t>519110002370AAXXXNJL0192</t>
  </si>
  <si>
    <t>8985200015507055234F</t>
  </si>
  <si>
    <t>519110002370AAXXXNJL0187</t>
  </si>
  <si>
    <t>8985200015507053783F</t>
  </si>
  <si>
    <t>519110002370AAXXXNJL0180</t>
  </si>
  <si>
    <t>8985200015507055200F</t>
  </si>
  <si>
    <t>519110002370AAXXXNJL0181</t>
  </si>
  <si>
    <t>8985200015507055184F</t>
  </si>
  <si>
    <t>519110002370AAXXXNJL0177</t>
  </si>
  <si>
    <t>8985200015507055143F</t>
  </si>
  <si>
    <t>519110002370AAXXXNJL0171</t>
  </si>
  <si>
    <t>8985200015507055036F</t>
  </si>
  <si>
    <t>519110002370AAXXXNJL0156</t>
  </si>
  <si>
    <t>8985200015507054278F</t>
  </si>
  <si>
    <t>519110002370AAXXXLJL0252</t>
  </si>
  <si>
    <t>8985200015507054518F</t>
  </si>
  <si>
    <t>519110002370AAXXXNJL0144</t>
  </si>
  <si>
    <t>8985200015507054534F</t>
  </si>
  <si>
    <t>519110002370AAXXXNJL0129</t>
  </si>
  <si>
    <t>8985200015507054799F</t>
  </si>
  <si>
    <t>519110002370AAXXXNJL0124</t>
  </si>
  <si>
    <t>8985200015507054625F</t>
  </si>
  <si>
    <t>519110002370AAXXXLJL0593</t>
  </si>
  <si>
    <t>8985200015507057123F</t>
  </si>
  <si>
    <t>519110002370AAXXXLJL0489</t>
  </si>
  <si>
    <t>8985200015507055713F</t>
  </si>
  <si>
    <t>519110002370AAXXXLJL0491</t>
  </si>
  <si>
    <t>8985200015507055739F</t>
  </si>
  <si>
    <t>519110002370AAXXXLJL0493</t>
  </si>
  <si>
    <t>8985200015507055747F</t>
  </si>
  <si>
    <t>519110002370AAXXXLJL0259</t>
  </si>
  <si>
    <t>8985200015507055762F</t>
  </si>
  <si>
    <t>519110002370AAXXXLJL0402</t>
  </si>
  <si>
    <t>8985200015507057149F</t>
  </si>
  <si>
    <t>519110002370AAXXXLJL0514</t>
  </si>
  <si>
    <t>8985200015507057073F</t>
  </si>
  <si>
    <t>519110002370AAXXXLJL0519</t>
  </si>
  <si>
    <t>8985200015507057040F</t>
  </si>
  <si>
    <t>519110002370AAXXXLJL0407</t>
  </si>
  <si>
    <t>8985200015507057156F</t>
  </si>
  <si>
    <t>519110002370AAXXXLJL0536</t>
  </si>
  <si>
    <t>8985200015507057008F</t>
  </si>
  <si>
    <t>519110002370AAXXXLJL0541</t>
  </si>
  <si>
    <t>8985200015507056489F</t>
  </si>
  <si>
    <t>519110002370AAXXXLJL0374</t>
  </si>
  <si>
    <t>8985200015507056117F</t>
  </si>
  <si>
    <t>519110002370AAXXXLJL0375</t>
  </si>
  <si>
    <t>8985200015507056125F</t>
  </si>
  <si>
    <t>519110002370AAXXXLJL0345</t>
  </si>
  <si>
    <t>8985200015507057420F</t>
  </si>
  <si>
    <t>519110002370AAXXXLJL0343</t>
  </si>
  <si>
    <t>8985200015507057487F</t>
  </si>
  <si>
    <t>519110002370AAXXXLJL0338</t>
  </si>
  <si>
    <t>8985200015507057412F</t>
  </si>
  <si>
    <t>519110002370AAXXXLJL0501</t>
  </si>
  <si>
    <t>8985200015507057842F</t>
  </si>
  <si>
    <t>519110002370AAXXXLJL0506</t>
  </si>
  <si>
    <t>8985200015507057800F</t>
  </si>
  <si>
    <t>519110002370AAXXXLJL0552</t>
  </si>
  <si>
    <t>8985200015507057735F</t>
  </si>
  <si>
    <t>519110002370AAXXXLJL0410</t>
  </si>
  <si>
    <t>8985200015507056174F</t>
  </si>
  <si>
    <t>519110002370AAXXXLJL0441</t>
  </si>
  <si>
    <t>8985200015507056752F</t>
  </si>
  <si>
    <t>519110002370AAXXXLJL0444</t>
  </si>
  <si>
    <t>8985200015507056760F</t>
  </si>
  <si>
    <t>519110002370AAXXXLJL0445</t>
  </si>
  <si>
    <t>8985200015507056448F</t>
  </si>
  <si>
    <t>519110002370AAXXXLJL0456</t>
  </si>
  <si>
    <t>8985200015507056471F</t>
  </si>
  <si>
    <t>519110002370AAXXXLJL0461</t>
  </si>
  <si>
    <t>8985200015507056067F</t>
  </si>
  <si>
    <t>519110002370AAXXXLJL0466</t>
  </si>
  <si>
    <t>8985200015507056828F</t>
  </si>
  <si>
    <t>519110002370AAXXXLJL0358</t>
  </si>
  <si>
    <t>8985200015507056919F</t>
  </si>
  <si>
    <t>519110002370AAXXXLJL0354</t>
  </si>
  <si>
    <t>8985200015507059020F</t>
  </si>
  <si>
    <t>519110002370AAXXXLJL0295</t>
  </si>
  <si>
    <t>8985200015507057552F</t>
  </si>
  <si>
    <t>519110002370AAXXXLJL0289</t>
  </si>
  <si>
    <t>8985200015507058592F</t>
  </si>
  <si>
    <t>519110002370AAXXXLJL0278</t>
  </si>
  <si>
    <t>8985200015507059111F</t>
  </si>
  <si>
    <t>519110002370AAXXXLJL0037</t>
  </si>
  <si>
    <t>8985200015507059822F</t>
  </si>
  <si>
    <t>519110002370AAXXXLJL0004</t>
  </si>
  <si>
    <t>8985200015507059996F</t>
  </si>
  <si>
    <t>519110002370AAXXXLJL0005</t>
  </si>
  <si>
    <t>8985200015507059970F</t>
  </si>
  <si>
    <t>519110002370AAXXXLJL0006</t>
  </si>
  <si>
    <t>8985200015507059905F</t>
  </si>
  <si>
    <t>519110002370AAXXXLJL0015</t>
  </si>
  <si>
    <t>8985200015507059343F</t>
  </si>
  <si>
    <t>519110002370AAXXXLJL0008</t>
  </si>
  <si>
    <t>8985200015507060101F</t>
  </si>
  <si>
    <t>519110002370AAXXXLJL0025</t>
  </si>
  <si>
    <t>8985200015507059962F</t>
  </si>
  <si>
    <t>519110002370AAXXXLJL0071</t>
  </si>
  <si>
    <t>8985200015507058980F</t>
  </si>
  <si>
    <t>519110002370AAXXXLJL0054</t>
  </si>
  <si>
    <t>8985200015507059566F</t>
  </si>
  <si>
    <t>519110002370AAXXXLJL0062</t>
  </si>
  <si>
    <t>8985200015507060424F</t>
  </si>
  <si>
    <t>519110002370AAXXXLJL0047</t>
  </si>
  <si>
    <t>8985200015507060283F</t>
  </si>
  <si>
    <t>519110002370AAXXXLJL0039</t>
  </si>
  <si>
    <t>8985200015507060408F</t>
  </si>
  <si>
    <t>519110002370AAXXXLJL0109</t>
  </si>
  <si>
    <t>8985200015507060200F</t>
  </si>
  <si>
    <t>519110002370AAXXXLJL0086</t>
  </si>
  <si>
    <t>8985200015507053296F</t>
  </si>
  <si>
    <t>519110002370AAXXXLJL0133</t>
  </si>
  <si>
    <t>8985200015507054039F</t>
  </si>
  <si>
    <t>519110002370AAXXXLJL0231</t>
  </si>
  <si>
    <t>8985200015507054047F</t>
  </si>
  <si>
    <t>519110002370AAXXXLJL0232</t>
  </si>
  <si>
    <t>8985200015507054344F</t>
  </si>
  <si>
    <t>519110002370AAXXXLJL0215</t>
  </si>
  <si>
    <t>8985200015507054351F</t>
  </si>
  <si>
    <t>519110002370AAXXXLJL0220</t>
  </si>
  <si>
    <t>8985200015507054211F</t>
  </si>
  <si>
    <t>519110002370AAXXXLJL0237</t>
  </si>
  <si>
    <t>8985200015507053684F</t>
  </si>
  <si>
    <t>519110002370AAXXXLJL0128</t>
  </si>
  <si>
    <t>8985200015507054161F</t>
  </si>
  <si>
    <t>519110002370AAXXXLJL0190</t>
  </si>
  <si>
    <t>8985200015507053908F</t>
  </si>
  <si>
    <t>519110002370AAXXXLJL0188</t>
  </si>
  <si>
    <t>8985200015507053932F</t>
  </si>
  <si>
    <t>519110002370AAXXXLJL0184</t>
  </si>
  <si>
    <t>8985200015507053965F</t>
  </si>
  <si>
    <t>519110002370AAXXXNJL0212</t>
  </si>
  <si>
    <t>8985200015507053635F</t>
  </si>
  <si>
    <t>519110002370AAXXXNJL0209</t>
  </si>
  <si>
    <t>8985200015507053759F</t>
  </si>
  <si>
    <t>519110002370AAXXXNJL0194</t>
  </si>
  <si>
    <t>8985200015507055218F</t>
  </si>
  <si>
    <t>519110002370AAXXXNJL0183</t>
  </si>
  <si>
    <t>8985200015507055192F</t>
  </si>
  <si>
    <t>519110002370AAXXXNJL0175</t>
  </si>
  <si>
    <t>8985200015507055135F</t>
  </si>
  <si>
    <t>519110002370AAXXXNJL0174</t>
  </si>
  <si>
    <t>8985200015507055150F</t>
  </si>
  <si>
    <t>519110002370AAXXXNJL0167</t>
  </si>
  <si>
    <t>8985200015507054989F</t>
  </si>
  <si>
    <t>519110002370AAXXXNJL0158</t>
  </si>
  <si>
    <t>8985200015507054955F</t>
  </si>
  <si>
    <t>519110002370AAXXXNJL0153</t>
  </si>
  <si>
    <t>8985200015507054310F</t>
  </si>
  <si>
    <t>519110002370AAXXXNJL0141</t>
  </si>
  <si>
    <t>8985200015507054294F</t>
  </si>
  <si>
    <t>519110002370AAXXXNJL0128</t>
  </si>
  <si>
    <t>8985200015507054732F</t>
  </si>
  <si>
    <t>519110002370AAXXXNJL0127</t>
  </si>
  <si>
    <t>8985200015507054781F</t>
  </si>
  <si>
    <t>519110002370AAXXXNJL0125</t>
  </si>
  <si>
    <t>8985200015507054724F</t>
  </si>
  <si>
    <t>519110002370AAXXXNJL0126</t>
  </si>
  <si>
    <t>8985200015507054831F</t>
  </si>
  <si>
    <t>519110002370AAXXXNJL0122</t>
  </si>
  <si>
    <t>8985200015507054617F</t>
  </si>
  <si>
    <t>519110002370AAXXXNJL0114</t>
  </si>
  <si>
    <t>8985200015507054757F</t>
  </si>
  <si>
    <t>519110002370AAXXXNJL0112</t>
  </si>
  <si>
    <t>8985200015507054666F</t>
  </si>
  <si>
    <t>519110002370AAXXXNJL0105</t>
  </si>
  <si>
    <t>8985200015507055507F</t>
  </si>
  <si>
    <t>519110002370AAXXXNJL0103</t>
  </si>
  <si>
    <t>8985200015507055549F</t>
  </si>
  <si>
    <t>519110002370AAXXXNJL0066</t>
  </si>
  <si>
    <t>8985200015507060465F</t>
  </si>
  <si>
    <t>519110002370AAXXXNJL0064</t>
  </si>
  <si>
    <t>8985200015507056927F</t>
  </si>
  <si>
    <t>519110002370AAXXXNJL0136</t>
  </si>
  <si>
    <t>8985200015507054765F</t>
  </si>
  <si>
    <t>519110002370AAXXXNJL0058</t>
  </si>
  <si>
    <t>8985200015507058154F</t>
  </si>
  <si>
    <t>519110002370AAXXXLJL0592</t>
  </si>
  <si>
    <t>8985200015507057172F</t>
  </si>
  <si>
    <t>519110002370AAXXXLJL0590</t>
  </si>
  <si>
    <t>8985200015507055796F</t>
  </si>
  <si>
    <t>519110002370AAXXXLJL0394</t>
  </si>
  <si>
    <t>8985200015507056323F</t>
  </si>
  <si>
    <t>519110002370AAXXXLJL0265</t>
  </si>
  <si>
    <t>8985200015507057230F</t>
  </si>
  <si>
    <t>519110002370AAXXXLJL0518</t>
  </si>
  <si>
    <t>8985200015507056315F</t>
  </si>
  <si>
    <t>519110002370AAXXXLJL0384</t>
  </si>
  <si>
    <t>8985200015507056000F</t>
  </si>
  <si>
    <t>519110002370AAXXXLJL0379</t>
  </si>
  <si>
    <t>8985200015507056281F</t>
  </si>
  <si>
    <t>519110002370AAXXXLJL0372</t>
  </si>
  <si>
    <t>8985200015507056018F</t>
  </si>
  <si>
    <t>519110002370AAXXXLJL0366</t>
  </si>
  <si>
    <t>8985200015507056109F</t>
  </si>
  <si>
    <t>519110002370AAXXXLJL0342</t>
  </si>
  <si>
    <t>8985200015507057362F</t>
  </si>
  <si>
    <t>519110002370AAXXXLJL0267</t>
  </si>
  <si>
    <t>8985200015507057479F</t>
  </si>
  <si>
    <t>519110002370AAXXXLJL0339</t>
  </si>
  <si>
    <t>8985200015507057537F</t>
  </si>
  <si>
    <t>519110002370AAXXXLJL0336</t>
  </si>
  <si>
    <t>8985200015507057461F</t>
  </si>
  <si>
    <t>519110002370AAXXXLJL0344</t>
  </si>
  <si>
    <t>8985200015507057339F</t>
  </si>
  <si>
    <t>519110002370AAXXXLJL0272</t>
  </si>
  <si>
    <t>8985200015507057610F</t>
  </si>
  <si>
    <t>519110002370AAXXXLJL0601</t>
  </si>
  <si>
    <t>8985200015507057917F</t>
  </si>
  <si>
    <t>519110002370AAXXXLJL0502</t>
  </si>
  <si>
    <t>8985200015507057834F</t>
  </si>
  <si>
    <t>519110002370AAXXXLJL0543</t>
  </si>
  <si>
    <t>8985200015507057859F</t>
  </si>
  <si>
    <t>519110002370AAXXXLJL0545</t>
  </si>
  <si>
    <t>8985200015507057719F</t>
  </si>
  <si>
    <t>519110002370AAXXXLJL0556</t>
  </si>
  <si>
    <t>8985200015507057701F</t>
  </si>
  <si>
    <t>519110002370AAXXXLJL0566</t>
  </si>
  <si>
    <t>8985200015507057636F</t>
  </si>
  <si>
    <t>519110002370AAXXXLJL0548</t>
  </si>
  <si>
    <t>8985200015507057933F</t>
  </si>
  <si>
    <t>519110002370AAXXXLJL0562</t>
  </si>
  <si>
    <t>8985200015507057578F</t>
  </si>
  <si>
    <t>519110002370AAXXXLJL0419</t>
  </si>
  <si>
    <t>8985200015507057206F</t>
  </si>
  <si>
    <t>519110002370AAXXXLJL0424</t>
  </si>
  <si>
    <t>8985200015507057313F</t>
  </si>
  <si>
    <t>519110002370AAXXXLJL0428</t>
  </si>
  <si>
    <t>8985200015507058717F</t>
  </si>
  <si>
    <t>519110002370AAXXXLJL0422</t>
  </si>
  <si>
    <t>8985200015507057305F</t>
  </si>
  <si>
    <t>519110002370AAXXXLJL0417</t>
  </si>
  <si>
    <t>8985200015507057255F</t>
  </si>
  <si>
    <t>519110002370AAXXXLJL0443</t>
  </si>
  <si>
    <t>8985200015507058253F</t>
  </si>
  <si>
    <t>519110002370AAXXXLJL0415</t>
  </si>
  <si>
    <t>8985200015507058535F</t>
  </si>
  <si>
    <t>519110002370AAXXXLJL0430</t>
  </si>
  <si>
    <t>8985200015507057297F</t>
  </si>
  <si>
    <t>519110002370AAXXXLJL0450</t>
  </si>
  <si>
    <t>8985200015507059061F</t>
  </si>
  <si>
    <t>519110002370AAXXXLJL0452</t>
  </si>
  <si>
    <t>8985200015507058964F</t>
  </si>
  <si>
    <t>519110002370AAXXXLJL0449</t>
  </si>
  <si>
    <t>8985200015507058774F</t>
  </si>
  <si>
    <t>519110002370AAXXXLJL0471</t>
  </si>
  <si>
    <t>8985200015507056885F</t>
  </si>
  <si>
    <t>519110002370AAXXXLJL0349</t>
  </si>
  <si>
    <t>8985200015507058881F</t>
  </si>
  <si>
    <t>519110002370AAXXXLJL0468</t>
  </si>
  <si>
    <t>8985200015507056836F</t>
  </si>
  <si>
    <t>519110002370AAXXXLJL0389</t>
  </si>
  <si>
    <t>8985200015507058808F</t>
  </si>
  <si>
    <t>519110002370AAXXXLJL0357</t>
  </si>
  <si>
    <t>8985200015507058683F</t>
  </si>
  <si>
    <t>519110002370AAXXXLJL0353</t>
  </si>
  <si>
    <t>8985200015507059137F</t>
  </si>
  <si>
    <t>519110002370AAXXXLJL0551</t>
  </si>
  <si>
    <t>8985200015507058378F</t>
  </si>
  <si>
    <t>519110002370AAXXXLJL0309</t>
  </si>
  <si>
    <t>8985200015507056778F</t>
  </si>
  <si>
    <t>519110002370AAXXXLJL0306</t>
  </si>
  <si>
    <t>8985200015507058600F</t>
  </si>
  <si>
    <t>519110002370AAXXXLJL0290</t>
  </si>
  <si>
    <t>8985200015507058584F</t>
  </si>
  <si>
    <t>519110002370AAXXXLJL0285</t>
  </si>
  <si>
    <t>8985200015507058436F</t>
  </si>
  <si>
    <t>519110002370AAXXXLJL0337</t>
  </si>
  <si>
    <t>8985200015507057016F</t>
  </si>
  <si>
    <t>519110002370AAXXXLJL0478</t>
  </si>
  <si>
    <t>8985200015507059129F</t>
  </si>
  <si>
    <t>519110002370AAXXXLJL0475</t>
  </si>
  <si>
    <t>8985200015507058451F</t>
  </si>
  <si>
    <t>519110002370AAXXXLJL0333</t>
  </si>
  <si>
    <t>8985200015507057974F</t>
  </si>
  <si>
    <t>519110002370AAXXXLJL0324</t>
  </si>
  <si>
    <t>8985200015507058030F</t>
  </si>
  <si>
    <t>519110002370AAXXXLJL0328</t>
  </si>
  <si>
    <t>8985200015507058071F</t>
  </si>
  <si>
    <t>519110002370AAXXXLJL0521</t>
  </si>
  <si>
    <t>8985200015507058089F</t>
  </si>
  <si>
    <t>519110002370AAXXXLJL0322</t>
  </si>
  <si>
    <t>8985200015507055911F</t>
  </si>
  <si>
    <t>519110002370AAXXXLJL0200</t>
  </si>
  <si>
    <t>8985200015507058097F</t>
  </si>
  <si>
    <t>519110002370AAXXXLJL0195</t>
  </si>
  <si>
    <t>8985200015507055903F</t>
  </si>
  <si>
    <t>519110002370AAXXXLJL0149</t>
  </si>
  <si>
    <t>8985200015507059574F</t>
  </si>
  <si>
    <t>519110002370AAXXXLJL0029</t>
  </si>
  <si>
    <t>8985200015507059699F</t>
  </si>
  <si>
    <t>519110002370AAXXXLJL0034</t>
  </si>
  <si>
    <t>8985200015507060069F</t>
  </si>
  <si>
    <t>519110002370AAXXXLJL0161</t>
  </si>
  <si>
    <t>8985200015507060036F</t>
  </si>
  <si>
    <t>519110002370AAXXXLJL0166</t>
  </si>
  <si>
    <t>8985200015507059947F</t>
  </si>
  <si>
    <t>519110002370AAXXXLJL0169</t>
  </si>
  <si>
    <t>8985200015507059319F</t>
  </si>
  <si>
    <t>519110002370AAXXXLJL0080</t>
  </si>
  <si>
    <t>8985200015507058956F</t>
  </si>
  <si>
    <t>519110002370AAXXXLJL0057</t>
  </si>
  <si>
    <t>8985200015507059657F</t>
  </si>
  <si>
    <t>519110002370AAXXXLJL0069</t>
  </si>
  <si>
    <t>8985200015507059616F</t>
  </si>
  <si>
    <t>519110002370AAXXXLJL0584</t>
  </si>
  <si>
    <t>8985200015507058063F</t>
  </si>
  <si>
    <t>519110002370AAXXXLJL0065</t>
  </si>
  <si>
    <t>8985200015507059210F</t>
  </si>
  <si>
    <t>519110002370AAXXXLJL0073</t>
  </si>
  <si>
    <t>8985200015507059251F</t>
  </si>
  <si>
    <t>519110002370AAXXXLJL0074</t>
  </si>
  <si>
    <t>8985200015507055895F</t>
  </si>
  <si>
    <t>519110002370AAXXXLJL0045</t>
  </si>
  <si>
    <t>8985200015507060317F</t>
  </si>
  <si>
    <t>519110002370AAXXXLJL0111</t>
  </si>
  <si>
    <t>8985200015507060333F</t>
  </si>
  <si>
    <t>519110002370AAXXXLJL0066</t>
  </si>
  <si>
    <t>8985200015507060614F</t>
  </si>
  <si>
    <t>519110002370AAXXXLJL0077</t>
  </si>
  <si>
    <t>8985200015507059681F</t>
  </si>
  <si>
    <t>519110002370AAXXXLJL0100</t>
  </si>
  <si>
    <t>8985200015507060218F</t>
  </si>
  <si>
    <t>519110002370AAXXXLJL0098</t>
  </si>
  <si>
    <t>8985200015507060648F</t>
  </si>
  <si>
    <t>519110002370AAXXXLJL0255</t>
  </si>
  <si>
    <t>8985200015507053239F</t>
  </si>
  <si>
    <t>519110002370AAXXXLJL0094</t>
  </si>
  <si>
    <t>8985200015507060234F</t>
  </si>
  <si>
    <t>519110002370AAXXXLJL0090</t>
  </si>
  <si>
    <t>8985200015507060150F</t>
  </si>
  <si>
    <t>519110002370AAXXXLJL0135</t>
  </si>
  <si>
    <t>8985200015507053262F</t>
  </si>
  <si>
    <t>519110002370AAXXXLJL0229</t>
  </si>
  <si>
    <t>8985200015507054054F</t>
  </si>
  <si>
    <t>519110002370AAXXXLJL0230</t>
  </si>
  <si>
    <t>8985200015507053973F</t>
  </si>
  <si>
    <t>519110002370AAXXXLJL0212</t>
  </si>
  <si>
    <t>8985200015507054328F</t>
  </si>
  <si>
    <t>519110002370AAXXXLJL0214</t>
  </si>
  <si>
    <t>8985200015507054369F</t>
  </si>
  <si>
    <t>519110002370AAXXXLJL0204</t>
  </si>
  <si>
    <t>8985200015507059608F</t>
  </si>
  <si>
    <t>519110002370AAXXXLJL0594</t>
  </si>
  <si>
    <t>8985200015507056372F</t>
  </si>
  <si>
    <t>519110002370AAXXXLJL0595</t>
  </si>
  <si>
    <t>8985200015507056398F</t>
  </si>
  <si>
    <t>519110002370AAXXXLJL0604</t>
  </si>
  <si>
    <t>8985200015507056406F</t>
  </si>
  <si>
    <t>519110002370AAXXXLJL0315</t>
  </si>
  <si>
    <t>8985200015507055804F</t>
  </si>
  <si>
    <t>519110002370AAXXXLJL0391</t>
  </si>
  <si>
    <t>8985200015507056232F</t>
  </si>
  <si>
    <t>519110002370AAXXXLJL0535</t>
  </si>
  <si>
    <t>8985200015507056570F</t>
  </si>
  <si>
    <t>519110002370AAXXXLJL0530</t>
  </si>
  <si>
    <t>8985200015507056562F</t>
  </si>
  <si>
    <t>519110002370AAXXXLJL0533</t>
  </si>
  <si>
    <t>8985200015507056497F</t>
  </si>
  <si>
    <t>519110002370AAXXXLJL0264</t>
  </si>
  <si>
    <t>8985200015507056273F</t>
  </si>
  <si>
    <t>519110002370AAXXXLJL0373</t>
  </si>
  <si>
    <t>8985200015507055929F</t>
  </si>
  <si>
    <t>519110002370AAXXXLJL0390</t>
  </si>
  <si>
    <t>8985200015507056059F</t>
  </si>
  <si>
    <t>519110002370AAXXXLJL0376</t>
  </si>
  <si>
    <t>8985200015507056075F</t>
  </si>
  <si>
    <t>519110002370AAXXXLJL0382</t>
  </si>
  <si>
    <t>8985200015507056158F</t>
  </si>
  <si>
    <t>519110002370AAXXXLJL0386</t>
  </si>
  <si>
    <t>8985200015507056141F</t>
  </si>
  <si>
    <t>519110002370AAXXXLJL0350</t>
  </si>
  <si>
    <t>8985200015507057438F</t>
  </si>
  <si>
    <t>519110002370AAXXXLJL0388</t>
  </si>
  <si>
    <t>8985200015507057453F</t>
  </si>
  <si>
    <t>519110002370AAXXXLJL0340</t>
  </si>
  <si>
    <t>8985200015507057370F</t>
  </si>
  <si>
    <t>519110002370AAXXXLJL0398</t>
  </si>
  <si>
    <t>8985200015507057164F</t>
  </si>
  <si>
    <t>519110002370AAXXXLJL0346</t>
  </si>
  <si>
    <t>8985200015507057396F</t>
  </si>
  <si>
    <t>519110002370AAXXXLJL0368</t>
  </si>
  <si>
    <t>8985200015507056984F</t>
  </si>
  <si>
    <t>519110002370AAXXXLJL0275</t>
  </si>
  <si>
    <t>8985200015507057644F</t>
  </si>
  <si>
    <t>519110002370AAXXXLJL0603</t>
  </si>
  <si>
    <t>8985200015507057404F</t>
  </si>
  <si>
    <t>519110002370AAXXXLJL0499</t>
  </si>
  <si>
    <t>8985200015507057826F</t>
  </si>
  <si>
    <t>519110002370AAXXXLJL0420</t>
  </si>
  <si>
    <t>8985200015507058543F</t>
  </si>
  <si>
    <t>519110002370AAXXXLJL0429</t>
  </si>
  <si>
    <t>8985200015507057271F</t>
  </si>
  <si>
    <t>519110002370AAXXXLJL0423</t>
  </si>
  <si>
    <t>8985200015507057263F</t>
  </si>
  <si>
    <t>519110002370AAXXXLJL0436</t>
  </si>
  <si>
    <t>8985200015507058337F</t>
  </si>
  <si>
    <t>519110002370AAXXXLJL0438</t>
  </si>
  <si>
    <t>8985200015507058311F</t>
  </si>
  <si>
    <t>519110002370AAXXXLJL0440</t>
  </si>
  <si>
    <t>8985200015507057321F</t>
  </si>
  <si>
    <t>519110002370AAXXXLJL0442</t>
  </si>
  <si>
    <t>8985200015507058295F</t>
  </si>
  <si>
    <t>519110002370AAXXXLJL0553</t>
  </si>
  <si>
    <t>8985200015507057669F</t>
  </si>
  <si>
    <t>519110002370AAXXXLJL0455</t>
  </si>
  <si>
    <t>8985200015507055945F</t>
  </si>
  <si>
    <t>519110002370AAXXXLJL0457</t>
  </si>
  <si>
    <t>8985200015507059046F</t>
  </si>
  <si>
    <t>519110002370AAXXXLJL0577</t>
  </si>
  <si>
    <t>8985200015507058782F</t>
  </si>
  <si>
    <t>519110002370AAXXXLJL0464</t>
  </si>
  <si>
    <t>8985200015507056729F</t>
  </si>
  <si>
    <t>519110002370AAXXXLJL0403</t>
  </si>
  <si>
    <t>8985200015507058865F</t>
  </si>
  <si>
    <t>519110002370AAXXXLJL0583</t>
  </si>
  <si>
    <t>8985200015507058790F</t>
  </si>
  <si>
    <t>519110002370AAXXXLJL0586</t>
  </si>
  <si>
    <t>8985200015507058741F</t>
  </si>
  <si>
    <t>519110002370AAXXXLJL0348</t>
  </si>
  <si>
    <t>8985200015507058899F</t>
  </si>
  <si>
    <t>519110002370AAXXXLJL0585</t>
  </si>
  <si>
    <t>8985200015507058675F</t>
  </si>
  <si>
    <t>519110002370AAXXXLJL0570</t>
  </si>
  <si>
    <t>8985200015507056794F</t>
  </si>
  <si>
    <t>519110002370AAXXXLJL0483</t>
  </si>
  <si>
    <t>8985200015507057347F</t>
  </si>
  <si>
    <t>519110002370AAXXXLJL0482</t>
  </si>
  <si>
    <t>8985200015507059285F</t>
  </si>
  <si>
    <t>519110002370AAXXXLJL0305</t>
  </si>
  <si>
    <t>8985200015507058709F</t>
  </si>
  <si>
    <t>519110002370AAXXXLJL0297</t>
  </si>
  <si>
    <t>8985200015507058691F</t>
  </si>
  <si>
    <t>519110002370AAXXXLJL0293</t>
  </si>
  <si>
    <t>8985200015507057743F</t>
  </si>
  <si>
    <t>519110002370AAXXXLJL0369</t>
  </si>
  <si>
    <t>8985200015507058527F</t>
  </si>
  <si>
    <t>519110002370AAXXXLJL0334</t>
  </si>
  <si>
    <t>8985200015507059178F</t>
  </si>
  <si>
    <t>519110002370AAXXXLJL0330</t>
  </si>
  <si>
    <t>8985200015507058014F</t>
  </si>
  <si>
    <t>519110002370AAXXXLJL0329</t>
  </si>
  <si>
    <t>8985200015507058006F</t>
  </si>
  <si>
    <t>519110002370AAXXXLJL0323</t>
  </si>
  <si>
    <t>8985200015507059194F</t>
  </si>
  <si>
    <t>519110002370AAXXXLJL0327</t>
  </si>
  <si>
    <t>8985200015507058055F</t>
  </si>
  <si>
    <t>519110002370AAXXXLJL0196</t>
  </si>
  <si>
    <t>8985200015507059749F</t>
  </si>
  <si>
    <t>519110002370AAXXXLJL0209</t>
  </si>
  <si>
    <t>8985200015507059673F</t>
  </si>
  <si>
    <t>519110002370AAXXXLJL0158</t>
  </si>
  <si>
    <t>8985200015507059442F</t>
  </si>
  <si>
    <t>519110002370AAXXXLJL0160</t>
  </si>
  <si>
    <t>8985200015507059707F</t>
  </si>
  <si>
    <t>519110002370AAXXXLJL0153</t>
  </si>
  <si>
    <t>8985200015507059301F</t>
  </si>
  <si>
    <t>519110002370AAXXXLJL0163</t>
  </si>
  <si>
    <t>8985200015507059798F</t>
  </si>
  <si>
    <t>519110002370AAXXXLJL0010</t>
  </si>
  <si>
    <t>8985200015507059921F</t>
  </si>
  <si>
    <t>519110002370AAXXXLJL0159</t>
  </si>
  <si>
    <t>8985200015507059483F</t>
  </si>
  <si>
    <t>519110002370AAXXXLJL0172</t>
  </si>
  <si>
    <t>8985200015507058204F</t>
  </si>
  <si>
    <t>519110002370AAXXXLJL0151</t>
  </si>
  <si>
    <t>8985200015507059509F</t>
  </si>
  <si>
    <t>519110002370AAXXXLJL0058</t>
  </si>
  <si>
    <t>8985200015507059392F</t>
  </si>
  <si>
    <t>519110002370AAXXXLJL0078</t>
  </si>
  <si>
    <t>8985200015507059327F</t>
  </si>
  <si>
    <t>519110002370AAXXXLJL0014</t>
  </si>
  <si>
    <t>8985200015507059517F</t>
  </si>
  <si>
    <t>519110002370AAXXXLJL0053</t>
  </si>
  <si>
    <t>8985200015507059236F</t>
  </si>
  <si>
    <t>519110002370AAXXXLJL0067</t>
  </si>
  <si>
    <t>8985200015507059376F</t>
  </si>
  <si>
    <t>519110002370AAXXXLJL0068</t>
  </si>
  <si>
    <t>8985200015507060259F</t>
  </si>
  <si>
    <t>519110002370AAXXXLJL0075</t>
  </si>
  <si>
    <t>8985200015507060358F</t>
  </si>
  <si>
    <t>519110002370AAXXXLJL0041</t>
  </si>
  <si>
    <t>8985200015507060291F</t>
  </si>
  <si>
    <t>519110002370AAXXXLJL0105</t>
  </si>
  <si>
    <t>8985200015507060168F</t>
  </si>
  <si>
    <t>519110002370AAXXXLJL0223</t>
  </si>
  <si>
    <t>8985200015507053254F</t>
  </si>
  <si>
    <t>519110002370AAXXXLJL0219</t>
  </si>
  <si>
    <t>8985200015507054229F</t>
  </si>
  <si>
    <t>519110002370AAXXXLJL0238</t>
  </si>
  <si>
    <t>8985200015507053700F</t>
  </si>
  <si>
    <t>519110002370AAXXXLJL0241</t>
  </si>
  <si>
    <t>8985200015507054070F</t>
  </si>
  <si>
    <t>519110002370AAXXXLJL0118</t>
  </si>
  <si>
    <t>8985200015507054146F</t>
  </si>
  <si>
    <t>519110002370AAXXXLJL0182</t>
  </si>
  <si>
    <t>8985200015507054138F</t>
  </si>
  <si>
    <t>519110002370AAXXXLJL0143</t>
  </si>
  <si>
    <t>8985200015507053585F</t>
  </si>
  <si>
    <t>519110002370AAXXXLJL0119</t>
  </si>
  <si>
    <t>8985200015507053502F</t>
  </si>
  <si>
    <t>519110002370AAXXXLJL0256</t>
  </si>
  <si>
    <t>8985200015507053643F</t>
  </si>
  <si>
    <t>519110002370AAXXXNJL0211</t>
  </si>
  <si>
    <t>8985200015507053437F</t>
  </si>
  <si>
    <t>519110002370AAXXXNJL0203</t>
  </si>
  <si>
    <t>8985200015507053536F</t>
  </si>
  <si>
    <t>519110002370AAXXXLJL0396</t>
  </si>
  <si>
    <t>8985200015507056521F</t>
  </si>
  <si>
    <t>519110002370AAXXXLJL0397</t>
  </si>
  <si>
    <t>8985200015507056661F</t>
  </si>
  <si>
    <t>519110002370AAXXXLJL0522</t>
  </si>
  <si>
    <t>8985200015507056638F</t>
  </si>
  <si>
    <t>519110002370AAXXXLJL0524</t>
  </si>
  <si>
    <t>8985200015507056612F</t>
  </si>
  <si>
    <t>519110002370AAXXXLJL0527</t>
  </si>
  <si>
    <t>8985200015507056646F</t>
  </si>
  <si>
    <t>519110002370AAXXXLJL0529</t>
  </si>
  <si>
    <t>8985200015507056596F</t>
  </si>
  <si>
    <t>519110002370AAXXXLJL0534</t>
  </si>
  <si>
    <t>8985200015507056547F</t>
  </si>
  <si>
    <t>519110002370AAXXXLJL0395</t>
  </si>
  <si>
    <t>8985200015507056224F</t>
  </si>
  <si>
    <t>519110002370AAXXXLJL0261</t>
  </si>
  <si>
    <t>8985200015507056265F</t>
  </si>
  <si>
    <t>519110002370AAXXXLJL0260</t>
  </si>
  <si>
    <t>8985200015507056349F</t>
  </si>
  <si>
    <t>519110002370AAXXXLJL0380</t>
  </si>
  <si>
    <t>8985200015507056331F</t>
  </si>
  <si>
    <t>519110002370AAXXXLJL0378</t>
  </si>
  <si>
    <t>8985200015507056026F</t>
  </si>
  <si>
    <t>519110002370AAXXXLJL0387</t>
  </si>
  <si>
    <t>8985200015507056166F</t>
  </si>
  <si>
    <t>519110002370AAXXXLJL0365</t>
  </si>
  <si>
    <t>8985200015507057495F</t>
  </si>
  <si>
    <t>519110002370AAXXXLJL0270</t>
  </si>
  <si>
    <t>8985200015507057602F</t>
  </si>
  <si>
    <t>519110002370AAXXXLJL0500</t>
  </si>
  <si>
    <t>8985200015507057503F</t>
  </si>
  <si>
    <t>519110002370AAXXXLJL0555</t>
  </si>
  <si>
    <t>8985200015507057867F</t>
  </si>
  <si>
    <t>519110002370AAXXXLJL0557</t>
  </si>
  <si>
    <t>8985200015507057685F</t>
  </si>
  <si>
    <t>519110002370AAXXXLJL0568</t>
  </si>
  <si>
    <t>8985200015507058121F</t>
  </si>
  <si>
    <t>519110002370AAXXXLJL0408</t>
  </si>
  <si>
    <t>8985200015507057628F</t>
  </si>
  <si>
    <t>519110002370AAXXXLJL0432</t>
  </si>
  <si>
    <t>8985200015507058303F</t>
  </si>
  <si>
    <t>519110002370AAXXXLJL0439</t>
  </si>
  <si>
    <t>8985200015507058352F</t>
  </si>
  <si>
    <t>519110002370AAXXXLJL0447</t>
  </si>
  <si>
    <t>8985200015507059053F</t>
  </si>
  <si>
    <t>519110002370AAXXXLJL0454</t>
  </si>
  <si>
    <t>8985200015507055671F</t>
  </si>
  <si>
    <t>519110002370AAXXXLJL0574</t>
  </si>
  <si>
    <t>8985200015507055978F</t>
  </si>
  <si>
    <t>519110002370AAXXXLJL0467</t>
  </si>
  <si>
    <t>8985200015507056844F</t>
  </si>
  <si>
    <t>519110002370AAXXXLJL0425</t>
  </si>
  <si>
    <t>8985200015507056869F</t>
  </si>
  <si>
    <t>519110002370AAXXXLJL0360</t>
  </si>
  <si>
    <t>8985200015507058915F</t>
  </si>
  <si>
    <t>519110002370AAXXXLJL0355</t>
  </si>
  <si>
    <t>8985200015507058162F</t>
  </si>
  <si>
    <t>519110002370AAXXXLJL0307</t>
  </si>
  <si>
    <t>8985200015507058634F</t>
  </si>
  <si>
    <t>519110002370AAXXXLJL0474</t>
  </si>
  <si>
    <t>8985200015507059152F</t>
  </si>
  <si>
    <t>519110002370AAXXXLJL0581</t>
  </si>
  <si>
    <t>8985200015507059186F</t>
  </si>
  <si>
    <t>519110002370AAXXXLJL0210</t>
  </si>
  <si>
    <t>8985200015507059764F</t>
  </si>
  <si>
    <t>519110002370AAXXXLJL0218</t>
  </si>
  <si>
    <t>8985200015507059632F</t>
  </si>
  <si>
    <t>519110002370AAXXXLJL0147</t>
  </si>
  <si>
    <t>8985200015507059350F</t>
  </si>
  <si>
    <t>519110002370AAXXXLJL0027</t>
  </si>
  <si>
    <t>8985200015507060135F</t>
  </si>
  <si>
    <t>519110002370AAXXXLJL0030</t>
  </si>
  <si>
    <t>8985200015507060143F</t>
  </si>
  <si>
    <t>519110002370AAXXXLJL0020</t>
  </si>
  <si>
    <t>8985200015507060044F</t>
  </si>
  <si>
    <t>519110002370AAXXXLJL0019</t>
  </si>
  <si>
    <t>8985200015507060051F</t>
  </si>
  <si>
    <t>519110002370AAXXXLJL0152</t>
  </si>
  <si>
    <t>8985200015507059525F</t>
  </si>
  <si>
    <t>519110002370AAXXXLJL0168</t>
  </si>
  <si>
    <t>8985200015507059731F</t>
  </si>
  <si>
    <t>519110002370AAXXXLJL0201</t>
  </si>
  <si>
    <t>8985200015507058196F</t>
  </si>
  <si>
    <t>519110002370AAXXXLJL0021</t>
  </si>
  <si>
    <t>8985200015507060028F</t>
  </si>
  <si>
    <t>519110002370AAXXXLJL0072</t>
  </si>
  <si>
    <t>8985200015507059202F</t>
  </si>
  <si>
    <t>519110002370AAXXXLJL0056</t>
  </si>
  <si>
    <t>8985200015507058923F</t>
  </si>
  <si>
    <t>519110002370AAXXXLJL0205</t>
  </si>
  <si>
    <t>8985200015507059640F</t>
  </si>
  <si>
    <t>519110002370AAXXXLJL0028</t>
  </si>
  <si>
    <t>8985200015507060127F</t>
  </si>
  <si>
    <t>519110002370AAXXXLJL0052</t>
  </si>
  <si>
    <t>8985200015507060432F</t>
  </si>
  <si>
    <t>519110002370AAXXXLJL0042</t>
  </si>
  <si>
    <t>8985200015507060366F</t>
  </si>
  <si>
    <t>519110002370AAXXXLJL0079</t>
  </si>
  <si>
    <t>8985200015507060622F</t>
  </si>
  <si>
    <t>519110002370AAXXXLJL0104</t>
  </si>
  <si>
    <t>8985200015507060457F</t>
  </si>
  <si>
    <t>519110002370AAXXXLJL0064</t>
  </si>
  <si>
    <t>8985200015507060606F</t>
  </si>
  <si>
    <t>519110002370AAXXXLJL0103</t>
  </si>
  <si>
    <t>8985200015507060184F</t>
  </si>
  <si>
    <t>519110002370AAXXXLJL0142</t>
  </si>
  <si>
    <t>8985200015507053320F</t>
  </si>
  <si>
    <t>519110002370AAXXXLJL0136</t>
  </si>
  <si>
    <t>8985200015507054021F</t>
  </si>
  <si>
    <t>519110002370AAXXXLJL0459</t>
  </si>
  <si>
    <t>8985200015507056463F</t>
  </si>
  <si>
    <t>519110002370AAXXXLJL0217</t>
  </si>
  <si>
    <t>8985200015507053403F</t>
  </si>
  <si>
    <t>519110002370AAXXXLJL0140</t>
  </si>
  <si>
    <t>8985200015507053387F</t>
  </si>
  <si>
    <t>519110002370AAXXXLJL0227</t>
  </si>
  <si>
    <t>8985200015507053692F</t>
  </si>
  <si>
    <t>519110002370AAXXXLJL0258</t>
  </si>
  <si>
    <t>8985200015507054203F</t>
  </si>
  <si>
    <t>519110002370AAXXXLJL0192</t>
  </si>
  <si>
    <t>8985200015507054153F</t>
  </si>
  <si>
    <t>519110002370AAXXXLJL0181</t>
  </si>
  <si>
    <t>8985200015507054112F</t>
  </si>
  <si>
    <t>519110002370AAXXXLJL0186</t>
  </si>
  <si>
    <t>8985200015507054120F</t>
  </si>
  <si>
    <t>519110002370AAXXXLJL0129</t>
  </si>
  <si>
    <t>8985200015507053833F</t>
  </si>
  <si>
    <t>519110002370AAXXXLJL0130</t>
  </si>
  <si>
    <t>8985200015507053841F</t>
  </si>
  <si>
    <t>519110002370AAXXXLJL0132</t>
  </si>
  <si>
    <t>8985200015507053858F</t>
  </si>
  <si>
    <t>519110002370AAXXXLJL0187</t>
  </si>
  <si>
    <t>8985200015507053916F</t>
  </si>
  <si>
    <t>519110002370AAXXXLJL0115</t>
  </si>
  <si>
    <t>8985200015507053429F</t>
  </si>
  <si>
    <t>519110002370AAXXXLJL0125</t>
  </si>
  <si>
    <t>8985200015507053494F</t>
  </si>
  <si>
    <t>519110002370AAXXXNJL0207</t>
  </si>
  <si>
    <t>8985200015507053411F</t>
  </si>
  <si>
    <t>519110002370AAXXXLJL0198</t>
  </si>
  <si>
    <t>8985200015507059400F</t>
  </si>
  <si>
    <t>519110002370AAXXXNJL0191</t>
  </si>
  <si>
    <t>8985200015507053791F</t>
  </si>
  <si>
    <t>519110002370AAXXXNJL0168</t>
  </si>
  <si>
    <t>8985200015507055101F</t>
  </si>
  <si>
    <t>519110002370AAXXXNJL0157</t>
  </si>
  <si>
    <t>8985200015507054286F</t>
  </si>
  <si>
    <t>519110002370AAXXXNJL0155</t>
  </si>
  <si>
    <t>8985200015507054948F</t>
  </si>
  <si>
    <t>519110002370AAXXXNJL0161</t>
  </si>
  <si>
    <t>8985200015507054591F</t>
  </si>
  <si>
    <t>519110002370AAXXXNJL0131</t>
  </si>
  <si>
    <t>8985200015507055317F</t>
  </si>
  <si>
    <t>519110002370AAXXXNJL0101</t>
  </si>
  <si>
    <t>8985200015507055481F</t>
  </si>
  <si>
    <t>519110002370AAXXXNJL0073</t>
  </si>
  <si>
    <t>8985200015507060531F</t>
  </si>
  <si>
    <t>519110002370AAXXXLJL0257</t>
  </si>
  <si>
    <t>8985200015507053544F</t>
  </si>
  <si>
    <t>519110002370AAXXXNJL0089</t>
  </si>
  <si>
    <t>8985200015507060549F</t>
  </si>
  <si>
    <t>519110002370AAXXXNJL0094</t>
  </si>
  <si>
    <t>8985200015507060572F</t>
  </si>
  <si>
    <t>519110002370AAXXXLJL0318</t>
  </si>
  <si>
    <t>8985200015507055697F</t>
  </si>
  <si>
    <t>519110002370AAXXXLJL0321</t>
  </si>
  <si>
    <t>8985200015507056083F</t>
  </si>
  <si>
    <t>519110002370AAXXXLJL0320</t>
  </si>
  <si>
    <t>8985200015507055705F</t>
  </si>
  <si>
    <t>519110002370AAXXXLJL0406</t>
  </si>
  <si>
    <t>8985200015507056679F</t>
  </si>
  <si>
    <t>519110002370AAXXXLJL0509</t>
  </si>
  <si>
    <t>8985200015507057115F</t>
  </si>
  <si>
    <t>519110002370AAXXXLJL0523</t>
  </si>
  <si>
    <t>8985200015507056653F</t>
  </si>
  <si>
    <t>519110002370AAXXXLJL0531</t>
  </si>
  <si>
    <t>8985200015507056513F</t>
  </si>
  <si>
    <t>519110002370AAXXXLJL0539</t>
  </si>
  <si>
    <t>8985200015507057024F</t>
  </si>
  <si>
    <t>519110002370AAXXXLJL0537</t>
  </si>
  <si>
    <t>8985200015507056240F</t>
  </si>
  <si>
    <t>519110002370AAXXXLJL0538</t>
  </si>
  <si>
    <t>8985200015507056505F</t>
  </si>
  <si>
    <t>519110002370AAXXXLJL0266</t>
  </si>
  <si>
    <t>8985200015507056208F</t>
  </si>
  <si>
    <t>519110002370AAXXXLJL0516</t>
  </si>
  <si>
    <t>8985200015507056364F</t>
  </si>
  <si>
    <t>519110002370AAXXXLJL0495</t>
  </si>
  <si>
    <t>8985200015507056299F</t>
  </si>
  <si>
    <t>519110002370AAXXXLJL0367</t>
  </si>
  <si>
    <t>8985200015507056034F</t>
  </si>
  <si>
    <t>519110002370AAXXXLJL0341</t>
  </si>
  <si>
    <t>8985200015507057354F</t>
  </si>
  <si>
    <t>519110002370AAXXXLJL0273</t>
  </si>
  <si>
    <t>8985200015507057446F</t>
  </si>
  <si>
    <t>519110002370AAXXXLJL0598</t>
  </si>
  <si>
    <t>8985200015507057545F</t>
  </si>
  <si>
    <t>519110002370AAXXXLJL0600</t>
  </si>
  <si>
    <t>8985200015507057750F</t>
  </si>
  <si>
    <t>519110002370AAXXXLJL0496</t>
  </si>
  <si>
    <t>8985200015507057792F</t>
  </si>
  <si>
    <t>519110002370AAXXXLJL0497</t>
  </si>
  <si>
    <t>8985200015507057768F</t>
  </si>
  <si>
    <t>519110002370AAXXXLJL0542</t>
  </si>
  <si>
    <t>8985200015507057941F</t>
  </si>
  <si>
    <t>519110002370AAXXXLJL0416</t>
  </si>
  <si>
    <t>8985200015507056992F</t>
  </si>
  <si>
    <t>519110002370AAXXXLJL0418</t>
  </si>
  <si>
    <t>8985200015507057289F</t>
  </si>
  <si>
    <t>519110002370AAXXXLJL0433</t>
  </si>
  <si>
    <t>8985200015507058279F</t>
  </si>
  <si>
    <t>519110002370AAXXXLJL0446</t>
  </si>
  <si>
    <t>8985200015507055689F</t>
  </si>
  <si>
    <t>519110002370AAXXXLJL0451</t>
  </si>
  <si>
    <t>8985200015507055994F</t>
  </si>
  <si>
    <t>519110002370AAXXXLJL0393</t>
  </si>
  <si>
    <t>8985200015507056091F</t>
  </si>
  <si>
    <t>519110002370AAXXXLJL0359</t>
  </si>
  <si>
    <t>8985200015507058873F</t>
  </si>
  <si>
    <t>519110002370AAXXXLJL0580</t>
  </si>
  <si>
    <t>8985200015507056810F</t>
  </si>
  <si>
    <t>519110002370AAXXXLJL0303</t>
  </si>
  <si>
    <t>8985200015507058550F</t>
  </si>
  <si>
    <t>519110002370AAXXXLJL0292</t>
  </si>
  <si>
    <t>8985200015507058642F</t>
  </si>
  <si>
    <t>519110002370AAXXXLJL0291</t>
  </si>
  <si>
    <t>8985200015507058568F</t>
  </si>
  <si>
    <t>519110002370AAXXXLJL0473</t>
  </si>
  <si>
    <t>8985200015507059160F</t>
  </si>
  <si>
    <t>519110002370AAXXXLJL0296</t>
  </si>
  <si>
    <t>8985200015507058618F</t>
  </si>
  <si>
    <t>519110002370AAXXXLJL0331</t>
  </si>
  <si>
    <t>8985200015507058998F</t>
  </si>
  <si>
    <t>519110002370AAXXXLJL0488</t>
  </si>
  <si>
    <t>8985200015507059228F</t>
  </si>
  <si>
    <t>519110002370AAXXXLJL0325</t>
  </si>
  <si>
    <t>8985200015507058048F</t>
  </si>
  <si>
    <t>519110002370AAXXXLJL0145</t>
  </si>
  <si>
    <t>8985200015507059368F</t>
  </si>
  <si>
    <t>519110002370AAXXXLJL0144</t>
  </si>
  <si>
    <t>8985200015507059624F</t>
  </si>
  <si>
    <t>519110002370AAXXXLJL0023</t>
  </si>
  <si>
    <t>8985200015507060002F</t>
  </si>
  <si>
    <t>519110002370AAXXXLJL0009</t>
  </si>
  <si>
    <t>8985200015507059913F</t>
  </si>
  <si>
    <t>519110002370AAXXXLJL0170</t>
  </si>
  <si>
    <t>8985200015507058220F</t>
  </si>
  <si>
    <t>519110002370AAXXXLJL0173</t>
  </si>
  <si>
    <t>8985200015507059467F</t>
  </si>
  <si>
    <t>519110002370AAXXXLJL0076</t>
  </si>
  <si>
    <t>8985200015507058824F</t>
  </si>
  <si>
    <t>519110002370AAXXXLJL0012</t>
  </si>
  <si>
    <t>8985200015507060085F</t>
  </si>
  <si>
    <t>519110002370AAXXXLJL0051</t>
  </si>
  <si>
    <t>8985200015507060440F</t>
  </si>
  <si>
    <t>519110002370AAXXXLJL0055</t>
  </si>
  <si>
    <t>8985200015507060374F</t>
  </si>
  <si>
    <t>519110002370AAXXXLJL0059</t>
  </si>
  <si>
    <t>8985200015507060341F</t>
  </si>
  <si>
    <t>519110002370AAXXXLJL0202</t>
  </si>
  <si>
    <t>8985200015507059277F</t>
  </si>
  <si>
    <t>519110002370AAXXXLJL0110</t>
  </si>
  <si>
    <t>8985200015507060176F</t>
  </si>
  <si>
    <t>519110002370AAXXXLJL0091</t>
  </si>
  <si>
    <t>8985200015507060655F</t>
  </si>
  <si>
    <t>519110002370AAXXXLJL0225</t>
  </si>
  <si>
    <t>8985200015507053353F</t>
  </si>
  <si>
    <t>519110002370AAXXXLJL0141</t>
  </si>
  <si>
    <t>8985200015507053379F</t>
  </si>
  <si>
    <t>519110002370AAXXXLJL0134</t>
  </si>
  <si>
    <t>8985200015507053247F</t>
  </si>
  <si>
    <t>519110002370AAXXXLJL0097</t>
  </si>
  <si>
    <t>8985200015507060226F</t>
  </si>
  <si>
    <t>519110002370AAXXXLJL0050</t>
  </si>
  <si>
    <t>8985200015507060416F</t>
  </si>
  <si>
    <t>519110002370AAXXXLJL0222</t>
  </si>
  <si>
    <t>8985200015507054377F</t>
  </si>
  <si>
    <t>519110002370AAXXXLJL0253</t>
  </si>
  <si>
    <t>8985200015507054062F</t>
  </si>
  <si>
    <t>519110002370AAXXXLJL0244</t>
  </si>
  <si>
    <t>8985200015507054088F</t>
  </si>
  <si>
    <t>519110002370AAXXXLJL0191</t>
  </si>
  <si>
    <t>8985200015507053874F</t>
  </si>
  <si>
    <t>519110002370AAXXXLJL0127</t>
  </si>
  <si>
    <t>8985200015507053718F</t>
  </si>
  <si>
    <t>519110002370AAXXXLJL0114</t>
  </si>
  <si>
    <t>8985200015507053593F</t>
  </si>
  <si>
    <t>519110002370AAXXXLJL0236</t>
  </si>
  <si>
    <t>8985200015507053650F</t>
  </si>
  <si>
    <t>519110002370AAXXXNJL0210</t>
  </si>
  <si>
    <t>8985200015507053528F</t>
  </si>
  <si>
    <t>519110002370AAXXXNJL0208</t>
  </si>
  <si>
    <t>8985200015507053510F</t>
  </si>
  <si>
    <t>519110002370AAXXXNJL0179</t>
  </si>
  <si>
    <t>8985200015507055176F</t>
  </si>
  <si>
    <t>519110002370AAXXXNJL0172</t>
  </si>
  <si>
    <t>8985200015507055002F</t>
  </si>
  <si>
    <t>519110002370AAXXXNJL0170</t>
  </si>
  <si>
    <t>8985200015507055028F</t>
  </si>
  <si>
    <t>519110002370AAXXXNJL0159</t>
  </si>
  <si>
    <t>8985200015507054971F</t>
  </si>
  <si>
    <t>519110002370AAXXXNJL0111</t>
  </si>
  <si>
    <t>8985200015507054658F</t>
  </si>
  <si>
    <t>519110002370AAXXXNJL0120</t>
  </si>
  <si>
    <t>8985200015507054690F</t>
  </si>
  <si>
    <t>519110002370AAXXXNJL0108</t>
  </si>
  <si>
    <t>8985200015507055325F</t>
  </si>
  <si>
    <t>519110002370AAXXXNJL0084</t>
  </si>
  <si>
    <t>8985200015507055515F</t>
  </si>
  <si>
    <t>519110002370AAXXXNJL0090</t>
  </si>
  <si>
    <t>8985200015507060564F</t>
  </si>
  <si>
    <t>519110002370AAXXXNJL0092</t>
  </si>
  <si>
    <t>8985200015507060598F</t>
  </si>
  <si>
    <t>519110002370AAXXXNJL0069</t>
  </si>
  <si>
    <t>8985200015507060481F</t>
  </si>
  <si>
    <t>519110002370AAXXXNJL0065</t>
  </si>
  <si>
    <t>8985200015507056976F</t>
  </si>
  <si>
    <t>519110002370AAXXXNJL0142</t>
  </si>
  <si>
    <t>8985200015507054302F</t>
  </si>
  <si>
    <t>519110002370AAXXXNJL0140</t>
  </si>
  <si>
    <t>8985200015507054773F</t>
  </si>
  <si>
    <t>519110002370AAXXXLJL0246</t>
  </si>
  <si>
    <t>8985200015507054096F</t>
  </si>
  <si>
    <t>519110002370AAXXXNJL0115</t>
  </si>
  <si>
    <t>8985200015507055283F</t>
  </si>
  <si>
    <t>519110002370AAXXXNJL0104</t>
  </si>
  <si>
    <t>8985200015507055499F</t>
  </si>
  <si>
    <t>519110002370AAXXXNJL0099</t>
  </si>
  <si>
    <t>8985200015507055598F</t>
  </si>
  <si>
    <t>519110002370AAXXXNJL0086</t>
  </si>
  <si>
    <t>8985200015507055648F</t>
  </si>
  <si>
    <t>519110002370AAXXXNJL0074</t>
  </si>
  <si>
    <t>8985200015507053189F</t>
  </si>
  <si>
    <t>519110002370AAXXXNJL0062</t>
  </si>
  <si>
    <t>8985200015507056968F</t>
  </si>
  <si>
    <t>519110002370AAXXXNJL0143</t>
  </si>
  <si>
    <t>8985200015507054526F</t>
  </si>
  <si>
    <t>519110002370AAXXXNJL0056</t>
  </si>
  <si>
    <t>8985200015507053213F</t>
  </si>
  <si>
    <t>519110002370AAXXXNJL0113</t>
  </si>
  <si>
    <t>8985200015507055275F</t>
  </si>
  <si>
    <t>519110002370AAXXXNJL0102</t>
  </si>
  <si>
    <t>8985200015507055606F</t>
  </si>
  <si>
    <t>519110002370AAXXXNJL0098</t>
  </si>
  <si>
    <t>8985200015507055564F</t>
  </si>
  <si>
    <t>519110002370AAXXXNJL0082</t>
  </si>
  <si>
    <t>8985200015507055630F</t>
  </si>
  <si>
    <t>519110002370AAXXXNJL0076</t>
  </si>
  <si>
    <t>8985200015507060630F</t>
  </si>
  <si>
    <t>519110002370AAXXXNJL0081</t>
  </si>
  <si>
    <t>8985200015507053205F</t>
  </si>
  <si>
    <t>519110002370AAXXXNJL0071</t>
  </si>
  <si>
    <t>8985200015507053197F</t>
  </si>
  <si>
    <t>519110002370AAXXXNJL0068</t>
  </si>
  <si>
    <t>8985200015507060473F</t>
  </si>
  <si>
    <t>519110002370AAXXXNJL0067</t>
  </si>
  <si>
    <t>8985200015507057958F</t>
  </si>
  <si>
    <t>519110002370AAXXXNJL0196</t>
  </si>
  <si>
    <t>8985200015507053775F</t>
  </si>
  <si>
    <t>519110002370AAXXXNJL0057</t>
  </si>
  <si>
    <t>8985200015507056950F</t>
  </si>
  <si>
    <t>519110002370AAXXXLJL0245</t>
  </si>
  <si>
    <t>8985200015507054104F</t>
  </si>
  <si>
    <t>519110002370AAXXXLJL0224</t>
  </si>
  <si>
    <t>8985200015507053817F</t>
  </si>
  <si>
    <t>519110002370AAXXXLJL0131</t>
  </si>
  <si>
    <t>8985200015507053866F</t>
  </si>
  <si>
    <t>519110002370AAXXXLJL0117</t>
  </si>
  <si>
    <t>8985200015507053569F</t>
  </si>
  <si>
    <t>519110002370AAXXXNJL0206</t>
  </si>
  <si>
    <t>8985200015507053890F</t>
  </si>
  <si>
    <t>519110002370AAXXXNJL0205</t>
  </si>
  <si>
    <t>8985200015507053460F</t>
  </si>
  <si>
    <t>519110002370AAXXXNJL0202</t>
  </si>
  <si>
    <t>8985200015507053809F</t>
  </si>
  <si>
    <t>519110002370AAXXXNJL0182</t>
  </si>
  <si>
    <t>8985200015507055051F</t>
  </si>
  <si>
    <t>519110002370AAXXXNJL0152</t>
  </si>
  <si>
    <t>8985200015507053734F</t>
  </si>
  <si>
    <t>519110002370AAXXXNJL0149</t>
  </si>
  <si>
    <t>8985200015507054260F</t>
  </si>
  <si>
    <t>519110002370AAXXXNJL0145</t>
  </si>
  <si>
    <t>8985200015507054583F</t>
  </si>
  <si>
    <t>519110002370AAXXXNJL0163</t>
  </si>
  <si>
    <t>8985200015507054609F</t>
  </si>
  <si>
    <t>519110002370AAXXXNJL0123</t>
  </si>
  <si>
    <t>8985200015507054633F</t>
  </si>
  <si>
    <t>519110002370AAXXXNJL0109</t>
  </si>
  <si>
    <t>8985200015507054682F</t>
  </si>
  <si>
    <t>519110002370AAXXXNJL0106</t>
  </si>
  <si>
    <t>8985200015507055572F</t>
  </si>
  <si>
    <t>519110002370AAXXXNJL0097</t>
  </si>
  <si>
    <t>8985200015507055473F</t>
  </si>
  <si>
    <t>519110002370AAXXXNJL0088</t>
  </si>
  <si>
    <t>8985200015507055523F</t>
  </si>
  <si>
    <t>519110002370AAXXXNJL0085</t>
  </si>
  <si>
    <t>8985200015507055614F</t>
  </si>
  <si>
    <t>519110002370AAXXXNJL0083</t>
  </si>
  <si>
    <t>8985200015507055531F</t>
  </si>
  <si>
    <t>519110002370AAXXXNJL0080</t>
  </si>
  <si>
    <t>8985200015507055663F</t>
  </si>
  <si>
    <t>519110002370AAXXXNJL0077</t>
  </si>
  <si>
    <t>8985200015507053171F</t>
  </si>
  <si>
    <t>519110002370AAXXXNJL0095</t>
  </si>
  <si>
    <t>8985200015507060580F</t>
  </si>
  <si>
    <t>519110002370AAXXXNJL0093</t>
  </si>
  <si>
    <t>8985200015507060499F</t>
  </si>
  <si>
    <t>519110002370AAXXXNJL0070</t>
  </si>
  <si>
    <t>8985200015507057966F</t>
  </si>
  <si>
    <t>519110002370AAXXXNJL0200</t>
  </si>
  <si>
    <t>8985200015507053577F</t>
  </si>
  <si>
    <t>519110002370AAXXXNJL0195</t>
  </si>
  <si>
    <t>8985200015507053668F</t>
  </si>
  <si>
    <t>519110002370AAXXXNJL0186</t>
  </si>
  <si>
    <t>8985200015507055077F</t>
  </si>
  <si>
    <t>519110002370AAXXXNJL0185</t>
  </si>
  <si>
    <t>8985200015507055226F</t>
  </si>
  <si>
    <t>519110002370AAXXXNJL0184</t>
  </si>
  <si>
    <t>8985200015507055093F</t>
  </si>
  <si>
    <t>519110002370AAXXXNJL0178</t>
  </si>
  <si>
    <t>8985200015507055168F</t>
  </si>
  <si>
    <t>519110002370AAXXXNJL0176</t>
  </si>
  <si>
    <t>8985200015507055127F</t>
  </si>
  <si>
    <t>519110002370AAXXXNJL0154</t>
  </si>
  <si>
    <t>8985200015507054245F</t>
  </si>
  <si>
    <t>519110002370AAXXXNJL0147</t>
  </si>
  <si>
    <t>8985200015507054500F</t>
  </si>
  <si>
    <t>519110002370AAXXXNJL0139</t>
  </si>
  <si>
    <t>8985200015507054740F</t>
  </si>
  <si>
    <t>519110002370AAXXXNJL0138</t>
  </si>
  <si>
    <t>8985200015507054880F</t>
  </si>
  <si>
    <t>519110002370AAXXXNJL0132</t>
  </si>
  <si>
    <t>8985200015507054872F</t>
  </si>
  <si>
    <t>519110002370AAXXXNJL0134</t>
  </si>
  <si>
    <t>8985200015507054864F</t>
  </si>
  <si>
    <t>519110002370AAXXXNJL0121</t>
  </si>
  <si>
    <t>8985200015507054674F</t>
  </si>
  <si>
    <t>519110002370AAXXXNJL0110</t>
  </si>
  <si>
    <t>8985200015507054641F</t>
  </si>
  <si>
    <t>519110002370AAXXXNJL0118</t>
  </si>
  <si>
    <t>8985200015507055291F</t>
  </si>
  <si>
    <t>519110002370AAXXXNJL0130</t>
  </si>
  <si>
    <t>8985200015507055309F</t>
  </si>
  <si>
    <t>519110002370AAXXXNJL0116</t>
  </si>
  <si>
    <t>8985200015507055267F</t>
  </si>
  <si>
    <t>519110002370AAXXXNJL0107</t>
  </si>
  <si>
    <t>8985200015507055622F</t>
  </si>
  <si>
    <t>519110002370AAXXXNJL0096</t>
  </si>
  <si>
    <t>8985200015507055580F</t>
  </si>
  <si>
    <t>519110002370AAXXXNJL0078</t>
  </si>
  <si>
    <t>8985200015507055556F</t>
  </si>
  <si>
    <t>519110002370AAXXXNJL0075</t>
  </si>
  <si>
    <t>8985200015507060507F</t>
  </si>
  <si>
    <t>519110002370AAXXXNJL0055</t>
  </si>
  <si>
    <t>8985200015507058105F</t>
  </si>
  <si>
    <t>519110002370AAXXXNJL0060</t>
  </si>
  <si>
    <t>8985200015507058113F</t>
  </si>
  <si>
    <t>519110002370AAXXXLJL0239</t>
  </si>
  <si>
    <t>8985200015507053445F</t>
  </si>
  <si>
    <t>519110002370AAXXXNJL0063</t>
  </si>
  <si>
    <t>8985200015507056935F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</si>
</sst>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mmmm d"/>
  </numFmts>
  <fonts count="15">
    <font>
      <sz val="10.0"/>
      <color rgb="FF000000"/>
      <name val="Arial"/>
      <scheme val="minor"/>
    </font>
    <font>
      <u/>
      <sz val="11.0"/>
      <color rgb="FF222222"/>
      <name val="Cambria"/>
    </font>
    <font>
      <b/>
      <sz val="9.0"/>
      <color rgb="FFFFFFFF"/>
      <name val="Figtree"/>
    </font>
    <font>
      <color theme="1"/>
      <name val="Arial"/>
      <scheme val="minor"/>
    </font>
    <font>
      <b/>
      <sz val="8.0"/>
      <color rgb="FFFFFFFF"/>
      <name val="Figtree"/>
    </font>
    <font>
      <sz val="8.0"/>
      <color rgb="FF000000"/>
      <name val="Figtree"/>
    </font>
    <font>
      <sz val="9.0"/>
      <color rgb="FF000000"/>
      <name val="Figtree"/>
    </font>
    <font>
      <sz val="8.0"/>
      <color theme="1"/>
      <name val="Figtree"/>
    </font>
    <font>
      <sz val="9.0"/>
      <color theme="1"/>
      <name val="Figtree"/>
    </font>
    <font>
      <color theme="1"/>
      <name val="Figtree"/>
    </font>
    <font>
      <u/>
      <sz val="11.0"/>
      <color rgb="FF222222"/>
      <name val="Cambria"/>
    </font>
    <font>
      <u/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b/>
      <sz val="9.0"/>
      <color theme="1"/>
      <name val="Figtree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 readingOrder="0" vertical="center"/>
    </xf>
    <xf borderId="0" fillId="0" fontId="3" numFmtId="0" xfId="0" applyFont="1"/>
    <xf borderId="1" fillId="3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1" fillId="3" fontId="2" numFmtId="49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/>
    </xf>
    <xf borderId="0" fillId="3" fontId="2" numFmtId="0" xfId="0" applyAlignment="1" applyFont="1">
      <alignment horizontal="center" readingOrder="0" vertical="center"/>
    </xf>
    <xf borderId="1" fillId="4" fontId="8" numFmtId="0" xfId="0" applyAlignment="1" applyBorder="1" applyFill="1" applyFont="1">
      <alignment horizontal="center" readingOrder="0"/>
    </xf>
    <xf borderId="1" fillId="0" fontId="7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8" numFmtId="165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/>
    </xf>
    <xf quotePrefix="1" borderId="0" fillId="0" fontId="8" numFmtId="0" xfId="0" applyAlignment="1" applyFon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1" fillId="0" fontId="6" numFmtId="165" xfId="0" applyAlignment="1" applyBorder="1" applyFont="1" applyNumberFormat="1">
      <alignment horizontal="center" readingOrder="0" vertical="center"/>
    </xf>
    <xf borderId="0" fillId="2" fontId="9" numFmtId="0" xfId="0" applyAlignment="1" applyFont="1">
      <alignment horizontal="center" readingOrder="0"/>
    </xf>
    <xf quotePrefix="1" borderId="1" fillId="4" fontId="6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shrinkToFit="0" wrapText="0"/>
    </xf>
    <xf borderId="1" fillId="2" fontId="6" numFmtId="0" xfId="0" applyAlignment="1" applyBorder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1" fillId="5" fontId="8" numFmtId="0" xfId="0" applyAlignment="1" applyBorder="1" applyFill="1" applyFont="1">
      <alignment horizontal="center" readingOrder="0"/>
    </xf>
    <xf borderId="0" fillId="6" fontId="3" numFmtId="0" xfId="0" applyFill="1" applyFont="1"/>
    <xf borderId="0" fillId="6" fontId="10" numFmtId="0" xfId="0" applyAlignment="1" applyFont="1">
      <alignment readingOrder="0"/>
    </xf>
    <xf borderId="0" fillId="6" fontId="3" numFmtId="0" xfId="0" applyAlignment="1" applyFont="1">
      <alignment readingOrder="0"/>
    </xf>
    <xf quotePrefix="1" borderId="0" fillId="7" fontId="8" numFmtId="0" xfId="0" applyAlignment="1" applyFill="1" applyFont="1">
      <alignment horizontal="center" readingOrder="0"/>
    </xf>
    <xf quotePrefix="1" borderId="1" fillId="0" fontId="7" numFmtId="0" xfId="0" applyAlignment="1" applyBorder="1" applyFont="1">
      <alignment horizontal="center" readingOrder="0" vertical="center"/>
    </xf>
    <xf borderId="1" fillId="0" fontId="7" numFmtId="165" xfId="0" applyAlignment="1" applyBorder="1" applyFont="1" applyNumberFormat="1">
      <alignment horizontal="center" readingOrder="0" vertical="center"/>
    </xf>
    <xf quotePrefix="1" borderId="0" fillId="0" fontId="9" numFmtId="0" xfId="0" applyAlignment="1" applyFont="1">
      <alignment horizontal="center" readingOrder="0"/>
    </xf>
    <xf borderId="0" fillId="0" fontId="8" numFmtId="4" xfId="0" applyAlignment="1" applyFont="1" applyNumberFormat="1">
      <alignment horizontal="center" readingOrder="0"/>
    </xf>
    <xf borderId="0" fillId="2" fontId="8" numFmtId="49" xfId="0" applyAlignment="1" applyFont="1" applyNumberFormat="1">
      <alignment horizontal="center" readingOrder="0"/>
    </xf>
    <xf quotePrefix="1" borderId="0" fillId="2" fontId="8" numFmtId="0" xfId="0" applyAlignment="1" applyFont="1">
      <alignment horizontal="center" readingOrder="0"/>
    </xf>
    <xf borderId="0" fillId="2" fontId="8" numFmtId="165" xfId="0" applyAlignment="1" applyFont="1" applyNumberFormat="1">
      <alignment horizontal="center"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1" fillId="0" fontId="8" numFmtId="0" xfId="0" applyAlignment="1" applyBorder="1" applyFont="1">
      <alignment horizontal="center" readingOrder="0" shrinkToFit="0" vertical="bottom" wrapText="0"/>
    </xf>
    <xf borderId="0" fillId="0" fontId="3" numFmtId="166" xfId="0" applyAlignment="1" applyFont="1" applyNumberFormat="1">
      <alignment readingOrder="0"/>
    </xf>
    <xf borderId="1" fillId="4" fontId="8" numFmtId="165" xfId="0" applyAlignment="1" applyBorder="1" applyFont="1" applyNumberFormat="1">
      <alignment horizontal="center" readingOrder="0"/>
    </xf>
    <xf borderId="0" fillId="0" fontId="14" numFmtId="0" xfId="0" applyFont="1"/>
    <xf borderId="1" fillId="8" fontId="14" numFmtId="0" xfId="0" applyAlignment="1" applyBorder="1" applyFill="1" applyFont="1">
      <alignment horizontal="left" readingOrder="0"/>
    </xf>
    <xf borderId="0" fillId="0" fontId="14" numFmtId="0" xfId="0" applyAlignment="1" applyFont="1">
      <alignment horizontal="left" readingOrder="0"/>
    </xf>
    <xf borderId="0" fillId="0" fontId="8" numFmtId="0" xfId="0" applyFont="1"/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8" numFmtId="165" xfId="0" applyAlignment="1" applyBorder="1" applyFont="1" applyNumberFormat="1">
      <alignment horizontal="center" readingOrder="0" vertical="center"/>
    </xf>
    <xf borderId="1" fillId="4" fontId="8" numFmtId="49" xfId="0" applyAlignment="1" applyBorder="1" applyFont="1" applyNumberForma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horizontal="center" readingOrder="0" vertical="center"/>
    </xf>
    <xf quotePrefix="1" borderId="1" fillId="4" fontId="8" numFmtId="0" xfId="0" applyAlignment="1" applyBorder="1" applyFont="1">
      <alignment horizontal="center" readingOrder="0" vertical="center"/>
    </xf>
    <xf quotePrefix="1" borderId="1" fillId="4" fontId="8" numFmtId="49" xfId="0" applyAlignment="1" applyBorder="1" applyFont="1" applyNumberFormat="1">
      <alignment horizontal="center" readingOrder="0" vertical="center"/>
    </xf>
    <xf borderId="1" fillId="4" fontId="6" numFmtId="165" xfId="0" applyAlignment="1" applyBorder="1" applyFont="1" applyNumberFormat="1">
      <alignment horizontal="center" readingOrder="0" vertical="center"/>
    </xf>
    <xf borderId="1" fillId="2" fontId="6" numFmtId="165" xfId="0" applyAlignment="1" applyBorder="1" applyFont="1" applyNumberFormat="1">
      <alignment horizontal="center" readingOrder="0" vertical="center"/>
    </xf>
    <xf borderId="1" fillId="4" fontId="8" numFmtId="165" xfId="0" applyAlignment="1" applyBorder="1" applyFont="1" applyNumberFormat="1">
      <alignment horizontal="center" readingOrder="0" vertical="center"/>
    </xf>
    <xf borderId="1" fillId="2" fontId="8" numFmtId="165" xfId="0" applyAlignment="1" applyBorder="1" applyFont="1" applyNumberFormat="1">
      <alignment horizontal="center" readingOrder="0" vertical="center"/>
    </xf>
    <xf borderId="1" fillId="0" fontId="6" numFmtId="49" xfId="0" applyAlignment="1" applyBorder="1" applyFont="1" applyNumberFormat="1">
      <alignment horizontal="center" vertical="center"/>
    </xf>
    <xf borderId="1" fillId="4" fontId="6" numFmtId="49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readingOrder="0" shrinkToFit="0" wrapText="0"/>
    </xf>
    <xf borderId="1" fillId="0" fontId="8" numFmtId="3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center"/>
    </xf>
    <xf quotePrefix="1" borderId="1" fillId="4" fontId="8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 readingOrder="0"/>
    </xf>
    <xf borderId="1" fillId="4" fontId="8" numFmtId="165" xfId="0" applyAlignment="1" applyBorder="1" applyFont="1" applyNumberFormat="1">
      <alignment horizontal="center"/>
    </xf>
    <xf borderId="1" fillId="2" fontId="8" numFmtId="165" xfId="0" applyAlignment="1" applyBorder="1" applyFont="1" applyNumberFormat="1">
      <alignment horizontal="center" readingOrder="0"/>
    </xf>
    <xf quotePrefix="1" borderId="1" fillId="4" fontId="8" numFmtId="0" xfId="0" applyAlignment="1" applyBorder="1" applyFont="1">
      <alignment horizontal="center"/>
    </xf>
    <xf borderId="1" fillId="0" fontId="8" numFmtId="3" xfId="0" applyAlignment="1" applyBorder="1" applyFont="1" applyNumberFormat="1">
      <alignment horizontal="center" readingOrder="0"/>
    </xf>
    <xf borderId="1" fillId="0" fontId="8" numFmtId="3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38761D"/>
          <bgColor rgb="FF38761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9db73f69-188a-402d-b4a1-85f83b8bddc3}">
    <Anchor>
      <Comment id="{f9b9f24a-bc84-4b69-a5db-7fdbbafd42fc}"/>
    </Anchor>
    <History>
      <Event time="2026-01-14T08:35:58.00" id="{9bc53cd9-8c6e-4cfc-be79-1f29d028b2b9}">
        <Attribution userId="placeholder@email.com" userName="Samuel Kniazeff" userProvider="google-sheets"/>
        <Anchor>
          <Comment id="{f9b9f24a-bc84-4b69-a5db-7fdbbafd42fc}"/>
        </Anchor>
        <Create/>
      </Event>
      <Event time="2026-01-14T08:35:58.00" id="{a0136f24-2ffc-4e93-9499-cbe3e99a6507}">
        <Attribution userId="placeholder@email.com" userName="Samuel Kniazeff" userProvider="google-sheets"/>
        <Anchor>
          <Comment id="{f9b9f24a-bc84-4b69-a5db-7fdbbafd42fc}"/>
        </Anchor>
        <Assign userId="judy@nrdev.ph" userName="judy@nrdev.ph" userProvider="google-sheets"/>
      </Event>
    </History>
  </Task>
</Tasks>
</file>

<file path=xl/documenttasks/documenttask2.xml><?xml version="1.0" encoding="utf-8"?>
<Tasks xmlns="http://schemas.microsoft.com/office/tasks/2019/documenttasks">
  <Task id="{96ea38c4-1f96-4e99-a6c9-22313e7424cf}">
    <Anchor>
      <Comment id="{5564f09f-4e14-4546-9e31-1784d006ff83}"/>
    </Anchor>
    <History>
      <Event time="2026-04-13T08:41:31.00" id="{5817950c-da5c-4f28-ac5f-3db8f9d08a0e}">
        <Attribution userId="placeholder@email.com" userName="Judy Joy Rosare" userProvider="google-sheets"/>
        <Anchor>
          <Comment id="{5564f09f-4e14-4546-9e31-1784d006ff83}"/>
        </Anchor>
        <Create/>
      </Event>
      <Event time="2026-04-13T08:41:31.00" id="{e70c4abf-7d0b-46ea-a347-8cc18cdf8d85}">
        <Attribution userId="placeholder@email.com" userName="Judy Joy Rosare" userProvider="google-sheets"/>
        <Anchor>
          <Comment id="{5564f09f-4e14-4546-9e31-1784d006ff83}"/>
        </Anchor>
        <Assign userId="eusi@nrdev.ph" userName="eusi@nrdev.ph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udy@nrdev.ph" id="{34dc2fd1-4558-4792-b938-fadc5392b09f}" userId="judy@nrdev.ph" providerId="google-sheets"/>
  <x18tc:person displayName="jysaac@nrdev.ph" id="{15edae49-3571-44c5-88d6-fa4c17f161a7}" userId="jysaac@nrdev.ph" providerId="google-sheets"/>
  <x18tc:person displayName="Judy Joy Rosare" id="{2ca92fe6-9a35-483a-ae06-237341b63fe7}" providerId="google-sheets"/>
  <x18tc:person displayName="eusi@nrdev.ph" id="{c19fcaef-8225-4b2d-b07b-f34f2fe38ec6}" userId="eusi@nrdev.ph" providerId="google-sheets"/>
  <x18tc:person displayName="Samuel Kniazeff" id="{86fcb61a-5897-422b-b036-a89c6735516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286" dT="2026-01-14T08:35:58.00" personId="{86fcb61a-5897-422b-b036-a89c67355164}" id="{f9b9f24a-bc84-4b69-a5db-7fdbbafd42fc}" done="0">
    <x18tc:text xml:space="preserve">@judy@nrdev.ph
Assigned to judy@nrdev.ph</x18tc:text>
    <x18tc:mentions>
      <x18tc:mention mentionpersonId="{34dc2fd1-4558-4792-b938-fadc5392b09f}" mentionId="{34376974-b72e-4121-a81a-9c6cd7d716f1}" startIndex="0" length="14"/>
    </x18tc:mentions>
  </x18tc:threadedComment>
  <x18tc:threadedComment ref="A1" dT="2026-01-14T02:19:57.00" personId="{86fcb61a-5897-422b-b036-a89c67355164}" id="{a38d270f-8f47-4207-88ca-eb48eabec45d}" done="1">
    <x18tc:text xml:space="preserve">Parameters:
- At least 2 batteries online
- At least 3 doors can be enabled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9" dT="2026-06-08T01:39:54.00" personId="{2ca92fe6-9a35-483a-ae06-237341b63fe7}" id="{a6367026-4b88-47cf-b5fe-c3e34ff8a999}" done="1">
    <x18tc:text xml:space="preserve">@eusi@nrdev.ph</x18tc:text>
    <x18tc:mentions>
      <x18tc:mention mentionpersonId="{c19fcaef-8225-4b2d-b07b-f34f2fe38ec6}" mentionId="{f278273b-d66f-49ee-8827-cbb4646b8427}" startIndex="0" length="14"/>
    </x18tc:mentions>
  </x18tc:threadedComment>
  <x18tc:threadedComment ref="J7" dT="2026-06-09T01:42:47.00" personId="{2ca92fe6-9a35-483a-ae06-237341b63fe7}" id="{6cb74572-4c3f-4e26-a5eb-c037aff9abfa}" done="1">
    <x18tc:text xml:space="preserve">@eusi@nrdev.ph</x18tc:text>
    <x18tc:mentions>
      <x18tc:mention mentionpersonId="{c19fcaef-8225-4b2d-b07b-f34f2fe38ec6}" mentionId="{134039c9-3884-4182-b9a0-fa4b7140515f}" startIndex="0" length="14"/>
    </x18tc:mentions>
  </x18tc:threadedComment>
  <x18tc:threadedComment ref="J7" dT="2026-06-10T04:27:31.00" personId="{2ca92fe6-9a35-483a-ae06-237341b63fe7}" id="{69102ee4-0c37-49d2-bf60-dd9fb66af7d8}" parentId="{6cb74572-4c3f-4e26-a5eb-c037aff9abfa}">
    <x18tc:text xml:space="preserve">@jysaac@nrdev.ph</x18tc:text>
    <x18tc:mentions>
      <x18tc:mention mentionpersonId="{15edae49-3571-44c5-88d6-fa4c17f161a7}" mentionId="{a9052ada-6f3e-4ae8-a1d8-ca838b460cf5}" startIndex="0" length="16"/>
    </x18tc:mentions>
  </x18tc:threadedComment>
  <x18tc:threadedComment ref="J25" dT="2026-04-13T08:41:31.00" personId="{2ca92fe6-9a35-483a-ae06-237341b63fe7}" id="{5564f09f-4e14-4546-9e31-1784d006ff83}" done="1">
    <x18tc:text xml:space="preserve">@eusi@nrdev.ph
Assigned to eusi@nrdev.ph</x18tc:text>
    <x18tc:mentions>
      <x18tc:mention mentionpersonId="{c19fcaef-8225-4b2d-b07b-f34f2fe38ec6}" mentionId="{82d37c82-18ef-4737-b312-8a9f0ba94ab6}" startIndex="0" length="14"/>
    </x18tc:mentions>
  </x18tc:threadedComment>
  <x18tc:threadedComment ref="J18" dT="2026-06-08T01:40:09.00" personId="{2ca92fe6-9a35-483a-ae06-237341b63fe7}" id="{940abbd6-ecd1-4257-b3fd-525ed3176566}" done="1">
    <x18tc:text xml:space="preserve">@eusi@nrdev.ph</x18tc:text>
    <x18tc:mentions>
      <x18tc:mention mentionpersonId="{c19fcaef-8225-4b2d-b07b-f34f2fe38ec6}" mentionId="{dae4eb00-f596-4caf-8bdf-55b6c26c2539}" startIndex="0" length="14"/>
    </x18tc:mentions>
  </x18tc:threadedComment>
  <x18tc:threadedComment ref="J39" dT="2026-06-08T01:40:25.00" personId="{2ca92fe6-9a35-483a-ae06-237341b63fe7}" id="{7a9d78a1-cbab-4165-ab3f-4bc512c629e3}" done="1">
    <x18tc:text xml:space="preserve">@eusi@nrdev.ph</x18tc:text>
    <x18tc:mentions>
      <x18tc:mention mentionpersonId="{c19fcaef-8225-4b2d-b07b-f34f2fe38ec6}" mentionId="{23e5dcf9-563e-4747-9789-ee2b126a3ec8}" startIndex="0" length="14"/>
    </x18tc:mentions>
  </x18tc:threadedComment>
  <x18tc:threadedComment ref="J5" dT="2026-06-08T01:39:42.00" personId="{2ca92fe6-9a35-483a-ae06-237341b63fe7}" id="{d833cfd4-01d8-4482-83a3-dd8ea7eea5ad}" done="1">
    <x18tc:text xml:space="preserve">@eusi@nrdev.ph</x18tc:text>
    <x18tc:mentions>
      <x18tc:mention mentionpersonId="{c19fcaef-8225-4b2d-b07b-f34f2fe38ec6}" mentionId="{2a51d4a2-c148-4540-879e-73b5a08306a0}" startIndex="0" length="14"/>
    </x18tc:mentions>
  </x18tc:threadedComment>
  <x18tc:threadedComment ref="J31" dT="2026-06-09T01:40:55.00" personId="{2ca92fe6-9a35-483a-ae06-237341b63fe7}" id="{686c0502-07dc-4ff1-9804-18f2ce2613af}" done="1">
    <x18tc:text xml:space="preserve">@eusi@nrdev.ph</x18tc:text>
    <x18tc:mentions>
      <x18tc:mention mentionpersonId="{c19fcaef-8225-4b2d-b07b-f34f2fe38ec6}" mentionId="{f4123984-297d-4fa6-8945-376f81349ce0}" startIndex="0" length="14"/>
    </x18tc:mentions>
  </x18tc:threadedComment>
  <x18tc:threadedComment ref="J31" dT="2026-06-10T04:27:41.00" personId="{2ca92fe6-9a35-483a-ae06-237341b63fe7}" id="{d13348c5-413d-43db-94a6-9332b4ccc97c}" parentId="{686c0502-07dc-4ff1-9804-18f2ce2613af}">
    <x18tc:text xml:space="preserve">@jysaac@nrdev.ph</x18tc:text>
    <x18tc:mentions>
      <x18tc:mention mentionpersonId="{15edae49-3571-44c5-88d6-fa4c17f161a7}" mentionId="{e3d852a9-90c8-45c6-82c3-f9174a97834b}" startIndex="0" length="16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HJ7rWZKOI75TJwsDLqLcnMpZPouSpVl0kYVpfQDa64/edit?gid=0" TargetMode="External"/><Relationship Id="rId2" Type="http://schemas.openxmlformats.org/officeDocument/2006/relationships/hyperlink" Target="https://docs.google.com/spreadsheets/d/1DEHLHZ85BfPfGxbYA7wdKN5JOn5IPya2/edit?gid=1383285638" TargetMode="External"/><Relationship Id="rId3" Type="http://schemas.openxmlformats.org/officeDocument/2006/relationships/hyperlink" Target="https://docs.google.com/spreadsheets/d/1gwY4EcW7bF0wHkyhh0ChaLjkiTWeJt4R/edit?gid=1383726204" TargetMode="External"/><Relationship Id="rId4" Type="http://schemas.openxmlformats.org/officeDocument/2006/relationships/hyperlink" Target="https://docs.google.com/spreadsheets/d/1c5PjRYWulFUpgT5HgKv23qMr0YPGKhX1/edit?gid=772849677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docs.google.com/spreadsheets/d/16-AIyaD8VV4SiKexdLBfGwS-NCjWDwFnnZunYQRBHis/edit?gid=1755681844" TargetMode="External"/><Relationship Id="rId9" Type="http://schemas.openxmlformats.org/officeDocument/2006/relationships/hyperlink" Target="https://drive.google.com/file/d/1rhqN46G3cgp8r_7opbVIX1OcCoavkLmS/view" TargetMode="External"/><Relationship Id="rId5" Type="http://schemas.openxmlformats.org/officeDocument/2006/relationships/hyperlink" Target="https://docs.google.com/spreadsheets/d/1LJalEUaLTZXkHQplfIz-FyhsoIE_KnuIaTPiAz3Zp8I/edit?gid=1755681844" TargetMode="External"/><Relationship Id="rId6" Type="http://schemas.openxmlformats.org/officeDocument/2006/relationships/hyperlink" Target="https://docs.google.com/spreadsheets/d/1Y56ZAa_t3OQeUcvFInRejFkyydkKJSGO/edit?gid=619542810" TargetMode="External"/><Relationship Id="rId7" Type="http://schemas.openxmlformats.org/officeDocument/2006/relationships/hyperlink" Target="https://docs.google.com/spreadsheets/d/1THxhmAlv8MZXY99QNE9nEwzPW2zxsd_hRTKB6nKXyOg/edit?usp=sharing" TargetMode="External"/><Relationship Id="rId8" Type="http://schemas.openxmlformats.org/officeDocument/2006/relationships/hyperlink" Target="https://docs.google.com/spreadsheets/d/1XKM6VzOr2DGNsHdgtQIXZhOnfpcYWhgH/edit?usp=sharing&amp;ouid=102889444922373930487&amp;rtpof=true&amp;sd=true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6.25"/>
    <col customWidth="1" min="5" max="5" width="22.63"/>
    <col customWidth="1" min="6" max="6" width="37.63"/>
    <col customWidth="1" min="7" max="7" width="28.38"/>
    <col customWidth="1" min="8" max="8" width="21.0"/>
    <col customWidth="1" min="9" max="10" width="25.13"/>
    <col customWidth="1" min="11" max="11" width="22.0"/>
    <col customWidth="1" min="12" max="12" width="35.0"/>
    <col customWidth="1" min="13" max="14" width="25.13"/>
    <col customWidth="1" min="15" max="15" width="18.5"/>
    <col customWidth="1" min="16" max="19" width="25.13"/>
  </cols>
  <sheetData>
    <row r="1">
      <c r="A1" s="3" t="s">
        <v>0</v>
      </c>
      <c r="B1" s="3" t="s">
        <v>1</v>
      </c>
      <c r="C1" s="3" t="s">
        <v>2</v>
      </c>
      <c r="D1" s="3" t="s">
        <v>5</v>
      </c>
      <c r="E1" s="3" t="s">
        <v>9</v>
      </c>
      <c r="F1" s="3" t="s">
        <v>10</v>
      </c>
      <c r="G1" s="3" t="s">
        <v>15</v>
      </c>
      <c r="H1" s="3" t="s">
        <v>8</v>
      </c>
      <c r="I1" s="8" t="s">
        <v>23</v>
      </c>
      <c r="J1" s="3" t="s">
        <v>28</v>
      </c>
      <c r="K1" s="3" t="s">
        <v>31</v>
      </c>
      <c r="L1" s="3" t="s">
        <v>32</v>
      </c>
      <c r="M1" s="3" t="s">
        <v>33</v>
      </c>
      <c r="N1" s="3" t="s">
        <v>36</v>
      </c>
      <c r="O1" s="3" t="s">
        <v>39</v>
      </c>
      <c r="P1" s="3" t="s">
        <v>41</v>
      </c>
      <c r="Q1" s="3" t="s">
        <v>44</v>
      </c>
      <c r="R1" s="3" t="s">
        <v>47</v>
      </c>
      <c r="S1" s="13" t="s">
        <v>7</v>
      </c>
    </row>
    <row r="2" hidden="1">
      <c r="A2" s="16" t="s">
        <v>49</v>
      </c>
      <c r="B2" s="19" t="s">
        <v>50</v>
      </c>
      <c r="C2" s="19" t="s">
        <v>52</v>
      </c>
      <c r="D2" s="16" t="s">
        <v>53</v>
      </c>
      <c r="E2" s="16" t="str">
        <f>IFERROR(__xludf.DUMMYFUNCTION("filter('INVOICE CODES'!B:B,'INVOICE CODES'!D:D=C2,'INVOICE CODES'!E:E=D2)"),"MC-R280-Black")</f>
        <v>MC-R280-Black</v>
      </c>
      <c r="F2" s="16" t="s">
        <v>57</v>
      </c>
      <c r="G2" s="16" t="s">
        <v>58</v>
      </c>
      <c r="H2" s="23">
        <v>45567.0</v>
      </c>
      <c r="I2" s="25" t="s">
        <v>61</v>
      </c>
      <c r="J2" s="26">
        <v>368408.0</v>
      </c>
      <c r="K2" s="27" t="s">
        <v>62</v>
      </c>
      <c r="L2" s="28" t="s">
        <v>64</v>
      </c>
      <c r="M2" s="28" t="s">
        <v>67</v>
      </c>
      <c r="N2" s="28" t="s">
        <v>68</v>
      </c>
      <c r="O2" s="12">
        <v>10963.0</v>
      </c>
      <c r="P2" s="29"/>
      <c r="Q2" s="12" t="s">
        <v>71</v>
      </c>
      <c r="R2" s="29"/>
      <c r="S2" s="30"/>
    </row>
    <row r="3" hidden="1">
      <c r="A3" s="16" t="s">
        <v>49</v>
      </c>
      <c r="B3" s="19" t="s">
        <v>50</v>
      </c>
      <c r="C3" s="19" t="s">
        <v>52</v>
      </c>
      <c r="D3" s="16" t="s">
        <v>53</v>
      </c>
      <c r="E3" s="16" t="str">
        <f>IFERROR(__xludf.DUMMYFUNCTION("filter('INVOICE CODES'!B:B,'INVOICE CODES'!D:D=C3,'INVOICE CODES'!E:E=D3)"),"MC-R280-Black")</f>
        <v>MC-R280-Black</v>
      </c>
      <c r="F3" s="16" t="s">
        <v>75</v>
      </c>
      <c r="G3" s="16" t="s">
        <v>76</v>
      </c>
      <c r="H3" s="23">
        <v>45567.0</v>
      </c>
      <c r="I3" s="25" t="s">
        <v>78</v>
      </c>
      <c r="J3" s="26">
        <v>368408.0</v>
      </c>
      <c r="K3" s="27" t="s">
        <v>80</v>
      </c>
      <c r="L3" s="28" t="s">
        <v>64</v>
      </c>
      <c r="M3" s="28" t="s">
        <v>67</v>
      </c>
      <c r="N3" s="28" t="s">
        <v>82</v>
      </c>
      <c r="O3" s="12">
        <v>10994.0</v>
      </c>
      <c r="P3" s="29"/>
      <c r="Q3" s="12" t="s">
        <v>83</v>
      </c>
      <c r="R3" s="29"/>
      <c r="S3" s="30"/>
    </row>
    <row r="4" hidden="1">
      <c r="A4" s="16" t="s">
        <v>49</v>
      </c>
      <c r="B4" s="19" t="s">
        <v>50</v>
      </c>
      <c r="C4" s="19" t="s">
        <v>52</v>
      </c>
      <c r="D4" s="16" t="s">
        <v>53</v>
      </c>
      <c r="E4" s="16" t="str">
        <f>IFERROR(__xludf.DUMMYFUNCTION("filter('INVOICE CODES'!B:B,'INVOICE CODES'!D:D=C4,'INVOICE CODES'!E:E=D4)"),"MC-R280-Black")</f>
        <v>MC-R280-Black</v>
      </c>
      <c r="F4" s="16" t="s">
        <v>89</v>
      </c>
      <c r="G4" s="16" t="s">
        <v>91</v>
      </c>
      <c r="H4" s="23">
        <v>45567.0</v>
      </c>
      <c r="I4" s="25" t="s">
        <v>92</v>
      </c>
      <c r="J4" s="26">
        <v>368408.0</v>
      </c>
      <c r="K4" s="27" t="s">
        <v>94</v>
      </c>
      <c r="L4" s="28" t="s">
        <v>64</v>
      </c>
      <c r="M4" s="28" t="s">
        <v>67</v>
      </c>
      <c r="N4" s="28" t="s">
        <v>96</v>
      </c>
      <c r="O4" s="12">
        <v>10982.0</v>
      </c>
      <c r="P4" s="29"/>
      <c r="Q4" s="12" t="s">
        <v>101</v>
      </c>
      <c r="R4" s="29"/>
      <c r="S4" s="30"/>
    </row>
    <row r="5" hidden="1">
      <c r="A5" s="16" t="s">
        <v>49</v>
      </c>
      <c r="B5" s="19" t="s">
        <v>50</v>
      </c>
      <c r="C5" s="19" t="s">
        <v>52</v>
      </c>
      <c r="D5" s="16" t="s">
        <v>53</v>
      </c>
      <c r="E5" s="16" t="str">
        <f>IFERROR(__xludf.DUMMYFUNCTION("filter('INVOICE CODES'!B:B,'INVOICE CODES'!D:D=C5,'INVOICE CODES'!E:E=D5)"),"MC-R280-Black")</f>
        <v>MC-R280-Black</v>
      </c>
      <c r="F5" s="16" t="s">
        <v>104</v>
      </c>
      <c r="G5" s="16" t="s">
        <v>105</v>
      </c>
      <c r="H5" s="23">
        <v>45567.0</v>
      </c>
      <c r="I5" s="25" t="s">
        <v>107</v>
      </c>
      <c r="J5" s="26">
        <v>368408.0</v>
      </c>
      <c r="K5" s="27" t="s">
        <v>110</v>
      </c>
      <c r="L5" s="28" t="s">
        <v>64</v>
      </c>
      <c r="M5" s="28" t="s">
        <v>67</v>
      </c>
      <c r="N5" s="28" t="s">
        <v>114</v>
      </c>
      <c r="O5" s="12">
        <v>10991.0</v>
      </c>
      <c r="P5" s="29"/>
      <c r="Q5" s="12" t="s">
        <v>115</v>
      </c>
      <c r="R5" s="29"/>
      <c r="S5" s="30"/>
    </row>
    <row r="6" hidden="1">
      <c r="A6" s="16" t="s">
        <v>49</v>
      </c>
      <c r="B6" s="19" t="s">
        <v>50</v>
      </c>
      <c r="C6" s="19" t="s">
        <v>52</v>
      </c>
      <c r="D6" s="16" t="s">
        <v>53</v>
      </c>
      <c r="E6" s="16" t="str">
        <f>IFERROR(__xludf.DUMMYFUNCTION("filter('INVOICE CODES'!B:B,'INVOICE CODES'!D:D=C6,'INVOICE CODES'!E:E=D6)"),"MC-R280-Black")</f>
        <v>MC-R280-Black</v>
      </c>
      <c r="F6" s="16" t="s">
        <v>118</v>
      </c>
      <c r="G6" s="16" t="s">
        <v>120</v>
      </c>
      <c r="H6" s="23">
        <v>45567.0</v>
      </c>
      <c r="I6" s="25" t="s">
        <v>122</v>
      </c>
      <c r="J6" s="26">
        <v>368408.0</v>
      </c>
      <c r="K6" s="27" t="s">
        <v>124</v>
      </c>
      <c r="L6" s="28" t="s">
        <v>64</v>
      </c>
      <c r="M6" s="28" t="s">
        <v>67</v>
      </c>
      <c r="N6" s="28" t="s">
        <v>126</v>
      </c>
      <c r="O6" s="12">
        <v>11013.0</v>
      </c>
      <c r="P6" s="29"/>
      <c r="Q6" s="12" t="s">
        <v>127</v>
      </c>
      <c r="R6" s="29"/>
      <c r="S6" s="30"/>
    </row>
    <row r="7" hidden="1">
      <c r="A7" s="16" t="s">
        <v>49</v>
      </c>
      <c r="B7" s="19" t="s">
        <v>50</v>
      </c>
      <c r="C7" s="19" t="s">
        <v>52</v>
      </c>
      <c r="D7" s="16" t="s">
        <v>53</v>
      </c>
      <c r="E7" s="16" t="str">
        <f>IFERROR(__xludf.DUMMYFUNCTION("filter('INVOICE CODES'!B:B,'INVOICE CODES'!D:D=C7,'INVOICE CODES'!E:E=D7)"),"MC-R280-Black")</f>
        <v>MC-R280-Black</v>
      </c>
      <c r="F7" s="16" t="s">
        <v>132</v>
      </c>
      <c r="G7" s="16" t="s">
        <v>133</v>
      </c>
      <c r="H7" s="23">
        <v>45567.0</v>
      </c>
      <c r="I7" s="25" t="s">
        <v>134</v>
      </c>
      <c r="J7" s="26">
        <v>368408.0</v>
      </c>
      <c r="K7" s="27" t="s">
        <v>135</v>
      </c>
      <c r="L7" s="28" t="s">
        <v>64</v>
      </c>
      <c r="M7" s="28" t="s">
        <v>67</v>
      </c>
      <c r="N7" s="28" t="s">
        <v>137</v>
      </c>
      <c r="O7" s="12">
        <v>11062.0</v>
      </c>
      <c r="P7" s="29"/>
      <c r="Q7" s="12" t="s">
        <v>138</v>
      </c>
      <c r="R7" s="29"/>
      <c r="S7" s="30"/>
    </row>
    <row r="8" hidden="1">
      <c r="A8" s="16" t="s">
        <v>49</v>
      </c>
      <c r="B8" s="19" t="s">
        <v>50</v>
      </c>
      <c r="C8" s="19" t="s">
        <v>52</v>
      </c>
      <c r="D8" s="16" t="s">
        <v>53</v>
      </c>
      <c r="E8" s="16" t="str">
        <f>IFERROR(__xludf.DUMMYFUNCTION("filter('INVOICE CODES'!B:B,'INVOICE CODES'!D:D=C8,'INVOICE CODES'!E:E=D8)"),"MC-R280-Black")</f>
        <v>MC-R280-Black</v>
      </c>
      <c r="F8" s="16" t="s">
        <v>143</v>
      </c>
      <c r="G8" s="16" t="s">
        <v>145</v>
      </c>
      <c r="H8" s="23">
        <v>45567.0</v>
      </c>
      <c r="I8" s="25" t="s">
        <v>148</v>
      </c>
      <c r="J8" s="26">
        <v>368408.0</v>
      </c>
      <c r="K8" s="27" t="s">
        <v>150</v>
      </c>
      <c r="L8" s="28" t="s">
        <v>64</v>
      </c>
      <c r="M8" s="28" t="s">
        <v>67</v>
      </c>
      <c r="N8" s="28" t="s">
        <v>151</v>
      </c>
      <c r="O8" s="12">
        <v>10952.0</v>
      </c>
      <c r="P8" s="29"/>
      <c r="Q8" s="12" t="s">
        <v>154</v>
      </c>
      <c r="R8" s="29"/>
      <c r="S8" s="30"/>
    </row>
    <row r="9" hidden="1">
      <c r="A9" s="16" t="s">
        <v>49</v>
      </c>
      <c r="B9" s="19" t="s">
        <v>50</v>
      </c>
      <c r="C9" s="19" t="s">
        <v>52</v>
      </c>
      <c r="D9" s="16" t="s">
        <v>53</v>
      </c>
      <c r="E9" s="16" t="str">
        <f>IFERROR(__xludf.DUMMYFUNCTION("filter('INVOICE CODES'!B:B,'INVOICE CODES'!D:D=C9,'INVOICE CODES'!E:E=D9)"),"MC-R280-Black")</f>
        <v>MC-R280-Black</v>
      </c>
      <c r="F9" s="16" t="s">
        <v>160</v>
      </c>
      <c r="G9" s="16" t="s">
        <v>162</v>
      </c>
      <c r="H9" s="23">
        <v>45567.0</v>
      </c>
      <c r="I9" s="25" t="s">
        <v>164</v>
      </c>
      <c r="J9" s="26">
        <v>368408.0</v>
      </c>
      <c r="K9" s="27" t="s">
        <v>166</v>
      </c>
      <c r="L9" s="28" t="s">
        <v>64</v>
      </c>
      <c r="M9" s="28" t="s">
        <v>67</v>
      </c>
      <c r="N9" s="28" t="s">
        <v>168</v>
      </c>
      <c r="O9" s="12">
        <v>10988.0</v>
      </c>
      <c r="P9" s="29"/>
      <c r="Q9" s="12" t="s">
        <v>170</v>
      </c>
      <c r="R9" s="29"/>
      <c r="S9" s="30"/>
    </row>
    <row r="10" hidden="1">
      <c r="A10" s="16" t="s">
        <v>49</v>
      </c>
      <c r="B10" s="19" t="s">
        <v>50</v>
      </c>
      <c r="C10" s="19" t="s">
        <v>52</v>
      </c>
      <c r="D10" s="16" t="s">
        <v>53</v>
      </c>
      <c r="E10" s="16" t="str">
        <f>IFERROR(__xludf.DUMMYFUNCTION("filter('INVOICE CODES'!B:B,'INVOICE CODES'!D:D=C10,'INVOICE CODES'!E:E=D10)"),"MC-R280-Black")</f>
        <v>MC-R280-Black</v>
      </c>
      <c r="F10" s="16" t="s">
        <v>177</v>
      </c>
      <c r="G10" s="16" t="s">
        <v>178</v>
      </c>
      <c r="H10" s="23">
        <v>45567.0</v>
      </c>
      <c r="I10" s="25" t="s">
        <v>179</v>
      </c>
      <c r="J10" s="26">
        <v>368408.0</v>
      </c>
      <c r="K10" s="27" t="s">
        <v>181</v>
      </c>
      <c r="L10" s="28" t="s">
        <v>64</v>
      </c>
      <c r="M10" s="28" t="s">
        <v>67</v>
      </c>
      <c r="N10" s="28" t="s">
        <v>185</v>
      </c>
      <c r="O10" s="12">
        <v>10999.0</v>
      </c>
      <c r="P10" s="29"/>
      <c r="Q10" s="12" t="s">
        <v>187</v>
      </c>
      <c r="R10" s="29"/>
      <c r="S10" s="30"/>
    </row>
    <row r="11" hidden="1">
      <c r="A11" s="16" t="s">
        <v>49</v>
      </c>
      <c r="B11" s="19" t="s">
        <v>50</v>
      </c>
      <c r="C11" s="19" t="s">
        <v>52</v>
      </c>
      <c r="D11" s="16" t="s">
        <v>53</v>
      </c>
      <c r="E11" s="16" t="str">
        <f>IFERROR(__xludf.DUMMYFUNCTION("filter('INVOICE CODES'!B:B,'INVOICE CODES'!D:D=C11,'INVOICE CODES'!E:E=D11)"),"MC-R280-Black")</f>
        <v>MC-R280-Black</v>
      </c>
      <c r="F11" s="16" t="s">
        <v>191</v>
      </c>
      <c r="G11" s="16" t="s">
        <v>192</v>
      </c>
      <c r="H11" s="23">
        <v>45567.0</v>
      </c>
      <c r="I11" s="25" t="s">
        <v>194</v>
      </c>
      <c r="J11" s="26">
        <v>368408.0</v>
      </c>
      <c r="K11" s="27" t="s">
        <v>195</v>
      </c>
      <c r="L11" s="28" t="s">
        <v>64</v>
      </c>
      <c r="M11" s="28" t="s">
        <v>67</v>
      </c>
      <c r="N11" s="28" t="s">
        <v>197</v>
      </c>
      <c r="O11" s="12">
        <v>11067.0</v>
      </c>
      <c r="P11" s="29"/>
      <c r="Q11" s="12" t="s">
        <v>199</v>
      </c>
      <c r="R11" s="29"/>
      <c r="S11" s="30"/>
    </row>
    <row r="12" hidden="1">
      <c r="A12" s="16" t="s">
        <v>49</v>
      </c>
      <c r="B12" s="19" t="s">
        <v>50</v>
      </c>
      <c r="C12" s="19" t="s">
        <v>52</v>
      </c>
      <c r="D12" s="16" t="s">
        <v>53</v>
      </c>
      <c r="E12" s="16" t="str">
        <f>IFERROR(__xludf.DUMMYFUNCTION("filter('INVOICE CODES'!B:B,'INVOICE CODES'!D:D=C12,'INVOICE CODES'!E:E=D12)"),"MC-R280-Black")</f>
        <v>MC-R280-Black</v>
      </c>
      <c r="F12" s="16" t="s">
        <v>203</v>
      </c>
      <c r="G12" s="16" t="s">
        <v>204</v>
      </c>
      <c r="H12" s="23">
        <v>45567.0</v>
      </c>
      <c r="I12" s="25" t="s">
        <v>206</v>
      </c>
      <c r="J12" s="26">
        <v>368408.0</v>
      </c>
      <c r="K12" s="27" t="s">
        <v>207</v>
      </c>
      <c r="L12" s="28" t="s">
        <v>64</v>
      </c>
      <c r="M12" s="28" t="s">
        <v>67</v>
      </c>
      <c r="N12" s="28" t="s">
        <v>210</v>
      </c>
      <c r="O12" s="12">
        <v>10983.0</v>
      </c>
      <c r="P12" s="29"/>
      <c r="Q12" s="12" t="s">
        <v>212</v>
      </c>
      <c r="R12" s="29"/>
      <c r="S12" s="30"/>
    </row>
    <row r="13" hidden="1">
      <c r="A13" s="16" t="s">
        <v>49</v>
      </c>
      <c r="B13" s="19" t="s">
        <v>50</v>
      </c>
      <c r="C13" s="19" t="s">
        <v>52</v>
      </c>
      <c r="D13" s="16" t="s">
        <v>53</v>
      </c>
      <c r="E13" s="16" t="str">
        <f>IFERROR(__xludf.DUMMYFUNCTION("filter('INVOICE CODES'!B:B,'INVOICE CODES'!D:D=C13,'INVOICE CODES'!E:E=D13)"),"MC-R280-Black")</f>
        <v>MC-R280-Black</v>
      </c>
      <c r="F13" s="16" t="s">
        <v>216</v>
      </c>
      <c r="G13" s="16" t="s">
        <v>218</v>
      </c>
      <c r="H13" s="23">
        <v>45567.0</v>
      </c>
      <c r="I13" s="25" t="s">
        <v>220</v>
      </c>
      <c r="J13" s="26">
        <v>368408.0</v>
      </c>
      <c r="K13" s="27" t="s">
        <v>222</v>
      </c>
      <c r="L13" s="28" t="s">
        <v>64</v>
      </c>
      <c r="M13" s="28" t="s">
        <v>67</v>
      </c>
      <c r="N13" s="28" t="s">
        <v>224</v>
      </c>
      <c r="O13" s="12">
        <v>11057.0</v>
      </c>
      <c r="P13" s="29"/>
      <c r="Q13" s="12" t="s">
        <v>227</v>
      </c>
      <c r="R13" s="29"/>
      <c r="S13" s="30"/>
    </row>
    <row r="14" hidden="1">
      <c r="A14" s="16" t="s">
        <v>49</v>
      </c>
      <c r="B14" s="19" t="s">
        <v>50</v>
      </c>
      <c r="C14" s="19" t="s">
        <v>52</v>
      </c>
      <c r="D14" s="16" t="s">
        <v>53</v>
      </c>
      <c r="E14" s="16" t="str">
        <f>IFERROR(__xludf.DUMMYFUNCTION("filter('INVOICE CODES'!B:B,'INVOICE CODES'!D:D=C14,'INVOICE CODES'!E:E=D14)"),"MC-R280-Black")</f>
        <v>MC-R280-Black</v>
      </c>
      <c r="F14" s="16" t="s">
        <v>233</v>
      </c>
      <c r="G14" s="16" t="s">
        <v>234</v>
      </c>
      <c r="H14" s="23">
        <v>45567.0</v>
      </c>
      <c r="I14" s="25" t="s">
        <v>235</v>
      </c>
      <c r="J14" s="26">
        <v>368408.0</v>
      </c>
      <c r="K14" s="27" t="s">
        <v>237</v>
      </c>
      <c r="L14" s="28" t="s">
        <v>64</v>
      </c>
      <c r="M14" s="28" t="s">
        <v>67</v>
      </c>
      <c r="N14" s="28" t="s">
        <v>242</v>
      </c>
      <c r="O14" s="12">
        <v>10957.0</v>
      </c>
      <c r="P14" s="29"/>
      <c r="Q14" s="12" t="s">
        <v>243</v>
      </c>
      <c r="R14" s="29"/>
      <c r="S14" s="30"/>
    </row>
    <row r="15" hidden="1">
      <c r="A15" s="16" t="s">
        <v>49</v>
      </c>
      <c r="B15" s="19" t="s">
        <v>50</v>
      </c>
      <c r="C15" s="19" t="s">
        <v>52</v>
      </c>
      <c r="D15" s="16" t="s">
        <v>53</v>
      </c>
      <c r="E15" s="16" t="str">
        <f>IFERROR(__xludf.DUMMYFUNCTION("filter('INVOICE CODES'!B:B,'INVOICE CODES'!D:D=C15,'INVOICE CODES'!E:E=D15)"),"MC-R280-Black")</f>
        <v>MC-R280-Black</v>
      </c>
      <c r="F15" s="16" t="s">
        <v>248</v>
      </c>
      <c r="G15" s="16" t="s">
        <v>250</v>
      </c>
      <c r="H15" s="23">
        <v>45567.0</v>
      </c>
      <c r="I15" s="25" t="s">
        <v>253</v>
      </c>
      <c r="J15" s="26">
        <v>368408.0</v>
      </c>
      <c r="K15" s="27" t="s">
        <v>257</v>
      </c>
      <c r="L15" s="28" t="s">
        <v>64</v>
      </c>
      <c r="M15" s="28" t="s">
        <v>67</v>
      </c>
      <c r="N15" s="28" t="s">
        <v>260</v>
      </c>
      <c r="O15" s="12">
        <v>11060.0</v>
      </c>
      <c r="P15" s="29"/>
      <c r="Q15" s="12" t="s">
        <v>262</v>
      </c>
      <c r="R15" s="29"/>
      <c r="S15" s="30"/>
    </row>
    <row r="16" hidden="1">
      <c r="A16" s="16" t="s">
        <v>49</v>
      </c>
      <c r="B16" s="19" t="s">
        <v>50</v>
      </c>
      <c r="C16" s="19" t="s">
        <v>52</v>
      </c>
      <c r="D16" s="16" t="s">
        <v>53</v>
      </c>
      <c r="E16" s="16" t="str">
        <f>IFERROR(__xludf.DUMMYFUNCTION("filter('INVOICE CODES'!B:B,'INVOICE CODES'!D:D=C16,'INVOICE CODES'!E:E=D16)"),"MC-R280-Black")</f>
        <v>MC-R280-Black</v>
      </c>
      <c r="F16" s="16" t="s">
        <v>270</v>
      </c>
      <c r="G16" s="16" t="s">
        <v>271</v>
      </c>
      <c r="H16" s="23">
        <v>45567.0</v>
      </c>
      <c r="I16" s="25" t="s">
        <v>272</v>
      </c>
      <c r="J16" s="26">
        <v>368408.0</v>
      </c>
      <c r="K16" s="27" t="s">
        <v>273</v>
      </c>
      <c r="L16" s="28" t="s">
        <v>64</v>
      </c>
      <c r="M16" s="28" t="s">
        <v>67</v>
      </c>
      <c r="N16" s="28" t="s">
        <v>274</v>
      </c>
      <c r="O16" s="12">
        <v>10432.0</v>
      </c>
      <c r="P16" s="29"/>
      <c r="Q16" s="12" t="s">
        <v>278</v>
      </c>
      <c r="R16" s="29"/>
      <c r="S16" s="30"/>
    </row>
    <row r="17" hidden="1">
      <c r="A17" s="16" t="s">
        <v>49</v>
      </c>
      <c r="B17" s="19" t="s">
        <v>50</v>
      </c>
      <c r="C17" s="19" t="s">
        <v>52</v>
      </c>
      <c r="D17" s="16" t="s">
        <v>53</v>
      </c>
      <c r="E17" s="16" t="str">
        <f>IFERROR(__xludf.DUMMYFUNCTION("filter('INVOICE CODES'!B:B,'INVOICE CODES'!D:D=C17,'INVOICE CODES'!E:E=D17)"),"MC-R280-Black")</f>
        <v>MC-R280-Black</v>
      </c>
      <c r="F17" s="16" t="s">
        <v>286</v>
      </c>
      <c r="G17" s="16" t="s">
        <v>287</v>
      </c>
      <c r="H17" s="23">
        <v>45567.0</v>
      </c>
      <c r="I17" s="25" t="s">
        <v>290</v>
      </c>
      <c r="J17" s="26">
        <v>368408.0</v>
      </c>
      <c r="K17" s="27" t="s">
        <v>295</v>
      </c>
      <c r="L17" s="28" t="s">
        <v>64</v>
      </c>
      <c r="M17" s="28" t="s">
        <v>67</v>
      </c>
      <c r="N17" s="28" t="s">
        <v>297</v>
      </c>
      <c r="O17" s="12">
        <v>10973.0</v>
      </c>
      <c r="P17" s="29"/>
      <c r="Q17" s="12" t="s">
        <v>301</v>
      </c>
      <c r="R17" s="29"/>
      <c r="S17" s="30"/>
    </row>
    <row r="18" hidden="1">
      <c r="A18" s="16" t="s">
        <v>49</v>
      </c>
      <c r="B18" s="19" t="s">
        <v>50</v>
      </c>
      <c r="C18" s="19" t="s">
        <v>52</v>
      </c>
      <c r="D18" s="16" t="s">
        <v>53</v>
      </c>
      <c r="E18" s="16" t="str">
        <f>IFERROR(__xludf.DUMMYFUNCTION("filter('INVOICE CODES'!B:B,'INVOICE CODES'!D:D=C18,'INVOICE CODES'!E:E=D18)"),"MC-R280-Black")</f>
        <v>MC-R280-Black</v>
      </c>
      <c r="F18" s="16" t="s">
        <v>310</v>
      </c>
      <c r="G18" s="16" t="s">
        <v>312</v>
      </c>
      <c r="H18" s="23">
        <v>45567.0</v>
      </c>
      <c r="I18" s="25" t="s">
        <v>315</v>
      </c>
      <c r="J18" s="26">
        <v>368408.0</v>
      </c>
      <c r="K18" s="27" t="s">
        <v>316</v>
      </c>
      <c r="L18" s="28" t="s">
        <v>64</v>
      </c>
      <c r="M18" s="28" t="s">
        <v>67</v>
      </c>
      <c r="N18" s="28" t="s">
        <v>318</v>
      </c>
      <c r="O18" s="12">
        <v>10962.0</v>
      </c>
      <c r="P18" s="29"/>
      <c r="Q18" s="12" t="s">
        <v>322</v>
      </c>
      <c r="R18" s="29"/>
      <c r="S18" s="30"/>
    </row>
    <row r="19" hidden="1">
      <c r="A19" s="16" t="s">
        <v>49</v>
      </c>
      <c r="B19" s="19" t="s">
        <v>50</v>
      </c>
      <c r="C19" s="19" t="s">
        <v>52</v>
      </c>
      <c r="D19" s="16" t="s">
        <v>53</v>
      </c>
      <c r="E19" s="16" t="str">
        <f>IFERROR(__xludf.DUMMYFUNCTION("filter('INVOICE CODES'!B:B,'INVOICE CODES'!D:D=C19,'INVOICE CODES'!E:E=D19)"),"MC-R280-Black")</f>
        <v>MC-R280-Black</v>
      </c>
      <c r="F19" s="16" t="s">
        <v>328</v>
      </c>
      <c r="G19" s="16" t="s">
        <v>330</v>
      </c>
      <c r="H19" s="23">
        <v>45567.0</v>
      </c>
      <c r="I19" s="25" t="s">
        <v>331</v>
      </c>
      <c r="J19" s="26">
        <v>368408.0</v>
      </c>
      <c r="K19" s="27" t="s">
        <v>332</v>
      </c>
      <c r="L19" s="28" t="s">
        <v>64</v>
      </c>
      <c r="M19" s="28" t="s">
        <v>67</v>
      </c>
      <c r="N19" s="28" t="s">
        <v>338</v>
      </c>
      <c r="O19" s="12">
        <v>10969.0</v>
      </c>
      <c r="P19" s="29"/>
      <c r="Q19" s="12" t="s">
        <v>341</v>
      </c>
      <c r="R19" s="29"/>
      <c r="S19" s="30"/>
    </row>
    <row r="20" hidden="1">
      <c r="A20" s="16" t="s">
        <v>49</v>
      </c>
      <c r="B20" s="19" t="s">
        <v>50</v>
      </c>
      <c r="C20" s="19" t="s">
        <v>52</v>
      </c>
      <c r="D20" s="16" t="s">
        <v>53</v>
      </c>
      <c r="E20" s="16" t="str">
        <f>IFERROR(__xludf.DUMMYFUNCTION("filter('INVOICE CODES'!B:B,'INVOICE CODES'!D:D=C20,'INVOICE CODES'!E:E=D20)"),"MC-R280-Black")</f>
        <v>MC-R280-Black</v>
      </c>
      <c r="F20" s="16" t="s">
        <v>349</v>
      </c>
      <c r="G20" s="16" t="s">
        <v>350</v>
      </c>
      <c r="H20" s="23">
        <v>45567.0</v>
      </c>
      <c r="I20" s="25" t="s">
        <v>352</v>
      </c>
      <c r="J20" s="26">
        <v>368408.0</v>
      </c>
      <c r="K20" s="27" t="s">
        <v>356</v>
      </c>
      <c r="L20" s="28" t="s">
        <v>64</v>
      </c>
      <c r="M20" s="28" t="s">
        <v>67</v>
      </c>
      <c r="N20" s="28" t="s">
        <v>358</v>
      </c>
      <c r="O20" s="12">
        <v>11052.0</v>
      </c>
      <c r="P20" s="29"/>
      <c r="Q20" s="12" t="s">
        <v>361</v>
      </c>
      <c r="R20" s="29"/>
      <c r="S20" s="30"/>
    </row>
    <row r="21" hidden="1">
      <c r="A21" s="16" t="s">
        <v>49</v>
      </c>
      <c r="B21" s="19" t="s">
        <v>50</v>
      </c>
      <c r="C21" s="19" t="s">
        <v>52</v>
      </c>
      <c r="D21" s="16" t="s">
        <v>53</v>
      </c>
      <c r="E21" s="16" t="str">
        <f>IFERROR(__xludf.DUMMYFUNCTION("filter('INVOICE CODES'!B:B,'INVOICE CODES'!D:D=C21,'INVOICE CODES'!E:E=D21)"),"MC-R280-Black")</f>
        <v>MC-R280-Black</v>
      </c>
      <c r="F21" s="16" t="s">
        <v>371</v>
      </c>
      <c r="G21" s="16" t="s">
        <v>373</v>
      </c>
      <c r="H21" s="23">
        <v>45567.0</v>
      </c>
      <c r="I21" s="25" t="s">
        <v>375</v>
      </c>
      <c r="J21" s="26">
        <v>368408.0</v>
      </c>
      <c r="K21" s="27" t="s">
        <v>377</v>
      </c>
      <c r="L21" s="28" t="s">
        <v>64</v>
      </c>
      <c r="M21" s="28" t="s">
        <v>67</v>
      </c>
      <c r="N21" s="28" t="s">
        <v>379</v>
      </c>
      <c r="O21" s="12">
        <v>11064.0</v>
      </c>
      <c r="P21" s="29"/>
      <c r="Q21" s="12" t="s">
        <v>380</v>
      </c>
      <c r="R21" s="29"/>
      <c r="S21" s="30"/>
    </row>
    <row r="22" hidden="1">
      <c r="A22" s="16" t="s">
        <v>49</v>
      </c>
      <c r="B22" s="19" t="s">
        <v>50</v>
      </c>
      <c r="C22" s="19" t="s">
        <v>52</v>
      </c>
      <c r="D22" s="16" t="s">
        <v>53</v>
      </c>
      <c r="E22" s="16" t="str">
        <f>IFERROR(__xludf.DUMMYFUNCTION("filter('INVOICE CODES'!B:B,'INVOICE CODES'!D:D=C22,'INVOICE CODES'!E:E=D22)"),"MC-R280-Black")</f>
        <v>MC-R280-Black</v>
      </c>
      <c r="F22" s="16" t="s">
        <v>388</v>
      </c>
      <c r="G22" s="16" t="s">
        <v>389</v>
      </c>
      <c r="H22" s="23">
        <v>45567.0</v>
      </c>
      <c r="I22" s="25" t="s">
        <v>392</v>
      </c>
      <c r="J22" s="26">
        <v>368408.0</v>
      </c>
      <c r="K22" s="27" t="s">
        <v>395</v>
      </c>
      <c r="L22" s="28" t="s">
        <v>64</v>
      </c>
      <c r="M22" s="28" t="s">
        <v>67</v>
      </c>
      <c r="N22" s="28" t="s">
        <v>397</v>
      </c>
      <c r="O22" s="12">
        <v>10996.0</v>
      </c>
      <c r="P22" s="29"/>
      <c r="Q22" s="12" t="s">
        <v>398</v>
      </c>
      <c r="R22" s="29"/>
      <c r="S22" s="30"/>
    </row>
    <row r="23" hidden="1">
      <c r="A23" s="16" t="s">
        <v>49</v>
      </c>
      <c r="B23" s="19" t="s">
        <v>50</v>
      </c>
      <c r="C23" s="19" t="s">
        <v>52</v>
      </c>
      <c r="D23" s="16" t="s">
        <v>53</v>
      </c>
      <c r="E23" s="16" t="str">
        <f>IFERROR(__xludf.DUMMYFUNCTION("filter('INVOICE CODES'!B:B,'INVOICE CODES'!D:D=C23,'INVOICE CODES'!E:E=D23)"),"MC-R280-Black")</f>
        <v>MC-R280-Black</v>
      </c>
      <c r="F23" s="16" t="s">
        <v>406</v>
      </c>
      <c r="G23" s="16" t="s">
        <v>407</v>
      </c>
      <c r="H23" s="23">
        <v>45567.0</v>
      </c>
      <c r="I23" s="25" t="s">
        <v>409</v>
      </c>
      <c r="J23" s="26">
        <v>368408.0</v>
      </c>
      <c r="K23" s="27" t="s">
        <v>411</v>
      </c>
      <c r="L23" s="28" t="s">
        <v>64</v>
      </c>
      <c r="M23" s="28" t="s">
        <v>67</v>
      </c>
      <c r="N23" s="28" t="s">
        <v>414</v>
      </c>
      <c r="O23" s="12">
        <v>10955.0</v>
      </c>
      <c r="P23" s="29"/>
      <c r="Q23" s="12" t="s">
        <v>419</v>
      </c>
      <c r="R23" s="29"/>
      <c r="S23" s="30"/>
    </row>
    <row r="24" hidden="1">
      <c r="A24" s="16" t="s">
        <v>49</v>
      </c>
      <c r="B24" s="19" t="s">
        <v>50</v>
      </c>
      <c r="C24" s="19" t="s">
        <v>52</v>
      </c>
      <c r="D24" s="16" t="s">
        <v>53</v>
      </c>
      <c r="E24" s="16" t="str">
        <f>IFERROR(__xludf.DUMMYFUNCTION("filter('INVOICE CODES'!B:B,'INVOICE CODES'!D:D=C24,'INVOICE CODES'!E:E=D24)"),"MC-R280-Black")</f>
        <v>MC-R280-Black</v>
      </c>
      <c r="F24" s="16" t="s">
        <v>428</v>
      </c>
      <c r="G24" s="16" t="s">
        <v>429</v>
      </c>
      <c r="H24" s="23">
        <v>45567.0</v>
      </c>
      <c r="I24" s="25" t="s">
        <v>433</v>
      </c>
      <c r="J24" s="26">
        <v>368408.0</v>
      </c>
      <c r="K24" s="27" t="s">
        <v>434</v>
      </c>
      <c r="L24" s="28" t="s">
        <v>64</v>
      </c>
      <c r="M24" s="28" t="s">
        <v>67</v>
      </c>
      <c r="N24" s="28" t="s">
        <v>438</v>
      </c>
      <c r="O24" s="12">
        <v>11056.0</v>
      </c>
      <c r="P24" s="29"/>
      <c r="Q24" s="12" t="s">
        <v>442</v>
      </c>
      <c r="R24" s="29"/>
      <c r="S24" s="30"/>
    </row>
    <row r="25" hidden="1">
      <c r="A25" s="16" t="s">
        <v>49</v>
      </c>
      <c r="B25" s="19" t="s">
        <v>50</v>
      </c>
      <c r="C25" s="19" t="s">
        <v>52</v>
      </c>
      <c r="D25" s="16" t="s">
        <v>53</v>
      </c>
      <c r="E25" s="16" t="str">
        <f>IFERROR(__xludf.DUMMYFUNCTION("filter('INVOICE CODES'!B:B,'INVOICE CODES'!D:D=C25,'INVOICE CODES'!E:E=D25)"),"MC-R280-Black")</f>
        <v>MC-R280-Black</v>
      </c>
      <c r="F25" s="16" t="s">
        <v>451</v>
      </c>
      <c r="G25" s="16" t="s">
        <v>452</v>
      </c>
      <c r="H25" s="23">
        <v>45567.0</v>
      </c>
      <c r="I25" s="25" t="s">
        <v>456</v>
      </c>
      <c r="J25" s="26">
        <v>368408.0</v>
      </c>
      <c r="K25" s="27" t="s">
        <v>459</v>
      </c>
      <c r="L25" s="28" t="s">
        <v>64</v>
      </c>
      <c r="M25" s="28" t="s">
        <v>67</v>
      </c>
      <c r="N25" s="28" t="s">
        <v>461</v>
      </c>
      <c r="O25" s="12">
        <v>10975.0</v>
      </c>
      <c r="P25" s="29"/>
      <c r="Q25" s="12" t="s">
        <v>463</v>
      </c>
      <c r="R25" s="29"/>
      <c r="S25" s="30"/>
    </row>
    <row r="26" hidden="1">
      <c r="A26" s="16" t="s">
        <v>49</v>
      </c>
      <c r="B26" s="19" t="s">
        <v>50</v>
      </c>
      <c r="C26" s="19" t="s">
        <v>52</v>
      </c>
      <c r="D26" s="16" t="s">
        <v>53</v>
      </c>
      <c r="E26" s="16" t="str">
        <f>IFERROR(__xludf.DUMMYFUNCTION("filter('INVOICE CODES'!B:B,'INVOICE CODES'!D:D=C26,'INVOICE CODES'!E:E=D26)"),"MC-R280-Black")</f>
        <v>MC-R280-Black</v>
      </c>
      <c r="F26" s="16" t="s">
        <v>472</v>
      </c>
      <c r="G26" s="16" t="s">
        <v>474</v>
      </c>
      <c r="H26" s="23">
        <v>45567.0</v>
      </c>
      <c r="I26" s="25" t="s">
        <v>478</v>
      </c>
      <c r="J26" s="26">
        <v>368408.0</v>
      </c>
      <c r="K26" s="27" t="s">
        <v>480</v>
      </c>
      <c r="L26" s="28" t="s">
        <v>64</v>
      </c>
      <c r="M26" s="28" t="s">
        <v>67</v>
      </c>
      <c r="N26" s="46" t="s">
        <v>481</v>
      </c>
      <c r="O26" s="12">
        <v>10971.0</v>
      </c>
      <c r="P26" s="29"/>
      <c r="Q26" s="46" t="s">
        <v>488</v>
      </c>
      <c r="R26" s="29"/>
      <c r="S26" s="30"/>
    </row>
    <row r="27" hidden="1">
      <c r="A27" s="16" t="s">
        <v>49</v>
      </c>
      <c r="B27" s="19" t="s">
        <v>50</v>
      </c>
      <c r="C27" s="19" t="s">
        <v>52</v>
      </c>
      <c r="D27" s="16" t="s">
        <v>53</v>
      </c>
      <c r="E27" s="16" t="str">
        <f>IFERROR(__xludf.DUMMYFUNCTION("filter('INVOICE CODES'!B:B,'INVOICE CODES'!D:D=C27,'INVOICE CODES'!E:E=D27)"),"MC-R280-Black")</f>
        <v>MC-R280-Black</v>
      </c>
      <c r="F27" s="16" t="s">
        <v>496</v>
      </c>
      <c r="G27" s="16" t="s">
        <v>498</v>
      </c>
      <c r="H27" s="23">
        <v>45567.0</v>
      </c>
      <c r="I27" s="25" t="s">
        <v>501</v>
      </c>
      <c r="J27" s="26">
        <v>368408.0</v>
      </c>
      <c r="K27" s="27" t="s">
        <v>503</v>
      </c>
      <c r="L27" s="28" t="s">
        <v>64</v>
      </c>
      <c r="M27" s="28" t="s">
        <v>67</v>
      </c>
      <c r="N27" s="28" t="s">
        <v>504</v>
      </c>
      <c r="O27" s="12">
        <v>10951.0</v>
      </c>
      <c r="P27" s="29"/>
      <c r="Q27" s="12" t="s">
        <v>508</v>
      </c>
      <c r="R27" s="29"/>
      <c r="S27" s="30"/>
    </row>
    <row r="28" hidden="1">
      <c r="A28" s="16" t="s">
        <v>49</v>
      </c>
      <c r="B28" s="19" t="s">
        <v>50</v>
      </c>
      <c r="C28" s="19" t="s">
        <v>52</v>
      </c>
      <c r="D28" s="16" t="s">
        <v>53</v>
      </c>
      <c r="E28" s="16" t="str">
        <f>IFERROR(__xludf.DUMMYFUNCTION("filter('INVOICE CODES'!B:B,'INVOICE CODES'!D:D=C28,'INVOICE CODES'!E:E=D28)"),"MC-R280-Black")</f>
        <v>MC-R280-Black</v>
      </c>
      <c r="F28" s="16" t="s">
        <v>516</v>
      </c>
      <c r="G28" s="16" t="s">
        <v>517</v>
      </c>
      <c r="H28" s="23">
        <v>45567.0</v>
      </c>
      <c r="I28" s="25" t="s">
        <v>519</v>
      </c>
      <c r="J28" s="26">
        <v>368408.0</v>
      </c>
      <c r="K28" s="27" t="s">
        <v>521</v>
      </c>
      <c r="L28" s="28" t="s">
        <v>64</v>
      </c>
      <c r="M28" s="28" t="s">
        <v>67</v>
      </c>
      <c r="N28" s="28" t="s">
        <v>522</v>
      </c>
      <c r="O28" s="12">
        <v>10968.0</v>
      </c>
      <c r="P28" s="29"/>
      <c r="Q28" s="12" t="s">
        <v>525</v>
      </c>
      <c r="R28" s="29"/>
      <c r="S28" s="30"/>
    </row>
    <row r="29" hidden="1">
      <c r="A29" s="16" t="s">
        <v>49</v>
      </c>
      <c r="B29" s="19" t="s">
        <v>50</v>
      </c>
      <c r="C29" s="19" t="s">
        <v>52</v>
      </c>
      <c r="D29" s="16" t="s">
        <v>53</v>
      </c>
      <c r="E29" s="16" t="str">
        <f>IFERROR(__xludf.DUMMYFUNCTION("filter('INVOICE CODES'!B:B,'INVOICE CODES'!D:D=C29,'INVOICE CODES'!E:E=D29)"),"MC-R280-Black")</f>
        <v>MC-R280-Black</v>
      </c>
      <c r="F29" s="16" t="s">
        <v>531</v>
      </c>
      <c r="G29" s="16" t="s">
        <v>532</v>
      </c>
      <c r="H29" s="23">
        <v>45567.0</v>
      </c>
      <c r="I29" s="25" t="s">
        <v>535</v>
      </c>
      <c r="J29" s="26">
        <v>368408.0</v>
      </c>
      <c r="K29" s="27" t="s">
        <v>536</v>
      </c>
      <c r="L29" s="28" t="s">
        <v>64</v>
      </c>
      <c r="M29" s="28" t="s">
        <v>67</v>
      </c>
      <c r="N29" s="28" t="s">
        <v>537</v>
      </c>
      <c r="O29" s="12">
        <v>10959.0</v>
      </c>
      <c r="P29" s="29"/>
      <c r="Q29" s="12" t="s">
        <v>541</v>
      </c>
      <c r="R29" s="29"/>
      <c r="S29" s="30"/>
    </row>
    <row r="30" hidden="1">
      <c r="A30" s="16" t="s">
        <v>49</v>
      </c>
      <c r="B30" s="19" t="s">
        <v>50</v>
      </c>
      <c r="C30" s="19" t="s">
        <v>52</v>
      </c>
      <c r="D30" s="16" t="s">
        <v>53</v>
      </c>
      <c r="E30" s="16" t="str">
        <f>IFERROR(__xludf.DUMMYFUNCTION("filter('INVOICE CODES'!B:B,'INVOICE CODES'!D:D=C30,'INVOICE CODES'!E:E=D30)"),"MC-R280-Black")</f>
        <v>MC-R280-Black</v>
      </c>
      <c r="F30" s="16" t="s">
        <v>550</v>
      </c>
      <c r="G30" s="16" t="s">
        <v>551</v>
      </c>
      <c r="H30" s="23">
        <v>45567.0</v>
      </c>
      <c r="I30" s="25" t="s">
        <v>552</v>
      </c>
      <c r="J30" s="26">
        <v>368408.0</v>
      </c>
      <c r="K30" s="27" t="s">
        <v>554</v>
      </c>
      <c r="L30" s="28" t="s">
        <v>64</v>
      </c>
      <c r="M30" s="28" t="s">
        <v>67</v>
      </c>
      <c r="N30" s="28" t="s">
        <v>555</v>
      </c>
      <c r="O30" s="12">
        <v>10956.0</v>
      </c>
      <c r="P30" s="29"/>
      <c r="Q30" s="12" t="s">
        <v>556</v>
      </c>
      <c r="R30" s="29"/>
      <c r="S30" s="30"/>
    </row>
    <row r="31" hidden="1">
      <c r="A31" s="16" t="s">
        <v>49</v>
      </c>
      <c r="B31" s="19" t="s">
        <v>50</v>
      </c>
      <c r="C31" s="19" t="s">
        <v>52</v>
      </c>
      <c r="D31" s="16" t="s">
        <v>53</v>
      </c>
      <c r="E31" s="16" t="str">
        <f>IFERROR(__xludf.DUMMYFUNCTION("filter('INVOICE CODES'!B:B,'INVOICE CODES'!D:D=C31,'INVOICE CODES'!E:E=D31)"),"MC-R280-Black")</f>
        <v>MC-R280-Black</v>
      </c>
      <c r="F31" s="16" t="s">
        <v>561</v>
      </c>
      <c r="G31" s="16" t="s">
        <v>562</v>
      </c>
      <c r="H31" s="23">
        <v>45567.0</v>
      </c>
      <c r="I31" s="25" t="s">
        <v>564</v>
      </c>
      <c r="J31" s="26">
        <v>368408.0</v>
      </c>
      <c r="K31" s="27" t="s">
        <v>565</v>
      </c>
      <c r="L31" s="29"/>
      <c r="M31" s="29"/>
      <c r="N31" s="29"/>
      <c r="O31" s="29"/>
      <c r="P31" s="29"/>
      <c r="Q31" s="29"/>
      <c r="R31" s="29"/>
      <c r="S31" s="30"/>
    </row>
    <row r="32" hidden="1">
      <c r="A32" s="16" t="s">
        <v>49</v>
      </c>
      <c r="B32" s="19" t="s">
        <v>50</v>
      </c>
      <c r="C32" s="19" t="s">
        <v>52</v>
      </c>
      <c r="D32" s="16" t="s">
        <v>53</v>
      </c>
      <c r="E32" s="16" t="str">
        <f>IFERROR(__xludf.DUMMYFUNCTION("filter('INVOICE CODES'!B:B,'INVOICE CODES'!D:D=C32,'INVOICE CODES'!E:E=D32)"),"MC-R280-Black")</f>
        <v>MC-R280-Black</v>
      </c>
      <c r="F32" s="16" t="s">
        <v>574</v>
      </c>
      <c r="G32" s="16" t="s">
        <v>576</v>
      </c>
      <c r="H32" s="23">
        <v>45567.0</v>
      </c>
      <c r="I32" s="25" t="s">
        <v>577</v>
      </c>
      <c r="J32" s="26">
        <v>368408.0</v>
      </c>
      <c r="K32" s="27" t="s">
        <v>578</v>
      </c>
      <c r="L32" s="28" t="s">
        <v>64</v>
      </c>
      <c r="M32" s="28" t="s">
        <v>67</v>
      </c>
      <c r="N32" s="28" t="s">
        <v>579</v>
      </c>
      <c r="O32" s="12">
        <v>11051.0</v>
      </c>
      <c r="P32" s="29"/>
      <c r="Q32" s="12" t="s">
        <v>584</v>
      </c>
      <c r="R32" s="29"/>
      <c r="S32" s="30"/>
    </row>
    <row r="33" hidden="1">
      <c r="A33" s="16" t="s">
        <v>49</v>
      </c>
      <c r="B33" s="19" t="s">
        <v>50</v>
      </c>
      <c r="C33" s="19" t="s">
        <v>52</v>
      </c>
      <c r="D33" s="16" t="s">
        <v>53</v>
      </c>
      <c r="E33" s="16" t="str">
        <f>IFERROR(__xludf.DUMMYFUNCTION("filter('INVOICE CODES'!B:B,'INVOICE CODES'!D:D=C33,'INVOICE CODES'!E:E=D33)"),"MC-R280-Black")</f>
        <v>MC-R280-Black</v>
      </c>
      <c r="F33" s="16" t="s">
        <v>588</v>
      </c>
      <c r="G33" s="16" t="s">
        <v>589</v>
      </c>
      <c r="H33" s="23">
        <v>45567.0</v>
      </c>
      <c r="I33" s="25" t="s">
        <v>592</v>
      </c>
      <c r="J33" s="26">
        <v>368408.0</v>
      </c>
      <c r="K33" s="27" t="s">
        <v>594</v>
      </c>
      <c r="L33" s="28" t="s">
        <v>64</v>
      </c>
      <c r="M33" s="28" t="s">
        <v>67</v>
      </c>
      <c r="N33" s="28" t="s">
        <v>597</v>
      </c>
      <c r="O33" s="12">
        <v>10978.0</v>
      </c>
      <c r="P33" s="29"/>
      <c r="Q33" s="12" t="s">
        <v>598</v>
      </c>
      <c r="R33" s="29"/>
      <c r="S33" s="30"/>
    </row>
    <row r="34" hidden="1">
      <c r="A34" s="16" t="s">
        <v>49</v>
      </c>
      <c r="B34" s="19" t="s">
        <v>50</v>
      </c>
      <c r="C34" s="19" t="s">
        <v>52</v>
      </c>
      <c r="D34" s="16" t="s">
        <v>53</v>
      </c>
      <c r="E34" s="16" t="str">
        <f>IFERROR(__xludf.DUMMYFUNCTION("filter('INVOICE CODES'!B:B,'INVOICE CODES'!D:D=C34,'INVOICE CODES'!E:E=D34)"),"MC-R280-Black")</f>
        <v>MC-R280-Black</v>
      </c>
      <c r="F34" s="16" t="s">
        <v>604</v>
      </c>
      <c r="G34" s="16" t="s">
        <v>605</v>
      </c>
      <c r="H34" s="23">
        <v>45567.0</v>
      </c>
      <c r="I34" s="25" t="s">
        <v>607</v>
      </c>
      <c r="J34" s="26">
        <v>368408.0</v>
      </c>
      <c r="K34" s="27" t="s">
        <v>608</v>
      </c>
      <c r="L34" s="28" t="s">
        <v>64</v>
      </c>
      <c r="M34" s="28" t="s">
        <v>67</v>
      </c>
      <c r="N34" s="28" t="s">
        <v>610</v>
      </c>
      <c r="O34" s="12">
        <v>10980.0</v>
      </c>
      <c r="P34" s="29"/>
      <c r="Q34" s="12" t="s">
        <v>615</v>
      </c>
      <c r="R34" s="29"/>
      <c r="S34" s="30"/>
    </row>
    <row r="35" hidden="1">
      <c r="A35" s="16" t="s">
        <v>49</v>
      </c>
      <c r="B35" s="19" t="s">
        <v>50</v>
      </c>
      <c r="C35" s="19" t="s">
        <v>52</v>
      </c>
      <c r="D35" s="16" t="s">
        <v>53</v>
      </c>
      <c r="E35" s="16" t="str">
        <f>IFERROR(__xludf.DUMMYFUNCTION("filter('INVOICE CODES'!B:B,'INVOICE CODES'!D:D=C35,'INVOICE CODES'!E:E=D35)"),"MC-R280-Black")</f>
        <v>MC-R280-Black</v>
      </c>
      <c r="F35" s="16" t="s">
        <v>620</v>
      </c>
      <c r="G35" s="16" t="s">
        <v>623</v>
      </c>
      <c r="H35" s="23">
        <v>45567.0</v>
      </c>
      <c r="I35" s="25" t="s">
        <v>625</v>
      </c>
      <c r="J35" s="26">
        <v>368408.0</v>
      </c>
      <c r="K35" s="27" t="s">
        <v>629</v>
      </c>
      <c r="L35" s="28" t="s">
        <v>64</v>
      </c>
      <c r="M35" s="28" t="s">
        <v>67</v>
      </c>
      <c r="N35" s="28" t="s">
        <v>631</v>
      </c>
      <c r="O35" s="12">
        <v>11023.0</v>
      </c>
      <c r="P35" s="29"/>
      <c r="Q35" s="12" t="s">
        <v>634</v>
      </c>
      <c r="R35" s="29"/>
      <c r="S35" s="30"/>
    </row>
    <row r="36" hidden="1">
      <c r="A36" s="16" t="s">
        <v>49</v>
      </c>
      <c r="B36" s="19" t="s">
        <v>50</v>
      </c>
      <c r="C36" s="19" t="s">
        <v>52</v>
      </c>
      <c r="D36" s="16" t="s">
        <v>53</v>
      </c>
      <c r="E36" s="16" t="str">
        <f>IFERROR(__xludf.DUMMYFUNCTION("filter('INVOICE CODES'!B:B,'INVOICE CODES'!D:D=C36,'INVOICE CODES'!E:E=D36)"),"MC-R280-Black")</f>
        <v>MC-R280-Black</v>
      </c>
      <c r="F36" s="16" t="s">
        <v>640</v>
      </c>
      <c r="G36" s="16" t="s">
        <v>642</v>
      </c>
      <c r="H36" s="23">
        <v>45567.0</v>
      </c>
      <c r="I36" s="25" t="s">
        <v>644</v>
      </c>
      <c r="J36" s="26">
        <v>368408.0</v>
      </c>
      <c r="K36" s="27" t="s">
        <v>645</v>
      </c>
      <c r="L36" s="28" t="s">
        <v>64</v>
      </c>
      <c r="M36" s="28" t="s">
        <v>67</v>
      </c>
      <c r="N36" s="28" t="s">
        <v>649</v>
      </c>
      <c r="O36" s="12">
        <v>10970.0</v>
      </c>
      <c r="P36" s="29"/>
      <c r="Q36" s="12" t="s">
        <v>650</v>
      </c>
      <c r="R36" s="29"/>
      <c r="S36" s="30"/>
    </row>
    <row r="37" hidden="1">
      <c r="A37" s="16" t="s">
        <v>49</v>
      </c>
      <c r="B37" s="19" t="s">
        <v>50</v>
      </c>
      <c r="C37" s="19" t="s">
        <v>52</v>
      </c>
      <c r="D37" s="16" t="s">
        <v>53</v>
      </c>
      <c r="E37" s="16" t="str">
        <f>IFERROR(__xludf.DUMMYFUNCTION("filter('INVOICE CODES'!B:B,'INVOICE CODES'!D:D=C37,'INVOICE CODES'!E:E=D37)"),"MC-R280-Black")</f>
        <v>MC-R280-Black</v>
      </c>
      <c r="F37" s="16" t="s">
        <v>654</v>
      </c>
      <c r="G37" s="16" t="s">
        <v>655</v>
      </c>
      <c r="H37" s="23">
        <v>45567.0</v>
      </c>
      <c r="I37" s="25" t="s">
        <v>656</v>
      </c>
      <c r="J37" s="26">
        <v>368408.0</v>
      </c>
      <c r="K37" s="27" t="s">
        <v>658</v>
      </c>
      <c r="L37" s="28" t="s">
        <v>64</v>
      </c>
      <c r="M37" s="28" t="s">
        <v>67</v>
      </c>
      <c r="N37" s="28" t="s">
        <v>661</v>
      </c>
      <c r="O37" s="12">
        <v>11065.0</v>
      </c>
      <c r="P37" s="29"/>
      <c r="Q37" s="12" t="s">
        <v>662</v>
      </c>
      <c r="R37" s="29"/>
      <c r="S37" s="30"/>
    </row>
    <row r="38" hidden="1">
      <c r="A38" s="16" t="s">
        <v>49</v>
      </c>
      <c r="B38" s="19" t="s">
        <v>50</v>
      </c>
      <c r="C38" s="19" t="s">
        <v>52</v>
      </c>
      <c r="D38" s="16" t="s">
        <v>53</v>
      </c>
      <c r="E38" s="16" t="str">
        <f>IFERROR(__xludf.DUMMYFUNCTION("filter('INVOICE CODES'!B:B,'INVOICE CODES'!D:D=C38,'INVOICE CODES'!E:E=D38)"),"MC-R280-Black")</f>
        <v>MC-R280-Black</v>
      </c>
      <c r="F38" s="16" t="s">
        <v>665</v>
      </c>
      <c r="G38" s="16" t="s">
        <v>667</v>
      </c>
      <c r="H38" s="23">
        <v>45567.0</v>
      </c>
      <c r="I38" s="25" t="s">
        <v>668</v>
      </c>
      <c r="J38" s="26">
        <v>368408.0</v>
      </c>
      <c r="K38" s="27" t="s">
        <v>669</v>
      </c>
      <c r="L38" s="28" t="s">
        <v>670</v>
      </c>
      <c r="M38" s="28">
        <v>9.100000874792E13</v>
      </c>
      <c r="N38" s="28" t="s">
        <v>674</v>
      </c>
      <c r="O38" s="12">
        <v>28.0</v>
      </c>
      <c r="P38" s="29"/>
      <c r="Q38" s="12" t="s">
        <v>67</v>
      </c>
      <c r="R38" s="29"/>
      <c r="S38" s="30"/>
    </row>
    <row r="39" hidden="1">
      <c r="A39" s="16" t="s">
        <v>49</v>
      </c>
      <c r="B39" s="19" t="s">
        <v>50</v>
      </c>
      <c r="C39" s="19" t="s">
        <v>52</v>
      </c>
      <c r="D39" s="16" t="s">
        <v>53</v>
      </c>
      <c r="E39" s="16" t="str">
        <f>IFERROR(__xludf.DUMMYFUNCTION("filter('INVOICE CODES'!B:B,'INVOICE CODES'!D:D=C39,'INVOICE CODES'!E:E=D39)"),"MC-R280-Black")</f>
        <v>MC-R280-Black</v>
      </c>
      <c r="F39" s="16" t="s">
        <v>678</v>
      </c>
      <c r="G39" s="16" t="s">
        <v>679</v>
      </c>
      <c r="H39" s="23">
        <v>45567.0</v>
      </c>
      <c r="I39" s="25" t="s">
        <v>680</v>
      </c>
      <c r="J39" s="26">
        <v>368408.0</v>
      </c>
      <c r="K39" s="27" t="s">
        <v>684</v>
      </c>
      <c r="L39" s="28" t="s">
        <v>64</v>
      </c>
      <c r="M39" s="28" t="s">
        <v>67</v>
      </c>
      <c r="N39" s="28" t="s">
        <v>685</v>
      </c>
      <c r="O39" s="12">
        <v>10997.0</v>
      </c>
      <c r="P39" s="29"/>
      <c r="Q39" s="12" t="s">
        <v>689</v>
      </c>
      <c r="R39" s="29"/>
      <c r="S39" s="30"/>
    </row>
    <row r="40" hidden="1">
      <c r="A40" s="16" t="s">
        <v>49</v>
      </c>
      <c r="B40" s="19" t="s">
        <v>50</v>
      </c>
      <c r="C40" s="19" t="s">
        <v>52</v>
      </c>
      <c r="D40" s="16" t="s">
        <v>53</v>
      </c>
      <c r="E40" s="16" t="str">
        <f>IFERROR(__xludf.DUMMYFUNCTION("filter('INVOICE CODES'!B:B,'INVOICE CODES'!D:D=C40,'INVOICE CODES'!E:E=D40)"),"MC-R280-Black")</f>
        <v>MC-R280-Black</v>
      </c>
      <c r="F40" s="16" t="s">
        <v>693</v>
      </c>
      <c r="G40" s="16" t="s">
        <v>694</v>
      </c>
      <c r="H40" s="23">
        <v>45567.0</v>
      </c>
      <c r="I40" s="25" t="s">
        <v>695</v>
      </c>
      <c r="J40" s="26">
        <v>368408.0</v>
      </c>
      <c r="K40" s="27" t="s">
        <v>696</v>
      </c>
      <c r="L40" s="28" t="s">
        <v>64</v>
      </c>
      <c r="M40" s="28" t="s">
        <v>67</v>
      </c>
      <c r="N40" s="28" t="s">
        <v>698</v>
      </c>
      <c r="O40" s="12">
        <v>10958.0</v>
      </c>
      <c r="P40" s="29"/>
      <c r="Q40" s="12" t="s">
        <v>701</v>
      </c>
      <c r="R40" s="29"/>
      <c r="S40" s="30"/>
    </row>
    <row r="41" hidden="1">
      <c r="A41" s="16" t="s">
        <v>49</v>
      </c>
      <c r="B41" s="19" t="s">
        <v>50</v>
      </c>
      <c r="C41" s="19" t="s">
        <v>52</v>
      </c>
      <c r="D41" s="16" t="s">
        <v>702</v>
      </c>
      <c r="E41" s="16" t="str">
        <f>IFERROR(__xludf.DUMMYFUNCTION("filter('INVOICE CODES'!B:B,'INVOICE CODES'!D:D=C41,'INVOICE CODES'!E:E=D41)"),"MC-R280-White")</f>
        <v>MC-R280-White</v>
      </c>
      <c r="F41" s="16" t="s">
        <v>703</v>
      </c>
      <c r="G41" s="16" t="s">
        <v>705</v>
      </c>
      <c r="H41" s="23">
        <v>45567.0</v>
      </c>
      <c r="I41" s="25" t="s">
        <v>707</v>
      </c>
      <c r="J41" s="26">
        <v>368408.0</v>
      </c>
      <c r="K41" s="27" t="s">
        <v>709</v>
      </c>
      <c r="L41" s="28" t="s">
        <v>64</v>
      </c>
      <c r="M41" s="28" t="s">
        <v>67</v>
      </c>
      <c r="N41" s="28" t="s">
        <v>710</v>
      </c>
      <c r="O41" s="12">
        <v>11016.0</v>
      </c>
      <c r="P41" s="29"/>
      <c r="Q41" s="12" t="s">
        <v>711</v>
      </c>
      <c r="R41" s="29"/>
      <c r="S41" s="30"/>
    </row>
    <row r="42" hidden="1">
      <c r="A42" s="16" t="s">
        <v>49</v>
      </c>
      <c r="B42" s="19" t="s">
        <v>50</v>
      </c>
      <c r="C42" s="19" t="s">
        <v>52</v>
      </c>
      <c r="D42" s="16" t="s">
        <v>702</v>
      </c>
      <c r="E42" s="16" t="str">
        <f>IFERROR(__xludf.DUMMYFUNCTION("filter('INVOICE CODES'!B:B,'INVOICE CODES'!D:D=C42,'INVOICE CODES'!E:E=D42)"),"MC-R280-White")</f>
        <v>MC-R280-White</v>
      </c>
      <c r="F42" s="16" t="s">
        <v>718</v>
      </c>
      <c r="G42" s="16" t="s">
        <v>719</v>
      </c>
      <c r="H42" s="23">
        <v>45567.0</v>
      </c>
      <c r="I42" s="25" t="s">
        <v>720</v>
      </c>
      <c r="J42" s="26">
        <v>368408.0</v>
      </c>
      <c r="K42" s="27" t="s">
        <v>721</v>
      </c>
      <c r="L42" s="28" t="s">
        <v>64</v>
      </c>
      <c r="M42" s="28" t="s">
        <v>67</v>
      </c>
      <c r="N42" s="28" t="s">
        <v>722</v>
      </c>
      <c r="O42" s="12">
        <v>11017.0</v>
      </c>
      <c r="P42" s="29"/>
      <c r="Q42" s="12" t="s">
        <v>724</v>
      </c>
      <c r="R42" s="29"/>
      <c r="S42" s="30"/>
    </row>
    <row r="43" hidden="1">
      <c r="A43" s="16" t="s">
        <v>49</v>
      </c>
      <c r="B43" s="19" t="s">
        <v>50</v>
      </c>
      <c r="C43" s="19" t="s">
        <v>52</v>
      </c>
      <c r="D43" s="16" t="s">
        <v>702</v>
      </c>
      <c r="E43" s="16" t="str">
        <f>IFERROR(__xludf.DUMMYFUNCTION("filter('INVOICE CODES'!B:B,'INVOICE CODES'!D:D=C43,'INVOICE CODES'!E:E=D43)"),"MC-R280-White")</f>
        <v>MC-R280-White</v>
      </c>
      <c r="F43" s="16" t="s">
        <v>727</v>
      </c>
      <c r="G43" s="16" t="s">
        <v>728</v>
      </c>
      <c r="H43" s="23">
        <v>45567.0</v>
      </c>
      <c r="I43" s="25" t="s">
        <v>730</v>
      </c>
      <c r="J43" s="26">
        <v>368408.0</v>
      </c>
      <c r="K43" s="27" t="s">
        <v>731</v>
      </c>
      <c r="L43" s="28" t="s">
        <v>64</v>
      </c>
      <c r="M43" s="28" t="s">
        <v>67</v>
      </c>
      <c r="N43" s="28" t="s">
        <v>734</v>
      </c>
      <c r="O43" s="12">
        <v>11020.0</v>
      </c>
      <c r="P43" s="29"/>
      <c r="Q43" s="12" t="s">
        <v>735</v>
      </c>
      <c r="R43" s="29"/>
      <c r="S43" s="30"/>
    </row>
    <row r="44" hidden="1">
      <c r="A44" s="16" t="s">
        <v>49</v>
      </c>
      <c r="B44" s="19" t="s">
        <v>50</v>
      </c>
      <c r="C44" s="19" t="s">
        <v>52</v>
      </c>
      <c r="D44" s="16" t="s">
        <v>702</v>
      </c>
      <c r="E44" s="16" t="str">
        <f>IFERROR(__xludf.DUMMYFUNCTION("filter('INVOICE CODES'!B:B,'INVOICE CODES'!D:D=C44,'INVOICE CODES'!E:E=D44)"),"MC-R280-White")</f>
        <v>MC-R280-White</v>
      </c>
      <c r="F44" s="16" t="s">
        <v>739</v>
      </c>
      <c r="G44" s="16" t="s">
        <v>740</v>
      </c>
      <c r="H44" s="23">
        <v>45567.0</v>
      </c>
      <c r="I44" s="25" t="s">
        <v>741</v>
      </c>
      <c r="J44" s="26">
        <v>368408.0</v>
      </c>
      <c r="K44" s="27" t="s">
        <v>742</v>
      </c>
      <c r="L44" s="28" t="s">
        <v>64</v>
      </c>
      <c r="M44" s="28" t="s">
        <v>67</v>
      </c>
      <c r="N44" s="28" t="s">
        <v>743</v>
      </c>
      <c r="O44" s="12">
        <v>11021.0</v>
      </c>
      <c r="P44" s="29"/>
      <c r="Q44" s="12" t="s">
        <v>744</v>
      </c>
      <c r="R44" s="29"/>
      <c r="S44" s="30"/>
    </row>
    <row r="45" hidden="1">
      <c r="A45" s="16" t="s">
        <v>49</v>
      </c>
      <c r="B45" s="19" t="s">
        <v>50</v>
      </c>
      <c r="C45" s="19" t="s">
        <v>52</v>
      </c>
      <c r="D45" s="16" t="s">
        <v>702</v>
      </c>
      <c r="E45" s="16" t="str">
        <f>IFERROR(__xludf.DUMMYFUNCTION("filter('INVOICE CODES'!B:B,'INVOICE CODES'!D:D=C45,'INVOICE CODES'!E:E=D45)"),"MC-R280-White")</f>
        <v>MC-R280-White</v>
      </c>
      <c r="F45" s="16" t="s">
        <v>747</v>
      </c>
      <c r="G45" s="16" t="s">
        <v>749</v>
      </c>
      <c r="H45" s="23">
        <v>45567.0</v>
      </c>
      <c r="I45" s="25" t="s">
        <v>750</v>
      </c>
      <c r="J45" s="26">
        <v>368408.0</v>
      </c>
      <c r="K45" s="27" t="s">
        <v>751</v>
      </c>
      <c r="L45" s="28" t="s">
        <v>64</v>
      </c>
      <c r="M45" s="28" t="s">
        <v>67</v>
      </c>
      <c r="N45" s="28" t="s">
        <v>752</v>
      </c>
      <c r="O45" s="12">
        <v>11022.0</v>
      </c>
      <c r="P45" s="29"/>
      <c r="Q45" s="12" t="s">
        <v>754</v>
      </c>
      <c r="R45" s="29"/>
      <c r="S45" s="30"/>
    </row>
    <row r="46" hidden="1">
      <c r="A46" s="16" t="s">
        <v>49</v>
      </c>
      <c r="B46" s="19" t="s">
        <v>50</v>
      </c>
      <c r="C46" s="19" t="s">
        <v>52</v>
      </c>
      <c r="D46" s="16" t="s">
        <v>702</v>
      </c>
      <c r="E46" s="16" t="str">
        <f>IFERROR(__xludf.DUMMYFUNCTION("filter('INVOICE CODES'!B:B,'INVOICE CODES'!D:D=C46,'INVOICE CODES'!E:E=D46)"),"MC-R280-White")</f>
        <v>MC-R280-White</v>
      </c>
      <c r="F46" s="16" t="s">
        <v>760</v>
      </c>
      <c r="G46" s="16" t="s">
        <v>761</v>
      </c>
      <c r="H46" s="23">
        <v>45567.0</v>
      </c>
      <c r="I46" s="25" t="s">
        <v>762</v>
      </c>
      <c r="J46" s="26">
        <v>368408.0</v>
      </c>
      <c r="K46" s="27" t="s">
        <v>763</v>
      </c>
      <c r="L46" s="28" t="s">
        <v>64</v>
      </c>
      <c r="M46" s="28" t="s">
        <v>67</v>
      </c>
      <c r="N46" s="28" t="s">
        <v>765</v>
      </c>
      <c r="O46" s="12">
        <v>11024.0</v>
      </c>
      <c r="P46" s="29"/>
      <c r="Q46" s="12" t="s">
        <v>768</v>
      </c>
      <c r="R46" s="29"/>
      <c r="S46" s="30"/>
    </row>
    <row r="47" hidden="1">
      <c r="A47" s="16" t="s">
        <v>49</v>
      </c>
      <c r="B47" s="19" t="s">
        <v>50</v>
      </c>
      <c r="C47" s="19" t="s">
        <v>52</v>
      </c>
      <c r="D47" s="16" t="s">
        <v>702</v>
      </c>
      <c r="E47" s="16" t="str">
        <f>IFERROR(__xludf.DUMMYFUNCTION("filter('INVOICE CODES'!B:B,'INVOICE CODES'!D:D=C47,'INVOICE CODES'!E:E=D47)"),"MC-R280-White")</f>
        <v>MC-R280-White</v>
      </c>
      <c r="F47" s="16" t="s">
        <v>772</v>
      </c>
      <c r="G47" s="16" t="s">
        <v>773</v>
      </c>
      <c r="H47" s="23">
        <v>45567.0</v>
      </c>
      <c r="I47" s="25" t="s">
        <v>774</v>
      </c>
      <c r="J47" s="26">
        <v>368408.0</v>
      </c>
      <c r="K47" s="27" t="s">
        <v>777</v>
      </c>
      <c r="L47" s="28" t="s">
        <v>64</v>
      </c>
      <c r="M47" s="28" t="s">
        <v>67</v>
      </c>
      <c r="N47" s="28" t="s">
        <v>779</v>
      </c>
      <c r="O47" s="12">
        <v>11025.0</v>
      </c>
      <c r="P47" s="29"/>
      <c r="Q47" s="12" t="s">
        <v>780</v>
      </c>
      <c r="R47" s="29"/>
      <c r="S47" s="30"/>
    </row>
    <row r="48" hidden="1">
      <c r="A48" s="16" t="s">
        <v>49</v>
      </c>
      <c r="B48" s="19" t="s">
        <v>50</v>
      </c>
      <c r="C48" s="19" t="s">
        <v>52</v>
      </c>
      <c r="D48" s="16" t="s">
        <v>702</v>
      </c>
      <c r="E48" s="16" t="str">
        <f>IFERROR(__xludf.DUMMYFUNCTION("filter('INVOICE CODES'!B:B,'INVOICE CODES'!D:D=C48,'INVOICE CODES'!E:E=D48)"),"MC-R280-White")</f>
        <v>MC-R280-White</v>
      </c>
      <c r="F48" s="16" t="s">
        <v>785</v>
      </c>
      <c r="G48" s="16" t="s">
        <v>787</v>
      </c>
      <c r="H48" s="23">
        <v>45567.0</v>
      </c>
      <c r="I48" s="25" t="s">
        <v>789</v>
      </c>
      <c r="J48" s="26">
        <v>368408.0</v>
      </c>
      <c r="K48" s="27" t="s">
        <v>790</v>
      </c>
      <c r="L48" s="28" t="s">
        <v>64</v>
      </c>
      <c r="M48" s="28" t="s">
        <v>67</v>
      </c>
      <c r="N48" s="28" t="s">
        <v>791</v>
      </c>
      <c r="O48" s="12">
        <v>11026.0</v>
      </c>
      <c r="P48" s="29"/>
      <c r="Q48" s="12" t="s">
        <v>795</v>
      </c>
      <c r="R48" s="29"/>
      <c r="S48" s="30"/>
    </row>
    <row r="49" hidden="1">
      <c r="A49" s="16" t="s">
        <v>49</v>
      </c>
      <c r="B49" s="19" t="s">
        <v>50</v>
      </c>
      <c r="C49" s="19" t="s">
        <v>52</v>
      </c>
      <c r="D49" s="16" t="s">
        <v>702</v>
      </c>
      <c r="E49" s="16" t="str">
        <f>IFERROR(__xludf.DUMMYFUNCTION("filter('INVOICE CODES'!B:B,'INVOICE CODES'!D:D=C49,'INVOICE CODES'!E:E=D49)"),"MC-R280-White")</f>
        <v>MC-R280-White</v>
      </c>
      <c r="F49" s="16" t="s">
        <v>799</v>
      </c>
      <c r="G49" s="16" t="s">
        <v>800</v>
      </c>
      <c r="H49" s="23">
        <v>45567.0</v>
      </c>
      <c r="I49" s="25" t="s">
        <v>801</v>
      </c>
      <c r="J49" s="26">
        <v>368408.0</v>
      </c>
      <c r="K49" s="27" t="s">
        <v>802</v>
      </c>
      <c r="L49" s="29"/>
      <c r="M49" s="29"/>
      <c r="N49" s="29"/>
      <c r="O49" s="29"/>
      <c r="P49" s="29"/>
      <c r="Q49" s="29"/>
      <c r="R49" s="29"/>
      <c r="S49" s="30"/>
    </row>
    <row r="50" hidden="1">
      <c r="A50" s="16" t="s">
        <v>49</v>
      </c>
      <c r="B50" s="19" t="s">
        <v>50</v>
      </c>
      <c r="C50" s="19" t="s">
        <v>52</v>
      </c>
      <c r="D50" s="16" t="s">
        <v>702</v>
      </c>
      <c r="E50" s="16" t="str">
        <f>IFERROR(__xludf.DUMMYFUNCTION("filter('INVOICE CODES'!B:B,'INVOICE CODES'!D:D=C50,'INVOICE CODES'!E:E=D50)"),"MC-R280-White")</f>
        <v>MC-R280-White</v>
      </c>
      <c r="F50" s="16" t="s">
        <v>806</v>
      </c>
      <c r="G50" s="16" t="s">
        <v>809</v>
      </c>
      <c r="H50" s="23">
        <v>45567.0</v>
      </c>
      <c r="I50" s="25" t="s">
        <v>811</v>
      </c>
      <c r="J50" s="26">
        <v>368408.0</v>
      </c>
      <c r="K50" s="27" t="s">
        <v>812</v>
      </c>
      <c r="L50" s="28" t="s">
        <v>64</v>
      </c>
      <c r="M50" s="28" t="s">
        <v>67</v>
      </c>
      <c r="N50" s="28" t="s">
        <v>814</v>
      </c>
      <c r="O50" s="12">
        <v>11028.0</v>
      </c>
      <c r="P50" s="29"/>
      <c r="Q50" s="12" t="s">
        <v>817</v>
      </c>
      <c r="R50" s="29"/>
      <c r="S50" s="30"/>
    </row>
    <row r="51" hidden="1">
      <c r="A51" s="16" t="s">
        <v>49</v>
      </c>
      <c r="B51" s="19" t="s">
        <v>50</v>
      </c>
      <c r="C51" s="19" t="s">
        <v>52</v>
      </c>
      <c r="D51" s="16" t="s">
        <v>702</v>
      </c>
      <c r="E51" s="16" t="str">
        <f>IFERROR(__xludf.DUMMYFUNCTION("filter('INVOICE CODES'!B:B,'INVOICE CODES'!D:D=C51,'INVOICE CODES'!E:E=D51)"),"MC-R280-White")</f>
        <v>MC-R280-White</v>
      </c>
      <c r="F51" s="16" t="s">
        <v>821</v>
      </c>
      <c r="G51" s="16" t="s">
        <v>823</v>
      </c>
      <c r="H51" s="23">
        <v>45567.0</v>
      </c>
      <c r="I51" s="25" t="s">
        <v>826</v>
      </c>
      <c r="J51" s="26">
        <v>368408.0</v>
      </c>
      <c r="K51" s="27" t="s">
        <v>827</v>
      </c>
      <c r="L51" s="28" t="s">
        <v>64</v>
      </c>
      <c r="M51" s="28" t="s">
        <v>67</v>
      </c>
      <c r="N51" s="28" t="s">
        <v>828</v>
      </c>
      <c r="O51" s="12">
        <v>11031.0</v>
      </c>
      <c r="P51" s="29"/>
      <c r="Q51" s="12" t="s">
        <v>829</v>
      </c>
      <c r="R51" s="29"/>
      <c r="S51" s="30"/>
    </row>
    <row r="52" hidden="1">
      <c r="A52" s="16" t="s">
        <v>49</v>
      </c>
      <c r="B52" s="19" t="s">
        <v>50</v>
      </c>
      <c r="C52" s="19" t="s">
        <v>52</v>
      </c>
      <c r="D52" s="16" t="s">
        <v>702</v>
      </c>
      <c r="E52" s="16" t="str">
        <f>IFERROR(__xludf.DUMMYFUNCTION("filter('INVOICE CODES'!B:B,'INVOICE CODES'!D:D=C52,'INVOICE CODES'!E:E=D52)"),"MC-R280-White")</f>
        <v>MC-R280-White</v>
      </c>
      <c r="F52" s="16" t="s">
        <v>836</v>
      </c>
      <c r="G52" s="16" t="s">
        <v>837</v>
      </c>
      <c r="H52" s="23">
        <v>45567.0</v>
      </c>
      <c r="I52" s="25" t="s">
        <v>838</v>
      </c>
      <c r="J52" s="26">
        <v>368408.0</v>
      </c>
      <c r="K52" s="27" t="s">
        <v>839</v>
      </c>
      <c r="L52" s="28" t="s">
        <v>64</v>
      </c>
      <c r="M52" s="28" t="s">
        <v>67</v>
      </c>
      <c r="N52" s="28" t="s">
        <v>843</v>
      </c>
      <c r="O52" s="12">
        <v>11032.0</v>
      </c>
      <c r="P52" s="29"/>
      <c r="Q52" s="12" t="s">
        <v>844</v>
      </c>
      <c r="R52" s="29"/>
      <c r="S52" s="30"/>
    </row>
    <row r="53" hidden="1">
      <c r="A53" s="16" t="s">
        <v>49</v>
      </c>
      <c r="B53" s="19" t="s">
        <v>50</v>
      </c>
      <c r="C53" s="19" t="s">
        <v>52</v>
      </c>
      <c r="D53" s="16" t="s">
        <v>702</v>
      </c>
      <c r="E53" s="16" t="str">
        <f>IFERROR(__xludf.DUMMYFUNCTION("filter('INVOICE CODES'!B:B,'INVOICE CODES'!D:D=C53,'INVOICE CODES'!E:E=D53)"),"MC-R280-White")</f>
        <v>MC-R280-White</v>
      </c>
      <c r="F53" s="16" t="s">
        <v>850</v>
      </c>
      <c r="G53" s="16" t="s">
        <v>852</v>
      </c>
      <c r="H53" s="23">
        <v>45567.0</v>
      </c>
      <c r="I53" s="25" t="s">
        <v>853</v>
      </c>
      <c r="J53" s="26">
        <v>368408.0</v>
      </c>
      <c r="K53" s="27" t="s">
        <v>854</v>
      </c>
      <c r="L53" s="29"/>
      <c r="M53" s="29"/>
      <c r="N53" s="29"/>
      <c r="O53" s="29"/>
      <c r="P53" s="29"/>
      <c r="Q53" s="29"/>
      <c r="R53" s="29"/>
      <c r="S53" s="30"/>
    </row>
    <row r="54" hidden="1">
      <c r="A54" s="16" t="s">
        <v>49</v>
      </c>
      <c r="B54" s="19" t="s">
        <v>50</v>
      </c>
      <c r="C54" s="19" t="s">
        <v>52</v>
      </c>
      <c r="D54" s="16" t="s">
        <v>702</v>
      </c>
      <c r="E54" s="16" t="str">
        <f>IFERROR(__xludf.DUMMYFUNCTION("filter('INVOICE CODES'!B:B,'INVOICE CODES'!D:D=C54,'INVOICE CODES'!E:E=D54)"),"MC-R280-White")</f>
        <v>MC-R280-White</v>
      </c>
      <c r="F54" s="16" t="s">
        <v>859</v>
      </c>
      <c r="G54" s="16" t="s">
        <v>861</v>
      </c>
      <c r="H54" s="23">
        <v>45567.0</v>
      </c>
      <c r="I54" s="25" t="s">
        <v>863</v>
      </c>
      <c r="J54" s="26">
        <v>368408.0</v>
      </c>
      <c r="K54" s="27" t="s">
        <v>864</v>
      </c>
      <c r="L54" s="28" t="s">
        <v>64</v>
      </c>
      <c r="M54" s="28" t="s">
        <v>67</v>
      </c>
      <c r="N54" s="28" t="s">
        <v>865</v>
      </c>
      <c r="O54" s="12">
        <v>11030.0</v>
      </c>
      <c r="P54" s="29"/>
      <c r="Q54" s="12" t="s">
        <v>869</v>
      </c>
      <c r="R54" s="29"/>
      <c r="S54" s="30"/>
    </row>
    <row r="55" hidden="1">
      <c r="A55" s="16" t="s">
        <v>49</v>
      </c>
      <c r="B55" s="19" t="s">
        <v>50</v>
      </c>
      <c r="C55" s="19" t="s">
        <v>52</v>
      </c>
      <c r="D55" s="16" t="s">
        <v>702</v>
      </c>
      <c r="E55" s="16" t="str">
        <f>IFERROR(__xludf.DUMMYFUNCTION("filter('INVOICE CODES'!B:B,'INVOICE CODES'!D:D=C55,'INVOICE CODES'!E:E=D55)"),"MC-R280-White")</f>
        <v>MC-R280-White</v>
      </c>
      <c r="F55" s="16" t="s">
        <v>872</v>
      </c>
      <c r="G55" s="16" t="s">
        <v>874</v>
      </c>
      <c r="H55" s="23">
        <v>45567.0</v>
      </c>
      <c r="I55" s="25" t="s">
        <v>875</v>
      </c>
      <c r="J55" s="26">
        <v>368408.0</v>
      </c>
      <c r="K55" s="27" t="s">
        <v>876</v>
      </c>
      <c r="L55" s="28" t="s">
        <v>64</v>
      </c>
      <c r="M55" s="28" t="s">
        <v>67</v>
      </c>
      <c r="N55" s="28" t="s">
        <v>877</v>
      </c>
      <c r="O55" s="12">
        <v>11033.0</v>
      </c>
      <c r="P55" s="29"/>
      <c r="Q55" s="12" t="s">
        <v>881</v>
      </c>
      <c r="R55" s="29"/>
      <c r="S55" s="30"/>
    </row>
    <row r="56" hidden="1">
      <c r="A56" s="16" t="s">
        <v>49</v>
      </c>
      <c r="B56" s="19" t="s">
        <v>50</v>
      </c>
      <c r="C56" s="19" t="s">
        <v>52</v>
      </c>
      <c r="D56" s="16" t="s">
        <v>702</v>
      </c>
      <c r="E56" s="16" t="str">
        <f>IFERROR(__xludf.DUMMYFUNCTION("filter('INVOICE CODES'!B:B,'INVOICE CODES'!D:D=C56,'INVOICE CODES'!E:E=D56)"),"MC-R280-White")</f>
        <v>MC-R280-White</v>
      </c>
      <c r="F56" s="16" t="s">
        <v>885</v>
      </c>
      <c r="G56" s="16" t="s">
        <v>886</v>
      </c>
      <c r="H56" s="23">
        <v>45567.0</v>
      </c>
      <c r="I56" s="25" t="s">
        <v>888</v>
      </c>
      <c r="J56" s="26">
        <v>368408.0</v>
      </c>
      <c r="K56" s="27" t="s">
        <v>891</v>
      </c>
      <c r="L56" s="28" t="s">
        <v>670</v>
      </c>
      <c r="M56" s="58">
        <v>9.1000008742195E13</v>
      </c>
      <c r="N56" s="58" t="s">
        <v>892</v>
      </c>
      <c r="O56" s="46">
        <v>3.0</v>
      </c>
      <c r="P56" s="29"/>
      <c r="Q56" s="12" t="s">
        <v>67</v>
      </c>
      <c r="R56" s="29"/>
      <c r="S56" s="30"/>
    </row>
    <row r="57" hidden="1">
      <c r="A57" s="16" t="s">
        <v>49</v>
      </c>
      <c r="B57" s="19" t="s">
        <v>50</v>
      </c>
      <c r="C57" s="19" t="s">
        <v>52</v>
      </c>
      <c r="D57" s="16" t="s">
        <v>702</v>
      </c>
      <c r="E57" s="16" t="str">
        <f>IFERROR(__xludf.DUMMYFUNCTION("filter('INVOICE CODES'!B:B,'INVOICE CODES'!D:D=C57,'INVOICE CODES'!E:E=D57)"),"MC-R280-White")</f>
        <v>MC-R280-White</v>
      </c>
      <c r="F57" s="16" t="s">
        <v>896</v>
      </c>
      <c r="G57" s="16" t="s">
        <v>898</v>
      </c>
      <c r="H57" s="23">
        <v>45567.0</v>
      </c>
      <c r="I57" s="25" t="s">
        <v>901</v>
      </c>
      <c r="J57" s="26">
        <v>368408.0</v>
      </c>
      <c r="K57" s="27" t="s">
        <v>902</v>
      </c>
      <c r="L57" s="28" t="s">
        <v>64</v>
      </c>
      <c r="M57" s="28" t="s">
        <v>67</v>
      </c>
      <c r="N57" s="28" t="s">
        <v>903</v>
      </c>
      <c r="O57" s="12">
        <v>11048.0</v>
      </c>
      <c r="P57" s="29"/>
      <c r="Q57" s="12" t="s">
        <v>904</v>
      </c>
      <c r="R57" s="29"/>
      <c r="S57" s="30"/>
    </row>
    <row r="58" hidden="1">
      <c r="A58" s="16" t="s">
        <v>49</v>
      </c>
      <c r="B58" s="19" t="s">
        <v>50</v>
      </c>
      <c r="C58" s="19" t="s">
        <v>52</v>
      </c>
      <c r="D58" s="16" t="s">
        <v>702</v>
      </c>
      <c r="E58" s="16" t="str">
        <f>IFERROR(__xludf.DUMMYFUNCTION("filter('INVOICE CODES'!B:B,'INVOICE CODES'!D:D=C58,'INVOICE CODES'!E:E=D58)"),"MC-R280-White")</f>
        <v>MC-R280-White</v>
      </c>
      <c r="F58" s="16" t="s">
        <v>908</v>
      </c>
      <c r="G58" s="16" t="s">
        <v>909</v>
      </c>
      <c r="H58" s="23">
        <v>45567.0</v>
      </c>
      <c r="I58" s="25" t="s">
        <v>910</v>
      </c>
      <c r="J58" s="26">
        <v>368408.0</v>
      </c>
      <c r="K58" s="27" t="s">
        <v>911</v>
      </c>
      <c r="L58" s="29"/>
      <c r="M58" s="29"/>
      <c r="N58" s="29"/>
      <c r="O58" s="29"/>
      <c r="P58" s="29"/>
      <c r="Q58" s="29"/>
      <c r="R58" s="29"/>
      <c r="S58" s="30"/>
    </row>
    <row r="59" hidden="1">
      <c r="A59" s="16" t="s">
        <v>49</v>
      </c>
      <c r="B59" s="19" t="s">
        <v>50</v>
      </c>
      <c r="C59" s="19" t="s">
        <v>52</v>
      </c>
      <c r="D59" s="16" t="s">
        <v>702</v>
      </c>
      <c r="E59" s="16" t="str">
        <f>IFERROR(__xludf.DUMMYFUNCTION("filter('INVOICE CODES'!B:B,'INVOICE CODES'!D:D=C59,'INVOICE CODES'!E:E=D59)"),"MC-R280-White")</f>
        <v>MC-R280-White</v>
      </c>
      <c r="F59" s="16" t="s">
        <v>918</v>
      </c>
      <c r="G59" s="16" t="s">
        <v>919</v>
      </c>
      <c r="H59" s="23">
        <v>45567.0</v>
      </c>
      <c r="I59" s="25" t="s">
        <v>920</v>
      </c>
      <c r="J59" s="26">
        <v>368408.0</v>
      </c>
      <c r="K59" s="27" t="s">
        <v>921</v>
      </c>
      <c r="L59" s="28" t="s">
        <v>64</v>
      </c>
      <c r="M59" s="28" t="s">
        <v>67</v>
      </c>
      <c r="N59" s="28" t="s">
        <v>922</v>
      </c>
      <c r="O59" s="12">
        <v>11034.0</v>
      </c>
      <c r="P59" s="29"/>
      <c r="Q59" s="12" t="s">
        <v>923</v>
      </c>
      <c r="R59" s="29"/>
      <c r="S59" s="30"/>
    </row>
    <row r="60" hidden="1">
      <c r="A60" s="16" t="s">
        <v>49</v>
      </c>
      <c r="B60" s="19" t="s">
        <v>50</v>
      </c>
      <c r="C60" s="19" t="s">
        <v>52</v>
      </c>
      <c r="D60" s="16" t="s">
        <v>702</v>
      </c>
      <c r="E60" s="16" t="str">
        <f>IFERROR(__xludf.DUMMYFUNCTION("filter('INVOICE CODES'!B:B,'INVOICE CODES'!D:D=C60,'INVOICE CODES'!E:E=D60)"),"MC-R280-White")</f>
        <v>MC-R280-White</v>
      </c>
      <c r="F60" s="16" t="s">
        <v>927</v>
      </c>
      <c r="G60" s="16" t="s">
        <v>928</v>
      </c>
      <c r="H60" s="23">
        <v>45567.0</v>
      </c>
      <c r="I60" s="25" t="s">
        <v>929</v>
      </c>
      <c r="J60" s="26">
        <v>368408.0</v>
      </c>
      <c r="K60" s="27" t="s">
        <v>932</v>
      </c>
      <c r="L60" s="28" t="s">
        <v>64</v>
      </c>
      <c r="M60" s="28" t="s">
        <v>67</v>
      </c>
      <c r="N60" s="28" t="s">
        <v>934</v>
      </c>
      <c r="O60" s="12">
        <v>11035.0</v>
      </c>
      <c r="P60" s="29"/>
      <c r="Q60" s="12" t="s">
        <v>935</v>
      </c>
      <c r="R60" s="29"/>
      <c r="S60" s="30"/>
    </row>
    <row r="61" hidden="1">
      <c r="A61" s="16" t="s">
        <v>49</v>
      </c>
      <c r="B61" s="19" t="s">
        <v>50</v>
      </c>
      <c r="C61" s="19" t="s">
        <v>52</v>
      </c>
      <c r="D61" s="16" t="s">
        <v>702</v>
      </c>
      <c r="E61" s="16" t="str">
        <f>IFERROR(__xludf.DUMMYFUNCTION("filter('INVOICE CODES'!B:B,'INVOICE CODES'!D:D=C61,'INVOICE CODES'!E:E=D61)"),"MC-R280-White")</f>
        <v>MC-R280-White</v>
      </c>
      <c r="F61" s="16" t="s">
        <v>939</v>
      </c>
      <c r="G61" s="16" t="s">
        <v>940</v>
      </c>
      <c r="H61" s="23">
        <v>45567.0</v>
      </c>
      <c r="I61" s="25" t="s">
        <v>941</v>
      </c>
      <c r="J61" s="26">
        <v>368408.0</v>
      </c>
      <c r="K61" s="27" t="s">
        <v>944</v>
      </c>
      <c r="L61" s="28" t="s">
        <v>64</v>
      </c>
      <c r="M61" s="28" t="s">
        <v>67</v>
      </c>
      <c r="N61" s="28" t="s">
        <v>946</v>
      </c>
      <c r="O61" s="12">
        <v>10981.0</v>
      </c>
      <c r="P61" s="29"/>
      <c r="Q61" s="12" t="s">
        <v>947</v>
      </c>
      <c r="R61" s="29"/>
      <c r="S61" s="30"/>
    </row>
    <row r="62" hidden="1">
      <c r="A62" s="16" t="s">
        <v>49</v>
      </c>
      <c r="B62" s="19" t="s">
        <v>50</v>
      </c>
      <c r="C62" s="19" t="s">
        <v>52</v>
      </c>
      <c r="D62" s="16" t="s">
        <v>702</v>
      </c>
      <c r="E62" s="16" t="str">
        <f>IFERROR(__xludf.DUMMYFUNCTION("filter('INVOICE CODES'!B:B,'INVOICE CODES'!D:D=C62,'INVOICE CODES'!E:E=D62)"),"MC-R280-White")</f>
        <v>MC-R280-White</v>
      </c>
      <c r="F62" s="16" t="s">
        <v>951</v>
      </c>
      <c r="G62" s="16" t="s">
        <v>952</v>
      </c>
      <c r="H62" s="23">
        <v>45567.0</v>
      </c>
      <c r="I62" s="25" t="s">
        <v>953</v>
      </c>
      <c r="J62" s="26">
        <v>368408.0</v>
      </c>
      <c r="K62" s="27" t="s">
        <v>954</v>
      </c>
      <c r="L62" s="28" t="s">
        <v>64</v>
      </c>
      <c r="M62" s="28" t="s">
        <v>67</v>
      </c>
      <c r="N62" s="28" t="s">
        <v>958</v>
      </c>
      <c r="O62" s="12">
        <v>11040.0</v>
      </c>
      <c r="P62" s="29"/>
      <c r="Q62" s="12" t="s">
        <v>959</v>
      </c>
      <c r="R62" s="29"/>
      <c r="S62" s="30"/>
    </row>
    <row r="63" hidden="1">
      <c r="A63" s="16" t="s">
        <v>49</v>
      </c>
      <c r="B63" s="19" t="s">
        <v>50</v>
      </c>
      <c r="C63" s="19" t="s">
        <v>52</v>
      </c>
      <c r="D63" s="16" t="s">
        <v>702</v>
      </c>
      <c r="E63" s="16" t="str">
        <f>IFERROR(__xludf.DUMMYFUNCTION("filter('INVOICE CODES'!B:B,'INVOICE CODES'!D:D=C63,'INVOICE CODES'!E:E=D63)"),"MC-R280-White")</f>
        <v>MC-R280-White</v>
      </c>
      <c r="F63" s="16" t="s">
        <v>963</v>
      </c>
      <c r="G63" s="16" t="s">
        <v>964</v>
      </c>
      <c r="H63" s="23">
        <v>45567.0</v>
      </c>
      <c r="I63" s="25" t="s">
        <v>965</v>
      </c>
      <c r="J63" s="26">
        <v>368408.0</v>
      </c>
      <c r="K63" s="27" t="s">
        <v>966</v>
      </c>
      <c r="L63" s="29"/>
      <c r="M63" s="29"/>
      <c r="N63" s="29"/>
      <c r="O63" s="29"/>
      <c r="P63" s="29"/>
      <c r="Q63" s="29"/>
      <c r="R63" s="29"/>
      <c r="S63" s="30"/>
    </row>
    <row r="64" hidden="1">
      <c r="A64" s="16" t="s">
        <v>49</v>
      </c>
      <c r="B64" s="19" t="s">
        <v>50</v>
      </c>
      <c r="C64" s="19" t="s">
        <v>52</v>
      </c>
      <c r="D64" s="16" t="s">
        <v>702</v>
      </c>
      <c r="E64" s="16" t="str">
        <f>IFERROR(__xludf.DUMMYFUNCTION("filter('INVOICE CODES'!B:B,'INVOICE CODES'!D:D=C64,'INVOICE CODES'!E:E=D64)"),"MC-R280-White")</f>
        <v>MC-R280-White</v>
      </c>
      <c r="F64" s="16" t="s">
        <v>973</v>
      </c>
      <c r="G64" s="16" t="s">
        <v>974</v>
      </c>
      <c r="H64" s="23">
        <v>45567.0</v>
      </c>
      <c r="I64" s="25" t="s">
        <v>978</v>
      </c>
      <c r="J64" s="26">
        <v>368408.0</v>
      </c>
      <c r="K64" s="27" t="s">
        <v>979</v>
      </c>
      <c r="L64" s="28" t="s">
        <v>64</v>
      </c>
      <c r="M64" s="28" t="s">
        <v>67</v>
      </c>
      <c r="N64" s="28" t="s">
        <v>980</v>
      </c>
      <c r="O64" s="12">
        <v>11042.0</v>
      </c>
      <c r="P64" s="29"/>
      <c r="Q64" s="12" t="s">
        <v>981</v>
      </c>
      <c r="R64" s="29"/>
      <c r="S64" s="30"/>
    </row>
    <row r="65" hidden="1">
      <c r="A65" s="16" t="s">
        <v>49</v>
      </c>
      <c r="B65" s="19" t="s">
        <v>50</v>
      </c>
      <c r="C65" s="19" t="s">
        <v>52</v>
      </c>
      <c r="D65" s="16" t="s">
        <v>702</v>
      </c>
      <c r="E65" s="16" t="str">
        <f>IFERROR(__xludf.DUMMYFUNCTION("filter('INVOICE CODES'!B:B,'INVOICE CODES'!D:D=C65,'INVOICE CODES'!E:E=D65)"),"MC-R280-White")</f>
        <v>MC-R280-White</v>
      </c>
      <c r="F65" s="16" t="s">
        <v>985</v>
      </c>
      <c r="G65" s="16" t="s">
        <v>986</v>
      </c>
      <c r="H65" s="23">
        <v>45567.0</v>
      </c>
      <c r="I65" s="25" t="s">
        <v>988</v>
      </c>
      <c r="J65" s="26">
        <v>368408.0</v>
      </c>
      <c r="K65" s="27" t="s">
        <v>989</v>
      </c>
      <c r="L65" s="28" t="s">
        <v>64</v>
      </c>
      <c r="M65" s="28" t="s">
        <v>67</v>
      </c>
      <c r="N65" s="28" t="s">
        <v>992</v>
      </c>
      <c r="O65" s="12">
        <v>11043.0</v>
      </c>
      <c r="P65" s="29"/>
      <c r="Q65" s="12" t="s">
        <v>993</v>
      </c>
      <c r="R65" s="29"/>
      <c r="S65" s="30"/>
    </row>
    <row r="66" hidden="1">
      <c r="A66" s="16" t="s">
        <v>49</v>
      </c>
      <c r="B66" s="19" t="s">
        <v>50</v>
      </c>
      <c r="C66" s="19" t="s">
        <v>52</v>
      </c>
      <c r="D66" s="16" t="s">
        <v>702</v>
      </c>
      <c r="E66" s="16" t="str">
        <f>IFERROR(__xludf.DUMMYFUNCTION("filter('INVOICE CODES'!B:B,'INVOICE CODES'!D:D=C66,'INVOICE CODES'!E:E=D66)"),"MC-R280-White")</f>
        <v>MC-R280-White</v>
      </c>
      <c r="F66" s="16" t="s">
        <v>996</v>
      </c>
      <c r="G66" s="16" t="s">
        <v>998</v>
      </c>
      <c r="H66" s="23">
        <v>45567.0</v>
      </c>
      <c r="I66" s="25" t="s">
        <v>999</v>
      </c>
      <c r="J66" s="26">
        <v>368408.0</v>
      </c>
      <c r="K66" s="27" t="s">
        <v>1000</v>
      </c>
      <c r="L66" s="28" t="s">
        <v>64</v>
      </c>
      <c r="M66" s="28" t="s">
        <v>67</v>
      </c>
      <c r="N66" s="28" t="s">
        <v>1001</v>
      </c>
      <c r="O66" s="12">
        <v>11044.0</v>
      </c>
      <c r="P66" s="29"/>
      <c r="Q66" s="12" t="s">
        <v>1002</v>
      </c>
      <c r="R66" s="29"/>
      <c r="S66" s="30"/>
    </row>
    <row r="67" hidden="1">
      <c r="A67" s="16" t="s">
        <v>49</v>
      </c>
      <c r="B67" s="19" t="s">
        <v>50</v>
      </c>
      <c r="C67" s="19" t="s">
        <v>52</v>
      </c>
      <c r="D67" s="16" t="s">
        <v>702</v>
      </c>
      <c r="E67" s="16" t="str">
        <f>IFERROR(__xludf.DUMMYFUNCTION("filter('INVOICE CODES'!B:B,'INVOICE CODES'!D:D=C67,'INVOICE CODES'!E:E=D67)"),"MC-R280-White")</f>
        <v>MC-R280-White</v>
      </c>
      <c r="F67" s="16" t="s">
        <v>1006</v>
      </c>
      <c r="G67" s="16" t="s">
        <v>1007</v>
      </c>
      <c r="H67" s="23">
        <v>45567.0</v>
      </c>
      <c r="I67" s="25" t="s">
        <v>1008</v>
      </c>
      <c r="J67" s="26">
        <v>368408.0</v>
      </c>
      <c r="K67" s="27" t="s">
        <v>1009</v>
      </c>
      <c r="L67" s="28" t="s">
        <v>64</v>
      </c>
      <c r="M67" s="28" t="s">
        <v>67</v>
      </c>
      <c r="N67" s="28" t="s">
        <v>1010</v>
      </c>
      <c r="O67" s="12">
        <v>11046.0</v>
      </c>
      <c r="P67" s="29"/>
      <c r="Q67" s="12" t="s">
        <v>1014</v>
      </c>
      <c r="R67" s="29"/>
      <c r="S67" s="30"/>
    </row>
    <row r="68" hidden="1">
      <c r="A68" s="16" t="s">
        <v>49</v>
      </c>
      <c r="B68" s="19" t="s">
        <v>50</v>
      </c>
      <c r="C68" s="19" t="s">
        <v>52</v>
      </c>
      <c r="D68" s="16" t="s">
        <v>702</v>
      </c>
      <c r="E68" s="16" t="str">
        <f>IFERROR(__xludf.DUMMYFUNCTION("filter('INVOICE CODES'!B:B,'INVOICE CODES'!D:D=C68,'INVOICE CODES'!E:E=D68)"),"MC-R280-White")</f>
        <v>MC-R280-White</v>
      </c>
      <c r="F68" s="16" t="s">
        <v>1017</v>
      </c>
      <c r="G68" s="16" t="s">
        <v>1019</v>
      </c>
      <c r="H68" s="23">
        <v>45567.0</v>
      </c>
      <c r="I68" s="25" t="s">
        <v>1020</v>
      </c>
      <c r="J68" s="26">
        <v>368408.0</v>
      </c>
      <c r="K68" s="27" t="s">
        <v>1021</v>
      </c>
      <c r="L68" s="28" t="s">
        <v>64</v>
      </c>
      <c r="M68" s="28" t="s">
        <v>67</v>
      </c>
      <c r="N68" s="28" t="s">
        <v>1022</v>
      </c>
      <c r="O68" s="12">
        <v>11001.0</v>
      </c>
      <c r="P68" s="29"/>
      <c r="Q68" s="12" t="s">
        <v>1023</v>
      </c>
      <c r="R68" s="29"/>
      <c r="S68" s="30"/>
    </row>
    <row r="69" hidden="1">
      <c r="A69" s="16" t="s">
        <v>49</v>
      </c>
      <c r="B69" s="19" t="s">
        <v>50</v>
      </c>
      <c r="C69" s="19" t="s">
        <v>52</v>
      </c>
      <c r="D69" s="16" t="s">
        <v>702</v>
      </c>
      <c r="E69" s="16" t="str">
        <f>IFERROR(__xludf.DUMMYFUNCTION("filter('INVOICE CODES'!B:B,'INVOICE CODES'!D:D=C69,'INVOICE CODES'!E:E=D69)"),"MC-R280-White")</f>
        <v>MC-R280-White</v>
      </c>
      <c r="F69" s="16" t="s">
        <v>1027</v>
      </c>
      <c r="G69" s="16" t="s">
        <v>1028</v>
      </c>
      <c r="H69" s="23">
        <v>45567.0</v>
      </c>
      <c r="I69" s="25" t="s">
        <v>1029</v>
      </c>
      <c r="J69" s="26">
        <v>368408.0</v>
      </c>
      <c r="K69" s="27" t="s">
        <v>1030</v>
      </c>
      <c r="L69" s="28" t="s">
        <v>64</v>
      </c>
      <c r="M69" s="28" t="s">
        <v>67</v>
      </c>
      <c r="N69" s="28" t="s">
        <v>1032</v>
      </c>
      <c r="O69" s="12">
        <v>11002.0</v>
      </c>
      <c r="P69" s="29"/>
      <c r="Q69" s="12" t="s">
        <v>1035</v>
      </c>
      <c r="R69" s="29"/>
      <c r="S69" s="30"/>
    </row>
    <row r="70" hidden="1">
      <c r="A70" s="16" t="s">
        <v>49</v>
      </c>
      <c r="B70" s="19" t="s">
        <v>50</v>
      </c>
      <c r="C70" s="19" t="s">
        <v>52</v>
      </c>
      <c r="D70" s="16" t="s">
        <v>702</v>
      </c>
      <c r="E70" s="16" t="str">
        <f>IFERROR(__xludf.DUMMYFUNCTION("filter('INVOICE CODES'!B:B,'INVOICE CODES'!D:D=C70,'INVOICE CODES'!E:E=D70)"),"MC-R280-White")</f>
        <v>MC-R280-White</v>
      </c>
      <c r="F70" s="16" t="s">
        <v>1039</v>
      </c>
      <c r="G70" s="16" t="s">
        <v>1040</v>
      </c>
      <c r="H70" s="23">
        <v>45567.0</v>
      </c>
      <c r="I70" s="25" t="s">
        <v>1041</v>
      </c>
      <c r="J70" s="26">
        <v>368408.0</v>
      </c>
      <c r="K70" s="27" t="s">
        <v>1042</v>
      </c>
      <c r="L70" s="28" t="s">
        <v>64</v>
      </c>
      <c r="M70" s="28" t="s">
        <v>67</v>
      </c>
      <c r="N70" s="28" t="s">
        <v>1043</v>
      </c>
      <c r="O70" s="12">
        <v>11003.0</v>
      </c>
      <c r="P70" s="29"/>
      <c r="Q70" s="12" t="s">
        <v>1046</v>
      </c>
      <c r="R70" s="29"/>
      <c r="S70" s="30"/>
    </row>
    <row r="71" hidden="1">
      <c r="A71" s="16" t="s">
        <v>49</v>
      </c>
      <c r="B71" s="19" t="s">
        <v>50</v>
      </c>
      <c r="C71" s="19" t="s">
        <v>52</v>
      </c>
      <c r="D71" s="16" t="s">
        <v>702</v>
      </c>
      <c r="E71" s="16" t="str">
        <f>IFERROR(__xludf.DUMMYFUNCTION("filter('INVOICE CODES'!B:B,'INVOICE CODES'!D:D=C71,'INVOICE CODES'!E:E=D71)"),"MC-R280-White")</f>
        <v>MC-R280-White</v>
      </c>
      <c r="F71" s="16" t="s">
        <v>1048</v>
      </c>
      <c r="G71" s="16" t="s">
        <v>1049</v>
      </c>
      <c r="H71" s="23">
        <v>45567.0</v>
      </c>
      <c r="I71" s="25" t="s">
        <v>1052</v>
      </c>
      <c r="J71" s="26">
        <v>368408.0</v>
      </c>
      <c r="K71" s="27" t="s">
        <v>1054</v>
      </c>
      <c r="L71" s="28" t="s">
        <v>64</v>
      </c>
      <c r="M71" s="28" t="s">
        <v>67</v>
      </c>
      <c r="N71" s="28" t="s">
        <v>1055</v>
      </c>
      <c r="O71" s="12">
        <v>11004.0</v>
      </c>
      <c r="P71" s="29"/>
      <c r="Q71" s="12" t="s">
        <v>1056</v>
      </c>
      <c r="R71" s="29"/>
      <c r="S71" s="30"/>
    </row>
    <row r="72" hidden="1">
      <c r="A72" s="16" t="s">
        <v>49</v>
      </c>
      <c r="B72" s="19" t="s">
        <v>50</v>
      </c>
      <c r="C72" s="19" t="s">
        <v>52</v>
      </c>
      <c r="D72" s="16" t="s">
        <v>702</v>
      </c>
      <c r="E72" s="16" t="str">
        <f>IFERROR(__xludf.DUMMYFUNCTION("filter('INVOICE CODES'!B:B,'INVOICE CODES'!D:D=C72,'INVOICE CODES'!E:E=D72)"),"MC-R280-White")</f>
        <v>MC-R280-White</v>
      </c>
      <c r="F72" s="16" t="s">
        <v>1057</v>
      </c>
      <c r="G72" s="16" t="s">
        <v>1059</v>
      </c>
      <c r="H72" s="23">
        <v>45567.0</v>
      </c>
      <c r="I72" s="25" t="s">
        <v>1061</v>
      </c>
      <c r="J72" s="26">
        <v>368408.0</v>
      </c>
      <c r="K72" s="27" t="s">
        <v>1063</v>
      </c>
      <c r="L72" s="28" t="s">
        <v>64</v>
      </c>
      <c r="M72" s="28" t="s">
        <v>67</v>
      </c>
      <c r="N72" s="28" t="s">
        <v>1064</v>
      </c>
      <c r="O72" s="12">
        <v>11005.0</v>
      </c>
      <c r="P72" s="29"/>
      <c r="Q72" s="12" t="s">
        <v>1065</v>
      </c>
      <c r="R72" s="29"/>
      <c r="S72" s="30"/>
    </row>
    <row r="73" hidden="1">
      <c r="A73" s="16" t="s">
        <v>49</v>
      </c>
      <c r="B73" s="19" t="s">
        <v>50</v>
      </c>
      <c r="C73" s="19" t="s">
        <v>52</v>
      </c>
      <c r="D73" s="16" t="s">
        <v>702</v>
      </c>
      <c r="E73" s="16" t="str">
        <f>IFERROR(__xludf.DUMMYFUNCTION("filter('INVOICE CODES'!B:B,'INVOICE CODES'!D:D=C73,'INVOICE CODES'!E:E=D73)"),"MC-R280-White")</f>
        <v>MC-R280-White</v>
      </c>
      <c r="F73" s="16" t="s">
        <v>1069</v>
      </c>
      <c r="G73" s="16" t="s">
        <v>1070</v>
      </c>
      <c r="H73" s="23">
        <v>45567.0</v>
      </c>
      <c r="I73" s="25" t="s">
        <v>1071</v>
      </c>
      <c r="J73" s="26">
        <v>368408.0</v>
      </c>
      <c r="K73" s="27" t="s">
        <v>1072</v>
      </c>
      <c r="L73" s="28" t="s">
        <v>64</v>
      </c>
      <c r="M73" s="28" t="s">
        <v>67</v>
      </c>
      <c r="N73" s="28" t="s">
        <v>1075</v>
      </c>
      <c r="O73" s="12">
        <v>11010.0</v>
      </c>
      <c r="P73" s="29"/>
      <c r="Q73" s="12" t="s">
        <v>1077</v>
      </c>
      <c r="R73" s="29"/>
      <c r="S73" s="30"/>
    </row>
    <row r="74" hidden="1">
      <c r="A74" s="16" t="s">
        <v>49</v>
      </c>
      <c r="B74" s="19" t="s">
        <v>50</v>
      </c>
      <c r="C74" s="19" t="s">
        <v>52</v>
      </c>
      <c r="D74" s="16" t="s">
        <v>702</v>
      </c>
      <c r="E74" s="16" t="str">
        <f>IFERROR(__xludf.DUMMYFUNCTION("filter('INVOICE CODES'!B:B,'INVOICE CODES'!D:D=C74,'INVOICE CODES'!E:E=D74)"),"MC-R280-White")</f>
        <v>MC-R280-White</v>
      </c>
      <c r="F74" s="16" t="s">
        <v>1080</v>
      </c>
      <c r="G74" s="16" t="s">
        <v>1082</v>
      </c>
      <c r="H74" s="23">
        <v>45567.0</v>
      </c>
      <c r="I74" s="25" t="s">
        <v>1083</v>
      </c>
      <c r="J74" s="26">
        <v>368408.0</v>
      </c>
      <c r="K74" s="27" t="s">
        <v>1084</v>
      </c>
      <c r="L74" s="28" t="s">
        <v>64</v>
      </c>
      <c r="M74" s="28" t="s">
        <v>67</v>
      </c>
      <c r="N74" s="28" t="s">
        <v>1085</v>
      </c>
      <c r="O74" s="12">
        <v>11011.0</v>
      </c>
      <c r="P74" s="29"/>
      <c r="Q74" s="12" t="s">
        <v>1089</v>
      </c>
      <c r="R74" s="29"/>
      <c r="S74" s="30"/>
    </row>
    <row r="75" hidden="1">
      <c r="A75" s="16" t="s">
        <v>49</v>
      </c>
      <c r="B75" s="19" t="s">
        <v>50</v>
      </c>
      <c r="C75" s="19" t="s">
        <v>52</v>
      </c>
      <c r="D75" s="16" t="s">
        <v>702</v>
      </c>
      <c r="E75" s="16" t="str">
        <f>IFERROR(__xludf.DUMMYFUNCTION("filter('INVOICE CODES'!B:B,'INVOICE CODES'!D:D=C75,'INVOICE CODES'!E:E=D75)"),"MC-R280-White")</f>
        <v>MC-R280-White</v>
      </c>
      <c r="F75" s="16" t="s">
        <v>1093</v>
      </c>
      <c r="G75" s="16" t="s">
        <v>1094</v>
      </c>
      <c r="H75" s="23">
        <v>45567.0</v>
      </c>
      <c r="I75" s="25" t="s">
        <v>1095</v>
      </c>
      <c r="J75" s="26">
        <v>368408.0</v>
      </c>
      <c r="K75" s="27" t="s">
        <v>1096</v>
      </c>
      <c r="L75" s="28" t="s">
        <v>64</v>
      </c>
      <c r="M75" s="28" t="s">
        <v>67</v>
      </c>
      <c r="N75" s="28" t="s">
        <v>1098</v>
      </c>
      <c r="O75" s="12">
        <v>11012.0</v>
      </c>
      <c r="P75" s="29"/>
      <c r="Q75" s="12" t="s">
        <v>1101</v>
      </c>
      <c r="R75" s="29"/>
      <c r="S75" s="30"/>
    </row>
    <row r="76" hidden="1">
      <c r="A76" s="16" t="s">
        <v>49</v>
      </c>
      <c r="B76" s="19" t="s">
        <v>50</v>
      </c>
      <c r="C76" s="19" t="s">
        <v>52</v>
      </c>
      <c r="D76" s="16" t="s">
        <v>702</v>
      </c>
      <c r="E76" s="16" t="str">
        <f>IFERROR(__xludf.DUMMYFUNCTION("filter('INVOICE CODES'!B:B,'INVOICE CODES'!D:D=C76,'INVOICE CODES'!E:E=D76)"),"MC-R280-White")</f>
        <v>MC-R280-White</v>
      </c>
      <c r="F76" s="16" t="s">
        <v>1105</v>
      </c>
      <c r="G76" s="16" t="s">
        <v>1106</v>
      </c>
      <c r="H76" s="23">
        <v>45567.0</v>
      </c>
      <c r="I76" s="25" t="s">
        <v>1107</v>
      </c>
      <c r="J76" s="26">
        <v>368408.0</v>
      </c>
      <c r="K76" s="27" t="s">
        <v>1108</v>
      </c>
      <c r="L76" s="29"/>
      <c r="M76" s="29"/>
      <c r="N76" s="29"/>
      <c r="O76" s="29"/>
      <c r="P76" s="29"/>
      <c r="Q76" s="29"/>
      <c r="R76" s="29"/>
      <c r="S76" s="30"/>
    </row>
    <row r="77" hidden="1">
      <c r="A77" s="16" t="s">
        <v>49</v>
      </c>
      <c r="B77" s="19" t="s">
        <v>50</v>
      </c>
      <c r="C77" s="19" t="s">
        <v>52</v>
      </c>
      <c r="D77" s="16" t="s">
        <v>702</v>
      </c>
      <c r="E77" s="16" t="str">
        <f>IFERROR(__xludf.DUMMYFUNCTION("filter('INVOICE CODES'!B:B,'INVOICE CODES'!D:D=C77,'INVOICE CODES'!E:E=D77)"),"MC-R280-White")</f>
        <v>MC-R280-White</v>
      </c>
      <c r="F77" s="16" t="s">
        <v>1115</v>
      </c>
      <c r="G77" s="16" t="s">
        <v>1116</v>
      </c>
      <c r="H77" s="23">
        <v>45567.0</v>
      </c>
      <c r="I77" s="25" t="s">
        <v>1117</v>
      </c>
      <c r="J77" s="26">
        <v>368408.0</v>
      </c>
      <c r="K77" s="27" t="s">
        <v>1120</v>
      </c>
      <c r="L77" s="28" t="s">
        <v>64</v>
      </c>
      <c r="M77" s="28" t="s">
        <v>67</v>
      </c>
      <c r="N77" s="28" t="s">
        <v>1122</v>
      </c>
      <c r="O77" s="12">
        <v>11014.0</v>
      </c>
      <c r="P77" s="29"/>
      <c r="Q77" s="12" t="s">
        <v>1123</v>
      </c>
      <c r="R77" s="29"/>
      <c r="S77" s="30"/>
    </row>
    <row r="78" hidden="1">
      <c r="A78" s="16" t="s">
        <v>49</v>
      </c>
      <c r="B78" s="19" t="s">
        <v>50</v>
      </c>
      <c r="C78" s="16" t="s">
        <v>1127</v>
      </c>
      <c r="D78" s="16" t="s">
        <v>1128</v>
      </c>
      <c r="E78" s="16" t="str">
        <f>IFERROR(__xludf.DUMMYFUNCTION("filter('INVOICE CODES'!B:B,'INVOICE CODES'!D:D=C78,'INVOICE CODES'!E:E=D78)"),"MC-R280 Sport-Red")</f>
        <v>MC-R280 Sport-Red</v>
      </c>
      <c r="F78" s="16" t="s">
        <v>1131</v>
      </c>
      <c r="G78" s="16" t="s">
        <v>1133</v>
      </c>
      <c r="H78" s="23">
        <v>45567.0</v>
      </c>
      <c r="I78" s="25" t="s">
        <v>1134</v>
      </c>
      <c r="J78" s="26">
        <v>368408.0</v>
      </c>
      <c r="K78" s="27" t="s">
        <v>1135</v>
      </c>
      <c r="L78" s="28" t="s">
        <v>64</v>
      </c>
      <c r="M78" s="28" t="s">
        <v>67</v>
      </c>
      <c r="N78" s="28" t="s">
        <v>1136</v>
      </c>
      <c r="O78" s="12">
        <v>10967.0</v>
      </c>
      <c r="P78" s="29"/>
      <c r="Q78" s="12" t="s">
        <v>1140</v>
      </c>
      <c r="R78" s="29"/>
      <c r="S78" s="30"/>
    </row>
    <row r="79" hidden="1">
      <c r="A79" s="16" t="s">
        <v>49</v>
      </c>
      <c r="B79" s="19" t="s">
        <v>50</v>
      </c>
      <c r="C79" s="16" t="s">
        <v>1127</v>
      </c>
      <c r="D79" s="16" t="s">
        <v>1128</v>
      </c>
      <c r="E79" s="16" t="str">
        <f>IFERROR(__xludf.DUMMYFUNCTION("filter('INVOICE CODES'!B:B,'INVOICE CODES'!D:D=C79,'INVOICE CODES'!E:E=D79)"),"MC-R280 Sport-Red")</f>
        <v>MC-R280 Sport-Red</v>
      </c>
      <c r="F79" s="16" t="s">
        <v>1144</v>
      </c>
      <c r="G79" s="16" t="s">
        <v>1145</v>
      </c>
      <c r="H79" s="23">
        <v>45567.0</v>
      </c>
      <c r="I79" s="25" t="s">
        <v>1146</v>
      </c>
      <c r="J79" s="26">
        <v>368408.0</v>
      </c>
      <c r="K79" s="27" t="s">
        <v>1148</v>
      </c>
      <c r="L79" s="28" t="s">
        <v>64</v>
      </c>
      <c r="M79" s="28" t="s">
        <v>67</v>
      </c>
      <c r="N79" s="28" t="s">
        <v>1151</v>
      </c>
      <c r="O79" s="12">
        <v>10987.0</v>
      </c>
      <c r="P79" s="29"/>
      <c r="Q79" s="12" t="s">
        <v>1152</v>
      </c>
      <c r="R79" s="29"/>
      <c r="S79" s="30"/>
    </row>
    <row r="80" hidden="1">
      <c r="A80" s="16" t="s">
        <v>49</v>
      </c>
      <c r="B80" s="19" t="s">
        <v>50</v>
      </c>
      <c r="C80" s="16" t="s">
        <v>1127</v>
      </c>
      <c r="D80" s="16" t="s">
        <v>1128</v>
      </c>
      <c r="E80" s="16" t="str">
        <f>IFERROR(__xludf.DUMMYFUNCTION("filter('INVOICE CODES'!B:B,'INVOICE CODES'!D:D=C80,'INVOICE CODES'!E:E=D80)"),"MC-R280 Sport-Red")</f>
        <v>MC-R280 Sport-Red</v>
      </c>
      <c r="F80" s="16" t="s">
        <v>1159</v>
      </c>
      <c r="G80" s="16" t="s">
        <v>1160</v>
      </c>
      <c r="H80" s="23">
        <v>45567.0</v>
      </c>
      <c r="I80" s="25" t="s">
        <v>1162</v>
      </c>
      <c r="J80" s="26">
        <v>368408.0</v>
      </c>
      <c r="K80" s="27" t="s">
        <v>1165</v>
      </c>
      <c r="L80" s="29"/>
      <c r="M80" s="29"/>
      <c r="N80" s="29"/>
      <c r="O80" s="29"/>
      <c r="P80" s="29"/>
      <c r="Q80" s="29"/>
      <c r="R80" s="29"/>
      <c r="S80" s="30"/>
    </row>
    <row r="81" hidden="1">
      <c r="A81" s="16" t="s">
        <v>49</v>
      </c>
      <c r="B81" s="19" t="s">
        <v>50</v>
      </c>
      <c r="C81" s="16" t="s">
        <v>1127</v>
      </c>
      <c r="D81" s="16" t="s">
        <v>1128</v>
      </c>
      <c r="E81" s="16" t="str">
        <f>IFERROR(__xludf.DUMMYFUNCTION("filter('INVOICE CODES'!B:B,'INVOICE CODES'!D:D=C81,'INVOICE CODES'!E:E=D81)"),"MC-R280 Sport-Red")</f>
        <v>MC-R280 Sport-Red</v>
      </c>
      <c r="F81" s="16" t="s">
        <v>1172</v>
      </c>
      <c r="G81" s="16" t="s">
        <v>1173</v>
      </c>
      <c r="H81" s="23">
        <v>45567.0</v>
      </c>
      <c r="I81" s="25" t="s">
        <v>1174</v>
      </c>
      <c r="J81" s="26">
        <v>368408.0</v>
      </c>
      <c r="K81" s="27" t="s">
        <v>1177</v>
      </c>
      <c r="L81" s="28" t="s">
        <v>64</v>
      </c>
      <c r="M81" s="28" t="s">
        <v>67</v>
      </c>
      <c r="N81" s="28" t="s">
        <v>1179</v>
      </c>
      <c r="O81" s="12">
        <v>11063.0</v>
      </c>
      <c r="P81" s="29"/>
      <c r="Q81" s="12" t="s">
        <v>1180</v>
      </c>
      <c r="R81" s="29"/>
      <c r="S81" s="30"/>
    </row>
    <row r="82" hidden="1">
      <c r="A82" s="16" t="s">
        <v>49</v>
      </c>
      <c r="B82" s="19" t="s">
        <v>50</v>
      </c>
      <c r="C82" s="16" t="s">
        <v>1127</v>
      </c>
      <c r="D82" s="16" t="s">
        <v>1128</v>
      </c>
      <c r="E82" s="16" t="str">
        <f>IFERROR(__xludf.DUMMYFUNCTION("filter('INVOICE CODES'!B:B,'INVOICE CODES'!D:D=C82,'INVOICE CODES'!E:E=D82)"),"MC-R280 Sport-Red")</f>
        <v>MC-R280 Sport-Red</v>
      </c>
      <c r="F82" s="16" t="s">
        <v>1184</v>
      </c>
      <c r="G82" s="16" t="s">
        <v>1186</v>
      </c>
      <c r="H82" s="23">
        <v>45567.0</v>
      </c>
      <c r="I82" s="25" t="s">
        <v>1189</v>
      </c>
      <c r="J82" s="26">
        <v>368408.0</v>
      </c>
      <c r="K82" s="27" t="s">
        <v>1190</v>
      </c>
      <c r="L82" s="29"/>
      <c r="M82" s="29"/>
      <c r="N82" s="29"/>
      <c r="O82" s="29"/>
      <c r="P82" s="29"/>
      <c r="Q82" s="29"/>
      <c r="R82" s="29"/>
      <c r="S82" s="30"/>
    </row>
    <row r="83" hidden="1">
      <c r="A83" s="16" t="s">
        <v>49</v>
      </c>
      <c r="B83" s="19" t="s">
        <v>50</v>
      </c>
      <c r="C83" s="16" t="s">
        <v>1127</v>
      </c>
      <c r="D83" s="16" t="s">
        <v>1128</v>
      </c>
      <c r="E83" s="16" t="str">
        <f>IFERROR(__xludf.DUMMYFUNCTION("filter('INVOICE CODES'!B:B,'INVOICE CODES'!D:D=C83,'INVOICE CODES'!E:E=D83)"),"MC-R280 Sport-Red")</f>
        <v>MC-R280 Sport-Red</v>
      </c>
      <c r="F83" s="16" t="s">
        <v>1197</v>
      </c>
      <c r="G83" s="16" t="s">
        <v>1198</v>
      </c>
      <c r="H83" s="23">
        <v>45567.0</v>
      </c>
      <c r="I83" s="25" t="s">
        <v>1201</v>
      </c>
      <c r="J83" s="26">
        <v>368408.0</v>
      </c>
      <c r="K83" s="27" t="s">
        <v>1203</v>
      </c>
      <c r="L83" s="28" t="s">
        <v>64</v>
      </c>
      <c r="M83" s="28" t="s">
        <v>67</v>
      </c>
      <c r="N83" s="28" t="s">
        <v>1204</v>
      </c>
      <c r="O83" s="12">
        <v>10965.0</v>
      </c>
      <c r="P83" s="29"/>
      <c r="Q83" s="12" t="s">
        <v>1208</v>
      </c>
      <c r="R83" s="29"/>
      <c r="S83" s="30"/>
    </row>
    <row r="84" hidden="1">
      <c r="A84" s="16" t="s">
        <v>49</v>
      </c>
      <c r="B84" s="19" t="s">
        <v>50</v>
      </c>
      <c r="C84" s="16" t="s">
        <v>1127</v>
      </c>
      <c r="D84" s="16" t="s">
        <v>1128</v>
      </c>
      <c r="E84" s="16" t="str">
        <f>IFERROR(__xludf.DUMMYFUNCTION("filter('INVOICE CODES'!B:B,'INVOICE CODES'!D:D=C84,'INVOICE CODES'!E:E=D84)"),"MC-R280 Sport-Red")</f>
        <v>MC-R280 Sport-Red</v>
      </c>
      <c r="F84" s="16" t="s">
        <v>1213</v>
      </c>
      <c r="G84" s="16" t="s">
        <v>1216</v>
      </c>
      <c r="H84" s="23">
        <v>45567.0</v>
      </c>
      <c r="I84" s="25" t="s">
        <v>1217</v>
      </c>
      <c r="J84" s="26">
        <v>368408.0</v>
      </c>
      <c r="K84" s="27" t="s">
        <v>1221</v>
      </c>
      <c r="L84" s="28" t="s">
        <v>64</v>
      </c>
      <c r="M84" s="28" t="s">
        <v>67</v>
      </c>
      <c r="N84" s="28" t="s">
        <v>1222</v>
      </c>
      <c r="O84" s="12">
        <v>11050.0</v>
      </c>
      <c r="P84" s="29"/>
      <c r="Q84" s="12" t="s">
        <v>1225</v>
      </c>
      <c r="R84" s="29"/>
      <c r="S84" s="30"/>
    </row>
    <row r="85" hidden="1">
      <c r="A85" s="16" t="s">
        <v>49</v>
      </c>
      <c r="B85" s="19" t="s">
        <v>50</v>
      </c>
      <c r="C85" s="16" t="s">
        <v>1127</v>
      </c>
      <c r="D85" s="16" t="s">
        <v>1128</v>
      </c>
      <c r="E85" s="16" t="str">
        <f>IFERROR(__xludf.DUMMYFUNCTION("filter('INVOICE CODES'!B:B,'INVOICE CODES'!D:D=C85,'INVOICE CODES'!E:E=D85)"),"MC-R280 Sport-Red")</f>
        <v>MC-R280 Sport-Red</v>
      </c>
      <c r="F85" s="16" t="s">
        <v>1230</v>
      </c>
      <c r="G85" s="16" t="s">
        <v>1231</v>
      </c>
      <c r="H85" s="23">
        <v>45567.0</v>
      </c>
      <c r="I85" s="25" t="s">
        <v>1232</v>
      </c>
      <c r="J85" s="26">
        <v>368408.0</v>
      </c>
      <c r="K85" s="27" t="s">
        <v>1234</v>
      </c>
      <c r="L85" s="29"/>
      <c r="M85" s="29"/>
      <c r="N85" s="29"/>
      <c r="O85" s="29"/>
      <c r="P85" s="29"/>
      <c r="Q85" s="29"/>
      <c r="R85" s="29"/>
      <c r="S85" s="60" t="s">
        <v>1237</v>
      </c>
    </row>
    <row r="86" hidden="1">
      <c r="A86" s="16" t="s">
        <v>49</v>
      </c>
      <c r="B86" s="19" t="s">
        <v>50</v>
      </c>
      <c r="C86" s="16" t="s">
        <v>1127</v>
      </c>
      <c r="D86" s="16" t="s">
        <v>1128</v>
      </c>
      <c r="E86" s="16" t="str">
        <f>IFERROR(__xludf.DUMMYFUNCTION("filter('INVOICE CODES'!B:B,'INVOICE CODES'!D:D=C86,'INVOICE CODES'!E:E=D86)"),"MC-R280 Sport-Red")</f>
        <v>MC-R280 Sport-Red</v>
      </c>
      <c r="F86" s="16" t="s">
        <v>1244</v>
      </c>
      <c r="G86" s="16" t="s">
        <v>1245</v>
      </c>
      <c r="H86" s="23">
        <v>45567.0</v>
      </c>
      <c r="I86" s="25" t="s">
        <v>1248</v>
      </c>
      <c r="J86" s="26">
        <v>368408.0</v>
      </c>
      <c r="K86" s="27" t="s">
        <v>1250</v>
      </c>
      <c r="L86" s="28" t="s">
        <v>64</v>
      </c>
      <c r="M86" s="28" t="s">
        <v>67</v>
      </c>
      <c r="N86" s="28" t="s">
        <v>1251</v>
      </c>
      <c r="O86" s="12">
        <v>10986.0</v>
      </c>
      <c r="P86" s="29"/>
      <c r="Q86" s="12" t="s">
        <v>1255</v>
      </c>
      <c r="R86" s="29"/>
      <c r="S86" s="30"/>
    </row>
    <row r="87" hidden="1">
      <c r="A87" s="16" t="s">
        <v>49</v>
      </c>
      <c r="B87" s="19" t="s">
        <v>50</v>
      </c>
      <c r="C87" s="16" t="s">
        <v>1127</v>
      </c>
      <c r="D87" s="16" t="s">
        <v>1128</v>
      </c>
      <c r="E87" s="16" t="str">
        <f>IFERROR(__xludf.DUMMYFUNCTION("filter('INVOICE CODES'!B:B,'INVOICE CODES'!D:D=C87,'INVOICE CODES'!E:E=D87)"),"MC-R280 Sport-Red")</f>
        <v>MC-R280 Sport-Red</v>
      </c>
      <c r="F87" s="16" t="s">
        <v>1259</v>
      </c>
      <c r="G87" s="16" t="s">
        <v>1260</v>
      </c>
      <c r="H87" s="23">
        <v>45567.0</v>
      </c>
      <c r="I87" s="25" t="s">
        <v>1262</v>
      </c>
      <c r="J87" s="26">
        <v>368408.0</v>
      </c>
      <c r="K87" s="27" t="s">
        <v>1265</v>
      </c>
      <c r="L87" s="28" t="s">
        <v>64</v>
      </c>
      <c r="M87" s="28" t="s">
        <v>67</v>
      </c>
      <c r="N87" s="28" t="s">
        <v>1266</v>
      </c>
      <c r="O87" s="12">
        <v>10998.0</v>
      </c>
      <c r="P87" s="29"/>
      <c r="Q87" s="12" t="s">
        <v>1267</v>
      </c>
      <c r="R87" s="29"/>
      <c r="S87" s="30"/>
    </row>
    <row r="88" hidden="1">
      <c r="A88" s="16" t="s">
        <v>49</v>
      </c>
      <c r="B88" s="19" t="s">
        <v>50</v>
      </c>
      <c r="C88" s="16" t="s">
        <v>1127</v>
      </c>
      <c r="D88" s="16" t="s">
        <v>1128</v>
      </c>
      <c r="E88" s="16" t="str">
        <f>IFERROR(__xludf.DUMMYFUNCTION("filter('INVOICE CODES'!B:B,'INVOICE CODES'!D:D=C88,'INVOICE CODES'!E:E=D88)"),"MC-R280 Sport-Red")</f>
        <v>MC-R280 Sport-Red</v>
      </c>
      <c r="F88" s="16" t="s">
        <v>1273</v>
      </c>
      <c r="G88" s="16" t="s">
        <v>1275</v>
      </c>
      <c r="H88" s="23">
        <v>45567.0</v>
      </c>
      <c r="I88" s="25" t="s">
        <v>1276</v>
      </c>
      <c r="J88" s="26">
        <v>368408.0</v>
      </c>
      <c r="K88" s="27" t="s">
        <v>1277</v>
      </c>
      <c r="L88" s="28" t="s">
        <v>64</v>
      </c>
      <c r="M88" s="28" t="s">
        <v>67</v>
      </c>
      <c r="N88" s="28" t="s">
        <v>1278</v>
      </c>
      <c r="O88" s="12">
        <v>11006.0</v>
      </c>
      <c r="P88" s="29"/>
      <c r="Q88" s="12" t="s">
        <v>1279</v>
      </c>
      <c r="R88" s="29"/>
      <c r="S88" s="30"/>
    </row>
    <row r="89" ht="15.0" hidden="1" customHeight="1">
      <c r="A89" s="16" t="s">
        <v>49</v>
      </c>
      <c r="B89" s="19" t="s">
        <v>50</v>
      </c>
      <c r="C89" s="16" t="s">
        <v>1127</v>
      </c>
      <c r="D89" s="16" t="s">
        <v>1128</v>
      </c>
      <c r="E89" s="16" t="str">
        <f>IFERROR(__xludf.DUMMYFUNCTION("filter('INVOICE CODES'!B:B,'INVOICE CODES'!D:D=C89,'INVOICE CODES'!E:E=D89)"),"MC-R280 Sport-Red")</f>
        <v>MC-R280 Sport-Red</v>
      </c>
      <c r="F89" s="16" t="s">
        <v>1283</v>
      </c>
      <c r="G89" s="16" t="s">
        <v>1284</v>
      </c>
      <c r="H89" s="23">
        <v>45567.0</v>
      </c>
      <c r="I89" s="25" t="s">
        <v>1285</v>
      </c>
      <c r="J89" s="26">
        <v>368408.0</v>
      </c>
      <c r="K89" s="27" t="s">
        <v>1286</v>
      </c>
      <c r="L89" s="29"/>
      <c r="M89" s="29"/>
      <c r="N89" s="29"/>
      <c r="O89" s="29"/>
      <c r="P89" s="29"/>
      <c r="Q89" s="29"/>
      <c r="R89" s="29"/>
      <c r="S89" s="60" t="s">
        <v>1237</v>
      </c>
    </row>
    <row r="90" hidden="1">
      <c r="A90" s="16" t="s">
        <v>49</v>
      </c>
      <c r="B90" s="19" t="s">
        <v>50</v>
      </c>
      <c r="C90" s="16" t="s">
        <v>1127</v>
      </c>
      <c r="D90" s="16" t="s">
        <v>1128</v>
      </c>
      <c r="E90" s="16" t="str">
        <f>IFERROR(__xludf.DUMMYFUNCTION("filter('INVOICE CODES'!B:B,'INVOICE CODES'!D:D=C90,'INVOICE CODES'!E:E=D90)"),"MC-R280 Sport-Red")</f>
        <v>MC-R280 Sport-Red</v>
      </c>
      <c r="F90" s="16" t="s">
        <v>1293</v>
      </c>
      <c r="G90" s="16" t="s">
        <v>1294</v>
      </c>
      <c r="H90" s="23">
        <v>45567.0</v>
      </c>
      <c r="I90" s="25" t="s">
        <v>1295</v>
      </c>
      <c r="J90" s="26">
        <v>368408.0</v>
      </c>
      <c r="K90" s="27" t="s">
        <v>1299</v>
      </c>
      <c r="L90" s="28" t="s">
        <v>670</v>
      </c>
      <c r="M90" s="28">
        <v>9.1000008734156E13</v>
      </c>
      <c r="N90" s="28" t="s">
        <v>1300</v>
      </c>
      <c r="O90" s="12">
        <v>13.0</v>
      </c>
      <c r="P90" s="29"/>
      <c r="Q90" s="12" t="s">
        <v>67</v>
      </c>
      <c r="R90" s="29"/>
      <c r="S90" s="30"/>
    </row>
    <row r="91" hidden="1">
      <c r="A91" s="16" t="s">
        <v>49</v>
      </c>
      <c r="B91" s="19" t="s">
        <v>50</v>
      </c>
      <c r="C91" s="16" t="s">
        <v>1127</v>
      </c>
      <c r="D91" s="16" t="s">
        <v>1128</v>
      </c>
      <c r="E91" s="16" t="str">
        <f>IFERROR(__xludf.DUMMYFUNCTION("filter('INVOICE CODES'!B:B,'INVOICE CODES'!D:D=C91,'INVOICE CODES'!E:E=D91)"),"MC-R280 Sport-Red")</f>
        <v>MC-R280 Sport-Red</v>
      </c>
      <c r="F91" s="16" t="s">
        <v>1304</v>
      </c>
      <c r="G91" s="16" t="s">
        <v>1305</v>
      </c>
      <c r="H91" s="23">
        <v>45567.0</v>
      </c>
      <c r="I91" s="25" t="s">
        <v>1309</v>
      </c>
      <c r="J91" s="26">
        <v>368408.0</v>
      </c>
      <c r="K91" s="27" t="s">
        <v>1310</v>
      </c>
      <c r="L91" s="28" t="s">
        <v>64</v>
      </c>
      <c r="M91" s="28" t="s">
        <v>67</v>
      </c>
      <c r="N91" s="28" t="s">
        <v>1311</v>
      </c>
      <c r="O91" s="12">
        <v>10992.0</v>
      </c>
      <c r="P91" s="29"/>
      <c r="Q91" s="12" t="s">
        <v>1313</v>
      </c>
      <c r="R91" s="29"/>
      <c r="S91" s="30"/>
    </row>
    <row r="92" hidden="1">
      <c r="A92" s="16" t="s">
        <v>49</v>
      </c>
      <c r="B92" s="19" t="s">
        <v>50</v>
      </c>
      <c r="C92" s="16" t="s">
        <v>1127</v>
      </c>
      <c r="D92" s="16" t="s">
        <v>1128</v>
      </c>
      <c r="E92" s="16" t="str">
        <f>IFERROR(__xludf.DUMMYFUNCTION("filter('INVOICE CODES'!B:B,'INVOICE CODES'!D:D=C92,'INVOICE CODES'!E:E=D92)"),"MC-R280 Sport-Red")</f>
        <v>MC-R280 Sport-Red</v>
      </c>
      <c r="F92" s="16" t="s">
        <v>1316</v>
      </c>
      <c r="G92" s="16" t="s">
        <v>1318</v>
      </c>
      <c r="H92" s="23">
        <v>45567.0</v>
      </c>
      <c r="I92" s="25" t="s">
        <v>1321</v>
      </c>
      <c r="J92" s="26">
        <v>368408.0</v>
      </c>
      <c r="K92" s="27" t="s">
        <v>1322</v>
      </c>
      <c r="L92" s="28" t="s">
        <v>64</v>
      </c>
      <c r="M92" s="28" t="s">
        <v>67</v>
      </c>
      <c r="N92" s="28" t="s">
        <v>1323</v>
      </c>
      <c r="O92" s="12">
        <v>11053.0</v>
      </c>
      <c r="P92" s="29"/>
      <c r="Q92" s="12" t="s">
        <v>1325</v>
      </c>
      <c r="R92" s="29"/>
      <c r="S92" s="30"/>
    </row>
    <row r="93" hidden="1">
      <c r="A93" s="16" t="s">
        <v>49</v>
      </c>
      <c r="B93" s="19" t="s">
        <v>50</v>
      </c>
      <c r="C93" s="16" t="s">
        <v>1127</v>
      </c>
      <c r="D93" s="16" t="s">
        <v>1128</v>
      </c>
      <c r="E93" s="16" t="str">
        <f>IFERROR(__xludf.DUMMYFUNCTION("filter('INVOICE CODES'!B:B,'INVOICE CODES'!D:D=C93,'INVOICE CODES'!E:E=D93)"),"MC-R280 Sport-Red")</f>
        <v>MC-R280 Sport-Red</v>
      </c>
      <c r="F93" s="16" t="s">
        <v>1328</v>
      </c>
      <c r="G93" s="16" t="s">
        <v>1330</v>
      </c>
      <c r="H93" s="23">
        <v>45567.0</v>
      </c>
      <c r="I93" s="25" t="s">
        <v>1333</v>
      </c>
      <c r="J93" s="26">
        <v>368408.0</v>
      </c>
      <c r="K93" s="27" t="s">
        <v>1334</v>
      </c>
      <c r="L93" s="28" t="s">
        <v>64</v>
      </c>
      <c r="M93" s="28" t="s">
        <v>67</v>
      </c>
      <c r="N93" s="28" t="s">
        <v>1335</v>
      </c>
      <c r="O93" s="12">
        <v>10966.0</v>
      </c>
      <c r="P93" s="29"/>
      <c r="Q93" s="12" t="s">
        <v>1336</v>
      </c>
      <c r="R93" s="29"/>
      <c r="S93" s="30"/>
    </row>
    <row r="94" hidden="1">
      <c r="A94" s="16" t="s">
        <v>49</v>
      </c>
      <c r="B94" s="19" t="s">
        <v>50</v>
      </c>
      <c r="C94" s="16" t="s">
        <v>1127</v>
      </c>
      <c r="D94" s="16" t="s">
        <v>1128</v>
      </c>
      <c r="E94" s="16" t="str">
        <f>IFERROR(__xludf.DUMMYFUNCTION("filter('INVOICE CODES'!B:B,'INVOICE CODES'!D:D=C94,'INVOICE CODES'!E:E=D94)"),"MC-R280 Sport-Red")</f>
        <v>MC-R280 Sport-Red</v>
      </c>
      <c r="F94" s="16" t="s">
        <v>1340</v>
      </c>
      <c r="G94" s="16" t="s">
        <v>1341</v>
      </c>
      <c r="H94" s="23">
        <v>45567.0</v>
      </c>
      <c r="I94" s="25" t="s">
        <v>1344</v>
      </c>
      <c r="J94" s="26">
        <v>368408.0</v>
      </c>
      <c r="K94" s="27" t="s">
        <v>1346</v>
      </c>
      <c r="L94" s="28" t="s">
        <v>64</v>
      </c>
      <c r="M94" s="28" t="s">
        <v>67</v>
      </c>
      <c r="N94" s="28" t="s">
        <v>1347</v>
      </c>
      <c r="O94" s="12">
        <v>10985.0</v>
      </c>
      <c r="P94" s="29"/>
      <c r="Q94" s="12" t="s">
        <v>1348</v>
      </c>
      <c r="R94" s="29"/>
      <c r="S94" s="30"/>
    </row>
    <row r="95" hidden="1">
      <c r="A95" s="16" t="s">
        <v>49</v>
      </c>
      <c r="B95" s="19" t="s">
        <v>50</v>
      </c>
      <c r="C95" s="16" t="s">
        <v>1127</v>
      </c>
      <c r="D95" s="16" t="s">
        <v>1128</v>
      </c>
      <c r="E95" s="16" t="str">
        <f>IFERROR(__xludf.DUMMYFUNCTION("filter('INVOICE CODES'!B:B,'INVOICE CODES'!D:D=C95,'INVOICE CODES'!E:E=D95)"),"MC-R280 Sport-Red")</f>
        <v>MC-R280 Sport-Red</v>
      </c>
      <c r="F95" s="16" t="s">
        <v>1352</v>
      </c>
      <c r="G95" s="16" t="s">
        <v>1353</v>
      </c>
      <c r="H95" s="23">
        <v>45567.0</v>
      </c>
      <c r="I95" s="25" t="s">
        <v>1354</v>
      </c>
      <c r="J95" s="26">
        <v>368408.0</v>
      </c>
      <c r="K95" s="27" t="s">
        <v>1355</v>
      </c>
      <c r="L95" s="28" t="s">
        <v>64</v>
      </c>
      <c r="M95" s="28" t="s">
        <v>67</v>
      </c>
      <c r="N95" s="28" t="s">
        <v>1359</v>
      </c>
      <c r="O95" s="12">
        <v>10972.0</v>
      </c>
      <c r="P95" s="29"/>
      <c r="Q95" s="12" t="s">
        <v>1360</v>
      </c>
      <c r="R95" s="29"/>
      <c r="S95" s="30"/>
    </row>
    <row r="96" hidden="1">
      <c r="A96" s="16" t="s">
        <v>49</v>
      </c>
      <c r="B96" s="19" t="s">
        <v>50</v>
      </c>
      <c r="C96" s="16" t="s">
        <v>1127</v>
      </c>
      <c r="D96" s="16" t="s">
        <v>1128</v>
      </c>
      <c r="E96" s="16" t="str">
        <f>IFERROR(__xludf.DUMMYFUNCTION("filter('INVOICE CODES'!B:B,'INVOICE CODES'!D:D=C96,'INVOICE CODES'!E:E=D96)"),"MC-R280 Sport-Red")</f>
        <v>MC-R280 Sport-Red</v>
      </c>
      <c r="F96" s="16" t="s">
        <v>1364</v>
      </c>
      <c r="G96" s="16" t="s">
        <v>1365</v>
      </c>
      <c r="H96" s="23">
        <v>45567.0</v>
      </c>
      <c r="I96" s="25" t="s">
        <v>1366</v>
      </c>
      <c r="J96" s="26">
        <v>368408.0</v>
      </c>
      <c r="K96" s="27" t="s">
        <v>1369</v>
      </c>
      <c r="L96" s="28" t="s">
        <v>64</v>
      </c>
      <c r="M96" s="28" t="s">
        <v>67</v>
      </c>
      <c r="N96" s="28" t="s">
        <v>1371</v>
      </c>
      <c r="O96" s="12">
        <v>10964.0</v>
      </c>
      <c r="P96" s="29"/>
      <c r="Q96" s="12" t="s">
        <v>1375</v>
      </c>
      <c r="R96" s="29"/>
      <c r="S96" s="30"/>
    </row>
    <row r="97" hidden="1">
      <c r="A97" s="16" t="s">
        <v>49</v>
      </c>
      <c r="B97" s="19" t="s">
        <v>50</v>
      </c>
      <c r="C97" s="16" t="s">
        <v>1127</v>
      </c>
      <c r="D97" s="16" t="s">
        <v>1128</v>
      </c>
      <c r="E97" s="16" t="str">
        <f>IFERROR(__xludf.DUMMYFUNCTION("filter('INVOICE CODES'!B:B,'INVOICE CODES'!D:D=C97,'INVOICE CODES'!E:E=D97)"),"MC-R280 Sport-Red")</f>
        <v>MC-R280 Sport-Red</v>
      </c>
      <c r="F97" s="16" t="s">
        <v>1379</v>
      </c>
      <c r="G97" s="16" t="s">
        <v>1380</v>
      </c>
      <c r="H97" s="23">
        <v>45567.0</v>
      </c>
      <c r="I97" s="25" t="s">
        <v>1383</v>
      </c>
      <c r="J97" s="26">
        <v>368408.0</v>
      </c>
      <c r="K97" s="27" t="s">
        <v>1385</v>
      </c>
      <c r="L97" s="28" t="s">
        <v>64</v>
      </c>
      <c r="M97" s="28" t="s">
        <v>67</v>
      </c>
      <c r="N97" s="28" t="s">
        <v>1386</v>
      </c>
      <c r="O97" s="12">
        <v>11059.0</v>
      </c>
      <c r="P97" s="29"/>
      <c r="Q97" s="12" t="s">
        <v>1387</v>
      </c>
      <c r="R97" s="29"/>
      <c r="S97" s="30"/>
    </row>
    <row r="98" hidden="1">
      <c r="A98" s="16" t="s">
        <v>49</v>
      </c>
      <c r="B98" s="19" t="s">
        <v>50</v>
      </c>
      <c r="C98" s="16" t="s">
        <v>1127</v>
      </c>
      <c r="D98" s="16" t="s">
        <v>1128</v>
      </c>
      <c r="E98" s="16" t="str">
        <f>IFERROR(__xludf.DUMMYFUNCTION("filter('INVOICE CODES'!B:B,'INVOICE CODES'!D:D=C98,'INVOICE CODES'!E:E=D98)"),"MC-R280 Sport-Red")</f>
        <v>MC-R280 Sport-Red</v>
      </c>
      <c r="F98" s="16" t="s">
        <v>1391</v>
      </c>
      <c r="G98" s="16" t="s">
        <v>1392</v>
      </c>
      <c r="H98" s="23">
        <v>45567.0</v>
      </c>
      <c r="I98" s="25" t="s">
        <v>1393</v>
      </c>
      <c r="J98" s="26">
        <v>368408.0</v>
      </c>
      <c r="K98" s="27" t="s">
        <v>1395</v>
      </c>
      <c r="L98" s="28" t="s">
        <v>64</v>
      </c>
      <c r="M98" s="28" t="s">
        <v>67</v>
      </c>
      <c r="N98" s="28" t="s">
        <v>1398</v>
      </c>
      <c r="O98" s="12">
        <v>11066.0</v>
      </c>
      <c r="P98" s="29"/>
      <c r="Q98" s="12" t="s">
        <v>1399</v>
      </c>
      <c r="R98" s="29"/>
      <c r="S98" s="30"/>
    </row>
    <row r="99" hidden="1">
      <c r="A99" s="16" t="s">
        <v>49</v>
      </c>
      <c r="B99" s="19" t="s">
        <v>50</v>
      </c>
      <c r="C99" s="16" t="s">
        <v>1127</v>
      </c>
      <c r="D99" s="16" t="s">
        <v>1128</v>
      </c>
      <c r="E99" s="16" t="str">
        <f>IFERROR(__xludf.DUMMYFUNCTION("filter('INVOICE CODES'!B:B,'INVOICE CODES'!D:D=C99,'INVOICE CODES'!E:E=D99)"),"MC-R280 Sport-Red")</f>
        <v>MC-R280 Sport-Red</v>
      </c>
      <c r="F99" s="16" t="s">
        <v>1403</v>
      </c>
      <c r="G99" s="16" t="s">
        <v>1404</v>
      </c>
      <c r="H99" s="23">
        <v>45567.0</v>
      </c>
      <c r="I99" s="25" t="s">
        <v>1405</v>
      </c>
      <c r="J99" s="26">
        <v>368408.0</v>
      </c>
      <c r="K99" s="27" t="s">
        <v>1406</v>
      </c>
      <c r="L99" s="28" t="s">
        <v>670</v>
      </c>
      <c r="M99" s="58">
        <v>9.1000008767694E13</v>
      </c>
      <c r="N99" s="58" t="s">
        <v>1410</v>
      </c>
      <c r="O99" s="12">
        <v>33.0</v>
      </c>
      <c r="P99" s="29"/>
      <c r="Q99" s="12" t="s">
        <v>67</v>
      </c>
      <c r="R99" s="29"/>
      <c r="S99" s="30"/>
    </row>
    <row r="100" hidden="1">
      <c r="A100" s="16" t="s">
        <v>49</v>
      </c>
      <c r="B100" s="19" t="s">
        <v>50</v>
      </c>
      <c r="C100" s="16" t="s">
        <v>1127</v>
      </c>
      <c r="D100" s="16" t="s">
        <v>1128</v>
      </c>
      <c r="E100" s="16" t="str">
        <f>IFERROR(__xludf.DUMMYFUNCTION("filter('INVOICE CODES'!B:B,'INVOICE CODES'!D:D=C100,'INVOICE CODES'!E:E=D100)"),"MC-R280 Sport-Red")</f>
        <v>MC-R280 Sport-Red</v>
      </c>
      <c r="F100" s="16" t="s">
        <v>1414</v>
      </c>
      <c r="G100" s="16" t="s">
        <v>1415</v>
      </c>
      <c r="H100" s="23">
        <v>45567.0</v>
      </c>
      <c r="I100" s="25" t="s">
        <v>1416</v>
      </c>
      <c r="J100" s="26">
        <v>368408.0</v>
      </c>
      <c r="K100" s="27" t="s">
        <v>1418</v>
      </c>
      <c r="L100" s="28" t="s">
        <v>64</v>
      </c>
      <c r="M100" s="28" t="s">
        <v>67</v>
      </c>
      <c r="N100" s="28" t="s">
        <v>1421</v>
      </c>
      <c r="O100" s="12">
        <v>11018.0</v>
      </c>
      <c r="P100" s="29"/>
      <c r="Q100" s="12" t="s">
        <v>1422</v>
      </c>
      <c r="R100" s="29"/>
      <c r="S100" s="30"/>
    </row>
    <row r="101" hidden="1">
      <c r="A101" s="16" t="s">
        <v>49</v>
      </c>
      <c r="B101" s="19" t="s">
        <v>50</v>
      </c>
      <c r="C101" s="16" t="s">
        <v>1127</v>
      </c>
      <c r="D101" s="16" t="s">
        <v>1128</v>
      </c>
      <c r="E101" s="16" t="str">
        <f>IFERROR(__xludf.DUMMYFUNCTION("filter('INVOICE CODES'!B:B,'INVOICE CODES'!D:D=C101,'INVOICE CODES'!E:E=D101)"),"MC-R280 Sport-Red")</f>
        <v>MC-R280 Sport-Red</v>
      </c>
      <c r="F101" s="16" t="s">
        <v>1426</v>
      </c>
      <c r="G101" s="16" t="s">
        <v>1427</v>
      </c>
      <c r="H101" s="23">
        <v>45567.0</v>
      </c>
      <c r="I101" s="25" t="s">
        <v>1428</v>
      </c>
      <c r="J101" s="26">
        <v>368408.0</v>
      </c>
      <c r="K101" s="27" t="s">
        <v>1431</v>
      </c>
      <c r="L101" s="28" t="s">
        <v>64</v>
      </c>
      <c r="M101" s="28" t="s">
        <v>67</v>
      </c>
      <c r="N101" s="28" t="s">
        <v>1433</v>
      </c>
      <c r="O101" s="12">
        <v>11037.0</v>
      </c>
      <c r="P101" s="29"/>
      <c r="Q101" s="12" t="s">
        <v>1434</v>
      </c>
      <c r="R101" s="29"/>
      <c r="S101" s="30"/>
    </row>
    <row r="102" hidden="1">
      <c r="A102" s="16" t="s">
        <v>49</v>
      </c>
      <c r="B102" s="19" t="s">
        <v>50</v>
      </c>
      <c r="C102" s="16" t="s">
        <v>1127</v>
      </c>
      <c r="D102" s="16" t="s">
        <v>1128</v>
      </c>
      <c r="E102" s="16" t="str">
        <f>IFERROR(__xludf.DUMMYFUNCTION("filter('INVOICE CODES'!B:B,'INVOICE CODES'!D:D=C102,'INVOICE CODES'!E:E=D102)"),"MC-R280 Sport-Red")</f>
        <v>MC-R280 Sport-Red</v>
      </c>
      <c r="F102" s="16" t="s">
        <v>1438</v>
      </c>
      <c r="G102" s="16" t="s">
        <v>1439</v>
      </c>
      <c r="H102" s="23">
        <v>45567.0</v>
      </c>
      <c r="I102" s="25" t="s">
        <v>1440</v>
      </c>
      <c r="J102" s="26">
        <v>368408.0</v>
      </c>
      <c r="K102" s="27" t="s">
        <v>1441</v>
      </c>
      <c r="L102" s="28" t="s">
        <v>64</v>
      </c>
      <c r="M102" s="28" t="s">
        <v>67</v>
      </c>
      <c r="N102" s="28" t="s">
        <v>1442</v>
      </c>
      <c r="O102" s="12">
        <v>11068.0</v>
      </c>
      <c r="P102" s="29"/>
      <c r="Q102" s="12" t="s">
        <v>1444</v>
      </c>
      <c r="R102" s="29"/>
      <c r="S102" s="30"/>
    </row>
    <row r="103" hidden="1">
      <c r="A103" s="16" t="s">
        <v>49</v>
      </c>
      <c r="B103" s="19" t="s">
        <v>50</v>
      </c>
      <c r="C103" s="16" t="s">
        <v>1127</v>
      </c>
      <c r="D103" s="16" t="s">
        <v>1128</v>
      </c>
      <c r="E103" s="16" t="str">
        <f>IFERROR(__xludf.DUMMYFUNCTION("filter('INVOICE CODES'!B:B,'INVOICE CODES'!D:D=C103,'INVOICE CODES'!E:E=D103)"),"MC-R280 Sport-Red")</f>
        <v>MC-R280 Sport-Red</v>
      </c>
      <c r="F103" s="16" t="s">
        <v>1447</v>
      </c>
      <c r="G103" s="16" t="s">
        <v>1449</v>
      </c>
      <c r="H103" s="23">
        <v>45567.0</v>
      </c>
      <c r="I103" s="25" t="s">
        <v>1452</v>
      </c>
      <c r="J103" s="26">
        <v>368408.0</v>
      </c>
      <c r="K103" s="27" t="s">
        <v>1453</v>
      </c>
      <c r="L103" s="28" t="s">
        <v>64</v>
      </c>
      <c r="M103" s="28" t="s">
        <v>67</v>
      </c>
      <c r="N103" s="28" t="s">
        <v>1454</v>
      </c>
      <c r="O103" s="12">
        <v>10989.0</v>
      </c>
      <c r="P103" s="29"/>
      <c r="Q103" s="12" t="s">
        <v>1455</v>
      </c>
      <c r="R103" s="29"/>
      <c r="S103" s="30"/>
    </row>
    <row r="104" hidden="1">
      <c r="A104" s="16" t="s">
        <v>49</v>
      </c>
      <c r="B104" s="19" t="s">
        <v>50</v>
      </c>
      <c r="C104" s="16" t="s">
        <v>1127</v>
      </c>
      <c r="D104" s="16" t="s">
        <v>1128</v>
      </c>
      <c r="E104" s="16" t="str">
        <f>IFERROR(__xludf.DUMMYFUNCTION("filter('INVOICE CODES'!B:B,'INVOICE CODES'!D:D=C104,'INVOICE CODES'!E:E=D104)"),"MC-R280 Sport-Red")</f>
        <v>MC-R280 Sport-Red</v>
      </c>
      <c r="F104" s="16" t="s">
        <v>1459</v>
      </c>
      <c r="G104" s="16" t="s">
        <v>1460</v>
      </c>
      <c r="H104" s="23">
        <v>45567.0</v>
      </c>
      <c r="I104" s="25" t="s">
        <v>1462</v>
      </c>
      <c r="J104" s="26">
        <v>368408.0</v>
      </c>
      <c r="K104" s="27" t="s">
        <v>1465</v>
      </c>
      <c r="L104" s="28" t="s">
        <v>64</v>
      </c>
      <c r="M104" s="28" t="s">
        <v>67</v>
      </c>
      <c r="N104" s="28" t="s">
        <v>1466</v>
      </c>
      <c r="O104" s="12">
        <v>11036.0</v>
      </c>
      <c r="P104" s="29"/>
      <c r="Q104" s="12" t="s">
        <v>1467</v>
      </c>
      <c r="R104" s="29"/>
      <c r="S104" s="30"/>
    </row>
    <row r="105" hidden="1">
      <c r="A105" s="16" t="s">
        <v>49</v>
      </c>
      <c r="B105" s="19" t="s">
        <v>50</v>
      </c>
      <c r="C105" s="16" t="s">
        <v>1127</v>
      </c>
      <c r="D105" s="16" t="s">
        <v>1128</v>
      </c>
      <c r="E105" s="16" t="str">
        <f>IFERROR(__xludf.DUMMYFUNCTION("filter('INVOICE CODES'!B:B,'INVOICE CODES'!D:D=C105,'INVOICE CODES'!E:E=D105)"),"MC-R280 Sport-Red")</f>
        <v>MC-R280 Sport-Red</v>
      </c>
      <c r="F105" s="16" t="s">
        <v>1471</v>
      </c>
      <c r="G105" s="16" t="s">
        <v>1472</v>
      </c>
      <c r="H105" s="23">
        <v>45567.0</v>
      </c>
      <c r="I105" s="25" t="s">
        <v>1473</v>
      </c>
      <c r="J105" s="26">
        <v>368408.0</v>
      </c>
      <c r="K105" s="27" t="s">
        <v>1474</v>
      </c>
      <c r="L105" s="28" t="s">
        <v>64</v>
      </c>
      <c r="M105" s="28" t="s">
        <v>67</v>
      </c>
      <c r="N105" s="28" t="s">
        <v>1475</v>
      </c>
      <c r="O105" s="12">
        <v>10960.0</v>
      </c>
      <c r="P105" s="29"/>
      <c r="Q105" s="12" t="s">
        <v>1479</v>
      </c>
      <c r="R105" s="29"/>
      <c r="S105" s="30"/>
    </row>
    <row r="106" hidden="1">
      <c r="A106" s="16" t="s">
        <v>49</v>
      </c>
      <c r="B106" s="19" t="s">
        <v>50</v>
      </c>
      <c r="C106" s="16" t="s">
        <v>1127</v>
      </c>
      <c r="D106" s="16" t="s">
        <v>1128</v>
      </c>
      <c r="E106" s="16" t="str">
        <f>IFERROR(__xludf.DUMMYFUNCTION("filter('INVOICE CODES'!B:B,'INVOICE CODES'!D:D=C106,'INVOICE CODES'!E:E=D106)"),"MC-R280 Sport-Red")</f>
        <v>MC-R280 Sport-Red</v>
      </c>
      <c r="F106" s="16" t="s">
        <v>1480</v>
      </c>
      <c r="G106" s="16" t="s">
        <v>1481</v>
      </c>
      <c r="H106" s="23">
        <v>45567.0</v>
      </c>
      <c r="I106" s="25" t="s">
        <v>1482</v>
      </c>
      <c r="J106" s="26">
        <v>368408.0</v>
      </c>
      <c r="K106" s="27" t="s">
        <v>1485</v>
      </c>
      <c r="L106" s="28" t="s">
        <v>64</v>
      </c>
      <c r="M106" s="28" t="s">
        <v>67</v>
      </c>
      <c r="N106" s="28" t="s">
        <v>1486</v>
      </c>
      <c r="O106" s="12">
        <v>10995.0</v>
      </c>
      <c r="P106" s="29"/>
      <c r="Q106" s="12" t="s">
        <v>1488</v>
      </c>
      <c r="R106" s="29"/>
      <c r="S106" s="30"/>
    </row>
    <row r="107" hidden="1">
      <c r="A107" s="16" t="s">
        <v>49</v>
      </c>
      <c r="B107" s="19" t="s">
        <v>50</v>
      </c>
      <c r="C107" s="16" t="s">
        <v>1127</v>
      </c>
      <c r="D107" s="16" t="s">
        <v>1128</v>
      </c>
      <c r="E107" s="16" t="str">
        <f>IFERROR(__xludf.DUMMYFUNCTION("filter('INVOICE CODES'!B:B,'INVOICE CODES'!D:D=C107,'INVOICE CODES'!E:E=D107)"),"MC-R280 Sport-Red")</f>
        <v>MC-R280 Sport-Red</v>
      </c>
      <c r="F107" s="16" t="s">
        <v>1492</v>
      </c>
      <c r="G107" s="16" t="s">
        <v>1493</v>
      </c>
      <c r="H107" s="23">
        <v>45567.0</v>
      </c>
      <c r="I107" s="25" t="s">
        <v>1494</v>
      </c>
      <c r="J107" s="26">
        <v>368408.0</v>
      </c>
      <c r="K107" s="27" t="s">
        <v>1495</v>
      </c>
      <c r="L107" s="28" t="s">
        <v>64</v>
      </c>
      <c r="M107" s="28" t="s">
        <v>67</v>
      </c>
      <c r="N107" s="28" t="s">
        <v>1497</v>
      </c>
      <c r="O107" s="12">
        <v>11049.0</v>
      </c>
      <c r="P107" s="29"/>
      <c r="Q107" s="12" t="s">
        <v>1500</v>
      </c>
      <c r="R107" s="29"/>
      <c r="S107" s="30"/>
    </row>
    <row r="108" hidden="1">
      <c r="A108" s="16" t="s">
        <v>49</v>
      </c>
      <c r="B108" s="19" t="s">
        <v>50</v>
      </c>
      <c r="C108" s="16" t="s">
        <v>1127</v>
      </c>
      <c r="D108" s="16" t="s">
        <v>1128</v>
      </c>
      <c r="E108" s="16" t="str">
        <f>IFERROR(__xludf.DUMMYFUNCTION("filter('INVOICE CODES'!B:B,'INVOICE CODES'!D:D=C108,'INVOICE CODES'!E:E=D108)"),"MC-R280 Sport-Red")</f>
        <v>MC-R280 Sport-Red</v>
      </c>
      <c r="F108" s="16" t="s">
        <v>1504</v>
      </c>
      <c r="G108" s="16" t="s">
        <v>1505</v>
      </c>
      <c r="H108" s="23">
        <v>45567.0</v>
      </c>
      <c r="I108" s="25" t="s">
        <v>1506</v>
      </c>
      <c r="J108" s="26">
        <v>368408.0</v>
      </c>
      <c r="K108" s="27" t="s">
        <v>1509</v>
      </c>
      <c r="L108" s="29"/>
      <c r="M108" s="29"/>
      <c r="N108" s="29"/>
      <c r="O108" s="29"/>
      <c r="P108" s="29"/>
      <c r="Q108" s="29"/>
      <c r="R108" s="29"/>
      <c r="S108" s="30"/>
    </row>
    <row r="109" hidden="1">
      <c r="A109" s="16" t="s">
        <v>49</v>
      </c>
      <c r="B109" s="19" t="s">
        <v>50</v>
      </c>
      <c r="C109" s="16" t="s">
        <v>1127</v>
      </c>
      <c r="D109" s="16" t="s">
        <v>1512</v>
      </c>
      <c r="E109" s="16" t="str">
        <f>IFERROR(__xludf.DUMMYFUNCTION("filter('INVOICE CODES'!B:B,'INVOICE CODES'!D:D=C109,'INVOICE CODES'!E:E=D109)"),"MC-R280 Sport-Blue")</f>
        <v>MC-R280 Sport-Blue</v>
      </c>
      <c r="F109" s="16" t="s">
        <v>1515</v>
      </c>
      <c r="G109" s="16" t="s">
        <v>1516</v>
      </c>
      <c r="H109" s="23">
        <v>45567.0</v>
      </c>
      <c r="I109" s="25" t="s">
        <v>1517</v>
      </c>
      <c r="J109" s="26">
        <v>368408.0</v>
      </c>
      <c r="K109" s="27" t="s">
        <v>1520</v>
      </c>
      <c r="L109" s="28" t="s">
        <v>670</v>
      </c>
      <c r="M109" s="58">
        <v>9.100000876753E13</v>
      </c>
      <c r="N109" s="58" t="s">
        <v>1522</v>
      </c>
      <c r="O109" s="12">
        <v>25.0</v>
      </c>
      <c r="P109" s="29"/>
      <c r="Q109" s="12" t="s">
        <v>67</v>
      </c>
      <c r="R109" s="29"/>
      <c r="S109" s="30" t="s">
        <v>1523</v>
      </c>
    </row>
    <row r="110" hidden="1">
      <c r="A110" s="16" t="s">
        <v>49</v>
      </c>
      <c r="B110" s="19" t="s">
        <v>50</v>
      </c>
      <c r="C110" s="16" t="s">
        <v>1127</v>
      </c>
      <c r="D110" s="16" t="s">
        <v>1512</v>
      </c>
      <c r="E110" s="16" t="str">
        <f>IFERROR(__xludf.DUMMYFUNCTION("filter('INVOICE CODES'!B:B,'INVOICE CODES'!D:D=C110,'INVOICE CODES'!E:E=D110)"),"MC-R280 Sport-Blue")</f>
        <v>MC-R280 Sport-Blue</v>
      </c>
      <c r="F110" s="16" t="s">
        <v>1527</v>
      </c>
      <c r="G110" s="16" t="s">
        <v>1528</v>
      </c>
      <c r="H110" s="23">
        <v>45567.0</v>
      </c>
      <c r="I110" s="25" t="s">
        <v>1529</v>
      </c>
      <c r="J110" s="26">
        <v>368408.0</v>
      </c>
      <c r="K110" s="27" t="s">
        <v>1530</v>
      </c>
      <c r="L110" s="28" t="s">
        <v>64</v>
      </c>
      <c r="M110" s="28" t="s">
        <v>67</v>
      </c>
      <c r="N110" s="28" t="s">
        <v>1534</v>
      </c>
      <c r="O110" s="12">
        <v>11054.0</v>
      </c>
      <c r="P110" s="29"/>
      <c r="Q110" s="12" t="s">
        <v>1535</v>
      </c>
      <c r="R110" s="29"/>
      <c r="S110" s="30"/>
    </row>
    <row r="111" hidden="1">
      <c r="A111" s="16" t="s">
        <v>49</v>
      </c>
      <c r="B111" s="19" t="s">
        <v>50</v>
      </c>
      <c r="C111" s="16" t="s">
        <v>1127</v>
      </c>
      <c r="D111" s="16" t="s">
        <v>1512</v>
      </c>
      <c r="E111" s="16" t="str">
        <f>IFERROR(__xludf.DUMMYFUNCTION("filter('INVOICE CODES'!B:B,'INVOICE CODES'!D:D=C111,'INVOICE CODES'!E:E=D111)"),"MC-R280 Sport-Blue")</f>
        <v>MC-R280 Sport-Blue</v>
      </c>
      <c r="F111" s="16" t="s">
        <v>1538</v>
      </c>
      <c r="G111" s="16" t="s">
        <v>1540</v>
      </c>
      <c r="H111" s="23">
        <v>45567.0</v>
      </c>
      <c r="I111" s="25" t="s">
        <v>1541</v>
      </c>
      <c r="J111" s="26">
        <v>368408.0</v>
      </c>
      <c r="K111" s="27" t="s">
        <v>1542</v>
      </c>
      <c r="L111" s="28" t="s">
        <v>670</v>
      </c>
      <c r="M111" s="58">
        <v>9.1000008767643E13</v>
      </c>
      <c r="N111" s="58" t="s">
        <v>1546</v>
      </c>
      <c r="O111" s="12">
        <v>28.0</v>
      </c>
      <c r="P111" s="29"/>
      <c r="Q111" s="12" t="s">
        <v>67</v>
      </c>
      <c r="R111" s="29"/>
      <c r="S111" s="30" t="s">
        <v>1523</v>
      </c>
    </row>
    <row r="112" hidden="1">
      <c r="A112" s="16" t="s">
        <v>49</v>
      </c>
      <c r="B112" s="19" t="s">
        <v>50</v>
      </c>
      <c r="C112" s="16" t="s">
        <v>1127</v>
      </c>
      <c r="D112" s="16" t="s">
        <v>1512</v>
      </c>
      <c r="E112" s="16" t="str">
        <f>IFERROR(__xludf.DUMMYFUNCTION("filter('INVOICE CODES'!B:B,'INVOICE CODES'!D:D=C112,'INVOICE CODES'!E:E=D112)"),"MC-R280 Sport-Blue")</f>
        <v>MC-R280 Sport-Blue</v>
      </c>
      <c r="F112" s="16" t="s">
        <v>1550</v>
      </c>
      <c r="G112" s="16" t="s">
        <v>1551</v>
      </c>
      <c r="H112" s="23">
        <v>45567.0</v>
      </c>
      <c r="I112" s="25" t="s">
        <v>1553</v>
      </c>
      <c r="J112" s="26">
        <v>368408.0</v>
      </c>
      <c r="K112" s="27" t="s">
        <v>1556</v>
      </c>
      <c r="L112" s="28" t="s">
        <v>670</v>
      </c>
      <c r="M112" s="58">
        <v>9.1000008767678E13</v>
      </c>
      <c r="N112" s="58" t="s">
        <v>1557</v>
      </c>
      <c r="O112" s="12">
        <v>29.0</v>
      </c>
      <c r="P112" s="29"/>
      <c r="Q112" s="12" t="s">
        <v>67</v>
      </c>
      <c r="R112" s="29"/>
      <c r="S112" s="30"/>
    </row>
    <row r="113" hidden="1">
      <c r="A113" s="16" t="s">
        <v>49</v>
      </c>
      <c r="B113" s="19" t="s">
        <v>50</v>
      </c>
      <c r="C113" s="16" t="s">
        <v>1127</v>
      </c>
      <c r="D113" s="16" t="s">
        <v>1512</v>
      </c>
      <c r="E113" s="16" t="str">
        <f>IFERROR(__xludf.DUMMYFUNCTION("filter('INVOICE CODES'!B:B,'INVOICE CODES'!D:D=C113,'INVOICE CODES'!E:E=D113)"),"MC-R280 Sport-Blue")</f>
        <v>MC-R280 Sport-Blue</v>
      </c>
      <c r="F113" s="16" t="s">
        <v>1561</v>
      </c>
      <c r="G113" s="16" t="s">
        <v>1564</v>
      </c>
      <c r="H113" s="23">
        <v>45567.0</v>
      </c>
      <c r="I113" s="25" t="s">
        <v>1566</v>
      </c>
      <c r="J113" s="26">
        <v>368408.0</v>
      </c>
      <c r="K113" s="27" t="s">
        <v>1567</v>
      </c>
      <c r="L113" s="28" t="s">
        <v>670</v>
      </c>
      <c r="M113" s="58">
        <v>9.1000008767525E13</v>
      </c>
      <c r="N113" s="58" t="s">
        <v>1571</v>
      </c>
      <c r="O113" s="12">
        <v>24.0</v>
      </c>
      <c r="P113" s="29"/>
      <c r="Q113" s="12" t="s">
        <v>67</v>
      </c>
      <c r="R113" s="29"/>
      <c r="S113" s="30"/>
    </row>
    <row r="114" hidden="1">
      <c r="A114" s="16" t="s">
        <v>49</v>
      </c>
      <c r="B114" s="19" t="s">
        <v>50</v>
      </c>
      <c r="C114" s="16" t="s">
        <v>1127</v>
      </c>
      <c r="D114" s="16" t="s">
        <v>1512</v>
      </c>
      <c r="E114" s="16" t="str">
        <f>IFERROR(__xludf.DUMMYFUNCTION("filter('INVOICE CODES'!B:B,'INVOICE CODES'!D:D=C114,'INVOICE CODES'!E:E=D114)"),"MC-R280 Sport-Blue")</f>
        <v>MC-R280 Sport-Blue</v>
      </c>
      <c r="F114" s="16" t="s">
        <v>1575</v>
      </c>
      <c r="G114" s="16" t="s">
        <v>1576</v>
      </c>
      <c r="H114" s="23">
        <v>45567.0</v>
      </c>
      <c r="I114" s="25" t="s">
        <v>1578</v>
      </c>
      <c r="J114" s="26">
        <v>368408.0</v>
      </c>
      <c r="K114" s="27" t="s">
        <v>1581</v>
      </c>
      <c r="L114" s="28" t="s">
        <v>670</v>
      </c>
      <c r="M114" s="58">
        <v>9.1000008742191E13</v>
      </c>
      <c r="N114" s="58" t="s">
        <v>1582</v>
      </c>
      <c r="O114" s="46">
        <v>1.0</v>
      </c>
      <c r="P114" s="29"/>
      <c r="Q114" s="12" t="s">
        <v>67</v>
      </c>
      <c r="R114" s="29"/>
      <c r="S114" s="30"/>
    </row>
    <row r="115" hidden="1">
      <c r="A115" s="16" t="s">
        <v>49</v>
      </c>
      <c r="B115" s="19" t="s">
        <v>50</v>
      </c>
      <c r="C115" s="16" t="s">
        <v>1127</v>
      </c>
      <c r="D115" s="16" t="s">
        <v>1512</v>
      </c>
      <c r="E115" s="16" t="str">
        <f>IFERROR(__xludf.DUMMYFUNCTION("filter('INVOICE CODES'!B:B,'INVOICE CODES'!D:D=C115,'INVOICE CODES'!E:E=D115)"),"MC-R280 Sport-Blue")</f>
        <v>MC-R280 Sport-Blue</v>
      </c>
      <c r="F115" s="16" t="s">
        <v>1589</v>
      </c>
      <c r="G115" s="16" t="s">
        <v>1590</v>
      </c>
      <c r="H115" s="23">
        <v>45567.0</v>
      </c>
      <c r="I115" s="25" t="s">
        <v>1591</v>
      </c>
      <c r="J115" s="26">
        <v>368408.0</v>
      </c>
      <c r="K115" s="27" t="s">
        <v>1592</v>
      </c>
      <c r="L115" s="28" t="s">
        <v>670</v>
      </c>
      <c r="M115" s="58">
        <v>9.1000008767651E13</v>
      </c>
      <c r="N115" s="58" t="s">
        <v>1595</v>
      </c>
      <c r="O115" s="12">
        <v>26.0</v>
      </c>
      <c r="P115" s="29"/>
      <c r="Q115" s="12" t="s">
        <v>67</v>
      </c>
      <c r="R115" s="29"/>
      <c r="S115" s="30"/>
    </row>
    <row r="116" hidden="1">
      <c r="A116" s="16" t="s">
        <v>49</v>
      </c>
      <c r="B116" s="19" t="s">
        <v>50</v>
      </c>
      <c r="C116" s="16" t="s">
        <v>1127</v>
      </c>
      <c r="D116" s="16" t="s">
        <v>1512</v>
      </c>
      <c r="E116" s="16" t="str">
        <f>IFERROR(__xludf.DUMMYFUNCTION("filter('INVOICE CODES'!B:B,'INVOICE CODES'!D:D=C116,'INVOICE CODES'!E:E=D116)"),"MC-R280 Sport-Blue")</f>
        <v>MC-R280 Sport-Blue</v>
      </c>
      <c r="F116" s="16" t="s">
        <v>1600</v>
      </c>
      <c r="G116" s="16" t="s">
        <v>1601</v>
      </c>
      <c r="H116" s="23">
        <v>45567.0</v>
      </c>
      <c r="I116" s="25" t="s">
        <v>1602</v>
      </c>
      <c r="J116" s="26">
        <v>368408.0</v>
      </c>
      <c r="K116" s="27" t="s">
        <v>1603</v>
      </c>
      <c r="L116" s="29"/>
      <c r="M116" s="29"/>
      <c r="N116" s="29"/>
      <c r="O116" s="29"/>
      <c r="P116" s="29"/>
      <c r="Q116" s="29"/>
      <c r="R116" s="29"/>
      <c r="S116" s="60" t="s">
        <v>1237</v>
      </c>
    </row>
    <row r="117" hidden="1">
      <c r="A117" s="16" t="s">
        <v>49</v>
      </c>
      <c r="B117" s="19" t="s">
        <v>50</v>
      </c>
      <c r="C117" s="16" t="s">
        <v>1127</v>
      </c>
      <c r="D117" s="16" t="s">
        <v>1512</v>
      </c>
      <c r="E117" s="16" t="str">
        <f>IFERROR(__xludf.DUMMYFUNCTION("filter('INVOICE CODES'!B:B,'INVOICE CODES'!D:D=C117,'INVOICE CODES'!E:E=D117)"),"MC-R280 Sport-Blue")</f>
        <v>MC-R280 Sport-Blue</v>
      </c>
      <c r="F117" s="16" t="s">
        <v>1610</v>
      </c>
      <c r="G117" s="16" t="s">
        <v>1611</v>
      </c>
      <c r="H117" s="23">
        <v>45567.0</v>
      </c>
      <c r="I117" s="25" t="s">
        <v>1612</v>
      </c>
      <c r="J117" s="26">
        <v>368408.0</v>
      </c>
      <c r="K117" s="27" t="s">
        <v>1613</v>
      </c>
      <c r="L117" s="29"/>
      <c r="M117" s="29"/>
      <c r="N117" s="29"/>
      <c r="O117" s="29"/>
      <c r="P117" s="29"/>
      <c r="Q117" s="29"/>
      <c r="R117" s="29"/>
      <c r="S117" s="30" t="s">
        <v>1523</v>
      </c>
    </row>
    <row r="118" hidden="1">
      <c r="A118" s="16" t="s">
        <v>49</v>
      </c>
      <c r="B118" s="19" t="s">
        <v>50</v>
      </c>
      <c r="C118" s="16" t="s">
        <v>1127</v>
      </c>
      <c r="D118" s="16" t="s">
        <v>1512</v>
      </c>
      <c r="E118" s="16" t="str">
        <f>IFERROR(__xludf.DUMMYFUNCTION("filter('INVOICE CODES'!B:B,'INVOICE CODES'!D:D=C118,'INVOICE CODES'!E:E=D118)"),"MC-R280 Sport-Blue")</f>
        <v>MC-R280 Sport-Blue</v>
      </c>
      <c r="F118" s="16" t="s">
        <v>1619</v>
      </c>
      <c r="G118" s="16" t="s">
        <v>1621</v>
      </c>
      <c r="H118" s="23">
        <v>45567.0</v>
      </c>
      <c r="I118" s="25" t="s">
        <v>1622</v>
      </c>
      <c r="J118" s="26">
        <v>368408.0</v>
      </c>
      <c r="K118" s="27" t="s">
        <v>1623</v>
      </c>
      <c r="L118" s="29"/>
      <c r="M118" s="29"/>
      <c r="N118" s="29"/>
      <c r="O118" s="29"/>
      <c r="P118" s="29"/>
      <c r="Q118" s="29"/>
      <c r="R118" s="29"/>
      <c r="S118" s="30" t="s">
        <v>1523</v>
      </c>
    </row>
    <row r="119" hidden="1">
      <c r="A119" s="16" t="s">
        <v>49</v>
      </c>
      <c r="B119" s="19" t="s">
        <v>50</v>
      </c>
      <c r="C119" s="16" t="s">
        <v>1127</v>
      </c>
      <c r="D119" s="16" t="s">
        <v>1512</v>
      </c>
      <c r="E119" s="16" t="str">
        <f>IFERROR(__xludf.DUMMYFUNCTION("filter('INVOICE CODES'!B:B,'INVOICE CODES'!D:D=C119,'INVOICE CODES'!E:E=D119)"),"MC-R280 Sport-Blue")</f>
        <v>MC-R280 Sport-Blue</v>
      </c>
      <c r="F119" s="16" t="s">
        <v>1628</v>
      </c>
      <c r="G119" s="16" t="s">
        <v>1630</v>
      </c>
      <c r="H119" s="23">
        <v>45567.0</v>
      </c>
      <c r="I119" s="25" t="s">
        <v>1632</v>
      </c>
      <c r="J119" s="26">
        <v>368408.0</v>
      </c>
      <c r="K119" s="27" t="s">
        <v>1633</v>
      </c>
      <c r="L119" s="29"/>
      <c r="M119" s="29"/>
      <c r="N119" s="29"/>
      <c r="O119" s="29"/>
      <c r="P119" s="29"/>
      <c r="Q119" s="29"/>
      <c r="R119" s="29"/>
      <c r="S119" s="30"/>
    </row>
    <row r="120" hidden="1">
      <c r="A120" s="16" t="s">
        <v>49</v>
      </c>
      <c r="B120" s="19" t="s">
        <v>50</v>
      </c>
      <c r="C120" s="16" t="s">
        <v>1127</v>
      </c>
      <c r="D120" s="16" t="s">
        <v>1512</v>
      </c>
      <c r="E120" s="16" t="str">
        <f>IFERROR(__xludf.DUMMYFUNCTION("filter('INVOICE CODES'!B:B,'INVOICE CODES'!D:D=C120,'INVOICE CODES'!E:E=D120)"),"MC-R280 Sport-Blue")</f>
        <v>MC-R280 Sport-Blue</v>
      </c>
      <c r="F120" s="16" t="s">
        <v>1638</v>
      </c>
      <c r="G120" s="16" t="s">
        <v>1640</v>
      </c>
      <c r="H120" s="23">
        <v>45567.0</v>
      </c>
      <c r="I120" s="25" t="s">
        <v>1642</v>
      </c>
      <c r="J120" s="26">
        <v>368408.0</v>
      </c>
      <c r="K120" s="27" t="s">
        <v>1643</v>
      </c>
      <c r="L120" s="28" t="s">
        <v>64</v>
      </c>
      <c r="M120" s="28" t="s">
        <v>67</v>
      </c>
      <c r="N120" s="28" t="s">
        <v>1645</v>
      </c>
      <c r="O120" s="12">
        <v>10990.0</v>
      </c>
      <c r="P120" s="29"/>
      <c r="Q120" s="12" t="s">
        <v>1648</v>
      </c>
      <c r="R120" s="29"/>
      <c r="S120" s="30"/>
    </row>
    <row r="121" hidden="1">
      <c r="A121" s="16" t="s">
        <v>49</v>
      </c>
      <c r="B121" s="19" t="s">
        <v>50</v>
      </c>
      <c r="C121" s="16" t="s">
        <v>1127</v>
      </c>
      <c r="D121" s="16" t="s">
        <v>1512</v>
      </c>
      <c r="E121" s="16" t="str">
        <f>IFERROR(__xludf.DUMMYFUNCTION("filter('INVOICE CODES'!B:B,'INVOICE CODES'!D:D=C121,'INVOICE CODES'!E:E=D121)"),"MC-R280 Sport-Blue")</f>
        <v>MC-R280 Sport-Blue</v>
      </c>
      <c r="F121" s="16" t="s">
        <v>1651</v>
      </c>
      <c r="G121" s="16" t="s">
        <v>1653</v>
      </c>
      <c r="H121" s="23">
        <v>45567.0</v>
      </c>
      <c r="I121" s="25" t="s">
        <v>1654</v>
      </c>
      <c r="J121" s="26">
        <v>368408.0</v>
      </c>
      <c r="K121" s="27" t="s">
        <v>1655</v>
      </c>
      <c r="L121" s="28" t="s">
        <v>64</v>
      </c>
      <c r="M121" s="28" t="s">
        <v>67</v>
      </c>
      <c r="N121" s="28" t="s">
        <v>1656</v>
      </c>
      <c r="O121" s="12">
        <v>11047.0</v>
      </c>
      <c r="P121" s="29"/>
      <c r="Q121" s="12" t="s">
        <v>1660</v>
      </c>
      <c r="R121" s="29"/>
      <c r="S121" s="30"/>
    </row>
    <row r="122" hidden="1">
      <c r="A122" s="16" t="s">
        <v>49</v>
      </c>
      <c r="B122" s="19" t="s">
        <v>50</v>
      </c>
      <c r="C122" s="16" t="s">
        <v>1127</v>
      </c>
      <c r="D122" s="16" t="s">
        <v>1512</v>
      </c>
      <c r="E122" s="16" t="str">
        <f>IFERROR(__xludf.DUMMYFUNCTION("filter('INVOICE CODES'!B:B,'INVOICE CODES'!D:D=C122,'INVOICE CODES'!E:E=D122)"),"MC-R280 Sport-Blue")</f>
        <v>MC-R280 Sport-Blue</v>
      </c>
      <c r="F122" s="16" t="s">
        <v>1664</v>
      </c>
      <c r="G122" s="16" t="s">
        <v>1665</v>
      </c>
      <c r="H122" s="23">
        <v>45567.0</v>
      </c>
      <c r="I122" s="25" t="s">
        <v>1666</v>
      </c>
      <c r="J122" s="26">
        <v>368408.0</v>
      </c>
      <c r="K122" s="27" t="s">
        <v>1667</v>
      </c>
      <c r="L122" s="29"/>
      <c r="M122" s="29"/>
      <c r="N122" s="29"/>
      <c r="O122" s="29"/>
      <c r="P122" s="29"/>
      <c r="Q122" s="29"/>
      <c r="R122" s="29"/>
      <c r="S122" s="30" t="s">
        <v>1523</v>
      </c>
    </row>
    <row r="123" hidden="1">
      <c r="A123" s="16" t="s">
        <v>49</v>
      </c>
      <c r="B123" s="19" t="s">
        <v>50</v>
      </c>
      <c r="C123" s="16" t="s">
        <v>1127</v>
      </c>
      <c r="D123" s="16" t="s">
        <v>1512</v>
      </c>
      <c r="E123" s="16" t="str">
        <f>IFERROR(__xludf.DUMMYFUNCTION("filter('INVOICE CODES'!B:B,'INVOICE CODES'!D:D=C123,'INVOICE CODES'!E:E=D123)"),"MC-R280 Sport-Blue")</f>
        <v>MC-R280 Sport-Blue</v>
      </c>
      <c r="F123" s="16" t="s">
        <v>1674</v>
      </c>
      <c r="G123" s="16" t="s">
        <v>1675</v>
      </c>
      <c r="H123" s="23">
        <v>45567.0</v>
      </c>
      <c r="I123" s="25" t="s">
        <v>1676</v>
      </c>
      <c r="J123" s="26">
        <v>368408.0</v>
      </c>
      <c r="K123" s="27" t="s">
        <v>1677</v>
      </c>
      <c r="L123" s="29"/>
      <c r="M123" s="29"/>
      <c r="N123" s="29"/>
      <c r="O123" s="29"/>
      <c r="P123" s="29"/>
      <c r="Q123" s="29"/>
      <c r="R123" s="29"/>
      <c r="S123" s="30"/>
    </row>
    <row r="124" hidden="1">
      <c r="A124" s="16" t="s">
        <v>49</v>
      </c>
      <c r="B124" s="19" t="s">
        <v>50</v>
      </c>
      <c r="C124" s="16" t="s">
        <v>1127</v>
      </c>
      <c r="D124" s="16" t="s">
        <v>1512</v>
      </c>
      <c r="E124" s="16" t="str">
        <f>IFERROR(__xludf.DUMMYFUNCTION("filter('INVOICE CODES'!B:B,'INVOICE CODES'!D:D=C124,'INVOICE CODES'!E:E=D124)"),"MC-R280 Sport-Blue")</f>
        <v>MC-R280 Sport-Blue</v>
      </c>
      <c r="F124" s="16" t="s">
        <v>1683</v>
      </c>
      <c r="G124" s="16" t="s">
        <v>1685</v>
      </c>
      <c r="H124" s="23">
        <v>45567.0</v>
      </c>
      <c r="I124" s="25" t="s">
        <v>1686</v>
      </c>
      <c r="J124" s="26">
        <v>368408.0</v>
      </c>
      <c r="K124" s="27" t="s">
        <v>1687</v>
      </c>
      <c r="L124" s="29"/>
      <c r="M124" s="29"/>
      <c r="N124" s="29"/>
      <c r="O124" s="29"/>
      <c r="P124" s="29"/>
      <c r="Q124" s="29"/>
      <c r="R124" s="29"/>
      <c r="S124" s="30" t="s">
        <v>1523</v>
      </c>
    </row>
    <row r="125" hidden="1">
      <c r="A125" s="16" t="s">
        <v>49</v>
      </c>
      <c r="B125" s="19" t="s">
        <v>50</v>
      </c>
      <c r="C125" s="16" t="s">
        <v>1127</v>
      </c>
      <c r="D125" s="16" t="s">
        <v>1512</v>
      </c>
      <c r="E125" s="16" t="str">
        <f>IFERROR(__xludf.DUMMYFUNCTION("filter('INVOICE CODES'!B:B,'INVOICE CODES'!D:D=C125,'INVOICE CODES'!E:E=D125)"),"MC-R280 Sport-Blue")</f>
        <v>MC-R280 Sport-Blue</v>
      </c>
      <c r="F125" s="16" t="s">
        <v>1691</v>
      </c>
      <c r="G125" s="16" t="s">
        <v>1692</v>
      </c>
      <c r="H125" s="23">
        <v>45567.0</v>
      </c>
      <c r="I125" s="25" t="s">
        <v>1694</v>
      </c>
      <c r="J125" s="26">
        <v>368408.0</v>
      </c>
      <c r="K125" s="27" t="s">
        <v>1697</v>
      </c>
      <c r="L125" s="29"/>
      <c r="M125" s="29"/>
      <c r="N125" s="29"/>
      <c r="O125" s="29"/>
      <c r="P125" s="29"/>
      <c r="Q125" s="29"/>
      <c r="R125" s="29"/>
      <c r="S125" s="30"/>
    </row>
    <row r="126" hidden="1">
      <c r="A126" s="16" t="s">
        <v>49</v>
      </c>
      <c r="B126" s="19" t="s">
        <v>50</v>
      </c>
      <c r="C126" s="16" t="s">
        <v>1127</v>
      </c>
      <c r="D126" s="16" t="s">
        <v>1512</v>
      </c>
      <c r="E126" s="16" t="str">
        <f>IFERROR(__xludf.DUMMYFUNCTION("filter('INVOICE CODES'!B:B,'INVOICE CODES'!D:D=C126,'INVOICE CODES'!E:E=D126)"),"MC-R280 Sport-Blue")</f>
        <v>MC-R280 Sport-Blue</v>
      </c>
      <c r="F126" s="16" t="s">
        <v>1701</v>
      </c>
      <c r="G126" s="16" t="s">
        <v>1702</v>
      </c>
      <c r="H126" s="23">
        <v>45567.0</v>
      </c>
      <c r="I126" s="25" t="s">
        <v>1703</v>
      </c>
      <c r="J126" s="26">
        <v>368408.0</v>
      </c>
      <c r="K126" s="27" t="s">
        <v>1705</v>
      </c>
      <c r="L126" s="29"/>
      <c r="M126" s="29"/>
      <c r="N126" s="29"/>
      <c r="O126" s="29"/>
      <c r="P126" s="29"/>
      <c r="Q126" s="29"/>
      <c r="R126" s="29"/>
      <c r="S126" s="30" t="s">
        <v>1523</v>
      </c>
    </row>
    <row r="127" hidden="1">
      <c r="A127" s="16" t="s">
        <v>49</v>
      </c>
      <c r="B127" s="19" t="s">
        <v>50</v>
      </c>
      <c r="C127" s="16" t="s">
        <v>1127</v>
      </c>
      <c r="D127" s="16" t="s">
        <v>1512</v>
      </c>
      <c r="E127" s="16" t="str">
        <f>IFERROR(__xludf.DUMMYFUNCTION("filter('INVOICE CODES'!B:B,'INVOICE CODES'!D:D=C127,'INVOICE CODES'!E:E=D127)"),"MC-R280 Sport-Blue")</f>
        <v>MC-R280 Sport-Blue</v>
      </c>
      <c r="F127" s="16" t="s">
        <v>1709</v>
      </c>
      <c r="G127" s="16" t="s">
        <v>1710</v>
      </c>
      <c r="H127" s="23">
        <v>45567.0</v>
      </c>
      <c r="I127" s="25" t="s">
        <v>1711</v>
      </c>
      <c r="J127" s="26">
        <v>368408.0</v>
      </c>
      <c r="K127" s="27" t="s">
        <v>1712</v>
      </c>
      <c r="L127" s="28" t="s">
        <v>670</v>
      </c>
      <c r="M127" s="28">
        <v>9.1000008734163E13</v>
      </c>
      <c r="N127" s="28" t="s">
        <v>1715</v>
      </c>
      <c r="O127" s="12">
        <v>12.0</v>
      </c>
      <c r="P127" s="29"/>
      <c r="Q127" s="12" t="s">
        <v>67</v>
      </c>
      <c r="R127" s="29"/>
      <c r="S127" s="30"/>
    </row>
    <row r="128" hidden="1">
      <c r="A128" s="16" t="s">
        <v>49</v>
      </c>
      <c r="B128" s="19" t="s">
        <v>50</v>
      </c>
      <c r="C128" s="16" t="s">
        <v>1127</v>
      </c>
      <c r="D128" s="16" t="s">
        <v>1512</v>
      </c>
      <c r="E128" s="16" t="str">
        <f>IFERROR(__xludf.DUMMYFUNCTION("filter('INVOICE CODES'!B:B,'INVOICE CODES'!D:D=C128,'INVOICE CODES'!E:E=D128)"),"MC-R280 Sport-Blue")</f>
        <v>MC-R280 Sport-Blue</v>
      </c>
      <c r="F128" s="16" t="s">
        <v>1719</v>
      </c>
      <c r="G128" s="16" t="s">
        <v>1720</v>
      </c>
      <c r="H128" s="23">
        <v>45567.0</v>
      </c>
      <c r="I128" s="25" t="s">
        <v>1723</v>
      </c>
      <c r="J128" s="26">
        <v>368408.0</v>
      </c>
      <c r="K128" s="27" t="s">
        <v>1725</v>
      </c>
      <c r="L128" s="28" t="s">
        <v>670</v>
      </c>
      <c r="M128" s="58">
        <v>9.1000008767689E13</v>
      </c>
      <c r="N128" s="58" t="s">
        <v>1726</v>
      </c>
      <c r="O128" s="12">
        <v>30.0</v>
      </c>
      <c r="P128" s="29"/>
      <c r="Q128" s="12" t="s">
        <v>67</v>
      </c>
      <c r="R128" s="29"/>
      <c r="S128" s="30"/>
    </row>
    <row r="129" hidden="1">
      <c r="A129" s="16" t="s">
        <v>49</v>
      </c>
      <c r="B129" s="19" t="s">
        <v>50</v>
      </c>
      <c r="C129" s="16" t="s">
        <v>1127</v>
      </c>
      <c r="D129" s="16" t="s">
        <v>1512</v>
      </c>
      <c r="E129" s="16" t="str">
        <f>IFERROR(__xludf.DUMMYFUNCTION("filter('INVOICE CODES'!B:B,'INVOICE CODES'!D:D=C129,'INVOICE CODES'!E:E=D129)"),"MC-R280 Sport-Blue")</f>
        <v>MC-R280 Sport-Blue</v>
      </c>
      <c r="F129" s="16" t="s">
        <v>1730</v>
      </c>
      <c r="G129" s="16" t="s">
        <v>1731</v>
      </c>
      <c r="H129" s="23">
        <v>45567.0</v>
      </c>
      <c r="I129" s="25" t="s">
        <v>1732</v>
      </c>
      <c r="J129" s="26">
        <v>368408.0</v>
      </c>
      <c r="K129" s="27" t="s">
        <v>1733</v>
      </c>
      <c r="L129" s="29"/>
      <c r="M129" s="29"/>
      <c r="N129" s="29"/>
      <c r="O129" s="29"/>
      <c r="P129" s="29"/>
      <c r="Q129" s="29"/>
      <c r="R129" s="29"/>
      <c r="S129" s="30" t="s">
        <v>1523</v>
      </c>
    </row>
    <row r="130" hidden="1">
      <c r="A130" s="16" t="s">
        <v>49</v>
      </c>
      <c r="B130" s="19" t="s">
        <v>50</v>
      </c>
      <c r="C130" s="16" t="s">
        <v>1127</v>
      </c>
      <c r="D130" s="16" t="s">
        <v>1512</v>
      </c>
      <c r="E130" s="16" t="str">
        <f>IFERROR(__xludf.DUMMYFUNCTION("filter('INVOICE CODES'!B:B,'INVOICE CODES'!D:D=C130,'INVOICE CODES'!E:E=D130)"),"MC-R280 Sport-Blue")</f>
        <v>MC-R280 Sport-Blue</v>
      </c>
      <c r="F130" s="16" t="s">
        <v>1740</v>
      </c>
      <c r="G130" s="16" t="s">
        <v>1741</v>
      </c>
      <c r="H130" s="23">
        <v>45567.0</v>
      </c>
      <c r="I130" s="25" t="s">
        <v>1742</v>
      </c>
      <c r="J130" s="26">
        <v>368408.0</v>
      </c>
      <c r="K130" s="27" t="s">
        <v>1743</v>
      </c>
      <c r="L130" s="28" t="s">
        <v>64</v>
      </c>
      <c r="M130" s="28" t="s">
        <v>67</v>
      </c>
      <c r="N130" s="28" t="s">
        <v>1744</v>
      </c>
      <c r="O130" s="12">
        <v>11015.0</v>
      </c>
      <c r="P130" s="29"/>
      <c r="Q130" s="12" t="s">
        <v>1748</v>
      </c>
      <c r="R130" s="29"/>
      <c r="S130" s="30"/>
    </row>
    <row r="131" hidden="1">
      <c r="A131" s="16" t="s">
        <v>49</v>
      </c>
      <c r="B131" s="19" t="s">
        <v>50</v>
      </c>
      <c r="C131" s="16" t="s">
        <v>1127</v>
      </c>
      <c r="D131" s="16" t="s">
        <v>1512</v>
      </c>
      <c r="E131" s="16" t="str">
        <f>IFERROR(__xludf.DUMMYFUNCTION("filter('INVOICE CODES'!B:B,'INVOICE CODES'!D:D=C131,'INVOICE CODES'!E:E=D131)"),"MC-R280 Sport-Blue")</f>
        <v>MC-R280 Sport-Blue</v>
      </c>
      <c r="F131" s="16" t="s">
        <v>1751</v>
      </c>
      <c r="G131" s="16" t="s">
        <v>1753</v>
      </c>
      <c r="H131" s="23">
        <v>45567.0</v>
      </c>
      <c r="I131" s="25" t="s">
        <v>1754</v>
      </c>
      <c r="J131" s="26">
        <v>368408.0</v>
      </c>
      <c r="K131" s="27" t="s">
        <v>1755</v>
      </c>
      <c r="L131" s="29"/>
      <c r="M131" s="29"/>
      <c r="N131" s="29"/>
      <c r="O131" s="29"/>
      <c r="P131" s="29"/>
      <c r="Q131" s="29"/>
      <c r="R131" s="29"/>
      <c r="S131" s="30"/>
    </row>
    <row r="132" hidden="1">
      <c r="A132" s="16" t="s">
        <v>49</v>
      </c>
      <c r="B132" s="19" t="s">
        <v>50</v>
      </c>
      <c r="C132" s="16" t="s">
        <v>1127</v>
      </c>
      <c r="D132" s="16" t="s">
        <v>1512</v>
      </c>
      <c r="E132" s="16" t="str">
        <f>IFERROR(__xludf.DUMMYFUNCTION("filter('INVOICE CODES'!B:B,'INVOICE CODES'!D:D=C132,'INVOICE CODES'!E:E=D132)"),"MC-R280 Sport-Blue")</f>
        <v>MC-R280 Sport-Blue</v>
      </c>
      <c r="F132" s="16" t="s">
        <v>1759</v>
      </c>
      <c r="G132" s="16" t="s">
        <v>1760</v>
      </c>
      <c r="H132" s="23">
        <v>45567.0</v>
      </c>
      <c r="I132" s="25" t="s">
        <v>1762</v>
      </c>
      <c r="J132" s="26">
        <v>368408.0</v>
      </c>
      <c r="K132" s="27" t="s">
        <v>1765</v>
      </c>
      <c r="L132" s="29"/>
      <c r="M132" s="29"/>
      <c r="N132" s="29"/>
      <c r="O132" s="29"/>
      <c r="P132" s="29"/>
      <c r="Q132" s="29"/>
      <c r="R132" s="29"/>
      <c r="S132" s="30" t="s">
        <v>1523</v>
      </c>
    </row>
    <row r="133" hidden="1">
      <c r="A133" s="16" t="s">
        <v>49</v>
      </c>
      <c r="B133" s="19" t="s">
        <v>50</v>
      </c>
      <c r="C133" s="16" t="s">
        <v>1127</v>
      </c>
      <c r="D133" s="16" t="s">
        <v>1512</v>
      </c>
      <c r="E133" s="16" t="str">
        <f>IFERROR(__xludf.DUMMYFUNCTION("filter('INVOICE CODES'!B:B,'INVOICE CODES'!D:D=C133,'INVOICE CODES'!E:E=D133)"),"MC-R280 Sport-Blue")</f>
        <v>MC-R280 Sport-Blue</v>
      </c>
      <c r="F133" s="16" t="s">
        <v>1769</v>
      </c>
      <c r="G133" s="16" t="s">
        <v>1770</v>
      </c>
      <c r="H133" s="23">
        <v>45567.0</v>
      </c>
      <c r="I133" s="25" t="s">
        <v>1771</v>
      </c>
      <c r="J133" s="26">
        <v>368408.0</v>
      </c>
      <c r="K133" s="27" t="s">
        <v>1774</v>
      </c>
      <c r="L133" s="29"/>
      <c r="M133" s="29"/>
      <c r="N133" s="29"/>
      <c r="O133" s="29"/>
      <c r="P133" s="29"/>
      <c r="Q133" s="29"/>
      <c r="R133" s="29"/>
      <c r="S133" s="60" t="s">
        <v>1237</v>
      </c>
    </row>
    <row r="134" hidden="1">
      <c r="A134" s="16" t="s">
        <v>49</v>
      </c>
      <c r="B134" s="19" t="s">
        <v>50</v>
      </c>
      <c r="C134" s="16" t="s">
        <v>1127</v>
      </c>
      <c r="D134" s="16" t="s">
        <v>1512</v>
      </c>
      <c r="E134" s="16" t="str">
        <f>IFERROR(__xludf.DUMMYFUNCTION("filter('INVOICE CODES'!B:B,'INVOICE CODES'!D:D=C134,'INVOICE CODES'!E:E=D134)"),"MC-R280 Sport-Blue")</f>
        <v>MC-R280 Sport-Blue</v>
      </c>
      <c r="F134" s="16" t="s">
        <v>1779</v>
      </c>
      <c r="G134" s="16" t="s">
        <v>1780</v>
      </c>
      <c r="H134" s="23">
        <v>45567.0</v>
      </c>
      <c r="I134" s="25" t="s">
        <v>1781</v>
      </c>
      <c r="J134" s="26">
        <v>368408.0</v>
      </c>
      <c r="K134" s="27" t="s">
        <v>1784</v>
      </c>
      <c r="L134" s="28" t="s">
        <v>670</v>
      </c>
      <c r="M134" s="58">
        <v>9.1000008767638E13</v>
      </c>
      <c r="N134" s="58" t="s">
        <v>1786</v>
      </c>
      <c r="O134" s="12">
        <v>23.0</v>
      </c>
      <c r="P134" s="29"/>
      <c r="Q134" s="12" t="s">
        <v>67</v>
      </c>
      <c r="R134" s="29"/>
      <c r="S134" s="30"/>
    </row>
    <row r="135" hidden="1">
      <c r="A135" s="16" t="s">
        <v>49</v>
      </c>
      <c r="B135" s="19" t="s">
        <v>50</v>
      </c>
      <c r="C135" s="16" t="s">
        <v>1127</v>
      </c>
      <c r="D135" s="16" t="s">
        <v>1512</v>
      </c>
      <c r="E135" s="16" t="str">
        <f>IFERROR(__xludf.DUMMYFUNCTION("filter('INVOICE CODES'!B:B,'INVOICE CODES'!D:D=C135,'INVOICE CODES'!E:E=D135)"),"MC-R280 Sport-Blue")</f>
        <v>MC-R280 Sport-Blue</v>
      </c>
      <c r="F135" s="16" t="s">
        <v>1790</v>
      </c>
      <c r="G135" s="16" t="s">
        <v>1791</v>
      </c>
      <c r="H135" s="23">
        <v>45567.0</v>
      </c>
      <c r="I135" s="25" t="s">
        <v>1792</v>
      </c>
      <c r="J135" s="26">
        <v>368408.0</v>
      </c>
      <c r="K135" s="27" t="s">
        <v>1795</v>
      </c>
      <c r="L135" s="28" t="s">
        <v>670</v>
      </c>
      <c r="M135" s="58">
        <v>9.1000008767676E13</v>
      </c>
      <c r="N135" s="58" t="s">
        <v>1797</v>
      </c>
      <c r="O135" s="12">
        <v>27.0</v>
      </c>
      <c r="P135" s="29"/>
      <c r="Q135" s="12" t="s">
        <v>67</v>
      </c>
      <c r="R135" s="29"/>
      <c r="S135" s="30"/>
    </row>
    <row r="136" hidden="1">
      <c r="A136" s="16" t="s">
        <v>49</v>
      </c>
      <c r="B136" s="19" t="s">
        <v>50</v>
      </c>
      <c r="C136" s="16" t="s">
        <v>1127</v>
      </c>
      <c r="D136" s="16" t="s">
        <v>1512</v>
      </c>
      <c r="E136" s="16" t="str">
        <f>IFERROR(__xludf.DUMMYFUNCTION("filter('INVOICE CODES'!B:B,'INVOICE CODES'!D:D=C136,'INVOICE CODES'!E:E=D136)"),"MC-R280 Sport-Blue")</f>
        <v>MC-R280 Sport-Blue</v>
      </c>
      <c r="F136" s="16" t="s">
        <v>1801</v>
      </c>
      <c r="G136" s="16" t="s">
        <v>1802</v>
      </c>
      <c r="H136" s="23">
        <v>45567.0</v>
      </c>
      <c r="I136" s="25" t="s">
        <v>1803</v>
      </c>
      <c r="J136" s="26">
        <v>368408.0</v>
      </c>
      <c r="K136" s="27" t="s">
        <v>1805</v>
      </c>
      <c r="L136" s="29"/>
      <c r="M136" s="29"/>
      <c r="N136" s="29"/>
      <c r="O136" s="29"/>
      <c r="P136" s="29"/>
      <c r="Q136" s="29"/>
      <c r="R136" s="29"/>
      <c r="S136" s="30"/>
    </row>
    <row r="137" hidden="1">
      <c r="A137" s="16" t="s">
        <v>49</v>
      </c>
      <c r="B137" s="19" t="s">
        <v>50</v>
      </c>
      <c r="C137" s="16" t="s">
        <v>1127</v>
      </c>
      <c r="D137" s="16" t="s">
        <v>1512</v>
      </c>
      <c r="E137" s="16" t="str">
        <f>IFERROR(__xludf.DUMMYFUNCTION("filter('INVOICE CODES'!B:B,'INVOICE CODES'!D:D=C137,'INVOICE CODES'!E:E=D137)"),"MC-R280 Sport-Blue")</f>
        <v>MC-R280 Sport-Blue</v>
      </c>
      <c r="F137" s="16" t="s">
        <v>1816</v>
      </c>
      <c r="G137" s="16" t="s">
        <v>1818</v>
      </c>
      <c r="H137" s="23">
        <v>45567.0</v>
      </c>
      <c r="I137" s="25" t="s">
        <v>1819</v>
      </c>
      <c r="J137" s="26">
        <v>368408.0</v>
      </c>
      <c r="K137" s="27" t="s">
        <v>1820</v>
      </c>
      <c r="L137" s="28" t="s">
        <v>64</v>
      </c>
      <c r="M137" s="28" t="s">
        <v>67</v>
      </c>
      <c r="N137" s="28" t="s">
        <v>1824</v>
      </c>
      <c r="O137" s="12">
        <v>10993.0</v>
      </c>
      <c r="P137" s="29"/>
      <c r="Q137" s="12" t="s">
        <v>1825</v>
      </c>
      <c r="R137" s="29"/>
      <c r="S137" s="30"/>
    </row>
    <row r="138" hidden="1">
      <c r="A138" s="16" t="s">
        <v>49</v>
      </c>
      <c r="B138" s="19" t="s">
        <v>50</v>
      </c>
      <c r="C138" s="16" t="s">
        <v>1127</v>
      </c>
      <c r="D138" s="16" t="s">
        <v>1512</v>
      </c>
      <c r="E138" s="16" t="str">
        <f>IFERROR(__xludf.DUMMYFUNCTION("filter('INVOICE CODES'!B:B,'INVOICE CODES'!D:D=C138,'INVOICE CODES'!E:E=D138)"),"MC-R280 Sport-Blue")</f>
        <v>MC-R280 Sport-Blue</v>
      </c>
      <c r="F138" s="16" t="s">
        <v>1829</v>
      </c>
      <c r="G138" s="16" t="s">
        <v>1830</v>
      </c>
      <c r="H138" s="23">
        <v>45567.0</v>
      </c>
      <c r="I138" s="25" t="s">
        <v>1831</v>
      </c>
      <c r="J138" s="26">
        <v>368408.0</v>
      </c>
      <c r="K138" s="27" t="s">
        <v>1832</v>
      </c>
      <c r="L138" s="28" t="s">
        <v>64</v>
      </c>
      <c r="M138" s="28" t="s">
        <v>67</v>
      </c>
      <c r="N138" s="28" t="s">
        <v>1834</v>
      </c>
      <c r="O138" s="12">
        <v>10976.0</v>
      </c>
      <c r="P138" s="29"/>
      <c r="Q138" s="12" t="s">
        <v>1837</v>
      </c>
      <c r="R138" s="29"/>
      <c r="S138" s="30"/>
    </row>
    <row r="139" hidden="1">
      <c r="A139" s="16" t="s">
        <v>49</v>
      </c>
      <c r="B139" s="19" t="s">
        <v>50</v>
      </c>
      <c r="C139" s="16" t="s">
        <v>1127</v>
      </c>
      <c r="D139" s="16" t="s">
        <v>1512</v>
      </c>
      <c r="E139" s="16" t="str">
        <f>IFERROR(__xludf.DUMMYFUNCTION("filter('INVOICE CODES'!B:B,'INVOICE CODES'!D:D=C139,'INVOICE CODES'!E:E=D139)"),"MC-R280 Sport-Blue")</f>
        <v>MC-R280 Sport-Blue</v>
      </c>
      <c r="F139" s="16" t="s">
        <v>1840</v>
      </c>
      <c r="G139" s="16" t="s">
        <v>1842</v>
      </c>
      <c r="H139" s="23">
        <v>45567.0</v>
      </c>
      <c r="I139" s="25" t="s">
        <v>1843</v>
      </c>
      <c r="J139" s="26">
        <v>368408.0</v>
      </c>
      <c r="K139" s="27" t="s">
        <v>1844</v>
      </c>
      <c r="L139" s="29"/>
      <c r="M139" s="29"/>
      <c r="N139" s="29"/>
      <c r="O139" s="29"/>
      <c r="P139" s="29"/>
      <c r="Q139" s="29"/>
      <c r="R139" s="29"/>
      <c r="S139" s="30"/>
    </row>
    <row r="140" hidden="1">
      <c r="A140" s="16" t="s">
        <v>49</v>
      </c>
      <c r="B140" s="19" t="s">
        <v>50</v>
      </c>
      <c r="C140" s="19" t="s">
        <v>52</v>
      </c>
      <c r="D140" s="16" t="s">
        <v>702</v>
      </c>
      <c r="E140" s="16" t="str">
        <f>IFERROR(__xludf.DUMMYFUNCTION("filter('INVOICE CODES'!B:B,'INVOICE CODES'!D:D=C140,'INVOICE CODES'!E:E=D140)"),"MC-R280-White")</f>
        <v>MC-R280-White</v>
      </c>
      <c r="F140" s="16" t="s">
        <v>1849</v>
      </c>
      <c r="G140" s="16" t="s">
        <v>1851</v>
      </c>
      <c r="H140" s="23">
        <v>45567.0</v>
      </c>
      <c r="I140" s="25" t="s">
        <v>1853</v>
      </c>
      <c r="J140" s="26">
        <v>368408.0</v>
      </c>
      <c r="K140" s="27" t="s">
        <v>1854</v>
      </c>
      <c r="L140" s="28" t="s">
        <v>670</v>
      </c>
      <c r="M140" s="28">
        <v>9.100000873E13</v>
      </c>
      <c r="N140" s="28" t="s">
        <v>1855</v>
      </c>
      <c r="O140" s="12" t="s">
        <v>67</v>
      </c>
      <c r="P140" s="29"/>
      <c r="Q140" s="12" t="s">
        <v>67</v>
      </c>
      <c r="R140" s="29"/>
      <c r="S140" s="30"/>
    </row>
    <row r="141" hidden="1">
      <c r="A141" s="16" t="s">
        <v>49</v>
      </c>
      <c r="B141" s="19" t="s">
        <v>50</v>
      </c>
      <c r="C141" s="19" t="s">
        <v>52</v>
      </c>
      <c r="D141" s="16" t="s">
        <v>702</v>
      </c>
      <c r="E141" s="16" t="str">
        <f>IFERROR(__xludf.DUMMYFUNCTION("filter('INVOICE CODES'!B:B,'INVOICE CODES'!D:D=C141,'INVOICE CODES'!E:E=D141)"),"MC-R280-White")</f>
        <v>MC-R280-White</v>
      </c>
      <c r="F141" s="16" t="s">
        <v>1862</v>
      </c>
      <c r="G141" s="16" t="s">
        <v>1863</v>
      </c>
      <c r="H141" s="23">
        <v>45567.0</v>
      </c>
      <c r="I141" s="25" t="s">
        <v>1864</v>
      </c>
      <c r="J141" s="26">
        <v>368408.0</v>
      </c>
      <c r="K141" s="27" t="s">
        <v>1865</v>
      </c>
      <c r="L141" s="28" t="s">
        <v>670</v>
      </c>
      <c r="M141" s="28">
        <v>9.1000008730037E13</v>
      </c>
      <c r="N141" s="28" t="s">
        <v>1868</v>
      </c>
      <c r="O141" s="12" t="s">
        <v>67</v>
      </c>
      <c r="P141" s="29"/>
      <c r="Q141" s="12" t="s">
        <v>67</v>
      </c>
      <c r="R141" s="29"/>
      <c r="S141" s="30"/>
    </row>
    <row r="142" hidden="1">
      <c r="A142" s="16" t="s">
        <v>1870</v>
      </c>
      <c r="B142" s="19" t="s">
        <v>50</v>
      </c>
      <c r="C142" s="19" t="s">
        <v>616</v>
      </c>
      <c r="D142" s="19" t="s">
        <v>1128</v>
      </c>
      <c r="E142" s="16" t="str">
        <f>IFERROR(__xludf.DUMMYFUNCTION("filter('INVOICE CODES'!B:B,'INVOICE CODES'!D:D=C142,'INVOICE CODES'!E:E=D142)"),"MC-D400-Red")</f>
        <v>MC-D400-Red</v>
      </c>
      <c r="F142" s="19" t="s">
        <v>1874</v>
      </c>
      <c r="G142" s="61" t="s">
        <v>1875</v>
      </c>
      <c r="H142" s="62">
        <v>45635.0</v>
      </c>
      <c r="I142" s="63" t="s">
        <v>1877</v>
      </c>
      <c r="J142" s="64" t="s">
        <v>1880</v>
      </c>
      <c r="K142" s="27" t="s">
        <v>1881</v>
      </c>
      <c r="L142" s="28" t="s">
        <v>670</v>
      </c>
      <c r="M142" s="58">
        <v>9.1000008742189E13</v>
      </c>
      <c r="N142" s="58" t="s">
        <v>1882</v>
      </c>
      <c r="O142" s="46">
        <v>7.0</v>
      </c>
      <c r="P142" s="65"/>
      <c r="Q142" s="12" t="s">
        <v>67</v>
      </c>
      <c r="R142" s="65"/>
      <c r="S142" s="30"/>
    </row>
    <row r="143" hidden="1">
      <c r="A143" s="16" t="s">
        <v>1870</v>
      </c>
      <c r="B143" s="19" t="s">
        <v>50</v>
      </c>
      <c r="C143" s="19" t="s">
        <v>616</v>
      </c>
      <c r="D143" s="19" t="s">
        <v>1512</v>
      </c>
      <c r="E143" s="16" t="str">
        <f>IFERROR(__xludf.DUMMYFUNCTION("filter('INVOICE CODES'!B:B,'INVOICE CODES'!D:D=C143,'INVOICE CODES'!E:E=D143)"),"MC-D400-Blue")</f>
        <v>MC-D400-Blue</v>
      </c>
      <c r="F143" s="19" t="s">
        <v>1886</v>
      </c>
      <c r="G143" s="61" t="s">
        <v>1887</v>
      </c>
      <c r="H143" s="62">
        <v>45635.0</v>
      </c>
      <c r="I143" s="66" t="s">
        <v>1890</v>
      </c>
      <c r="J143" s="64" t="s">
        <v>1880</v>
      </c>
      <c r="K143" s="27" t="s">
        <v>1892</v>
      </c>
      <c r="L143" s="28" t="s">
        <v>670</v>
      </c>
      <c r="M143" s="58">
        <v>9.1000008755408E13</v>
      </c>
      <c r="N143" s="58" t="s">
        <v>1893</v>
      </c>
      <c r="O143" s="12" t="s">
        <v>67</v>
      </c>
      <c r="P143" s="65"/>
      <c r="Q143" s="12" t="s">
        <v>67</v>
      </c>
      <c r="R143" s="65"/>
      <c r="S143" s="30"/>
    </row>
    <row r="144" hidden="1">
      <c r="A144" s="16" t="s">
        <v>1870</v>
      </c>
      <c r="B144" s="19" t="s">
        <v>50</v>
      </c>
      <c r="C144" s="19" t="s">
        <v>616</v>
      </c>
      <c r="D144" s="19" t="s">
        <v>1128</v>
      </c>
      <c r="E144" s="16" t="str">
        <f>IFERROR(__xludf.DUMMYFUNCTION("filter('INVOICE CODES'!B:B,'INVOICE CODES'!D:D=C144,'INVOICE CODES'!E:E=D144)"),"MC-D400-Red")</f>
        <v>MC-D400-Red</v>
      </c>
      <c r="F144" s="19" t="s">
        <v>1897</v>
      </c>
      <c r="G144" s="61" t="s">
        <v>1898</v>
      </c>
      <c r="H144" s="62">
        <v>45635.0</v>
      </c>
      <c r="I144" s="67" t="s">
        <v>1899</v>
      </c>
      <c r="J144" s="64" t="s">
        <v>1880</v>
      </c>
      <c r="K144" s="27" t="s">
        <v>1901</v>
      </c>
      <c r="L144" s="65"/>
      <c r="M144" s="65"/>
      <c r="N144" s="65"/>
      <c r="O144" s="65"/>
      <c r="P144" s="65"/>
      <c r="Q144" s="65"/>
      <c r="R144" s="65"/>
      <c r="S144" s="60" t="s">
        <v>1237</v>
      </c>
    </row>
    <row r="145" hidden="1">
      <c r="A145" s="16" t="s">
        <v>1870</v>
      </c>
      <c r="B145" s="19" t="s">
        <v>50</v>
      </c>
      <c r="C145" s="19" t="s">
        <v>616</v>
      </c>
      <c r="D145" s="19" t="s">
        <v>1128</v>
      </c>
      <c r="E145" s="16" t="str">
        <f>IFERROR(__xludf.DUMMYFUNCTION("filter('INVOICE CODES'!B:B,'INVOICE CODES'!D:D=C145,'INVOICE CODES'!E:E=D145)"),"MC-D400-Red")</f>
        <v>MC-D400-Red</v>
      </c>
      <c r="F145" s="19" t="s">
        <v>1907</v>
      </c>
      <c r="G145" s="61" t="s">
        <v>1908</v>
      </c>
      <c r="H145" s="62">
        <v>45635.0</v>
      </c>
      <c r="I145" s="67" t="s">
        <v>1909</v>
      </c>
      <c r="J145" s="64" t="s">
        <v>1880</v>
      </c>
      <c r="K145" s="27" t="s">
        <v>1910</v>
      </c>
      <c r="L145" s="65"/>
      <c r="M145" s="65"/>
      <c r="N145" s="65"/>
      <c r="O145" s="65"/>
      <c r="P145" s="65"/>
      <c r="Q145" s="65"/>
      <c r="R145" s="65"/>
      <c r="S145" s="60" t="s">
        <v>1237</v>
      </c>
    </row>
    <row r="146" hidden="1">
      <c r="A146" s="16" t="s">
        <v>1870</v>
      </c>
      <c r="B146" s="19" t="s">
        <v>50</v>
      </c>
      <c r="C146" s="19" t="s">
        <v>616</v>
      </c>
      <c r="D146" s="19" t="s">
        <v>1128</v>
      </c>
      <c r="E146" s="16" t="str">
        <f>IFERROR(__xludf.DUMMYFUNCTION("filter('INVOICE CODES'!B:B,'INVOICE CODES'!D:D=C146,'INVOICE CODES'!E:E=D146)"),"MC-D400-Red")</f>
        <v>MC-D400-Red</v>
      </c>
      <c r="F146" s="19" t="s">
        <v>1917</v>
      </c>
      <c r="G146" s="61" t="s">
        <v>1918</v>
      </c>
      <c r="H146" s="62">
        <v>45635.0</v>
      </c>
      <c r="I146" s="67" t="s">
        <v>1919</v>
      </c>
      <c r="J146" s="64" t="s">
        <v>1880</v>
      </c>
      <c r="K146" s="27" t="s">
        <v>1920</v>
      </c>
      <c r="L146" s="65"/>
      <c r="M146" s="65"/>
      <c r="N146" s="65"/>
      <c r="O146" s="65"/>
      <c r="P146" s="65"/>
      <c r="Q146" s="65"/>
      <c r="R146" s="65"/>
      <c r="S146" s="60" t="s">
        <v>1237</v>
      </c>
    </row>
    <row r="147" hidden="1">
      <c r="A147" s="16" t="s">
        <v>1870</v>
      </c>
      <c r="B147" s="19" t="s">
        <v>50</v>
      </c>
      <c r="C147" s="19" t="s">
        <v>616</v>
      </c>
      <c r="D147" s="19" t="s">
        <v>1128</v>
      </c>
      <c r="E147" s="16" t="str">
        <f>IFERROR(__xludf.DUMMYFUNCTION("filter('INVOICE CODES'!B:B,'INVOICE CODES'!D:D=C147,'INVOICE CODES'!E:E=D147)"),"MC-D400-Red")</f>
        <v>MC-D400-Red</v>
      </c>
      <c r="F147" s="19" t="s">
        <v>1926</v>
      </c>
      <c r="G147" s="61" t="s">
        <v>1928</v>
      </c>
      <c r="H147" s="62">
        <v>45635.0</v>
      </c>
      <c r="I147" s="67" t="s">
        <v>1929</v>
      </c>
      <c r="J147" s="64" t="s">
        <v>1880</v>
      </c>
      <c r="K147" s="27" t="s">
        <v>1930</v>
      </c>
      <c r="L147" s="65"/>
      <c r="M147" s="65"/>
      <c r="N147" s="65"/>
      <c r="O147" s="65"/>
      <c r="P147" s="65"/>
      <c r="Q147" s="65"/>
      <c r="R147" s="65"/>
      <c r="S147" s="60" t="s">
        <v>1237</v>
      </c>
    </row>
    <row r="148" hidden="1">
      <c r="A148" s="16" t="s">
        <v>1870</v>
      </c>
      <c r="B148" s="19" t="s">
        <v>50</v>
      </c>
      <c r="C148" s="19" t="s">
        <v>616</v>
      </c>
      <c r="D148" s="19" t="s">
        <v>1128</v>
      </c>
      <c r="E148" s="16" t="str">
        <f>IFERROR(__xludf.DUMMYFUNCTION("filter('INVOICE CODES'!B:B,'INVOICE CODES'!D:D=C148,'INVOICE CODES'!E:E=D148)"),"MC-D400-Red")</f>
        <v>MC-D400-Red</v>
      </c>
      <c r="F148" s="19" t="s">
        <v>1936</v>
      </c>
      <c r="G148" s="61" t="s">
        <v>1938</v>
      </c>
      <c r="H148" s="62">
        <v>45635.0</v>
      </c>
      <c r="I148" s="67" t="s">
        <v>1939</v>
      </c>
      <c r="J148" s="64" t="s">
        <v>1880</v>
      </c>
      <c r="K148" s="27" t="s">
        <v>1940</v>
      </c>
      <c r="L148" s="28" t="s">
        <v>64</v>
      </c>
      <c r="M148" s="28" t="s">
        <v>67</v>
      </c>
      <c r="N148" s="28" t="s">
        <v>1942</v>
      </c>
      <c r="O148" s="12">
        <v>11000.0</v>
      </c>
      <c r="P148" s="65"/>
      <c r="Q148" s="12" t="s">
        <v>1945</v>
      </c>
      <c r="R148" s="65"/>
      <c r="S148" s="30"/>
    </row>
    <row r="149" hidden="1">
      <c r="A149" s="16" t="s">
        <v>1870</v>
      </c>
      <c r="B149" s="19" t="s">
        <v>50</v>
      </c>
      <c r="C149" s="19" t="s">
        <v>616</v>
      </c>
      <c r="D149" s="19" t="s">
        <v>1128</v>
      </c>
      <c r="E149" s="16" t="str">
        <f>IFERROR(__xludf.DUMMYFUNCTION("filter('INVOICE CODES'!B:B,'INVOICE CODES'!D:D=C149,'INVOICE CODES'!E:E=D149)"),"MC-D400-Red")</f>
        <v>MC-D400-Red</v>
      </c>
      <c r="F149" s="19" t="s">
        <v>1949</v>
      </c>
      <c r="G149" s="61" t="s">
        <v>1950</v>
      </c>
      <c r="H149" s="62">
        <v>45635.0</v>
      </c>
      <c r="I149" s="67" t="s">
        <v>1951</v>
      </c>
      <c r="J149" s="64" t="s">
        <v>1880</v>
      </c>
      <c r="K149" s="27" t="s">
        <v>1953</v>
      </c>
      <c r="L149" s="65"/>
      <c r="M149" s="65"/>
      <c r="N149" s="65"/>
      <c r="O149" s="65"/>
      <c r="P149" s="65"/>
      <c r="Q149" s="65"/>
      <c r="R149" s="65"/>
      <c r="S149" s="30"/>
    </row>
    <row r="150" hidden="1">
      <c r="A150" s="16" t="s">
        <v>1870</v>
      </c>
      <c r="B150" s="19" t="s">
        <v>50</v>
      </c>
      <c r="C150" s="19" t="s">
        <v>616</v>
      </c>
      <c r="D150" s="19" t="s">
        <v>1128</v>
      </c>
      <c r="E150" s="16" t="str">
        <f>IFERROR(__xludf.DUMMYFUNCTION("filter('INVOICE CODES'!B:B,'INVOICE CODES'!D:D=C150,'INVOICE CODES'!E:E=D150)"),"MC-D400-Red")</f>
        <v>MC-D400-Red</v>
      </c>
      <c r="F150" s="19" t="s">
        <v>1959</v>
      </c>
      <c r="G150" s="61" t="s">
        <v>1960</v>
      </c>
      <c r="H150" s="62">
        <v>45635.0</v>
      </c>
      <c r="I150" s="67" t="s">
        <v>1962</v>
      </c>
      <c r="J150" s="64" t="s">
        <v>1880</v>
      </c>
      <c r="K150" s="27" t="s">
        <v>1965</v>
      </c>
      <c r="L150" s="65"/>
      <c r="M150" s="65"/>
      <c r="N150" s="65"/>
      <c r="O150" s="65"/>
      <c r="P150" s="65"/>
      <c r="Q150" s="65"/>
      <c r="R150" s="65"/>
      <c r="S150" s="30"/>
    </row>
    <row r="151" hidden="1">
      <c r="A151" s="16" t="s">
        <v>1870</v>
      </c>
      <c r="B151" s="19" t="s">
        <v>50</v>
      </c>
      <c r="C151" s="19" t="s">
        <v>616</v>
      </c>
      <c r="D151" s="19" t="s">
        <v>1128</v>
      </c>
      <c r="E151" s="16" t="str">
        <f>IFERROR(__xludf.DUMMYFUNCTION("filter('INVOICE CODES'!B:B,'INVOICE CODES'!D:D=C151,'INVOICE CODES'!E:E=D151)"),"MC-D400-Red")</f>
        <v>MC-D400-Red</v>
      </c>
      <c r="F151" s="19" t="s">
        <v>1969</v>
      </c>
      <c r="G151" s="61" t="s">
        <v>1972</v>
      </c>
      <c r="H151" s="62">
        <v>45635.0</v>
      </c>
      <c r="I151" s="67" t="s">
        <v>1974</v>
      </c>
      <c r="J151" s="64" t="s">
        <v>1880</v>
      </c>
      <c r="K151" s="27" t="s">
        <v>1975</v>
      </c>
      <c r="L151" s="65"/>
      <c r="M151" s="65"/>
      <c r="N151" s="65"/>
      <c r="O151" s="65"/>
      <c r="P151" s="65"/>
      <c r="Q151" s="65"/>
      <c r="R151" s="65"/>
      <c r="S151" s="60" t="s">
        <v>1237</v>
      </c>
    </row>
    <row r="152" hidden="1">
      <c r="A152" s="16" t="s">
        <v>1870</v>
      </c>
      <c r="B152" s="19" t="s">
        <v>50</v>
      </c>
      <c r="C152" s="19" t="s">
        <v>616</v>
      </c>
      <c r="D152" s="19" t="s">
        <v>1128</v>
      </c>
      <c r="E152" s="16" t="str">
        <f>IFERROR(__xludf.DUMMYFUNCTION("filter('INVOICE CODES'!B:B,'INVOICE CODES'!D:D=C152,'INVOICE CODES'!E:E=D152)"),"MC-D400-Red")</f>
        <v>MC-D400-Red</v>
      </c>
      <c r="F152" s="19" t="s">
        <v>1979</v>
      </c>
      <c r="G152" s="61" t="s">
        <v>1980</v>
      </c>
      <c r="H152" s="62">
        <v>45635.0</v>
      </c>
      <c r="I152" s="67" t="s">
        <v>1984</v>
      </c>
      <c r="J152" s="64" t="s">
        <v>1880</v>
      </c>
      <c r="K152" s="27" t="s">
        <v>1985</v>
      </c>
      <c r="L152" s="65"/>
      <c r="M152" s="65"/>
      <c r="N152" s="65"/>
      <c r="O152" s="65"/>
      <c r="P152" s="65"/>
      <c r="Q152" s="65"/>
      <c r="R152" s="65"/>
      <c r="S152" s="60" t="s">
        <v>1237</v>
      </c>
    </row>
    <row r="153" hidden="1">
      <c r="A153" s="16" t="s">
        <v>1870</v>
      </c>
      <c r="B153" s="19" t="s">
        <v>50</v>
      </c>
      <c r="C153" s="19" t="s">
        <v>616</v>
      </c>
      <c r="D153" s="19" t="s">
        <v>1128</v>
      </c>
      <c r="E153" s="16" t="str">
        <f>IFERROR(__xludf.DUMMYFUNCTION("filter('INVOICE CODES'!B:B,'INVOICE CODES'!D:D=C153,'INVOICE CODES'!E:E=D153)"),"MC-D400-Red")</f>
        <v>MC-D400-Red</v>
      </c>
      <c r="F153" s="19" t="s">
        <v>1992</v>
      </c>
      <c r="G153" s="61" t="s">
        <v>1993</v>
      </c>
      <c r="H153" s="62">
        <v>45635.0</v>
      </c>
      <c r="I153" s="67" t="s">
        <v>1994</v>
      </c>
      <c r="J153" s="64" t="s">
        <v>1880</v>
      </c>
      <c r="K153" s="27" t="s">
        <v>1995</v>
      </c>
      <c r="L153" s="65"/>
      <c r="M153" s="65"/>
      <c r="N153" s="65"/>
      <c r="O153" s="65"/>
      <c r="P153" s="65"/>
      <c r="Q153" s="65"/>
      <c r="R153" s="65"/>
      <c r="S153" s="60" t="s">
        <v>1237</v>
      </c>
    </row>
    <row r="154" hidden="1">
      <c r="A154" s="16" t="s">
        <v>1870</v>
      </c>
      <c r="B154" s="19" t="s">
        <v>50</v>
      </c>
      <c r="C154" s="19" t="s">
        <v>616</v>
      </c>
      <c r="D154" s="19" t="s">
        <v>1128</v>
      </c>
      <c r="E154" s="16" t="str">
        <f>IFERROR(__xludf.DUMMYFUNCTION("filter('INVOICE CODES'!B:B,'INVOICE CODES'!D:D=C154,'INVOICE CODES'!E:E=D154)"),"MC-D400-Red")</f>
        <v>MC-D400-Red</v>
      </c>
      <c r="F154" s="19" t="s">
        <v>2002</v>
      </c>
      <c r="G154" s="61" t="s">
        <v>2003</v>
      </c>
      <c r="H154" s="62">
        <v>45635.0</v>
      </c>
      <c r="I154" s="67" t="s">
        <v>2004</v>
      </c>
      <c r="J154" s="64" t="s">
        <v>1880</v>
      </c>
      <c r="K154" s="27" t="s">
        <v>2007</v>
      </c>
      <c r="L154" s="65"/>
      <c r="M154" s="65"/>
      <c r="N154" s="65"/>
      <c r="O154" s="65"/>
      <c r="P154" s="65"/>
      <c r="Q154" s="65"/>
      <c r="R154" s="65"/>
      <c r="S154" s="30"/>
    </row>
    <row r="155" hidden="1">
      <c r="A155" s="16" t="s">
        <v>1870</v>
      </c>
      <c r="B155" s="19" t="s">
        <v>50</v>
      </c>
      <c r="C155" s="19" t="s">
        <v>616</v>
      </c>
      <c r="D155" s="19" t="s">
        <v>1128</v>
      </c>
      <c r="E155" s="16" t="str">
        <f>IFERROR(__xludf.DUMMYFUNCTION("filter('INVOICE CODES'!B:B,'INVOICE CODES'!D:D=C155,'INVOICE CODES'!E:E=D155)"),"MC-D400-Red")</f>
        <v>MC-D400-Red</v>
      </c>
      <c r="F155" s="19" t="s">
        <v>2015</v>
      </c>
      <c r="G155" s="61" t="s">
        <v>2016</v>
      </c>
      <c r="H155" s="62">
        <v>45635.0</v>
      </c>
      <c r="I155" s="67" t="s">
        <v>2019</v>
      </c>
      <c r="J155" s="64" t="s">
        <v>1880</v>
      </c>
      <c r="K155" s="27" t="s">
        <v>2021</v>
      </c>
      <c r="L155" s="65" t="s">
        <v>2022</v>
      </c>
      <c r="M155" s="65"/>
      <c r="N155" s="65"/>
      <c r="O155" s="65"/>
      <c r="P155" s="65"/>
      <c r="Q155" s="65"/>
      <c r="R155" s="65"/>
      <c r="S155" s="30"/>
    </row>
    <row r="156" hidden="1">
      <c r="A156" s="16" t="s">
        <v>1870</v>
      </c>
      <c r="B156" s="19" t="s">
        <v>50</v>
      </c>
      <c r="C156" s="19" t="s">
        <v>616</v>
      </c>
      <c r="D156" s="19" t="s">
        <v>1128</v>
      </c>
      <c r="E156" s="16" t="str">
        <f>IFERROR(__xludf.DUMMYFUNCTION("filter('INVOICE CODES'!B:B,'INVOICE CODES'!D:D=C156,'INVOICE CODES'!E:E=D156)"),"MC-D400-Red")</f>
        <v>MC-D400-Red</v>
      </c>
      <c r="F156" s="19" t="s">
        <v>2026</v>
      </c>
      <c r="G156" s="61" t="s">
        <v>2027</v>
      </c>
      <c r="H156" s="62">
        <v>45635.0</v>
      </c>
      <c r="I156" s="67" t="s">
        <v>2030</v>
      </c>
      <c r="J156" s="64" t="s">
        <v>1880</v>
      </c>
      <c r="K156" s="27" t="s">
        <v>2032</v>
      </c>
      <c r="L156" s="65"/>
      <c r="M156" s="65"/>
      <c r="N156" s="65"/>
      <c r="O156" s="65"/>
      <c r="P156" s="65"/>
      <c r="Q156" s="65"/>
      <c r="R156" s="65"/>
      <c r="S156" s="60" t="s">
        <v>1237</v>
      </c>
    </row>
    <row r="157" hidden="1">
      <c r="A157" s="16" t="s">
        <v>1870</v>
      </c>
      <c r="B157" s="19" t="s">
        <v>50</v>
      </c>
      <c r="C157" s="19" t="s">
        <v>616</v>
      </c>
      <c r="D157" s="19" t="s">
        <v>1128</v>
      </c>
      <c r="E157" s="16" t="str">
        <f>IFERROR(__xludf.DUMMYFUNCTION("filter('INVOICE CODES'!B:B,'INVOICE CODES'!D:D=C157,'INVOICE CODES'!E:E=D157)"),"MC-D400-Red")</f>
        <v>MC-D400-Red</v>
      </c>
      <c r="F157" s="19" t="s">
        <v>2036</v>
      </c>
      <c r="G157" s="61" t="s">
        <v>2037</v>
      </c>
      <c r="H157" s="62">
        <v>45635.0</v>
      </c>
      <c r="I157" s="67" t="s">
        <v>2039</v>
      </c>
      <c r="J157" s="64" t="s">
        <v>1880</v>
      </c>
      <c r="K157" s="27" t="s">
        <v>2042</v>
      </c>
      <c r="L157" s="65"/>
      <c r="M157" s="65"/>
      <c r="N157" s="65"/>
      <c r="O157" s="65"/>
      <c r="P157" s="65"/>
      <c r="Q157" s="65"/>
      <c r="R157" s="65"/>
      <c r="S157" s="30" t="s">
        <v>1523</v>
      </c>
    </row>
    <row r="158" hidden="1">
      <c r="A158" s="16" t="s">
        <v>1870</v>
      </c>
      <c r="B158" s="19" t="s">
        <v>50</v>
      </c>
      <c r="C158" s="19" t="s">
        <v>616</v>
      </c>
      <c r="D158" s="19" t="s">
        <v>1128</v>
      </c>
      <c r="E158" s="16" t="str">
        <f>IFERROR(__xludf.DUMMYFUNCTION("filter('INVOICE CODES'!B:B,'INVOICE CODES'!D:D=C158,'INVOICE CODES'!E:E=D158)"),"MC-D400-Red")</f>
        <v>MC-D400-Red</v>
      </c>
      <c r="F158" s="19" t="s">
        <v>2046</v>
      </c>
      <c r="G158" s="61" t="s">
        <v>2047</v>
      </c>
      <c r="H158" s="62">
        <v>45635.0</v>
      </c>
      <c r="I158" s="67" t="s">
        <v>2049</v>
      </c>
      <c r="J158" s="64" t="s">
        <v>1880</v>
      </c>
      <c r="K158" s="27" t="s">
        <v>2052</v>
      </c>
      <c r="L158" s="65"/>
      <c r="M158" s="65"/>
      <c r="N158" s="65"/>
      <c r="O158" s="65"/>
      <c r="P158" s="65"/>
      <c r="Q158" s="65"/>
      <c r="R158" s="65"/>
      <c r="S158" s="60" t="s">
        <v>1237</v>
      </c>
    </row>
    <row r="159" hidden="1">
      <c r="A159" s="16" t="s">
        <v>1870</v>
      </c>
      <c r="B159" s="19" t="s">
        <v>50</v>
      </c>
      <c r="C159" s="19" t="s">
        <v>616</v>
      </c>
      <c r="D159" s="19" t="s">
        <v>1128</v>
      </c>
      <c r="E159" s="16" t="str">
        <f>IFERROR(__xludf.DUMMYFUNCTION("filter('INVOICE CODES'!B:B,'INVOICE CODES'!D:D=C159,'INVOICE CODES'!E:E=D159)"),"MC-D400-Red")</f>
        <v>MC-D400-Red</v>
      </c>
      <c r="F159" s="19" t="s">
        <v>2056</v>
      </c>
      <c r="G159" s="61" t="s">
        <v>2057</v>
      </c>
      <c r="H159" s="62">
        <v>45635.0</v>
      </c>
      <c r="I159" s="67" t="s">
        <v>2058</v>
      </c>
      <c r="J159" s="64" t="s">
        <v>1880</v>
      </c>
      <c r="K159" s="27" t="s">
        <v>2059</v>
      </c>
      <c r="L159" s="65"/>
      <c r="M159" s="65"/>
      <c r="N159" s="65"/>
      <c r="O159" s="65"/>
      <c r="P159" s="65"/>
      <c r="Q159" s="65"/>
      <c r="R159" s="65"/>
      <c r="S159" s="30"/>
    </row>
    <row r="160" hidden="1">
      <c r="A160" s="16" t="s">
        <v>1870</v>
      </c>
      <c r="B160" s="19" t="s">
        <v>50</v>
      </c>
      <c r="C160" s="19" t="s">
        <v>616</v>
      </c>
      <c r="D160" s="19" t="s">
        <v>1128</v>
      </c>
      <c r="E160" s="16" t="str">
        <f>IFERROR(__xludf.DUMMYFUNCTION("filter('INVOICE CODES'!B:B,'INVOICE CODES'!D:D=C160,'INVOICE CODES'!E:E=D160)"),"MC-D400-Red")</f>
        <v>MC-D400-Red</v>
      </c>
      <c r="F160" s="19" t="s">
        <v>2066</v>
      </c>
      <c r="G160" s="61" t="s">
        <v>2067</v>
      </c>
      <c r="H160" s="62">
        <v>45635.0</v>
      </c>
      <c r="I160" s="67" t="s">
        <v>2068</v>
      </c>
      <c r="J160" s="64" t="s">
        <v>1880</v>
      </c>
      <c r="K160" s="27" t="s">
        <v>2069</v>
      </c>
      <c r="L160" s="28" t="s">
        <v>64</v>
      </c>
      <c r="M160" s="28" t="s">
        <v>67</v>
      </c>
      <c r="N160" s="28" t="s">
        <v>2072</v>
      </c>
      <c r="O160" s="12">
        <v>10953.0</v>
      </c>
      <c r="P160" s="65"/>
      <c r="Q160" s="12" t="s">
        <v>2074</v>
      </c>
      <c r="R160" s="65"/>
      <c r="S160" s="30"/>
    </row>
    <row r="161" hidden="1">
      <c r="A161" s="16" t="s">
        <v>1870</v>
      </c>
      <c r="B161" s="19" t="s">
        <v>50</v>
      </c>
      <c r="C161" s="19" t="s">
        <v>616</v>
      </c>
      <c r="D161" s="19" t="s">
        <v>1128</v>
      </c>
      <c r="E161" s="16" t="str">
        <f>IFERROR(__xludf.DUMMYFUNCTION("filter('INVOICE CODES'!B:B,'INVOICE CODES'!D:D=C161,'INVOICE CODES'!E:E=D161)"),"MC-D400-Red")</f>
        <v>MC-D400-Red</v>
      </c>
      <c r="F161" s="19" t="s">
        <v>2078</v>
      </c>
      <c r="G161" s="61" t="s">
        <v>2079</v>
      </c>
      <c r="H161" s="62">
        <v>45635.0</v>
      </c>
      <c r="I161" s="67" t="s">
        <v>2080</v>
      </c>
      <c r="J161" s="64" t="s">
        <v>1880</v>
      </c>
      <c r="K161" s="27" t="s">
        <v>2081</v>
      </c>
      <c r="L161" s="65"/>
      <c r="M161" s="65"/>
      <c r="N161" s="65"/>
      <c r="O161" s="65"/>
      <c r="P161" s="65"/>
      <c r="Q161" s="65"/>
      <c r="R161" s="65"/>
      <c r="S161" s="30" t="s">
        <v>1523</v>
      </c>
    </row>
    <row r="162" hidden="1">
      <c r="A162" s="16" t="s">
        <v>1870</v>
      </c>
      <c r="B162" s="19" t="s">
        <v>50</v>
      </c>
      <c r="C162" s="19" t="s">
        <v>616</v>
      </c>
      <c r="D162" s="19" t="s">
        <v>1128</v>
      </c>
      <c r="E162" s="16" t="str">
        <f>IFERROR(__xludf.DUMMYFUNCTION("filter('INVOICE CODES'!B:B,'INVOICE CODES'!D:D=C162,'INVOICE CODES'!E:E=D162)"),"MC-D400-Red")</f>
        <v>MC-D400-Red</v>
      </c>
      <c r="F162" s="19" t="s">
        <v>2087</v>
      </c>
      <c r="G162" s="61" t="s">
        <v>2089</v>
      </c>
      <c r="H162" s="62">
        <v>45635.0</v>
      </c>
      <c r="I162" s="67" t="s">
        <v>2090</v>
      </c>
      <c r="J162" s="64" t="s">
        <v>1880</v>
      </c>
      <c r="K162" s="27" t="s">
        <v>2091</v>
      </c>
      <c r="L162" s="65"/>
      <c r="M162" s="65"/>
      <c r="N162" s="65"/>
      <c r="O162" s="65"/>
      <c r="P162" s="65"/>
      <c r="Q162" s="65"/>
      <c r="R162" s="65"/>
      <c r="S162" s="60" t="s">
        <v>1237</v>
      </c>
    </row>
    <row r="163" hidden="1">
      <c r="A163" s="16" t="s">
        <v>1870</v>
      </c>
      <c r="B163" s="19" t="s">
        <v>50</v>
      </c>
      <c r="C163" s="19" t="s">
        <v>616</v>
      </c>
      <c r="D163" s="19" t="s">
        <v>1128</v>
      </c>
      <c r="E163" s="16" t="str">
        <f>IFERROR(__xludf.DUMMYFUNCTION("filter('INVOICE CODES'!B:B,'INVOICE CODES'!D:D=C163,'INVOICE CODES'!E:E=D163)"),"MC-D400-Red")</f>
        <v>MC-D400-Red</v>
      </c>
      <c r="F163" s="19" t="s">
        <v>2096</v>
      </c>
      <c r="G163" s="61" t="s">
        <v>2098</v>
      </c>
      <c r="H163" s="62">
        <v>45635.0</v>
      </c>
      <c r="I163" s="67" t="s">
        <v>2100</v>
      </c>
      <c r="J163" s="64" t="s">
        <v>1880</v>
      </c>
      <c r="K163" s="27" t="s">
        <v>2101</v>
      </c>
      <c r="L163" s="65"/>
      <c r="M163" s="65"/>
      <c r="N163" s="65"/>
      <c r="O163" s="65"/>
      <c r="P163" s="65"/>
      <c r="Q163" s="65"/>
      <c r="R163" s="65"/>
      <c r="S163" s="30" t="s">
        <v>1523</v>
      </c>
    </row>
    <row r="164" hidden="1">
      <c r="A164" s="16" t="s">
        <v>1870</v>
      </c>
      <c r="B164" s="19" t="s">
        <v>50</v>
      </c>
      <c r="C164" s="19" t="s">
        <v>616</v>
      </c>
      <c r="D164" s="19" t="s">
        <v>1128</v>
      </c>
      <c r="E164" s="16" t="str">
        <f>IFERROR(__xludf.DUMMYFUNCTION("filter('INVOICE CODES'!B:B,'INVOICE CODES'!D:D=C164,'INVOICE CODES'!E:E=D164)"),"MC-D400-Red")</f>
        <v>MC-D400-Red</v>
      </c>
      <c r="F164" s="19" t="s">
        <v>2107</v>
      </c>
      <c r="G164" s="61" t="s">
        <v>2109</v>
      </c>
      <c r="H164" s="62">
        <v>45635.0</v>
      </c>
      <c r="I164" s="67" t="s">
        <v>2110</v>
      </c>
      <c r="J164" s="64" t="s">
        <v>1880</v>
      </c>
      <c r="K164" s="27" t="s">
        <v>2111</v>
      </c>
      <c r="L164" s="28" t="s">
        <v>64</v>
      </c>
      <c r="M164" s="28" t="s">
        <v>67</v>
      </c>
      <c r="N164" s="28" t="s">
        <v>2115</v>
      </c>
      <c r="O164" s="12">
        <v>11007.0</v>
      </c>
      <c r="P164" s="65"/>
      <c r="Q164" s="12" t="s">
        <v>2116</v>
      </c>
      <c r="R164" s="65"/>
      <c r="S164" s="30"/>
    </row>
    <row r="165" hidden="1">
      <c r="A165" s="16" t="s">
        <v>1870</v>
      </c>
      <c r="B165" s="19" t="s">
        <v>50</v>
      </c>
      <c r="C165" s="19" t="s">
        <v>616</v>
      </c>
      <c r="D165" s="19" t="s">
        <v>1128</v>
      </c>
      <c r="E165" s="16" t="str">
        <f>IFERROR(__xludf.DUMMYFUNCTION("filter('INVOICE CODES'!B:B,'INVOICE CODES'!D:D=C165,'INVOICE CODES'!E:E=D165)"),"MC-D400-Red")</f>
        <v>MC-D400-Red</v>
      </c>
      <c r="F165" s="19" t="s">
        <v>2120</v>
      </c>
      <c r="G165" s="61" t="s">
        <v>2121</v>
      </c>
      <c r="H165" s="62">
        <v>45635.0</v>
      </c>
      <c r="I165" s="67" t="s">
        <v>2122</v>
      </c>
      <c r="J165" s="64" t="s">
        <v>1880</v>
      </c>
      <c r="K165" s="27" t="s">
        <v>2123</v>
      </c>
      <c r="L165" s="28" t="s">
        <v>670</v>
      </c>
      <c r="M165" s="58">
        <v>9.1000008742187E13</v>
      </c>
      <c r="N165" s="58" t="s">
        <v>2127</v>
      </c>
      <c r="O165" s="46">
        <v>6.0</v>
      </c>
      <c r="P165" s="65"/>
      <c r="Q165" s="12" t="s">
        <v>67</v>
      </c>
      <c r="R165" s="65"/>
      <c r="S165" s="30"/>
    </row>
    <row r="166" hidden="1">
      <c r="A166" s="16" t="s">
        <v>1870</v>
      </c>
      <c r="B166" s="19" t="s">
        <v>50</v>
      </c>
      <c r="C166" s="19" t="s">
        <v>616</v>
      </c>
      <c r="D166" s="19" t="s">
        <v>1128</v>
      </c>
      <c r="E166" s="16" t="str">
        <f>IFERROR(__xludf.DUMMYFUNCTION("filter('INVOICE CODES'!B:B,'INVOICE CODES'!D:D=C166,'INVOICE CODES'!E:E=D166)"),"MC-D400-Red")</f>
        <v>MC-D400-Red</v>
      </c>
      <c r="F166" s="19" t="s">
        <v>2134</v>
      </c>
      <c r="G166" s="61" t="s">
        <v>2135</v>
      </c>
      <c r="H166" s="62">
        <v>45635.0</v>
      </c>
      <c r="I166" s="67" t="s">
        <v>2136</v>
      </c>
      <c r="J166" s="64" t="s">
        <v>1880</v>
      </c>
      <c r="K166" s="27" t="s">
        <v>2138</v>
      </c>
      <c r="L166" s="28" t="s">
        <v>64</v>
      </c>
      <c r="M166" s="28" t="s">
        <v>67</v>
      </c>
      <c r="N166" s="28" t="s">
        <v>2141</v>
      </c>
      <c r="O166" s="12">
        <v>11019.0</v>
      </c>
      <c r="P166" s="65"/>
      <c r="Q166" s="12" t="s">
        <v>2142</v>
      </c>
      <c r="R166" s="65"/>
      <c r="S166" s="30"/>
    </row>
    <row r="167" hidden="1">
      <c r="A167" s="16" t="s">
        <v>1870</v>
      </c>
      <c r="B167" s="19" t="s">
        <v>50</v>
      </c>
      <c r="C167" s="19" t="s">
        <v>616</v>
      </c>
      <c r="D167" s="19" t="s">
        <v>1128</v>
      </c>
      <c r="E167" s="16" t="str">
        <f>IFERROR(__xludf.DUMMYFUNCTION("filter('INVOICE CODES'!B:B,'INVOICE CODES'!D:D=C167,'INVOICE CODES'!E:E=D167)"),"MC-D400-Red")</f>
        <v>MC-D400-Red</v>
      </c>
      <c r="F167" s="19" t="s">
        <v>2148</v>
      </c>
      <c r="G167" s="61" t="s">
        <v>2150</v>
      </c>
      <c r="H167" s="62">
        <v>45635.0</v>
      </c>
      <c r="I167" s="67" t="s">
        <v>2151</v>
      </c>
      <c r="J167" s="64" t="s">
        <v>1880</v>
      </c>
      <c r="K167" s="27" t="s">
        <v>2152</v>
      </c>
      <c r="L167" s="65"/>
      <c r="M167" s="65"/>
      <c r="N167" s="65"/>
      <c r="O167" s="65"/>
      <c r="P167" s="65"/>
      <c r="Q167" s="65"/>
      <c r="R167" s="65"/>
      <c r="S167" s="30" t="s">
        <v>1523</v>
      </c>
    </row>
    <row r="168" hidden="1">
      <c r="A168" s="16" t="s">
        <v>1870</v>
      </c>
      <c r="B168" s="19" t="s">
        <v>50</v>
      </c>
      <c r="C168" s="19" t="s">
        <v>616</v>
      </c>
      <c r="D168" s="19" t="s">
        <v>1128</v>
      </c>
      <c r="E168" s="16" t="str">
        <f>IFERROR(__xludf.DUMMYFUNCTION("filter('INVOICE CODES'!B:B,'INVOICE CODES'!D:D=C168,'INVOICE CODES'!E:E=D168)"),"MC-D400-Red")</f>
        <v>MC-D400-Red</v>
      </c>
      <c r="F168" s="19" t="s">
        <v>2159</v>
      </c>
      <c r="G168" s="61" t="s">
        <v>2160</v>
      </c>
      <c r="H168" s="62">
        <v>45635.0</v>
      </c>
      <c r="I168" s="67" t="s">
        <v>2161</v>
      </c>
      <c r="J168" s="64" t="s">
        <v>1880</v>
      </c>
      <c r="K168" s="27" t="s">
        <v>2162</v>
      </c>
      <c r="L168" s="65"/>
      <c r="M168" s="65"/>
      <c r="N168" s="65"/>
      <c r="O168" s="65"/>
      <c r="P168" s="65"/>
      <c r="Q168" s="65"/>
      <c r="R168" s="65"/>
      <c r="S168" s="60" t="s">
        <v>1237</v>
      </c>
    </row>
    <row r="169" hidden="1">
      <c r="A169" s="16" t="s">
        <v>1870</v>
      </c>
      <c r="B169" s="19" t="s">
        <v>50</v>
      </c>
      <c r="C169" s="19" t="s">
        <v>616</v>
      </c>
      <c r="D169" s="19" t="s">
        <v>1128</v>
      </c>
      <c r="E169" s="16" t="str">
        <f>IFERROR(__xludf.DUMMYFUNCTION("filter('INVOICE CODES'!B:B,'INVOICE CODES'!D:D=C169,'INVOICE CODES'!E:E=D169)"),"MC-D400-Red")</f>
        <v>MC-D400-Red</v>
      </c>
      <c r="F169" s="19" t="s">
        <v>2169</v>
      </c>
      <c r="G169" s="61" t="s">
        <v>2170</v>
      </c>
      <c r="H169" s="62">
        <v>45635.0</v>
      </c>
      <c r="I169" s="67" t="s">
        <v>2171</v>
      </c>
      <c r="J169" s="64" t="s">
        <v>1880</v>
      </c>
      <c r="K169" s="27" t="s">
        <v>2175</v>
      </c>
      <c r="L169" s="65"/>
      <c r="M169" s="65"/>
      <c r="N169" s="65"/>
      <c r="O169" s="65"/>
      <c r="P169" s="65"/>
      <c r="Q169" s="65"/>
      <c r="R169" s="65"/>
      <c r="S169" s="30"/>
    </row>
    <row r="170" hidden="1">
      <c r="A170" s="16" t="s">
        <v>1870</v>
      </c>
      <c r="B170" s="19" t="s">
        <v>50</v>
      </c>
      <c r="C170" s="19" t="s">
        <v>616</v>
      </c>
      <c r="D170" s="19" t="s">
        <v>1128</v>
      </c>
      <c r="E170" s="16" t="str">
        <f>IFERROR(__xludf.DUMMYFUNCTION("filter('INVOICE CODES'!B:B,'INVOICE CODES'!D:D=C170,'INVOICE CODES'!E:E=D170)"),"MC-D400-Red")</f>
        <v>MC-D400-Red</v>
      </c>
      <c r="F170" s="19" t="s">
        <v>2179</v>
      </c>
      <c r="G170" s="61" t="s">
        <v>2180</v>
      </c>
      <c r="H170" s="62">
        <v>45635.0</v>
      </c>
      <c r="I170" s="67" t="s">
        <v>2181</v>
      </c>
      <c r="J170" s="64" t="s">
        <v>1880</v>
      </c>
      <c r="K170" s="27" t="s">
        <v>2185</v>
      </c>
      <c r="L170" s="65"/>
      <c r="M170" s="65"/>
      <c r="N170" s="65"/>
      <c r="O170" s="65"/>
      <c r="P170" s="65"/>
      <c r="Q170" s="65"/>
      <c r="R170" s="65"/>
      <c r="S170" s="60" t="s">
        <v>1237</v>
      </c>
    </row>
    <row r="171" hidden="1">
      <c r="A171" s="16" t="s">
        <v>1870</v>
      </c>
      <c r="B171" s="19" t="s">
        <v>50</v>
      </c>
      <c r="C171" s="19" t="s">
        <v>616</v>
      </c>
      <c r="D171" s="19" t="s">
        <v>1128</v>
      </c>
      <c r="E171" s="16" t="str">
        <f>IFERROR(__xludf.DUMMYFUNCTION("filter('INVOICE CODES'!B:B,'INVOICE CODES'!D:D=C171,'INVOICE CODES'!E:E=D171)"),"MC-D400-Red")</f>
        <v>MC-D400-Red</v>
      </c>
      <c r="F171" s="19" t="s">
        <v>2192</v>
      </c>
      <c r="G171" s="61" t="s">
        <v>2193</v>
      </c>
      <c r="H171" s="62">
        <v>45635.0</v>
      </c>
      <c r="I171" s="67" t="s">
        <v>2194</v>
      </c>
      <c r="J171" s="64" t="s">
        <v>1880</v>
      </c>
      <c r="K171" s="27" t="s">
        <v>2195</v>
      </c>
      <c r="L171" s="28" t="s">
        <v>64</v>
      </c>
      <c r="M171" s="28" t="s">
        <v>67</v>
      </c>
      <c r="N171" s="28" t="s">
        <v>2199</v>
      </c>
      <c r="O171" s="12">
        <v>10979.0</v>
      </c>
      <c r="P171" s="65"/>
      <c r="Q171" s="12" t="s">
        <v>2200</v>
      </c>
      <c r="R171" s="65"/>
      <c r="S171" s="30"/>
    </row>
    <row r="172" hidden="1">
      <c r="A172" s="16" t="s">
        <v>1870</v>
      </c>
      <c r="B172" s="19" t="s">
        <v>50</v>
      </c>
      <c r="C172" s="19" t="s">
        <v>616</v>
      </c>
      <c r="D172" s="19" t="s">
        <v>1128</v>
      </c>
      <c r="E172" s="16" t="str">
        <f>IFERROR(__xludf.DUMMYFUNCTION("filter('INVOICE CODES'!B:B,'INVOICE CODES'!D:D=C172,'INVOICE CODES'!E:E=D172)"),"MC-D400-Red")</f>
        <v>MC-D400-Red</v>
      </c>
      <c r="F172" s="19" t="s">
        <v>2204</v>
      </c>
      <c r="G172" s="61" t="s">
        <v>2205</v>
      </c>
      <c r="H172" s="62">
        <v>45635.0</v>
      </c>
      <c r="I172" s="67" t="s">
        <v>2206</v>
      </c>
      <c r="J172" s="64" t="s">
        <v>1880</v>
      </c>
      <c r="K172" s="27" t="s">
        <v>2207</v>
      </c>
      <c r="L172" s="65"/>
      <c r="M172" s="65"/>
      <c r="N172" s="65"/>
      <c r="O172" s="65"/>
      <c r="P172" s="65"/>
      <c r="Q172" s="65"/>
      <c r="R172" s="65"/>
      <c r="S172" s="60" t="s">
        <v>1237</v>
      </c>
    </row>
    <row r="173" hidden="1">
      <c r="A173" s="16" t="s">
        <v>1870</v>
      </c>
      <c r="B173" s="19" t="s">
        <v>50</v>
      </c>
      <c r="C173" s="19" t="s">
        <v>616</v>
      </c>
      <c r="D173" s="19" t="s">
        <v>1128</v>
      </c>
      <c r="E173" s="16" t="str">
        <f>IFERROR(__xludf.DUMMYFUNCTION("filter('INVOICE CODES'!B:B,'INVOICE CODES'!D:D=C173,'INVOICE CODES'!E:E=D173)"),"MC-D400-Red")</f>
        <v>MC-D400-Red</v>
      </c>
      <c r="F173" s="19" t="s">
        <v>2211</v>
      </c>
      <c r="G173" s="61" t="s">
        <v>2212</v>
      </c>
      <c r="H173" s="62">
        <v>45635.0</v>
      </c>
      <c r="I173" s="67" t="s">
        <v>2215</v>
      </c>
      <c r="J173" s="64" t="s">
        <v>1880</v>
      </c>
      <c r="K173" s="27" t="s">
        <v>2217</v>
      </c>
      <c r="L173" s="65"/>
      <c r="M173" s="65"/>
      <c r="N173" s="65"/>
      <c r="O173" s="65"/>
      <c r="P173" s="65"/>
      <c r="Q173" s="65"/>
      <c r="R173" s="65"/>
      <c r="S173" s="60" t="s">
        <v>1237</v>
      </c>
    </row>
    <row r="174" hidden="1">
      <c r="A174" s="16" t="s">
        <v>1870</v>
      </c>
      <c r="B174" s="19" t="s">
        <v>50</v>
      </c>
      <c r="C174" s="19" t="s">
        <v>616</v>
      </c>
      <c r="D174" s="19" t="s">
        <v>1128</v>
      </c>
      <c r="E174" s="16" t="str">
        <f>IFERROR(__xludf.DUMMYFUNCTION("filter('INVOICE CODES'!B:B,'INVOICE CODES'!D:D=C174,'INVOICE CODES'!E:E=D174)"),"MC-D400-Red")</f>
        <v>MC-D400-Red</v>
      </c>
      <c r="F174" s="19" t="s">
        <v>2221</v>
      </c>
      <c r="G174" s="61" t="s">
        <v>2222</v>
      </c>
      <c r="H174" s="62">
        <v>45635.0</v>
      </c>
      <c r="I174" s="63" t="s">
        <v>2224</v>
      </c>
      <c r="J174" s="64" t="s">
        <v>1880</v>
      </c>
      <c r="K174" s="27" t="s">
        <v>2227</v>
      </c>
      <c r="L174" s="65"/>
      <c r="M174" s="65"/>
      <c r="N174" s="65"/>
      <c r="O174" s="65"/>
      <c r="P174" s="65"/>
      <c r="Q174" s="65"/>
      <c r="R174" s="65"/>
      <c r="S174" s="30"/>
    </row>
    <row r="175" hidden="1">
      <c r="A175" s="16" t="s">
        <v>1870</v>
      </c>
      <c r="B175" s="19" t="s">
        <v>50</v>
      </c>
      <c r="C175" s="19" t="s">
        <v>616</v>
      </c>
      <c r="D175" s="19" t="s">
        <v>1128</v>
      </c>
      <c r="E175" s="16" t="str">
        <f>IFERROR(__xludf.DUMMYFUNCTION("filter('INVOICE CODES'!B:B,'INVOICE CODES'!D:D=C175,'INVOICE CODES'!E:E=D175)"),"MC-D400-Red")</f>
        <v>MC-D400-Red</v>
      </c>
      <c r="F175" s="19" t="s">
        <v>2231</v>
      </c>
      <c r="G175" s="61" t="s">
        <v>2232</v>
      </c>
      <c r="H175" s="62">
        <v>45635.0</v>
      </c>
      <c r="I175" s="63" t="s">
        <v>2233</v>
      </c>
      <c r="J175" s="64" t="s">
        <v>1880</v>
      </c>
      <c r="K175" s="27" t="s">
        <v>2234</v>
      </c>
      <c r="L175" s="65"/>
      <c r="M175" s="65"/>
      <c r="N175" s="65"/>
      <c r="O175" s="65"/>
      <c r="P175" s="65"/>
      <c r="Q175" s="65"/>
      <c r="R175" s="65"/>
      <c r="S175" s="60" t="s">
        <v>1237</v>
      </c>
    </row>
    <row r="176" hidden="1">
      <c r="A176" s="16" t="s">
        <v>1870</v>
      </c>
      <c r="B176" s="19" t="s">
        <v>50</v>
      </c>
      <c r="C176" s="19" t="s">
        <v>616</v>
      </c>
      <c r="D176" s="19" t="s">
        <v>1128</v>
      </c>
      <c r="E176" s="16" t="str">
        <f>IFERROR(__xludf.DUMMYFUNCTION("filter('INVOICE CODES'!B:B,'INVOICE CODES'!D:D=C176,'INVOICE CODES'!E:E=D176)"),"MC-D400-Red")</f>
        <v>MC-D400-Red</v>
      </c>
      <c r="F176" s="19" t="s">
        <v>2239</v>
      </c>
      <c r="G176" s="61" t="s">
        <v>2242</v>
      </c>
      <c r="H176" s="62">
        <v>45635.0</v>
      </c>
      <c r="I176" s="63" t="s">
        <v>2243</v>
      </c>
      <c r="J176" s="64" t="s">
        <v>1880</v>
      </c>
      <c r="K176" s="27" t="s">
        <v>2244</v>
      </c>
      <c r="L176" s="65"/>
      <c r="M176" s="65"/>
      <c r="N176" s="65"/>
      <c r="O176" s="65"/>
      <c r="P176" s="65"/>
      <c r="Q176" s="65"/>
      <c r="R176" s="65"/>
      <c r="S176" s="30" t="s">
        <v>1523</v>
      </c>
    </row>
    <row r="177" hidden="1">
      <c r="A177" s="16" t="s">
        <v>1870</v>
      </c>
      <c r="B177" s="19" t="s">
        <v>50</v>
      </c>
      <c r="C177" s="19" t="s">
        <v>616</v>
      </c>
      <c r="D177" s="19" t="s">
        <v>1128</v>
      </c>
      <c r="E177" s="16" t="str">
        <f>IFERROR(__xludf.DUMMYFUNCTION("filter('INVOICE CODES'!B:B,'INVOICE CODES'!D:D=C177,'INVOICE CODES'!E:E=D177)"),"MC-D400-Red")</f>
        <v>MC-D400-Red</v>
      </c>
      <c r="F177" s="19" t="s">
        <v>2251</v>
      </c>
      <c r="G177" s="61" t="s">
        <v>2252</v>
      </c>
      <c r="H177" s="62">
        <v>45635.0</v>
      </c>
      <c r="I177" s="67" t="s">
        <v>2253</v>
      </c>
      <c r="J177" s="64" t="s">
        <v>1880</v>
      </c>
      <c r="K177" s="27" t="s">
        <v>2254</v>
      </c>
      <c r="L177" s="65"/>
      <c r="M177" s="65"/>
      <c r="N177" s="65"/>
      <c r="O177" s="65"/>
      <c r="P177" s="65"/>
      <c r="Q177" s="65"/>
      <c r="R177" s="65"/>
      <c r="S177" s="30" t="s">
        <v>1523</v>
      </c>
    </row>
    <row r="178" hidden="1">
      <c r="A178" s="16" t="s">
        <v>1870</v>
      </c>
      <c r="B178" s="19" t="s">
        <v>50</v>
      </c>
      <c r="C178" s="19" t="s">
        <v>616</v>
      </c>
      <c r="D178" s="19" t="s">
        <v>1128</v>
      </c>
      <c r="E178" s="16" t="str">
        <f>IFERROR(__xludf.DUMMYFUNCTION("filter('INVOICE CODES'!B:B,'INVOICE CODES'!D:D=C178,'INVOICE CODES'!E:E=D178)"),"MC-D400-Red")</f>
        <v>MC-D400-Red</v>
      </c>
      <c r="F178" s="19" t="s">
        <v>2260</v>
      </c>
      <c r="G178" s="61" t="s">
        <v>2262</v>
      </c>
      <c r="H178" s="62">
        <v>45635.0</v>
      </c>
      <c r="I178" s="67" t="s">
        <v>2263</v>
      </c>
      <c r="J178" s="64" t="s">
        <v>1880</v>
      </c>
      <c r="K178" s="27" t="s">
        <v>2264</v>
      </c>
      <c r="L178" s="65"/>
      <c r="M178" s="65"/>
      <c r="N178" s="65"/>
      <c r="O178" s="65"/>
      <c r="P178" s="65"/>
      <c r="Q178" s="65"/>
      <c r="R178" s="65"/>
      <c r="S178" s="30" t="s">
        <v>1523</v>
      </c>
    </row>
    <row r="179" hidden="1">
      <c r="A179" s="16" t="s">
        <v>1870</v>
      </c>
      <c r="B179" s="19" t="s">
        <v>50</v>
      </c>
      <c r="C179" s="19" t="s">
        <v>616</v>
      </c>
      <c r="D179" s="19" t="s">
        <v>1128</v>
      </c>
      <c r="E179" s="16" t="str">
        <f>IFERROR(__xludf.DUMMYFUNCTION("filter('INVOICE CODES'!B:B,'INVOICE CODES'!D:D=C179,'INVOICE CODES'!E:E=D179)"),"MC-D400-Red")</f>
        <v>MC-D400-Red</v>
      </c>
      <c r="F179" s="19" t="s">
        <v>2270</v>
      </c>
      <c r="G179" s="61" t="s">
        <v>2272</v>
      </c>
      <c r="H179" s="62">
        <v>45635.0</v>
      </c>
      <c r="I179" s="67" t="s">
        <v>2273</v>
      </c>
      <c r="J179" s="64" t="s">
        <v>1880</v>
      </c>
      <c r="K179" s="27" t="s">
        <v>2274</v>
      </c>
      <c r="L179" s="65"/>
      <c r="M179" s="65"/>
      <c r="N179" s="65"/>
      <c r="O179" s="65"/>
      <c r="P179" s="65"/>
      <c r="Q179" s="65"/>
      <c r="R179" s="65"/>
      <c r="S179" s="30" t="s">
        <v>1523</v>
      </c>
    </row>
    <row r="180" hidden="1">
      <c r="A180" s="16" t="s">
        <v>1870</v>
      </c>
      <c r="B180" s="19" t="s">
        <v>50</v>
      </c>
      <c r="C180" s="19" t="s">
        <v>616</v>
      </c>
      <c r="D180" s="19" t="s">
        <v>1128</v>
      </c>
      <c r="E180" s="16" t="str">
        <f>IFERROR(__xludf.DUMMYFUNCTION("filter('INVOICE CODES'!B:B,'INVOICE CODES'!D:D=C180,'INVOICE CODES'!E:E=D180)"),"MC-D400-Red")</f>
        <v>MC-D400-Red</v>
      </c>
      <c r="F180" s="19" t="s">
        <v>2279</v>
      </c>
      <c r="G180" s="61" t="s">
        <v>2282</v>
      </c>
      <c r="H180" s="62">
        <v>45635.0</v>
      </c>
      <c r="I180" s="67" t="s">
        <v>2283</v>
      </c>
      <c r="J180" s="64" t="s">
        <v>1880</v>
      </c>
      <c r="K180" s="27" t="s">
        <v>2284</v>
      </c>
      <c r="L180" s="65"/>
      <c r="M180" s="65"/>
      <c r="N180" s="65"/>
      <c r="O180" s="65"/>
      <c r="P180" s="65"/>
      <c r="Q180" s="65"/>
      <c r="R180" s="65"/>
      <c r="S180" s="30"/>
    </row>
    <row r="181" hidden="1">
      <c r="A181" s="16" t="s">
        <v>1870</v>
      </c>
      <c r="B181" s="19" t="s">
        <v>50</v>
      </c>
      <c r="C181" s="19" t="s">
        <v>616</v>
      </c>
      <c r="D181" s="19" t="s">
        <v>1128</v>
      </c>
      <c r="E181" s="16" t="str">
        <f>IFERROR(__xludf.DUMMYFUNCTION("filter('INVOICE CODES'!B:B,'INVOICE CODES'!D:D=C181,'INVOICE CODES'!E:E=D181)"),"MC-D400-Red")</f>
        <v>MC-D400-Red</v>
      </c>
      <c r="F181" s="19" t="s">
        <v>2292</v>
      </c>
      <c r="G181" s="61" t="s">
        <v>2295</v>
      </c>
      <c r="H181" s="62">
        <v>45635.0</v>
      </c>
      <c r="I181" s="67" t="s">
        <v>2296</v>
      </c>
      <c r="J181" s="64" t="s">
        <v>1880</v>
      </c>
      <c r="K181" s="27" t="s">
        <v>2297</v>
      </c>
      <c r="L181" s="65"/>
      <c r="M181" s="65"/>
      <c r="N181" s="65"/>
      <c r="O181" s="65"/>
      <c r="P181" s="65"/>
      <c r="Q181" s="65"/>
      <c r="R181" s="65"/>
      <c r="S181" s="60" t="s">
        <v>1237</v>
      </c>
    </row>
    <row r="182" hidden="1">
      <c r="A182" s="16" t="s">
        <v>1870</v>
      </c>
      <c r="B182" s="19" t="s">
        <v>50</v>
      </c>
      <c r="C182" s="19" t="s">
        <v>616</v>
      </c>
      <c r="D182" s="19" t="s">
        <v>1128</v>
      </c>
      <c r="E182" s="16" t="str">
        <f>IFERROR(__xludf.DUMMYFUNCTION("filter('INVOICE CODES'!B:B,'INVOICE CODES'!D:D=C182,'INVOICE CODES'!E:E=D182)"),"MC-D400-Red")</f>
        <v>MC-D400-Red</v>
      </c>
      <c r="F182" s="19" t="s">
        <v>2304</v>
      </c>
      <c r="G182" s="61" t="s">
        <v>2305</v>
      </c>
      <c r="H182" s="62">
        <v>45635.0</v>
      </c>
      <c r="I182" s="67" t="s">
        <v>2306</v>
      </c>
      <c r="J182" s="64" t="s">
        <v>1880</v>
      </c>
      <c r="K182" s="27" t="s">
        <v>2309</v>
      </c>
      <c r="L182" s="28" t="s">
        <v>64</v>
      </c>
      <c r="M182" s="28" t="s">
        <v>67</v>
      </c>
      <c r="N182" s="28" t="s">
        <v>2311</v>
      </c>
      <c r="O182" s="12">
        <v>11009.0</v>
      </c>
      <c r="P182" s="65"/>
      <c r="Q182" s="12" t="s">
        <v>2312</v>
      </c>
      <c r="R182" s="65"/>
      <c r="S182" s="30"/>
    </row>
    <row r="183" hidden="1">
      <c r="A183" s="16" t="s">
        <v>1870</v>
      </c>
      <c r="B183" s="19" t="s">
        <v>50</v>
      </c>
      <c r="C183" s="19" t="s">
        <v>616</v>
      </c>
      <c r="D183" s="19" t="s">
        <v>1128</v>
      </c>
      <c r="E183" s="16" t="str">
        <f>IFERROR(__xludf.DUMMYFUNCTION("filter('INVOICE CODES'!B:B,'INVOICE CODES'!D:D=C183,'INVOICE CODES'!E:E=D183)"),"MC-D400-Red")</f>
        <v>MC-D400-Red</v>
      </c>
      <c r="F183" s="19" t="s">
        <v>2319</v>
      </c>
      <c r="G183" s="61" t="s">
        <v>2320</v>
      </c>
      <c r="H183" s="62">
        <v>45635.0</v>
      </c>
      <c r="I183" s="67" t="s">
        <v>2321</v>
      </c>
      <c r="J183" s="64" t="s">
        <v>1880</v>
      </c>
      <c r="K183" s="27" t="s">
        <v>2323</v>
      </c>
      <c r="L183" s="28" t="s">
        <v>64</v>
      </c>
      <c r="M183" s="28" t="s">
        <v>67</v>
      </c>
      <c r="N183" s="28" t="s">
        <v>2326</v>
      </c>
      <c r="O183" s="12">
        <v>11055.0</v>
      </c>
      <c r="P183" s="65"/>
      <c r="Q183" s="12" t="s">
        <v>2327</v>
      </c>
      <c r="R183" s="65"/>
      <c r="S183" s="30"/>
    </row>
    <row r="184" hidden="1">
      <c r="A184" s="16" t="s">
        <v>1870</v>
      </c>
      <c r="B184" s="19" t="s">
        <v>50</v>
      </c>
      <c r="C184" s="19" t="s">
        <v>616</v>
      </c>
      <c r="D184" s="19" t="s">
        <v>1128</v>
      </c>
      <c r="E184" s="16" t="str">
        <f>IFERROR(__xludf.DUMMYFUNCTION("filter('INVOICE CODES'!B:B,'INVOICE CODES'!D:D=C184,'INVOICE CODES'!E:E=D184)"),"MC-D400-Red")</f>
        <v>MC-D400-Red</v>
      </c>
      <c r="F184" s="19" t="s">
        <v>2331</v>
      </c>
      <c r="G184" s="61" t="s">
        <v>2332</v>
      </c>
      <c r="H184" s="62">
        <v>45635.0</v>
      </c>
      <c r="I184" s="67" t="s">
        <v>2333</v>
      </c>
      <c r="J184" s="64" t="s">
        <v>1880</v>
      </c>
      <c r="K184" s="27" t="s">
        <v>2334</v>
      </c>
      <c r="L184" s="65"/>
      <c r="M184" s="65"/>
      <c r="N184" s="65"/>
      <c r="O184" s="65"/>
      <c r="P184" s="65"/>
      <c r="Q184" s="65"/>
      <c r="R184" s="65"/>
      <c r="S184" s="60" t="s">
        <v>1237</v>
      </c>
    </row>
    <row r="185" hidden="1">
      <c r="A185" s="16" t="s">
        <v>1870</v>
      </c>
      <c r="B185" s="19" t="s">
        <v>50</v>
      </c>
      <c r="C185" s="19" t="s">
        <v>616</v>
      </c>
      <c r="D185" s="19" t="s">
        <v>1128</v>
      </c>
      <c r="E185" s="16" t="str">
        <f>IFERROR(__xludf.DUMMYFUNCTION("filter('INVOICE CODES'!B:B,'INVOICE CODES'!D:D=C185,'INVOICE CODES'!E:E=D185)"),"MC-D400-Red")</f>
        <v>MC-D400-Red</v>
      </c>
      <c r="F185" s="19" t="s">
        <v>2338</v>
      </c>
      <c r="G185" s="61" t="s">
        <v>2339</v>
      </c>
      <c r="H185" s="62">
        <v>45635.0</v>
      </c>
      <c r="I185" s="67" t="s">
        <v>2342</v>
      </c>
      <c r="J185" s="64" t="s">
        <v>1880</v>
      </c>
      <c r="K185" s="27" t="s">
        <v>2344</v>
      </c>
      <c r="L185" s="65"/>
      <c r="M185" s="65"/>
      <c r="N185" s="65"/>
      <c r="O185" s="65"/>
      <c r="P185" s="65"/>
      <c r="Q185" s="65"/>
      <c r="R185" s="65"/>
      <c r="S185" s="30" t="s">
        <v>1523</v>
      </c>
    </row>
    <row r="186" hidden="1">
      <c r="A186" s="16" t="s">
        <v>1870</v>
      </c>
      <c r="B186" s="19" t="s">
        <v>50</v>
      </c>
      <c r="C186" s="19" t="s">
        <v>616</v>
      </c>
      <c r="D186" s="19" t="s">
        <v>1128</v>
      </c>
      <c r="E186" s="16" t="str">
        <f>IFERROR(__xludf.DUMMYFUNCTION("filter('INVOICE CODES'!B:B,'INVOICE CODES'!D:D=C186,'INVOICE CODES'!E:E=D186)"),"MC-D400-Red")</f>
        <v>MC-D400-Red</v>
      </c>
      <c r="F186" s="19" t="s">
        <v>2350</v>
      </c>
      <c r="G186" s="61" t="s">
        <v>2351</v>
      </c>
      <c r="H186" s="62">
        <v>45635.0</v>
      </c>
      <c r="I186" s="67" t="s">
        <v>2353</v>
      </c>
      <c r="J186" s="64" t="s">
        <v>1880</v>
      </c>
      <c r="K186" s="27" t="s">
        <v>2354</v>
      </c>
      <c r="L186" s="65"/>
      <c r="M186" s="65"/>
      <c r="N186" s="65"/>
      <c r="O186" s="65"/>
      <c r="P186" s="65"/>
      <c r="Q186" s="65"/>
      <c r="R186" s="65"/>
      <c r="S186" s="30"/>
    </row>
    <row r="187" hidden="1">
      <c r="A187" s="16" t="s">
        <v>1870</v>
      </c>
      <c r="B187" s="19" t="s">
        <v>50</v>
      </c>
      <c r="C187" s="19" t="s">
        <v>616</v>
      </c>
      <c r="D187" s="19" t="s">
        <v>1128</v>
      </c>
      <c r="E187" s="16" t="str">
        <f>IFERROR(__xludf.DUMMYFUNCTION("filter('INVOICE CODES'!B:B,'INVOICE CODES'!D:D=C187,'INVOICE CODES'!E:E=D187)"),"MC-D400-Red")</f>
        <v>MC-D400-Red</v>
      </c>
      <c r="F187" s="19" t="s">
        <v>2361</v>
      </c>
      <c r="G187" s="61" t="s">
        <v>2362</v>
      </c>
      <c r="H187" s="62">
        <v>45635.0</v>
      </c>
      <c r="I187" s="67" t="s">
        <v>2366</v>
      </c>
      <c r="J187" s="64" t="s">
        <v>1880</v>
      </c>
      <c r="K187" s="27" t="s">
        <v>2367</v>
      </c>
      <c r="L187" s="65"/>
      <c r="M187" s="65"/>
      <c r="N187" s="65"/>
      <c r="O187" s="65"/>
      <c r="P187" s="65"/>
      <c r="Q187" s="65"/>
      <c r="R187" s="65"/>
      <c r="S187" s="60" t="s">
        <v>1237</v>
      </c>
    </row>
    <row r="188" hidden="1">
      <c r="A188" s="16" t="s">
        <v>1870</v>
      </c>
      <c r="B188" s="19" t="s">
        <v>50</v>
      </c>
      <c r="C188" s="19" t="s">
        <v>616</v>
      </c>
      <c r="D188" s="19" t="s">
        <v>1128</v>
      </c>
      <c r="E188" s="16" t="str">
        <f>IFERROR(__xludf.DUMMYFUNCTION("filter('INVOICE CODES'!B:B,'INVOICE CODES'!D:D=C188,'INVOICE CODES'!E:E=D188)"),"MC-D400-Red")</f>
        <v>MC-D400-Red</v>
      </c>
      <c r="F188" s="19" t="s">
        <v>2374</v>
      </c>
      <c r="G188" s="61" t="s">
        <v>2376</v>
      </c>
      <c r="H188" s="62">
        <v>45635.0</v>
      </c>
      <c r="I188" s="67" t="s">
        <v>2379</v>
      </c>
      <c r="J188" s="64" t="s">
        <v>1880</v>
      </c>
      <c r="K188" s="27" t="s">
        <v>2380</v>
      </c>
      <c r="L188" s="65"/>
      <c r="M188" s="65"/>
      <c r="N188" s="65"/>
      <c r="O188" s="65"/>
      <c r="P188" s="65"/>
      <c r="Q188" s="65"/>
      <c r="R188" s="65"/>
      <c r="S188" s="60" t="s">
        <v>1237</v>
      </c>
    </row>
    <row r="189" hidden="1">
      <c r="A189" s="16" t="s">
        <v>1870</v>
      </c>
      <c r="B189" s="19" t="s">
        <v>50</v>
      </c>
      <c r="C189" s="19" t="s">
        <v>616</v>
      </c>
      <c r="D189" s="19" t="s">
        <v>1128</v>
      </c>
      <c r="E189" s="16" t="str">
        <f>IFERROR(__xludf.DUMMYFUNCTION("filter('INVOICE CODES'!B:B,'INVOICE CODES'!D:D=C189,'INVOICE CODES'!E:E=D189)"),"MC-D400-Red")</f>
        <v>MC-D400-Red</v>
      </c>
      <c r="F189" s="19" t="s">
        <v>2384</v>
      </c>
      <c r="G189" s="61" t="s">
        <v>2385</v>
      </c>
      <c r="H189" s="62">
        <v>45635.0</v>
      </c>
      <c r="I189" s="67" t="s">
        <v>2389</v>
      </c>
      <c r="J189" s="64" t="s">
        <v>1880</v>
      </c>
      <c r="K189" s="27" t="s">
        <v>2390</v>
      </c>
      <c r="L189" s="28" t="s">
        <v>64</v>
      </c>
      <c r="M189" s="28" t="s">
        <v>67</v>
      </c>
      <c r="N189" s="28" t="s">
        <v>2391</v>
      </c>
      <c r="O189" s="12">
        <v>11061.0</v>
      </c>
      <c r="P189" s="65"/>
      <c r="Q189" s="12" t="s">
        <v>2395</v>
      </c>
      <c r="R189" s="65"/>
      <c r="S189" s="30"/>
    </row>
    <row r="190" hidden="1">
      <c r="A190" s="16" t="s">
        <v>1870</v>
      </c>
      <c r="B190" s="19" t="s">
        <v>50</v>
      </c>
      <c r="C190" s="19" t="s">
        <v>616</v>
      </c>
      <c r="D190" s="19" t="s">
        <v>1128</v>
      </c>
      <c r="E190" s="16" t="str">
        <f>IFERROR(__xludf.DUMMYFUNCTION("filter('INVOICE CODES'!B:B,'INVOICE CODES'!D:D=C190,'INVOICE CODES'!E:E=D190)"),"MC-D400-Red")</f>
        <v>MC-D400-Red</v>
      </c>
      <c r="F190" s="19" t="s">
        <v>2399</v>
      </c>
      <c r="G190" s="61" t="s">
        <v>2400</v>
      </c>
      <c r="H190" s="62">
        <v>45635.0</v>
      </c>
      <c r="I190" s="63" t="s">
        <v>2401</v>
      </c>
      <c r="J190" s="64" t="s">
        <v>1880</v>
      </c>
      <c r="K190" s="27" t="s">
        <v>2402</v>
      </c>
      <c r="L190" s="65"/>
      <c r="M190" s="65"/>
      <c r="N190" s="65"/>
      <c r="O190" s="65"/>
      <c r="P190" s="65"/>
      <c r="Q190" s="65"/>
      <c r="R190" s="65"/>
      <c r="S190" s="60" t="s">
        <v>1237</v>
      </c>
    </row>
    <row r="191" hidden="1">
      <c r="A191" s="16" t="s">
        <v>1870</v>
      </c>
      <c r="B191" s="19" t="s">
        <v>50</v>
      </c>
      <c r="C191" s="19" t="s">
        <v>616</v>
      </c>
      <c r="D191" s="19" t="s">
        <v>1128</v>
      </c>
      <c r="E191" s="16" t="str">
        <f>IFERROR(__xludf.DUMMYFUNCTION("filter('INVOICE CODES'!B:B,'INVOICE CODES'!D:D=C191,'INVOICE CODES'!E:E=D191)"),"MC-D400-Red")</f>
        <v>MC-D400-Red</v>
      </c>
      <c r="F191" s="19" t="s">
        <v>2409</v>
      </c>
      <c r="G191" s="61" t="s">
        <v>2410</v>
      </c>
      <c r="H191" s="62">
        <v>45635.0</v>
      </c>
      <c r="I191" s="63" t="s">
        <v>2412</v>
      </c>
      <c r="J191" s="64" t="s">
        <v>1880</v>
      </c>
      <c r="K191" s="27" t="s">
        <v>2415</v>
      </c>
      <c r="L191" s="28" t="s">
        <v>64</v>
      </c>
      <c r="M191" s="28" t="s">
        <v>67</v>
      </c>
      <c r="N191" s="28" t="s">
        <v>2416</v>
      </c>
      <c r="O191" s="12">
        <v>10954.0</v>
      </c>
      <c r="P191" s="65"/>
      <c r="Q191" s="12" t="s">
        <v>2419</v>
      </c>
      <c r="R191" s="65"/>
      <c r="S191" s="30"/>
    </row>
    <row r="192" hidden="1">
      <c r="A192" s="16" t="s">
        <v>1870</v>
      </c>
      <c r="B192" s="19" t="s">
        <v>50</v>
      </c>
      <c r="C192" s="19" t="s">
        <v>616</v>
      </c>
      <c r="D192" s="19" t="s">
        <v>1128</v>
      </c>
      <c r="E192" s="16" t="str">
        <f>IFERROR(__xludf.DUMMYFUNCTION("filter('INVOICE CODES'!B:B,'INVOICE CODES'!D:D=C192,'INVOICE CODES'!E:E=D192)"),"MC-D400-Red")</f>
        <v>MC-D400-Red</v>
      </c>
      <c r="F192" s="19" t="s">
        <v>2424</v>
      </c>
      <c r="G192" s="61" t="s">
        <v>2425</v>
      </c>
      <c r="H192" s="62">
        <v>45635.0</v>
      </c>
      <c r="I192" s="63" t="s">
        <v>2426</v>
      </c>
      <c r="J192" s="64" t="s">
        <v>1880</v>
      </c>
      <c r="K192" s="27" t="s">
        <v>2429</v>
      </c>
      <c r="L192" s="65"/>
      <c r="M192" s="65"/>
      <c r="N192" s="65"/>
      <c r="O192" s="65"/>
      <c r="P192" s="65"/>
      <c r="Q192" s="65"/>
      <c r="R192" s="65"/>
      <c r="S192" s="60" t="s">
        <v>1237</v>
      </c>
    </row>
    <row r="193" hidden="1">
      <c r="A193" s="16" t="s">
        <v>1870</v>
      </c>
      <c r="B193" s="19" t="s">
        <v>50</v>
      </c>
      <c r="C193" s="19" t="s">
        <v>616</v>
      </c>
      <c r="D193" s="19" t="s">
        <v>1128</v>
      </c>
      <c r="E193" s="16" t="str">
        <f>IFERROR(__xludf.DUMMYFUNCTION("filter('INVOICE CODES'!B:B,'INVOICE CODES'!D:D=C193,'INVOICE CODES'!E:E=D193)"),"MC-D400-Red")</f>
        <v>MC-D400-Red</v>
      </c>
      <c r="F193" s="19" t="s">
        <v>2431</v>
      </c>
      <c r="G193" s="61" t="s">
        <v>2432</v>
      </c>
      <c r="H193" s="62">
        <v>45635.0</v>
      </c>
      <c r="I193" s="63" t="s">
        <v>2435</v>
      </c>
      <c r="J193" s="64" t="s">
        <v>1880</v>
      </c>
      <c r="K193" s="27" t="s">
        <v>2437</v>
      </c>
      <c r="L193" s="28" t="s">
        <v>64</v>
      </c>
      <c r="M193" s="28" t="s">
        <v>67</v>
      </c>
      <c r="N193" s="28" t="s">
        <v>2438</v>
      </c>
      <c r="O193" s="12">
        <v>10984.0</v>
      </c>
      <c r="P193" s="65"/>
      <c r="Q193" s="12" t="s">
        <v>2439</v>
      </c>
      <c r="R193" s="65"/>
      <c r="S193" s="30"/>
    </row>
    <row r="194" hidden="1">
      <c r="A194" s="16" t="s">
        <v>1870</v>
      </c>
      <c r="B194" s="19" t="s">
        <v>50</v>
      </c>
      <c r="C194" s="19" t="s">
        <v>616</v>
      </c>
      <c r="D194" s="19" t="s">
        <v>1128</v>
      </c>
      <c r="E194" s="16" t="str">
        <f>IFERROR(__xludf.DUMMYFUNCTION("filter('INVOICE CODES'!B:B,'INVOICE CODES'!D:D=C194,'INVOICE CODES'!E:E=D194)"),"MC-D400-Red")</f>
        <v>MC-D400-Red</v>
      </c>
      <c r="F194" s="19" t="s">
        <v>2444</v>
      </c>
      <c r="G194" s="61" t="s">
        <v>2446</v>
      </c>
      <c r="H194" s="62">
        <v>45635.0</v>
      </c>
      <c r="I194" s="63" t="s">
        <v>2448</v>
      </c>
      <c r="J194" s="64" t="s">
        <v>1880</v>
      </c>
      <c r="K194" s="27" t="s">
        <v>2449</v>
      </c>
      <c r="L194" s="65"/>
      <c r="M194" s="65"/>
      <c r="N194" s="65"/>
      <c r="O194" s="65"/>
      <c r="P194" s="65"/>
      <c r="Q194" s="65"/>
      <c r="R194" s="65"/>
      <c r="S194" s="60" t="s">
        <v>1237</v>
      </c>
    </row>
    <row r="195" hidden="1">
      <c r="A195" s="16" t="s">
        <v>1870</v>
      </c>
      <c r="B195" s="19" t="s">
        <v>50</v>
      </c>
      <c r="C195" s="19" t="s">
        <v>616</v>
      </c>
      <c r="D195" s="19" t="s">
        <v>1128</v>
      </c>
      <c r="E195" s="16" t="str">
        <f>IFERROR(__xludf.DUMMYFUNCTION("filter('INVOICE CODES'!B:B,'INVOICE CODES'!D:D=C195,'INVOICE CODES'!E:E=D195)"),"MC-D400-Red")</f>
        <v>MC-D400-Red</v>
      </c>
      <c r="F195" s="19" t="s">
        <v>2456</v>
      </c>
      <c r="G195" s="61" t="s">
        <v>2457</v>
      </c>
      <c r="H195" s="62">
        <v>45635.0</v>
      </c>
      <c r="I195" s="63" t="s">
        <v>2459</v>
      </c>
      <c r="J195" s="64" t="s">
        <v>1880</v>
      </c>
      <c r="K195" s="27" t="s">
        <v>2462</v>
      </c>
      <c r="L195" s="65"/>
      <c r="M195" s="65"/>
      <c r="N195" s="65"/>
      <c r="O195" s="65"/>
      <c r="P195" s="65"/>
      <c r="Q195" s="65"/>
      <c r="R195" s="65"/>
      <c r="S195" s="60" t="s">
        <v>1237</v>
      </c>
    </row>
    <row r="196" hidden="1">
      <c r="A196" s="16" t="s">
        <v>1870</v>
      </c>
      <c r="B196" s="19" t="s">
        <v>50</v>
      </c>
      <c r="C196" s="19" t="s">
        <v>616</v>
      </c>
      <c r="D196" s="19" t="s">
        <v>1128</v>
      </c>
      <c r="E196" s="16" t="str">
        <f>IFERROR(__xludf.DUMMYFUNCTION("filter('INVOICE CODES'!B:B,'INVOICE CODES'!D:D=C196,'INVOICE CODES'!E:E=D196)"),"MC-D400-Red")</f>
        <v>MC-D400-Red</v>
      </c>
      <c r="F196" s="19" t="s">
        <v>2469</v>
      </c>
      <c r="G196" s="61" t="s">
        <v>2470</v>
      </c>
      <c r="H196" s="62">
        <v>45635.0</v>
      </c>
      <c r="I196" s="63" t="s">
        <v>2472</v>
      </c>
      <c r="J196" s="64" t="s">
        <v>1880</v>
      </c>
      <c r="K196" s="27" t="s">
        <v>2475</v>
      </c>
      <c r="L196" s="65"/>
      <c r="M196" s="65"/>
      <c r="N196" s="65"/>
      <c r="O196" s="65"/>
      <c r="P196" s="65"/>
      <c r="Q196" s="65"/>
      <c r="R196" s="65"/>
      <c r="S196" s="30"/>
    </row>
    <row r="197" hidden="1">
      <c r="A197" s="16" t="s">
        <v>1870</v>
      </c>
      <c r="B197" s="19" t="s">
        <v>50</v>
      </c>
      <c r="C197" s="19" t="s">
        <v>616</v>
      </c>
      <c r="D197" s="19" t="s">
        <v>1128</v>
      </c>
      <c r="E197" s="16" t="str">
        <f>IFERROR(__xludf.DUMMYFUNCTION("filter('INVOICE CODES'!B:B,'INVOICE CODES'!D:D=C197,'INVOICE CODES'!E:E=D197)"),"MC-D400-Red")</f>
        <v>MC-D400-Red</v>
      </c>
      <c r="F197" s="19" t="s">
        <v>2482</v>
      </c>
      <c r="G197" s="61" t="s">
        <v>2483</v>
      </c>
      <c r="H197" s="62">
        <v>45635.0</v>
      </c>
      <c r="I197" s="63" t="s">
        <v>2484</v>
      </c>
      <c r="J197" s="64" t="s">
        <v>1880</v>
      </c>
      <c r="K197" s="27" t="s">
        <v>2488</v>
      </c>
      <c r="L197" s="65"/>
      <c r="M197" s="65"/>
      <c r="N197" s="65"/>
      <c r="O197" s="65"/>
      <c r="P197" s="65"/>
      <c r="Q197" s="65"/>
      <c r="R197" s="65"/>
      <c r="S197" s="60" t="s">
        <v>1237</v>
      </c>
    </row>
    <row r="198" hidden="1">
      <c r="A198" s="16" t="s">
        <v>1870</v>
      </c>
      <c r="B198" s="19" t="s">
        <v>50</v>
      </c>
      <c r="C198" s="19" t="s">
        <v>616</v>
      </c>
      <c r="D198" s="19" t="s">
        <v>1128</v>
      </c>
      <c r="E198" s="16" t="str">
        <f>IFERROR(__xludf.DUMMYFUNCTION("filter('INVOICE CODES'!B:B,'INVOICE CODES'!D:D=C198,'INVOICE CODES'!E:E=D198)"),"MC-D400-Red")</f>
        <v>MC-D400-Red</v>
      </c>
      <c r="F198" s="19" t="s">
        <v>2495</v>
      </c>
      <c r="G198" s="61" t="s">
        <v>2496</v>
      </c>
      <c r="H198" s="62">
        <v>45635.0</v>
      </c>
      <c r="I198" s="63" t="s">
        <v>2497</v>
      </c>
      <c r="J198" s="64" t="s">
        <v>1880</v>
      </c>
      <c r="K198" s="27" t="s">
        <v>2498</v>
      </c>
      <c r="L198" s="65"/>
      <c r="M198" s="65"/>
      <c r="N198" s="65"/>
      <c r="O198" s="65"/>
      <c r="P198" s="65"/>
      <c r="Q198" s="65"/>
      <c r="R198" s="65"/>
      <c r="S198" s="60" t="s">
        <v>1237</v>
      </c>
    </row>
    <row r="199" hidden="1">
      <c r="A199" s="16" t="s">
        <v>1870</v>
      </c>
      <c r="B199" s="19" t="s">
        <v>50</v>
      </c>
      <c r="C199" s="19" t="s">
        <v>616</v>
      </c>
      <c r="D199" s="19" t="s">
        <v>1128</v>
      </c>
      <c r="E199" s="16" t="str">
        <f>IFERROR(__xludf.DUMMYFUNCTION("filter('INVOICE CODES'!B:B,'INVOICE CODES'!D:D=C199,'INVOICE CODES'!E:E=D199)"),"MC-D400-Red")</f>
        <v>MC-D400-Red</v>
      </c>
      <c r="F199" s="19" t="s">
        <v>2505</v>
      </c>
      <c r="G199" s="61" t="s">
        <v>2506</v>
      </c>
      <c r="H199" s="62">
        <v>45635.0</v>
      </c>
      <c r="I199" s="63" t="s">
        <v>2509</v>
      </c>
      <c r="J199" s="64" t="s">
        <v>1880</v>
      </c>
      <c r="K199" s="27" t="s">
        <v>2511</v>
      </c>
      <c r="L199" s="28" t="s">
        <v>64</v>
      </c>
      <c r="M199" s="28" t="s">
        <v>67</v>
      </c>
      <c r="N199" s="28" t="s">
        <v>2514</v>
      </c>
      <c r="O199" s="12">
        <v>10961.0</v>
      </c>
      <c r="P199" s="65"/>
      <c r="Q199" s="12" t="s">
        <v>2516</v>
      </c>
      <c r="R199" s="65"/>
      <c r="S199" s="30"/>
    </row>
    <row r="200" hidden="1">
      <c r="A200" s="16" t="s">
        <v>1870</v>
      </c>
      <c r="B200" s="19" t="s">
        <v>50</v>
      </c>
      <c r="C200" s="19" t="s">
        <v>616</v>
      </c>
      <c r="D200" s="19" t="s">
        <v>1128</v>
      </c>
      <c r="E200" s="16" t="str">
        <f>IFERROR(__xludf.DUMMYFUNCTION("filter('INVOICE CODES'!B:B,'INVOICE CODES'!D:D=C200,'INVOICE CODES'!E:E=D200)"),"MC-D400-Red")</f>
        <v>MC-D400-Red</v>
      </c>
      <c r="F200" s="19" t="s">
        <v>2523</v>
      </c>
      <c r="G200" s="61" t="s">
        <v>2524</v>
      </c>
      <c r="H200" s="62">
        <v>45635.0</v>
      </c>
      <c r="I200" s="63" t="s">
        <v>2525</v>
      </c>
      <c r="J200" s="64" t="s">
        <v>1880</v>
      </c>
      <c r="K200" s="27" t="s">
        <v>2527</v>
      </c>
      <c r="L200" s="65"/>
      <c r="M200" s="65"/>
      <c r="N200" s="65"/>
      <c r="O200" s="65"/>
      <c r="P200" s="65"/>
      <c r="Q200" s="65"/>
      <c r="R200" s="65"/>
      <c r="S200" s="30" t="s">
        <v>1523</v>
      </c>
    </row>
    <row r="201" hidden="1">
      <c r="A201" s="16" t="s">
        <v>1870</v>
      </c>
      <c r="B201" s="19" t="s">
        <v>50</v>
      </c>
      <c r="C201" s="19" t="s">
        <v>616</v>
      </c>
      <c r="D201" s="19" t="s">
        <v>1128</v>
      </c>
      <c r="E201" s="16" t="str">
        <f>IFERROR(__xludf.DUMMYFUNCTION("filter('INVOICE CODES'!B:B,'INVOICE CODES'!D:D=C201,'INVOICE CODES'!E:E=D201)"),"MC-D400-Red")</f>
        <v>MC-D400-Red</v>
      </c>
      <c r="F201" s="19" t="s">
        <v>2536</v>
      </c>
      <c r="G201" s="61" t="s">
        <v>2537</v>
      </c>
      <c r="H201" s="62">
        <v>45635.0</v>
      </c>
      <c r="I201" s="63" t="s">
        <v>2538</v>
      </c>
      <c r="J201" s="64" t="s">
        <v>1880</v>
      </c>
      <c r="K201" s="27" t="s">
        <v>2539</v>
      </c>
      <c r="L201" s="65"/>
      <c r="M201" s="65"/>
      <c r="N201" s="65"/>
      <c r="O201" s="65"/>
      <c r="P201" s="65"/>
      <c r="Q201" s="65"/>
      <c r="R201" s="65"/>
      <c r="S201" s="60" t="s">
        <v>1237</v>
      </c>
    </row>
    <row r="202" hidden="1">
      <c r="A202" s="16" t="s">
        <v>1870</v>
      </c>
      <c r="B202" s="19" t="s">
        <v>50</v>
      </c>
      <c r="C202" s="19" t="s">
        <v>616</v>
      </c>
      <c r="D202" s="19" t="s">
        <v>1128</v>
      </c>
      <c r="E202" s="16" t="str">
        <f>IFERROR(__xludf.DUMMYFUNCTION("filter('INVOICE CODES'!B:B,'INVOICE CODES'!D:D=C202,'INVOICE CODES'!E:E=D202)"),"MC-D400-Red")</f>
        <v>MC-D400-Red</v>
      </c>
      <c r="F202" s="19" t="s">
        <v>2545</v>
      </c>
      <c r="G202" s="61" t="s">
        <v>2547</v>
      </c>
      <c r="H202" s="62">
        <v>45635.0</v>
      </c>
      <c r="I202" s="63" t="s">
        <v>2548</v>
      </c>
      <c r="J202" s="64" t="s">
        <v>1880</v>
      </c>
      <c r="K202" s="27" t="s">
        <v>2549</v>
      </c>
      <c r="L202" s="65"/>
      <c r="M202" s="65"/>
      <c r="N202" s="65"/>
      <c r="O202" s="65"/>
      <c r="P202" s="65"/>
      <c r="Q202" s="65"/>
      <c r="R202" s="65"/>
      <c r="S202" s="30" t="s">
        <v>1523</v>
      </c>
    </row>
    <row r="203" hidden="1">
      <c r="A203" s="16" t="s">
        <v>1870</v>
      </c>
      <c r="B203" s="19" t="s">
        <v>50</v>
      </c>
      <c r="C203" s="19" t="s">
        <v>616</v>
      </c>
      <c r="D203" s="19" t="s">
        <v>1128</v>
      </c>
      <c r="E203" s="16" t="str">
        <f>IFERROR(__xludf.DUMMYFUNCTION("filter('INVOICE CODES'!B:B,'INVOICE CODES'!D:D=C203,'INVOICE CODES'!E:E=D203)"),"MC-D400-Red")</f>
        <v>MC-D400-Red</v>
      </c>
      <c r="F203" s="19" t="s">
        <v>2556</v>
      </c>
      <c r="G203" s="61" t="s">
        <v>2557</v>
      </c>
      <c r="H203" s="62">
        <v>45635.0</v>
      </c>
      <c r="I203" s="63" t="s">
        <v>2561</v>
      </c>
      <c r="J203" s="64" t="s">
        <v>1880</v>
      </c>
      <c r="K203" s="27" t="s">
        <v>2562</v>
      </c>
      <c r="L203" s="65"/>
      <c r="M203" s="65"/>
      <c r="N203" s="65"/>
      <c r="O203" s="65"/>
      <c r="P203" s="65"/>
      <c r="Q203" s="65"/>
      <c r="R203" s="65"/>
      <c r="S203" s="60" t="s">
        <v>1237</v>
      </c>
    </row>
    <row r="204" hidden="1">
      <c r="A204" s="16" t="s">
        <v>1870</v>
      </c>
      <c r="B204" s="19" t="s">
        <v>50</v>
      </c>
      <c r="C204" s="19" t="s">
        <v>616</v>
      </c>
      <c r="D204" s="19" t="s">
        <v>1128</v>
      </c>
      <c r="E204" s="16" t="str">
        <f>IFERROR(__xludf.DUMMYFUNCTION("filter('INVOICE CODES'!B:B,'INVOICE CODES'!D:D=C204,'INVOICE CODES'!E:E=D204)"),"MC-D400-Red")</f>
        <v>MC-D400-Red</v>
      </c>
      <c r="F204" s="19" t="s">
        <v>2568</v>
      </c>
      <c r="G204" s="61" t="s">
        <v>2570</v>
      </c>
      <c r="H204" s="62">
        <v>45635.0</v>
      </c>
      <c r="I204" s="63" t="s">
        <v>2571</v>
      </c>
      <c r="J204" s="64" t="s">
        <v>1880</v>
      </c>
      <c r="K204" s="27" t="s">
        <v>2572</v>
      </c>
      <c r="L204" s="65"/>
      <c r="M204" s="65"/>
      <c r="N204" s="65"/>
      <c r="O204" s="65"/>
      <c r="P204" s="65"/>
      <c r="Q204" s="65"/>
      <c r="R204" s="65"/>
      <c r="S204" s="30"/>
    </row>
    <row r="205" hidden="1">
      <c r="A205" s="16" t="s">
        <v>1870</v>
      </c>
      <c r="B205" s="19" t="s">
        <v>50</v>
      </c>
      <c r="C205" s="19" t="s">
        <v>616</v>
      </c>
      <c r="D205" s="19" t="s">
        <v>1128</v>
      </c>
      <c r="E205" s="16" t="str">
        <f>IFERROR(__xludf.DUMMYFUNCTION("filter('INVOICE CODES'!B:B,'INVOICE CODES'!D:D=C205,'INVOICE CODES'!E:E=D205)"),"MC-D400-Red")</f>
        <v>MC-D400-Red</v>
      </c>
      <c r="F205" s="19" t="s">
        <v>2579</v>
      </c>
      <c r="G205" s="61" t="s">
        <v>2580</v>
      </c>
      <c r="H205" s="62">
        <v>45635.0</v>
      </c>
      <c r="I205" s="63" t="s">
        <v>2583</v>
      </c>
      <c r="J205" s="64" t="s">
        <v>1880</v>
      </c>
      <c r="K205" s="27" t="s">
        <v>2585</v>
      </c>
      <c r="L205" s="28" t="s">
        <v>64</v>
      </c>
      <c r="M205" s="28" t="s">
        <v>67</v>
      </c>
      <c r="N205" s="28" t="s">
        <v>2586</v>
      </c>
      <c r="O205" s="12">
        <v>11045.0</v>
      </c>
      <c r="P205" s="65"/>
      <c r="Q205" s="12" t="s">
        <v>2587</v>
      </c>
      <c r="R205" s="65"/>
      <c r="S205" s="30"/>
    </row>
    <row r="206" hidden="1">
      <c r="A206" s="16" t="s">
        <v>1870</v>
      </c>
      <c r="B206" s="19" t="s">
        <v>50</v>
      </c>
      <c r="C206" s="19" t="s">
        <v>616</v>
      </c>
      <c r="D206" s="19" t="s">
        <v>1512</v>
      </c>
      <c r="E206" s="16" t="str">
        <f>IFERROR(__xludf.DUMMYFUNCTION("filter('INVOICE CODES'!B:B,'INVOICE CODES'!D:D=C206,'INVOICE CODES'!E:E=D206)"),"MC-D400-Blue")</f>
        <v>MC-D400-Blue</v>
      </c>
      <c r="F206" s="19" t="s">
        <v>2591</v>
      </c>
      <c r="G206" s="61" t="s">
        <v>2592</v>
      </c>
      <c r="H206" s="62">
        <v>45635.0</v>
      </c>
      <c r="I206" s="66" t="s">
        <v>2593</v>
      </c>
      <c r="J206" s="64" t="s">
        <v>1880</v>
      </c>
      <c r="K206" s="27" t="s">
        <v>2596</v>
      </c>
      <c r="L206" s="65"/>
      <c r="M206" s="65"/>
      <c r="N206" s="65"/>
      <c r="O206" s="65"/>
      <c r="P206" s="65"/>
      <c r="Q206" s="65"/>
      <c r="R206" s="65"/>
      <c r="S206" s="30" t="s">
        <v>1523</v>
      </c>
    </row>
    <row r="207" hidden="1">
      <c r="A207" s="16" t="s">
        <v>1870</v>
      </c>
      <c r="B207" s="19" t="s">
        <v>50</v>
      </c>
      <c r="C207" s="19" t="s">
        <v>616</v>
      </c>
      <c r="D207" s="19" t="s">
        <v>1512</v>
      </c>
      <c r="E207" s="16" t="str">
        <f>IFERROR(__xludf.DUMMYFUNCTION("filter('INVOICE CODES'!B:B,'INVOICE CODES'!D:D=C207,'INVOICE CODES'!E:E=D207)"),"MC-D400-Blue")</f>
        <v>MC-D400-Blue</v>
      </c>
      <c r="F207" s="19" t="s">
        <v>2603</v>
      </c>
      <c r="G207" s="61" t="s">
        <v>2605</v>
      </c>
      <c r="H207" s="62">
        <v>45635.0</v>
      </c>
      <c r="I207" s="66" t="s">
        <v>2606</v>
      </c>
      <c r="J207" s="64" t="s">
        <v>1880</v>
      </c>
      <c r="K207" s="27" t="s">
        <v>2607</v>
      </c>
      <c r="L207" s="28" t="s">
        <v>670</v>
      </c>
      <c r="M207" s="28">
        <v>9.1000008754467E13</v>
      </c>
      <c r="N207" s="28" t="s">
        <v>2611</v>
      </c>
      <c r="O207" s="12">
        <v>9.0</v>
      </c>
      <c r="P207" s="65"/>
      <c r="Q207" s="12" t="s">
        <v>67</v>
      </c>
      <c r="R207" s="65"/>
      <c r="S207" s="30"/>
    </row>
    <row r="208" hidden="1">
      <c r="A208" s="16" t="s">
        <v>1870</v>
      </c>
      <c r="B208" s="19" t="s">
        <v>50</v>
      </c>
      <c r="C208" s="19" t="s">
        <v>616</v>
      </c>
      <c r="D208" s="19" t="s">
        <v>1512</v>
      </c>
      <c r="E208" s="16" t="str">
        <f>IFERROR(__xludf.DUMMYFUNCTION("filter('INVOICE CODES'!B:B,'INVOICE CODES'!D:D=C208,'INVOICE CODES'!E:E=D208)"),"MC-D400-Blue")</f>
        <v>MC-D400-Blue</v>
      </c>
      <c r="F208" s="19" t="s">
        <v>2617</v>
      </c>
      <c r="G208" s="61" t="s">
        <v>2619</v>
      </c>
      <c r="H208" s="62">
        <v>45635.0</v>
      </c>
      <c r="I208" s="66" t="s">
        <v>2620</v>
      </c>
      <c r="J208" s="64" t="s">
        <v>1880</v>
      </c>
      <c r="K208" s="27" t="s">
        <v>2621</v>
      </c>
      <c r="L208" s="28" t="s">
        <v>670</v>
      </c>
      <c r="M208" s="58">
        <v>9.1000008742178E13</v>
      </c>
      <c r="N208" s="58" t="s">
        <v>2622</v>
      </c>
      <c r="O208" s="46">
        <v>8.0</v>
      </c>
      <c r="P208" s="65"/>
      <c r="Q208" s="12" t="s">
        <v>67</v>
      </c>
      <c r="R208" s="65"/>
      <c r="S208" s="30"/>
    </row>
    <row r="209" hidden="1">
      <c r="A209" s="16" t="s">
        <v>1870</v>
      </c>
      <c r="B209" s="19" t="s">
        <v>50</v>
      </c>
      <c r="C209" s="19" t="s">
        <v>616</v>
      </c>
      <c r="D209" s="19" t="s">
        <v>1512</v>
      </c>
      <c r="E209" s="16" t="str">
        <f>IFERROR(__xludf.DUMMYFUNCTION("filter('INVOICE CODES'!B:B,'INVOICE CODES'!D:D=C209,'INVOICE CODES'!E:E=D209)"),"MC-D400-Blue")</f>
        <v>MC-D400-Blue</v>
      </c>
      <c r="F209" s="19" t="s">
        <v>2629</v>
      </c>
      <c r="G209" s="61" t="s">
        <v>2631</v>
      </c>
      <c r="H209" s="62">
        <v>45635.0</v>
      </c>
      <c r="I209" s="66" t="s">
        <v>2634</v>
      </c>
      <c r="J209" s="64" t="s">
        <v>1880</v>
      </c>
      <c r="K209" s="27" t="s">
        <v>2635</v>
      </c>
      <c r="L209" s="28" t="s">
        <v>670</v>
      </c>
      <c r="M209" s="28">
        <v>9.1000008755851E13</v>
      </c>
      <c r="N209" s="28" t="s">
        <v>2638</v>
      </c>
      <c r="O209" s="12">
        <v>22.0</v>
      </c>
      <c r="P209" s="65"/>
      <c r="Q209" s="12" t="s">
        <v>67</v>
      </c>
      <c r="R209" s="65"/>
      <c r="S209" s="30"/>
    </row>
    <row r="210" hidden="1">
      <c r="A210" s="16" t="s">
        <v>1870</v>
      </c>
      <c r="B210" s="19" t="s">
        <v>50</v>
      </c>
      <c r="C210" s="19" t="s">
        <v>616</v>
      </c>
      <c r="D210" s="19" t="s">
        <v>1512</v>
      </c>
      <c r="E210" s="16" t="str">
        <f>IFERROR(__xludf.DUMMYFUNCTION("filter('INVOICE CODES'!B:B,'INVOICE CODES'!D:D=C210,'INVOICE CODES'!E:E=D210)"),"MC-D400-Blue")</f>
        <v>MC-D400-Blue</v>
      </c>
      <c r="F210" s="19" t="s">
        <v>2643</v>
      </c>
      <c r="G210" s="61" t="s">
        <v>2645</v>
      </c>
      <c r="H210" s="62">
        <v>45635.0</v>
      </c>
      <c r="I210" s="66" t="s">
        <v>2648</v>
      </c>
      <c r="J210" s="64" t="s">
        <v>1880</v>
      </c>
      <c r="K210" s="27" t="s">
        <v>2649</v>
      </c>
      <c r="L210" s="65"/>
      <c r="M210" s="65"/>
      <c r="N210" s="65"/>
      <c r="O210" s="65"/>
      <c r="P210" s="65"/>
      <c r="Q210" s="65"/>
      <c r="R210" s="65"/>
      <c r="S210" s="30"/>
    </row>
    <row r="211" hidden="1">
      <c r="A211" s="16" t="s">
        <v>1870</v>
      </c>
      <c r="B211" s="19" t="s">
        <v>50</v>
      </c>
      <c r="C211" s="19" t="s">
        <v>616</v>
      </c>
      <c r="D211" s="19" t="s">
        <v>1512</v>
      </c>
      <c r="E211" s="16" t="str">
        <f>IFERROR(__xludf.DUMMYFUNCTION("filter('INVOICE CODES'!B:B,'INVOICE CODES'!D:D=C211,'INVOICE CODES'!E:E=D211)"),"MC-D400-Blue")</f>
        <v>MC-D400-Blue</v>
      </c>
      <c r="F211" s="19" t="s">
        <v>2653</v>
      </c>
      <c r="G211" s="61" t="s">
        <v>2654</v>
      </c>
      <c r="H211" s="62">
        <v>45635.0</v>
      </c>
      <c r="I211" s="66" t="s">
        <v>2655</v>
      </c>
      <c r="J211" s="64" t="s">
        <v>1880</v>
      </c>
      <c r="K211" s="27" t="s">
        <v>2656</v>
      </c>
      <c r="L211" s="28" t="s">
        <v>670</v>
      </c>
      <c r="M211" s="28">
        <v>9.1000008754465E13</v>
      </c>
      <c r="N211" s="28" t="s">
        <v>2658</v>
      </c>
      <c r="O211" s="12">
        <v>10.0</v>
      </c>
      <c r="P211" s="65"/>
      <c r="Q211" s="12" t="s">
        <v>67</v>
      </c>
      <c r="R211" s="65"/>
      <c r="S211" s="30"/>
    </row>
    <row r="212" hidden="1">
      <c r="A212" s="16" t="s">
        <v>1870</v>
      </c>
      <c r="B212" s="19" t="s">
        <v>50</v>
      </c>
      <c r="C212" s="19" t="s">
        <v>616</v>
      </c>
      <c r="D212" s="19" t="s">
        <v>1512</v>
      </c>
      <c r="E212" s="16" t="str">
        <f>IFERROR(__xludf.DUMMYFUNCTION("filter('INVOICE CODES'!B:B,'INVOICE CODES'!D:D=C212,'INVOICE CODES'!E:E=D212)"),"MC-D400-Blue")</f>
        <v>MC-D400-Blue</v>
      </c>
      <c r="F212" s="19" t="s">
        <v>2663</v>
      </c>
      <c r="G212" s="61" t="s">
        <v>2665</v>
      </c>
      <c r="H212" s="62">
        <v>45635.0</v>
      </c>
      <c r="I212" s="66" t="s">
        <v>2666</v>
      </c>
      <c r="J212" s="64" t="s">
        <v>1880</v>
      </c>
      <c r="K212" s="27" t="s">
        <v>2667</v>
      </c>
      <c r="L212" s="28" t="s">
        <v>64</v>
      </c>
      <c r="M212" s="28" t="s">
        <v>67</v>
      </c>
      <c r="N212" s="28" t="s">
        <v>2668</v>
      </c>
      <c r="O212" s="12">
        <v>11038.0</v>
      </c>
      <c r="P212" s="65"/>
      <c r="Q212" s="12" t="s">
        <v>2669</v>
      </c>
      <c r="R212" s="65"/>
      <c r="S212" s="30"/>
    </row>
    <row r="213" hidden="1">
      <c r="A213" s="16" t="s">
        <v>1870</v>
      </c>
      <c r="B213" s="19" t="s">
        <v>50</v>
      </c>
      <c r="C213" s="19" t="s">
        <v>616</v>
      </c>
      <c r="D213" s="19" t="s">
        <v>1512</v>
      </c>
      <c r="E213" s="16" t="str">
        <f>IFERROR(__xludf.DUMMYFUNCTION("filter('INVOICE CODES'!B:B,'INVOICE CODES'!D:D=C213,'INVOICE CODES'!E:E=D213)"),"MC-D400-Blue")</f>
        <v>MC-D400-Blue</v>
      </c>
      <c r="F213" s="19" t="s">
        <v>2673</v>
      </c>
      <c r="G213" s="61" t="s">
        <v>2674</v>
      </c>
      <c r="H213" s="62">
        <v>45635.0</v>
      </c>
      <c r="I213" s="66" t="s">
        <v>2677</v>
      </c>
      <c r="J213" s="64" t="s">
        <v>1880</v>
      </c>
      <c r="K213" s="27" t="s">
        <v>2679</v>
      </c>
      <c r="L213" s="28" t="s">
        <v>670</v>
      </c>
      <c r="M213" s="28">
        <v>9.1000008729994E13</v>
      </c>
      <c r="N213" s="28" t="s">
        <v>2680</v>
      </c>
      <c r="O213" s="12" t="s">
        <v>67</v>
      </c>
      <c r="P213" s="65"/>
      <c r="Q213" s="12" t="s">
        <v>67</v>
      </c>
      <c r="R213" s="65"/>
      <c r="S213" s="30"/>
    </row>
    <row r="214" hidden="1">
      <c r="A214" s="16" t="s">
        <v>1870</v>
      </c>
      <c r="B214" s="19" t="s">
        <v>50</v>
      </c>
      <c r="C214" s="19" t="s">
        <v>616</v>
      </c>
      <c r="D214" s="19" t="s">
        <v>1512</v>
      </c>
      <c r="E214" s="16" t="str">
        <f>IFERROR(__xludf.DUMMYFUNCTION("filter('INVOICE CODES'!B:B,'INVOICE CODES'!D:D=C214,'INVOICE CODES'!E:E=D214)"),"MC-D400-Blue")</f>
        <v>MC-D400-Blue</v>
      </c>
      <c r="F214" s="19" t="s">
        <v>2686</v>
      </c>
      <c r="G214" s="61" t="s">
        <v>2688</v>
      </c>
      <c r="H214" s="62">
        <v>45635.0</v>
      </c>
      <c r="I214" s="66" t="s">
        <v>2689</v>
      </c>
      <c r="J214" s="64" t="s">
        <v>1880</v>
      </c>
      <c r="K214" s="27" t="s">
        <v>2690</v>
      </c>
      <c r="L214" s="65"/>
      <c r="M214" s="65"/>
      <c r="N214" s="65"/>
      <c r="O214" s="65"/>
      <c r="P214" s="65"/>
      <c r="Q214" s="65"/>
      <c r="R214" s="65"/>
      <c r="S214" s="60" t="s">
        <v>1237</v>
      </c>
    </row>
    <row r="215" hidden="1">
      <c r="A215" s="16" t="s">
        <v>1870</v>
      </c>
      <c r="B215" s="19" t="s">
        <v>50</v>
      </c>
      <c r="C215" s="19" t="s">
        <v>616</v>
      </c>
      <c r="D215" s="19" t="s">
        <v>1512</v>
      </c>
      <c r="E215" s="16" t="str">
        <f>IFERROR(__xludf.DUMMYFUNCTION("filter('INVOICE CODES'!B:B,'INVOICE CODES'!D:D=C215,'INVOICE CODES'!E:E=D215)"),"MC-D400-Blue")</f>
        <v>MC-D400-Blue</v>
      </c>
      <c r="F215" s="19" t="s">
        <v>2694</v>
      </c>
      <c r="G215" s="61" t="s">
        <v>2695</v>
      </c>
      <c r="H215" s="62">
        <v>45635.0</v>
      </c>
      <c r="I215" s="66" t="s">
        <v>2696</v>
      </c>
      <c r="J215" s="64" t="s">
        <v>1880</v>
      </c>
      <c r="K215" s="27" t="s">
        <v>2699</v>
      </c>
      <c r="L215" s="65"/>
      <c r="M215" s="65"/>
      <c r="N215" s="65"/>
      <c r="O215" s="65"/>
      <c r="P215" s="65"/>
      <c r="Q215" s="65"/>
      <c r="R215" s="65"/>
      <c r="S215" s="30" t="s">
        <v>1523</v>
      </c>
    </row>
    <row r="216" hidden="1">
      <c r="A216" s="16" t="s">
        <v>1870</v>
      </c>
      <c r="B216" s="19" t="s">
        <v>50</v>
      </c>
      <c r="C216" s="19" t="s">
        <v>616</v>
      </c>
      <c r="D216" s="19" t="s">
        <v>1512</v>
      </c>
      <c r="E216" s="16" t="str">
        <f>IFERROR(__xludf.DUMMYFUNCTION("filter('INVOICE CODES'!B:B,'INVOICE CODES'!D:D=C216,'INVOICE CODES'!E:E=D216)"),"MC-D400-Blue")</f>
        <v>MC-D400-Blue</v>
      </c>
      <c r="F216" s="19" t="s">
        <v>2704</v>
      </c>
      <c r="G216" s="61" t="s">
        <v>2705</v>
      </c>
      <c r="H216" s="62">
        <v>45635.0</v>
      </c>
      <c r="I216" s="66" t="s">
        <v>2706</v>
      </c>
      <c r="J216" s="64" t="s">
        <v>1880</v>
      </c>
      <c r="K216" s="27" t="s">
        <v>2707</v>
      </c>
      <c r="L216" s="65"/>
      <c r="M216" s="65"/>
      <c r="N216" s="65"/>
      <c r="O216" s="65"/>
      <c r="P216" s="65"/>
      <c r="Q216" s="65"/>
      <c r="R216" s="65"/>
      <c r="S216" s="60" t="s">
        <v>1237</v>
      </c>
    </row>
    <row r="217" hidden="1">
      <c r="A217" s="16" t="s">
        <v>1870</v>
      </c>
      <c r="B217" s="19" t="s">
        <v>50</v>
      </c>
      <c r="C217" s="19" t="s">
        <v>616</v>
      </c>
      <c r="D217" s="19" t="s">
        <v>1512</v>
      </c>
      <c r="E217" s="16" t="str">
        <f>IFERROR(__xludf.DUMMYFUNCTION("filter('INVOICE CODES'!B:B,'INVOICE CODES'!D:D=C217,'INVOICE CODES'!E:E=D217)"),"MC-D400-Blue")</f>
        <v>MC-D400-Blue</v>
      </c>
      <c r="F217" s="19" t="s">
        <v>2712</v>
      </c>
      <c r="G217" s="61" t="s">
        <v>2713</v>
      </c>
      <c r="H217" s="62">
        <v>45635.0</v>
      </c>
      <c r="I217" s="66" t="s">
        <v>2715</v>
      </c>
      <c r="J217" s="64" t="s">
        <v>1880</v>
      </c>
      <c r="K217" s="27" t="s">
        <v>2716</v>
      </c>
      <c r="L217" s="65"/>
      <c r="M217" s="65"/>
      <c r="N217" s="65"/>
      <c r="O217" s="65"/>
      <c r="P217" s="65"/>
      <c r="Q217" s="65"/>
      <c r="R217" s="65"/>
      <c r="S217" s="30"/>
    </row>
    <row r="218" hidden="1">
      <c r="A218" s="16" t="s">
        <v>1870</v>
      </c>
      <c r="B218" s="19" t="s">
        <v>50</v>
      </c>
      <c r="C218" s="19" t="s">
        <v>616</v>
      </c>
      <c r="D218" s="19" t="s">
        <v>1512</v>
      </c>
      <c r="E218" s="16" t="str">
        <f>IFERROR(__xludf.DUMMYFUNCTION("filter('INVOICE CODES'!B:B,'INVOICE CODES'!D:D=C218,'INVOICE CODES'!E:E=D218)"),"MC-D400-Blue")</f>
        <v>MC-D400-Blue</v>
      </c>
      <c r="F218" s="19" t="s">
        <v>2721</v>
      </c>
      <c r="G218" s="61" t="s">
        <v>2722</v>
      </c>
      <c r="H218" s="62">
        <v>45635.0</v>
      </c>
      <c r="I218" s="66" t="s">
        <v>2723</v>
      </c>
      <c r="J218" s="64" t="s">
        <v>1880</v>
      </c>
      <c r="K218" s="27" t="s">
        <v>2724</v>
      </c>
      <c r="L218" s="65"/>
      <c r="M218" s="65"/>
      <c r="N218" s="65"/>
      <c r="O218" s="65"/>
      <c r="P218" s="65"/>
      <c r="Q218" s="65"/>
      <c r="R218" s="65"/>
      <c r="S218" s="60" t="s">
        <v>1237</v>
      </c>
    </row>
    <row r="219" hidden="1">
      <c r="A219" s="16" t="s">
        <v>1870</v>
      </c>
      <c r="B219" s="19" t="s">
        <v>50</v>
      </c>
      <c r="C219" s="19" t="s">
        <v>616</v>
      </c>
      <c r="D219" s="19" t="s">
        <v>1512</v>
      </c>
      <c r="E219" s="16" t="str">
        <f>IFERROR(__xludf.DUMMYFUNCTION("filter('INVOICE CODES'!B:B,'INVOICE CODES'!D:D=C219,'INVOICE CODES'!E:E=D219)"),"MC-D400-Blue")</f>
        <v>MC-D400-Blue</v>
      </c>
      <c r="F219" s="19" t="s">
        <v>2728</v>
      </c>
      <c r="G219" s="61" t="s">
        <v>2730</v>
      </c>
      <c r="H219" s="62">
        <v>45635.0</v>
      </c>
      <c r="I219" s="66" t="s">
        <v>2733</v>
      </c>
      <c r="J219" s="64" t="s">
        <v>1880</v>
      </c>
      <c r="K219" s="27" t="s">
        <v>2734</v>
      </c>
      <c r="L219" s="65"/>
      <c r="M219" s="65"/>
      <c r="N219" s="65"/>
      <c r="O219" s="65"/>
      <c r="P219" s="65"/>
      <c r="Q219" s="65"/>
      <c r="R219" s="65"/>
      <c r="S219" s="60" t="s">
        <v>1237</v>
      </c>
    </row>
    <row r="220" hidden="1">
      <c r="A220" s="16" t="s">
        <v>1870</v>
      </c>
      <c r="B220" s="19" t="s">
        <v>50</v>
      </c>
      <c r="C220" s="19" t="s">
        <v>616</v>
      </c>
      <c r="D220" s="19" t="s">
        <v>1512</v>
      </c>
      <c r="E220" s="16" t="str">
        <f>IFERROR(__xludf.DUMMYFUNCTION("filter('INVOICE CODES'!B:B,'INVOICE CODES'!D:D=C220,'INVOICE CODES'!E:E=D220)"),"MC-D400-Blue")</f>
        <v>MC-D400-Blue</v>
      </c>
      <c r="F220" s="19" t="s">
        <v>2737</v>
      </c>
      <c r="G220" s="61" t="s">
        <v>2739</v>
      </c>
      <c r="H220" s="62">
        <v>45635.0</v>
      </c>
      <c r="I220" s="66" t="s">
        <v>2740</v>
      </c>
      <c r="J220" s="64" t="s">
        <v>1880</v>
      </c>
      <c r="K220" s="27" t="s">
        <v>2741</v>
      </c>
      <c r="L220" s="65"/>
      <c r="M220" s="65"/>
      <c r="N220" s="65"/>
      <c r="O220" s="65"/>
      <c r="P220" s="65"/>
      <c r="Q220" s="65"/>
      <c r="R220" s="65"/>
      <c r="S220" s="30" t="s">
        <v>1523</v>
      </c>
    </row>
    <row r="221" hidden="1">
      <c r="A221" s="16" t="s">
        <v>1870</v>
      </c>
      <c r="B221" s="19" t="s">
        <v>50</v>
      </c>
      <c r="C221" s="19" t="s">
        <v>616</v>
      </c>
      <c r="D221" s="19" t="s">
        <v>1512</v>
      </c>
      <c r="E221" s="16" t="str">
        <f>IFERROR(__xludf.DUMMYFUNCTION("filter('INVOICE CODES'!B:B,'INVOICE CODES'!D:D=C221,'INVOICE CODES'!E:E=D221)"),"MC-D400-Blue")</f>
        <v>MC-D400-Blue</v>
      </c>
      <c r="F221" s="19" t="s">
        <v>2745</v>
      </c>
      <c r="G221" s="61" t="s">
        <v>2746</v>
      </c>
      <c r="H221" s="62">
        <v>45635.0</v>
      </c>
      <c r="I221" s="66" t="s">
        <v>2748</v>
      </c>
      <c r="J221" s="64" t="s">
        <v>1880</v>
      </c>
      <c r="K221" s="27" t="s">
        <v>2751</v>
      </c>
      <c r="L221" s="65"/>
      <c r="M221" s="65"/>
      <c r="N221" s="65"/>
      <c r="O221" s="65"/>
      <c r="P221" s="65"/>
      <c r="Q221" s="65"/>
      <c r="R221" s="65"/>
      <c r="S221" s="60" t="s">
        <v>1237</v>
      </c>
    </row>
    <row r="222" hidden="1">
      <c r="A222" s="16" t="s">
        <v>1870</v>
      </c>
      <c r="B222" s="19" t="s">
        <v>50</v>
      </c>
      <c r="C222" s="19" t="s">
        <v>616</v>
      </c>
      <c r="D222" s="19" t="s">
        <v>1512</v>
      </c>
      <c r="E222" s="16" t="str">
        <f>IFERROR(__xludf.DUMMYFUNCTION("filter('INVOICE CODES'!B:B,'INVOICE CODES'!D:D=C222,'INVOICE CODES'!E:E=D222)"),"MC-D400-Blue")</f>
        <v>MC-D400-Blue</v>
      </c>
      <c r="F222" s="19" t="s">
        <v>2755</v>
      </c>
      <c r="G222" s="61" t="s">
        <v>2756</v>
      </c>
      <c r="H222" s="62">
        <v>45635.0</v>
      </c>
      <c r="I222" s="66" t="s">
        <v>2757</v>
      </c>
      <c r="J222" s="64" t="s">
        <v>1880</v>
      </c>
      <c r="K222" s="27" t="s">
        <v>2758</v>
      </c>
      <c r="L222" s="65"/>
      <c r="M222" s="65"/>
      <c r="N222" s="65"/>
      <c r="O222" s="65"/>
      <c r="P222" s="65"/>
      <c r="Q222" s="65"/>
      <c r="R222" s="65"/>
      <c r="S222" s="30" t="s">
        <v>1523</v>
      </c>
    </row>
    <row r="223" hidden="1">
      <c r="A223" s="16" t="s">
        <v>1870</v>
      </c>
      <c r="B223" s="19" t="s">
        <v>50</v>
      </c>
      <c r="C223" s="19" t="s">
        <v>616</v>
      </c>
      <c r="D223" s="19" t="s">
        <v>1512</v>
      </c>
      <c r="E223" s="16" t="str">
        <f>IFERROR(__xludf.DUMMYFUNCTION("filter('INVOICE CODES'!B:B,'INVOICE CODES'!D:D=C223,'INVOICE CODES'!E:E=D223)"),"MC-D400-Blue")</f>
        <v>MC-D400-Blue</v>
      </c>
      <c r="F223" s="19" t="s">
        <v>2763</v>
      </c>
      <c r="G223" s="61" t="s">
        <v>2765</v>
      </c>
      <c r="H223" s="62">
        <v>45635.0</v>
      </c>
      <c r="I223" s="66" t="s">
        <v>2767</v>
      </c>
      <c r="J223" s="64" t="s">
        <v>1880</v>
      </c>
      <c r="K223" s="27" t="s">
        <v>2768</v>
      </c>
      <c r="L223" s="28" t="s">
        <v>670</v>
      </c>
      <c r="M223" s="58">
        <v>9.1000008767682E13</v>
      </c>
      <c r="N223" s="58" t="s">
        <v>2769</v>
      </c>
      <c r="O223" s="12">
        <v>31.0</v>
      </c>
      <c r="P223" s="65"/>
      <c r="Q223" s="12" t="s">
        <v>67</v>
      </c>
      <c r="R223" s="65"/>
      <c r="S223" s="30"/>
    </row>
    <row r="224" hidden="1">
      <c r="A224" s="16" t="s">
        <v>1870</v>
      </c>
      <c r="B224" s="19" t="s">
        <v>50</v>
      </c>
      <c r="C224" s="19" t="s">
        <v>616</v>
      </c>
      <c r="D224" s="19" t="s">
        <v>1512</v>
      </c>
      <c r="E224" s="16" t="str">
        <f>IFERROR(__xludf.DUMMYFUNCTION("filter('INVOICE CODES'!B:B,'INVOICE CODES'!D:D=C224,'INVOICE CODES'!E:E=D224)"),"MC-D400-Blue")</f>
        <v>MC-D400-Blue</v>
      </c>
      <c r="F224" s="19" t="s">
        <v>2773</v>
      </c>
      <c r="G224" s="61" t="s">
        <v>2774</v>
      </c>
      <c r="H224" s="62">
        <v>45635.0</v>
      </c>
      <c r="I224" s="66" t="s">
        <v>2775</v>
      </c>
      <c r="J224" s="64" t="s">
        <v>1880</v>
      </c>
      <c r="K224" s="27" t="s">
        <v>2779</v>
      </c>
      <c r="L224" s="65"/>
      <c r="M224" s="65"/>
      <c r="N224" s="65"/>
      <c r="O224" s="65"/>
      <c r="P224" s="65"/>
      <c r="Q224" s="65"/>
      <c r="R224" s="65"/>
      <c r="S224" s="30" t="s">
        <v>1523</v>
      </c>
    </row>
    <row r="225" hidden="1">
      <c r="A225" s="16" t="s">
        <v>1870</v>
      </c>
      <c r="B225" s="19" t="s">
        <v>50</v>
      </c>
      <c r="C225" s="19" t="s">
        <v>616</v>
      </c>
      <c r="D225" s="19" t="s">
        <v>1512</v>
      </c>
      <c r="E225" s="16" t="str">
        <f>IFERROR(__xludf.DUMMYFUNCTION("filter('INVOICE CODES'!B:B,'INVOICE CODES'!D:D=C225,'INVOICE CODES'!E:E=D225)"),"MC-D400-Blue")</f>
        <v>MC-D400-Blue</v>
      </c>
      <c r="F225" s="19" t="s">
        <v>2783</v>
      </c>
      <c r="G225" s="61" t="s">
        <v>2784</v>
      </c>
      <c r="H225" s="62">
        <v>45635.0</v>
      </c>
      <c r="I225" s="66" t="s">
        <v>2785</v>
      </c>
      <c r="J225" s="64" t="s">
        <v>1880</v>
      </c>
      <c r="K225" s="27" t="s">
        <v>2786</v>
      </c>
      <c r="L225" s="28" t="s">
        <v>670</v>
      </c>
      <c r="M225" s="58">
        <v>9.1000008754468E13</v>
      </c>
      <c r="N225" s="58" t="s">
        <v>2790</v>
      </c>
      <c r="O225" s="12" t="s">
        <v>67</v>
      </c>
      <c r="P225" s="65"/>
      <c r="Q225" s="12" t="s">
        <v>67</v>
      </c>
      <c r="R225" s="65"/>
      <c r="S225" s="30"/>
    </row>
    <row r="226" hidden="1">
      <c r="A226" s="16" t="s">
        <v>1870</v>
      </c>
      <c r="B226" s="19" t="s">
        <v>50</v>
      </c>
      <c r="C226" s="19" t="s">
        <v>616</v>
      </c>
      <c r="D226" s="19" t="s">
        <v>1512</v>
      </c>
      <c r="E226" s="16" t="str">
        <f>IFERROR(__xludf.DUMMYFUNCTION("filter('INVOICE CODES'!B:B,'INVOICE CODES'!D:D=C226,'INVOICE CODES'!E:E=D226)"),"MC-D400-Blue")</f>
        <v>MC-D400-Blue</v>
      </c>
      <c r="F226" s="19" t="s">
        <v>2792</v>
      </c>
      <c r="G226" s="61" t="s">
        <v>2795</v>
      </c>
      <c r="H226" s="62">
        <v>45635.0</v>
      </c>
      <c r="I226" s="66" t="s">
        <v>2796</v>
      </c>
      <c r="J226" s="64" t="s">
        <v>1880</v>
      </c>
      <c r="K226" s="27" t="s">
        <v>2797</v>
      </c>
      <c r="L226" s="65"/>
      <c r="M226" s="65"/>
      <c r="N226" s="65"/>
      <c r="O226" s="65"/>
      <c r="P226" s="65"/>
      <c r="Q226" s="65"/>
      <c r="R226" s="65"/>
      <c r="S226" s="60" t="s">
        <v>1237</v>
      </c>
    </row>
    <row r="227" hidden="1">
      <c r="A227" s="16" t="s">
        <v>1870</v>
      </c>
      <c r="B227" s="19" t="s">
        <v>50</v>
      </c>
      <c r="C227" s="19" t="s">
        <v>616</v>
      </c>
      <c r="D227" s="19" t="s">
        <v>1512</v>
      </c>
      <c r="E227" s="16" t="str">
        <f>IFERROR(__xludf.DUMMYFUNCTION("filter('INVOICE CODES'!B:B,'INVOICE CODES'!D:D=C227,'INVOICE CODES'!E:E=D227)"),"MC-D400-Blue")</f>
        <v>MC-D400-Blue</v>
      </c>
      <c r="F227" s="19" t="s">
        <v>2801</v>
      </c>
      <c r="G227" s="61" t="s">
        <v>2802</v>
      </c>
      <c r="H227" s="62">
        <v>45635.0</v>
      </c>
      <c r="I227" s="66" t="s">
        <v>2804</v>
      </c>
      <c r="J227" s="64" t="s">
        <v>1880</v>
      </c>
      <c r="K227" s="27" t="s">
        <v>2807</v>
      </c>
      <c r="L227" s="28" t="s">
        <v>64</v>
      </c>
      <c r="M227" s="28" t="s">
        <v>67</v>
      </c>
      <c r="N227" s="28" t="s">
        <v>2808</v>
      </c>
      <c r="O227" s="12">
        <v>10974.0</v>
      </c>
      <c r="P227" s="65"/>
      <c r="Q227" s="12" t="s">
        <v>2809</v>
      </c>
      <c r="R227" s="65"/>
      <c r="S227" s="30"/>
    </row>
    <row r="228" hidden="1">
      <c r="A228" s="16" t="s">
        <v>1870</v>
      </c>
      <c r="B228" s="19" t="s">
        <v>50</v>
      </c>
      <c r="C228" s="19" t="s">
        <v>616</v>
      </c>
      <c r="D228" s="19" t="s">
        <v>1512</v>
      </c>
      <c r="E228" s="16" t="str">
        <f>IFERROR(__xludf.DUMMYFUNCTION("filter('INVOICE CODES'!B:B,'INVOICE CODES'!D:D=C228,'INVOICE CODES'!E:E=D228)"),"MC-D400-Blue")</f>
        <v>MC-D400-Blue</v>
      </c>
      <c r="F228" s="19" t="s">
        <v>2813</v>
      </c>
      <c r="G228" s="61" t="s">
        <v>2815</v>
      </c>
      <c r="H228" s="62">
        <v>45635.0</v>
      </c>
      <c r="I228" s="66" t="s">
        <v>2818</v>
      </c>
      <c r="J228" s="64" t="s">
        <v>1880</v>
      </c>
      <c r="K228" s="27" t="s">
        <v>2819</v>
      </c>
      <c r="L228" s="65"/>
      <c r="M228" s="65"/>
      <c r="N228" s="65"/>
      <c r="O228" s="65"/>
      <c r="P228" s="65"/>
      <c r="Q228" s="65"/>
      <c r="R228" s="65"/>
      <c r="S228" s="60" t="s">
        <v>1237</v>
      </c>
    </row>
    <row r="229" hidden="1">
      <c r="A229" s="16" t="s">
        <v>1870</v>
      </c>
      <c r="B229" s="19" t="s">
        <v>50</v>
      </c>
      <c r="C229" s="19" t="s">
        <v>616</v>
      </c>
      <c r="D229" s="19" t="s">
        <v>1512</v>
      </c>
      <c r="E229" s="16" t="str">
        <f>IFERROR(__xludf.DUMMYFUNCTION("filter('INVOICE CODES'!B:B,'INVOICE CODES'!D:D=C229,'INVOICE CODES'!E:E=D229)"),"MC-D400-Blue")</f>
        <v>MC-D400-Blue</v>
      </c>
      <c r="F229" s="19" t="s">
        <v>2823</v>
      </c>
      <c r="G229" s="61" t="s">
        <v>2824</v>
      </c>
      <c r="H229" s="62">
        <v>45635.0</v>
      </c>
      <c r="I229" s="66" t="s">
        <v>2825</v>
      </c>
      <c r="J229" s="64" t="s">
        <v>1880</v>
      </c>
      <c r="K229" s="27" t="s">
        <v>2826</v>
      </c>
      <c r="L229" s="28" t="s">
        <v>64</v>
      </c>
      <c r="M229" s="28" t="s">
        <v>67</v>
      </c>
      <c r="N229" s="28" t="s">
        <v>2827</v>
      </c>
      <c r="O229" s="12">
        <v>11039.0</v>
      </c>
      <c r="P229" s="65"/>
      <c r="Q229" s="12" t="s">
        <v>2830</v>
      </c>
      <c r="R229" s="65"/>
      <c r="S229" s="30"/>
    </row>
    <row r="230" hidden="1">
      <c r="A230" s="16" t="s">
        <v>1870</v>
      </c>
      <c r="B230" s="19" t="s">
        <v>50</v>
      </c>
      <c r="C230" s="19" t="s">
        <v>616</v>
      </c>
      <c r="D230" s="19" t="s">
        <v>1512</v>
      </c>
      <c r="E230" s="16" t="str">
        <f>IFERROR(__xludf.DUMMYFUNCTION("filter('INVOICE CODES'!B:B,'INVOICE CODES'!D:D=C230,'INVOICE CODES'!E:E=D230)"),"MC-D400-Blue")</f>
        <v>MC-D400-Blue</v>
      </c>
      <c r="F230" s="19" t="s">
        <v>2832</v>
      </c>
      <c r="G230" s="61" t="s">
        <v>2833</v>
      </c>
      <c r="H230" s="62">
        <v>45635.0</v>
      </c>
      <c r="I230" s="66" t="s">
        <v>2834</v>
      </c>
      <c r="J230" s="64" t="s">
        <v>1880</v>
      </c>
      <c r="K230" s="27" t="s">
        <v>2836</v>
      </c>
      <c r="L230" s="65"/>
      <c r="M230" s="65"/>
      <c r="N230" s="65"/>
      <c r="O230" s="65"/>
      <c r="P230" s="65"/>
      <c r="Q230" s="65"/>
      <c r="R230" s="65"/>
      <c r="S230" s="30" t="s">
        <v>1523</v>
      </c>
    </row>
    <row r="231" hidden="1">
      <c r="A231" s="16" t="s">
        <v>1870</v>
      </c>
      <c r="B231" s="19" t="s">
        <v>50</v>
      </c>
      <c r="C231" s="19" t="s">
        <v>616</v>
      </c>
      <c r="D231" s="19" t="s">
        <v>1512</v>
      </c>
      <c r="E231" s="16" t="str">
        <f>IFERROR(__xludf.DUMMYFUNCTION("filter('INVOICE CODES'!B:B,'INVOICE CODES'!D:D=C231,'INVOICE CODES'!E:E=D231)"),"MC-D400-Blue")</f>
        <v>MC-D400-Blue</v>
      </c>
      <c r="F231" s="19" t="s">
        <v>2838</v>
      </c>
      <c r="G231" s="61" t="s">
        <v>2839</v>
      </c>
      <c r="H231" s="62">
        <v>45635.0</v>
      </c>
      <c r="I231" s="66" t="s">
        <v>2841</v>
      </c>
      <c r="J231" s="64" t="s">
        <v>1880</v>
      </c>
      <c r="K231" s="27" t="s">
        <v>2843</v>
      </c>
      <c r="L231" s="28" t="s">
        <v>670</v>
      </c>
      <c r="M231" s="28">
        <v>9.1000008754461E13</v>
      </c>
      <c r="N231" s="28" t="s">
        <v>2845</v>
      </c>
      <c r="O231" s="12">
        <v>15.0</v>
      </c>
      <c r="P231" s="65"/>
      <c r="Q231" s="12" t="s">
        <v>67</v>
      </c>
      <c r="R231" s="65"/>
      <c r="S231" s="30"/>
    </row>
    <row r="232" hidden="1">
      <c r="A232" s="16" t="s">
        <v>1870</v>
      </c>
      <c r="B232" s="19" t="s">
        <v>50</v>
      </c>
      <c r="C232" s="19" t="s">
        <v>616</v>
      </c>
      <c r="D232" s="19" t="s">
        <v>1512</v>
      </c>
      <c r="E232" s="16" t="str">
        <f>IFERROR(__xludf.DUMMYFUNCTION("filter('INVOICE CODES'!B:B,'INVOICE CODES'!D:D=C232,'INVOICE CODES'!E:E=D232)"),"MC-D400-Blue")</f>
        <v>MC-D400-Blue</v>
      </c>
      <c r="F232" s="19" t="s">
        <v>2850</v>
      </c>
      <c r="G232" s="61" t="s">
        <v>2851</v>
      </c>
      <c r="H232" s="62">
        <v>45635.0</v>
      </c>
      <c r="I232" s="66" t="s">
        <v>2854</v>
      </c>
      <c r="J232" s="64" t="s">
        <v>1880</v>
      </c>
      <c r="K232" s="27" t="s">
        <v>2855</v>
      </c>
      <c r="L232" s="65"/>
      <c r="M232" s="65"/>
      <c r="N232" s="65"/>
      <c r="O232" s="65"/>
      <c r="P232" s="65"/>
      <c r="Q232" s="65"/>
      <c r="R232" s="65"/>
      <c r="S232" s="30" t="s">
        <v>1523</v>
      </c>
    </row>
    <row r="233" hidden="1">
      <c r="A233" s="16" t="s">
        <v>1870</v>
      </c>
      <c r="B233" s="19" t="s">
        <v>50</v>
      </c>
      <c r="C233" s="19" t="s">
        <v>616</v>
      </c>
      <c r="D233" s="19" t="s">
        <v>1512</v>
      </c>
      <c r="E233" s="16" t="str">
        <f>IFERROR(__xludf.DUMMYFUNCTION("filter('INVOICE CODES'!B:B,'INVOICE CODES'!D:D=C233,'INVOICE CODES'!E:E=D233)"),"MC-D400-Blue")</f>
        <v>MC-D400-Blue</v>
      </c>
      <c r="F233" s="19" t="s">
        <v>2857</v>
      </c>
      <c r="G233" s="61" t="s">
        <v>2859</v>
      </c>
      <c r="H233" s="62">
        <v>45635.0</v>
      </c>
      <c r="I233" s="66" t="s">
        <v>2861</v>
      </c>
      <c r="J233" s="64" t="s">
        <v>1880</v>
      </c>
      <c r="K233" s="27" t="s">
        <v>2862</v>
      </c>
      <c r="L233" s="65"/>
      <c r="M233" s="65"/>
      <c r="N233" s="65"/>
      <c r="O233" s="65"/>
      <c r="P233" s="65"/>
      <c r="Q233" s="65"/>
      <c r="R233" s="65"/>
      <c r="S233" s="30" t="s">
        <v>1523</v>
      </c>
    </row>
    <row r="234" hidden="1">
      <c r="A234" s="16" t="s">
        <v>1870</v>
      </c>
      <c r="B234" s="19" t="s">
        <v>50</v>
      </c>
      <c r="C234" s="19" t="s">
        <v>616</v>
      </c>
      <c r="D234" s="19" t="s">
        <v>1512</v>
      </c>
      <c r="E234" s="16" t="str">
        <f>IFERROR(__xludf.DUMMYFUNCTION("filter('INVOICE CODES'!B:B,'INVOICE CODES'!D:D=C234,'INVOICE CODES'!E:E=D234)"),"MC-D400-Blue")</f>
        <v>MC-D400-Blue</v>
      </c>
      <c r="F234" s="19" t="s">
        <v>2866</v>
      </c>
      <c r="G234" s="61" t="s">
        <v>2867</v>
      </c>
      <c r="H234" s="62">
        <v>45635.0</v>
      </c>
      <c r="I234" s="66" t="s">
        <v>2868</v>
      </c>
      <c r="J234" s="64" t="s">
        <v>1880</v>
      </c>
      <c r="K234" s="27" t="s">
        <v>2870</v>
      </c>
      <c r="L234" s="65"/>
      <c r="M234" s="65"/>
      <c r="N234" s="65"/>
      <c r="O234" s="65"/>
      <c r="P234" s="65"/>
      <c r="Q234" s="65"/>
      <c r="R234" s="65"/>
      <c r="S234" s="60" t="s">
        <v>1237</v>
      </c>
    </row>
    <row r="235" hidden="1">
      <c r="A235" s="16" t="s">
        <v>1870</v>
      </c>
      <c r="B235" s="19" t="s">
        <v>50</v>
      </c>
      <c r="C235" s="19" t="s">
        <v>616</v>
      </c>
      <c r="D235" s="19" t="s">
        <v>1512</v>
      </c>
      <c r="E235" s="16" t="str">
        <f>IFERROR(__xludf.DUMMYFUNCTION("filter('INVOICE CODES'!B:B,'INVOICE CODES'!D:D=C235,'INVOICE CODES'!E:E=D235)"),"MC-D400-Blue")</f>
        <v>MC-D400-Blue</v>
      </c>
      <c r="F235" s="19" t="s">
        <v>2876</v>
      </c>
      <c r="G235" s="61" t="s">
        <v>2877</v>
      </c>
      <c r="H235" s="62">
        <v>45635.0</v>
      </c>
      <c r="I235" s="66" t="s">
        <v>2878</v>
      </c>
      <c r="J235" s="64" t="s">
        <v>1880</v>
      </c>
      <c r="K235" s="27" t="s">
        <v>2879</v>
      </c>
      <c r="L235" s="65"/>
      <c r="M235" s="65"/>
      <c r="N235" s="65"/>
      <c r="O235" s="65"/>
      <c r="P235" s="65"/>
      <c r="Q235" s="65"/>
      <c r="R235" s="65"/>
      <c r="S235" s="30"/>
    </row>
    <row r="236" hidden="1">
      <c r="A236" s="16" t="s">
        <v>1870</v>
      </c>
      <c r="B236" s="19" t="s">
        <v>50</v>
      </c>
      <c r="C236" s="19" t="s">
        <v>616</v>
      </c>
      <c r="D236" s="19" t="s">
        <v>1512</v>
      </c>
      <c r="E236" s="16" t="str">
        <f>IFERROR(__xludf.DUMMYFUNCTION("filter('INVOICE CODES'!B:B,'INVOICE CODES'!D:D=C236,'INVOICE CODES'!E:E=D236)"),"MC-D400-Blue")</f>
        <v>MC-D400-Blue</v>
      </c>
      <c r="F236" s="19" t="s">
        <v>2883</v>
      </c>
      <c r="G236" s="61" t="s">
        <v>2884</v>
      </c>
      <c r="H236" s="62">
        <v>45635.0</v>
      </c>
      <c r="I236" s="66" t="s">
        <v>2885</v>
      </c>
      <c r="J236" s="64" t="s">
        <v>1880</v>
      </c>
      <c r="K236" s="27" t="s">
        <v>2886</v>
      </c>
      <c r="L236" s="65"/>
      <c r="M236" s="65"/>
      <c r="N236" s="65"/>
      <c r="O236" s="65"/>
      <c r="P236" s="65"/>
      <c r="Q236" s="65"/>
      <c r="R236" s="65"/>
      <c r="S236" s="30"/>
    </row>
    <row r="237" hidden="1">
      <c r="A237" s="16" t="s">
        <v>1870</v>
      </c>
      <c r="B237" s="19" t="s">
        <v>50</v>
      </c>
      <c r="C237" s="19" t="s">
        <v>616</v>
      </c>
      <c r="D237" s="19" t="s">
        <v>1512</v>
      </c>
      <c r="E237" s="16" t="str">
        <f>IFERROR(__xludf.DUMMYFUNCTION("filter('INVOICE CODES'!B:B,'INVOICE CODES'!D:D=C237,'INVOICE CODES'!E:E=D237)"),"MC-D400-Blue")</f>
        <v>MC-D400-Blue</v>
      </c>
      <c r="F237" s="19" t="s">
        <v>2893</v>
      </c>
      <c r="G237" s="61" t="s">
        <v>2894</v>
      </c>
      <c r="H237" s="62">
        <v>45635.0</v>
      </c>
      <c r="I237" s="66" t="s">
        <v>2895</v>
      </c>
      <c r="J237" s="64" t="s">
        <v>1880</v>
      </c>
      <c r="K237" s="27" t="s">
        <v>2899</v>
      </c>
      <c r="L237" s="28" t="s">
        <v>670</v>
      </c>
      <c r="M237" s="28">
        <v>9.1000008754464E13</v>
      </c>
      <c r="N237" s="28" t="s">
        <v>2900</v>
      </c>
      <c r="O237" s="12">
        <v>13.0</v>
      </c>
      <c r="P237" s="65"/>
      <c r="Q237" s="12" t="s">
        <v>67</v>
      </c>
      <c r="R237" s="65"/>
      <c r="S237" s="30"/>
    </row>
    <row r="238" hidden="1">
      <c r="A238" s="16" t="s">
        <v>1870</v>
      </c>
      <c r="B238" s="19" t="s">
        <v>50</v>
      </c>
      <c r="C238" s="19" t="s">
        <v>616</v>
      </c>
      <c r="D238" s="19" t="s">
        <v>1512</v>
      </c>
      <c r="E238" s="16" t="str">
        <f>IFERROR(__xludf.DUMMYFUNCTION("filter('INVOICE CODES'!B:B,'INVOICE CODES'!D:D=C238,'INVOICE CODES'!E:E=D238)"),"MC-D400-Blue")</f>
        <v>MC-D400-Blue</v>
      </c>
      <c r="F238" s="19" t="s">
        <v>2904</v>
      </c>
      <c r="G238" s="61" t="s">
        <v>2905</v>
      </c>
      <c r="H238" s="62">
        <v>45635.0</v>
      </c>
      <c r="I238" s="66" t="s">
        <v>2906</v>
      </c>
      <c r="J238" s="64" t="s">
        <v>1880</v>
      </c>
      <c r="K238" s="27" t="s">
        <v>2910</v>
      </c>
      <c r="L238" s="28" t="s">
        <v>670</v>
      </c>
      <c r="M238" s="28" t="s">
        <v>2911</v>
      </c>
      <c r="N238" s="28" t="s">
        <v>2912</v>
      </c>
      <c r="O238" s="12">
        <v>17.0</v>
      </c>
      <c r="P238" s="65"/>
      <c r="Q238" s="12" t="s">
        <v>67</v>
      </c>
      <c r="R238" s="65"/>
      <c r="S238" s="30"/>
    </row>
    <row r="239" hidden="1">
      <c r="A239" s="16" t="s">
        <v>1870</v>
      </c>
      <c r="B239" s="19" t="s">
        <v>50</v>
      </c>
      <c r="C239" s="19" t="s">
        <v>616</v>
      </c>
      <c r="D239" s="19" t="s">
        <v>1512</v>
      </c>
      <c r="E239" s="16" t="str">
        <f>IFERROR(__xludf.DUMMYFUNCTION("filter('INVOICE CODES'!B:B,'INVOICE CODES'!D:D=C239,'INVOICE CODES'!E:E=D239)"),"MC-D400-Blue")</f>
        <v>MC-D400-Blue</v>
      </c>
      <c r="F239" s="19" t="s">
        <v>2916</v>
      </c>
      <c r="G239" s="61" t="s">
        <v>2917</v>
      </c>
      <c r="H239" s="62">
        <v>45635.0</v>
      </c>
      <c r="I239" s="66" t="s">
        <v>2919</v>
      </c>
      <c r="J239" s="64" t="s">
        <v>1880</v>
      </c>
      <c r="K239" s="27" t="s">
        <v>2922</v>
      </c>
      <c r="L239" s="28" t="s">
        <v>670</v>
      </c>
      <c r="M239" s="28">
        <v>9.1000008754466E13</v>
      </c>
      <c r="N239" s="28" t="s">
        <v>2923</v>
      </c>
      <c r="O239" s="12">
        <v>11.0</v>
      </c>
      <c r="P239" s="65"/>
      <c r="Q239" s="12" t="s">
        <v>67</v>
      </c>
      <c r="R239" s="65"/>
      <c r="S239" s="30"/>
    </row>
    <row r="240" hidden="1">
      <c r="A240" s="16" t="s">
        <v>1870</v>
      </c>
      <c r="B240" s="19" t="s">
        <v>50</v>
      </c>
      <c r="C240" s="19" t="s">
        <v>616</v>
      </c>
      <c r="D240" s="19" t="s">
        <v>1512</v>
      </c>
      <c r="E240" s="16" t="str">
        <f>IFERROR(__xludf.DUMMYFUNCTION("filter('INVOICE CODES'!B:B,'INVOICE CODES'!D:D=C240,'INVOICE CODES'!E:E=D240)"),"MC-D400-Blue")</f>
        <v>MC-D400-Blue</v>
      </c>
      <c r="F240" s="19" t="s">
        <v>2927</v>
      </c>
      <c r="G240" s="61" t="s">
        <v>2928</v>
      </c>
      <c r="H240" s="62">
        <v>45635.0</v>
      </c>
      <c r="I240" s="66" t="s">
        <v>2929</v>
      </c>
      <c r="J240" s="64" t="s">
        <v>1880</v>
      </c>
      <c r="K240" s="27" t="s">
        <v>2930</v>
      </c>
      <c r="L240" s="65"/>
      <c r="M240" s="65"/>
      <c r="N240" s="65"/>
      <c r="O240" s="65"/>
      <c r="P240" s="65"/>
      <c r="Q240" s="65"/>
      <c r="R240" s="65"/>
      <c r="S240" s="30" t="s">
        <v>1523</v>
      </c>
    </row>
    <row r="241" hidden="1">
      <c r="A241" s="16" t="s">
        <v>1870</v>
      </c>
      <c r="B241" s="19" t="s">
        <v>50</v>
      </c>
      <c r="C241" s="19" t="s">
        <v>616</v>
      </c>
      <c r="D241" s="19" t="s">
        <v>1512</v>
      </c>
      <c r="E241" s="16" t="str">
        <f>IFERROR(__xludf.DUMMYFUNCTION("filter('INVOICE CODES'!B:B,'INVOICE CODES'!D:D=C241,'INVOICE CODES'!E:E=D241)"),"MC-D400-Blue")</f>
        <v>MC-D400-Blue</v>
      </c>
      <c r="F241" s="19" t="s">
        <v>2934</v>
      </c>
      <c r="G241" s="61" t="s">
        <v>2935</v>
      </c>
      <c r="H241" s="62">
        <v>45635.0</v>
      </c>
      <c r="I241" s="66" t="s">
        <v>2936</v>
      </c>
      <c r="J241" s="64" t="s">
        <v>1880</v>
      </c>
      <c r="K241" s="27" t="s">
        <v>2937</v>
      </c>
      <c r="L241" s="65"/>
      <c r="M241" s="65"/>
      <c r="N241" s="65"/>
      <c r="O241" s="65"/>
      <c r="P241" s="65"/>
      <c r="Q241" s="65"/>
      <c r="R241" s="65"/>
      <c r="S241" s="30" t="s">
        <v>1523</v>
      </c>
    </row>
    <row r="242" hidden="1">
      <c r="A242" s="16" t="s">
        <v>1870</v>
      </c>
      <c r="B242" s="19" t="s">
        <v>50</v>
      </c>
      <c r="C242" s="19" t="s">
        <v>616</v>
      </c>
      <c r="D242" s="19" t="s">
        <v>1512</v>
      </c>
      <c r="E242" s="16" t="str">
        <f>IFERROR(__xludf.DUMMYFUNCTION("filter('INVOICE CODES'!B:B,'INVOICE CODES'!D:D=C242,'INVOICE CODES'!E:E=D242)"),"MC-D400-Blue")</f>
        <v>MC-D400-Blue</v>
      </c>
      <c r="F242" s="19" t="s">
        <v>2947</v>
      </c>
      <c r="G242" s="61" t="s">
        <v>2948</v>
      </c>
      <c r="H242" s="62">
        <v>45635.0</v>
      </c>
      <c r="I242" s="66" t="s">
        <v>2949</v>
      </c>
      <c r="J242" s="64" t="s">
        <v>1880</v>
      </c>
      <c r="K242" s="27" t="s">
        <v>2950</v>
      </c>
      <c r="L242" s="28" t="s">
        <v>64</v>
      </c>
      <c r="M242" s="28" t="s">
        <v>67</v>
      </c>
      <c r="N242" s="28" t="s">
        <v>2951</v>
      </c>
      <c r="O242" s="12">
        <v>11041.0</v>
      </c>
      <c r="P242" s="65"/>
      <c r="Q242" s="12" t="s">
        <v>2954</v>
      </c>
      <c r="R242" s="65"/>
      <c r="S242" s="30"/>
    </row>
    <row r="243" hidden="1">
      <c r="A243" s="16" t="s">
        <v>1870</v>
      </c>
      <c r="B243" s="19" t="s">
        <v>50</v>
      </c>
      <c r="C243" s="19" t="s">
        <v>616</v>
      </c>
      <c r="D243" s="19" t="s">
        <v>1512</v>
      </c>
      <c r="E243" s="16" t="str">
        <f>IFERROR(__xludf.DUMMYFUNCTION("filter('INVOICE CODES'!B:B,'INVOICE CODES'!D:D=C243,'INVOICE CODES'!E:E=D243)"),"MC-D400-Blue")</f>
        <v>MC-D400-Blue</v>
      </c>
      <c r="F243" s="19" t="s">
        <v>2956</v>
      </c>
      <c r="G243" s="61" t="s">
        <v>2957</v>
      </c>
      <c r="H243" s="62">
        <v>45635.0</v>
      </c>
      <c r="I243" s="66" t="s">
        <v>2960</v>
      </c>
      <c r="J243" s="64" t="s">
        <v>1880</v>
      </c>
      <c r="K243" s="27" t="s">
        <v>2962</v>
      </c>
      <c r="L243" s="28" t="s">
        <v>670</v>
      </c>
      <c r="M243" s="28">
        <v>9.100000875446E13</v>
      </c>
      <c r="N243" s="28" t="s">
        <v>2963</v>
      </c>
      <c r="O243" s="12">
        <v>18.0</v>
      </c>
      <c r="P243" s="65"/>
      <c r="Q243" s="12" t="s">
        <v>67</v>
      </c>
      <c r="R243" s="65"/>
      <c r="S243" s="30"/>
    </row>
    <row r="244" hidden="1">
      <c r="A244" s="16" t="s">
        <v>1870</v>
      </c>
      <c r="B244" s="19" t="s">
        <v>50</v>
      </c>
      <c r="C244" s="19" t="s">
        <v>616</v>
      </c>
      <c r="D244" s="19" t="s">
        <v>1512</v>
      </c>
      <c r="E244" s="16" t="str">
        <f>IFERROR(__xludf.DUMMYFUNCTION("filter('INVOICE CODES'!B:B,'INVOICE CODES'!D:D=C244,'INVOICE CODES'!E:E=D244)"),"MC-D400-Blue")</f>
        <v>MC-D400-Blue</v>
      </c>
      <c r="F244" s="19" t="s">
        <v>2967</v>
      </c>
      <c r="G244" s="61" t="s">
        <v>2968</v>
      </c>
      <c r="H244" s="62">
        <v>45635.0</v>
      </c>
      <c r="I244" s="66" t="s">
        <v>2969</v>
      </c>
      <c r="J244" s="64" t="s">
        <v>1880</v>
      </c>
      <c r="K244" s="27" t="s">
        <v>2970</v>
      </c>
      <c r="L244" s="65"/>
      <c r="M244" s="65"/>
      <c r="N244" s="65"/>
      <c r="O244" s="65"/>
      <c r="P244" s="65"/>
      <c r="Q244" s="65"/>
      <c r="R244" s="65"/>
      <c r="S244" s="30" t="s">
        <v>1523</v>
      </c>
    </row>
    <row r="245" hidden="1">
      <c r="A245" s="16" t="s">
        <v>1870</v>
      </c>
      <c r="B245" s="19" t="s">
        <v>50</v>
      </c>
      <c r="C245" s="19" t="s">
        <v>616</v>
      </c>
      <c r="D245" s="19" t="s">
        <v>1512</v>
      </c>
      <c r="E245" s="16" t="str">
        <f>IFERROR(__xludf.DUMMYFUNCTION("filter('INVOICE CODES'!B:B,'INVOICE CODES'!D:D=C245,'INVOICE CODES'!E:E=D245)"),"MC-D400-Blue")</f>
        <v>MC-D400-Blue</v>
      </c>
      <c r="F245" s="19" t="s">
        <v>2978</v>
      </c>
      <c r="G245" s="61" t="s">
        <v>2980</v>
      </c>
      <c r="H245" s="62">
        <v>45635.0</v>
      </c>
      <c r="I245" s="66" t="s">
        <v>2982</v>
      </c>
      <c r="J245" s="64" t="s">
        <v>1880</v>
      </c>
      <c r="K245" s="27" t="s">
        <v>2983</v>
      </c>
      <c r="L245" s="65"/>
      <c r="M245" s="65"/>
      <c r="N245" s="65"/>
      <c r="O245" s="65"/>
      <c r="P245" s="65"/>
      <c r="Q245" s="65"/>
      <c r="R245" s="65"/>
      <c r="S245" s="30"/>
    </row>
    <row r="246" hidden="1">
      <c r="A246" s="16" t="s">
        <v>1870</v>
      </c>
      <c r="B246" s="19" t="s">
        <v>50</v>
      </c>
      <c r="C246" s="19" t="s">
        <v>616</v>
      </c>
      <c r="D246" s="19" t="s">
        <v>1512</v>
      </c>
      <c r="E246" s="16" t="str">
        <f>IFERROR(__xludf.DUMMYFUNCTION("filter('INVOICE CODES'!B:B,'INVOICE CODES'!D:D=C246,'INVOICE CODES'!E:E=D246)"),"MC-D400-Blue")</f>
        <v>MC-D400-Blue</v>
      </c>
      <c r="F246" s="19" t="s">
        <v>2987</v>
      </c>
      <c r="G246" s="61" t="s">
        <v>2988</v>
      </c>
      <c r="H246" s="62">
        <v>45635.0</v>
      </c>
      <c r="I246" s="66" t="s">
        <v>2989</v>
      </c>
      <c r="J246" s="64" t="s">
        <v>1880</v>
      </c>
      <c r="K246" s="27" t="s">
        <v>2990</v>
      </c>
      <c r="L246" s="65"/>
      <c r="M246" s="65"/>
      <c r="N246" s="65"/>
      <c r="O246" s="65"/>
      <c r="P246" s="65"/>
      <c r="Q246" s="65"/>
      <c r="R246" s="65"/>
      <c r="S246" s="30" t="s">
        <v>1523</v>
      </c>
    </row>
    <row r="247" hidden="1">
      <c r="A247" s="16" t="s">
        <v>1870</v>
      </c>
      <c r="B247" s="19" t="s">
        <v>50</v>
      </c>
      <c r="C247" s="19" t="s">
        <v>616</v>
      </c>
      <c r="D247" s="19" t="s">
        <v>1512</v>
      </c>
      <c r="E247" s="16" t="str">
        <f>IFERROR(__xludf.DUMMYFUNCTION("filter('INVOICE CODES'!B:B,'INVOICE CODES'!D:D=C247,'INVOICE CODES'!E:E=D247)"),"MC-D400-Blue")</f>
        <v>MC-D400-Blue</v>
      </c>
      <c r="F247" s="19" t="s">
        <v>2994</v>
      </c>
      <c r="G247" s="61" t="s">
        <v>2995</v>
      </c>
      <c r="H247" s="62">
        <v>45635.0</v>
      </c>
      <c r="I247" s="66" t="s">
        <v>2996</v>
      </c>
      <c r="J247" s="64" t="s">
        <v>1880</v>
      </c>
      <c r="K247" s="27" t="s">
        <v>2998</v>
      </c>
      <c r="L247" s="28" t="s">
        <v>670</v>
      </c>
      <c r="M247" s="28">
        <v>9.1000008754462E13</v>
      </c>
      <c r="N247" s="28" t="s">
        <v>3001</v>
      </c>
      <c r="O247" s="12">
        <v>16.0</v>
      </c>
      <c r="P247" s="65"/>
      <c r="Q247" s="12" t="s">
        <v>67</v>
      </c>
      <c r="R247" s="65"/>
      <c r="S247" s="30"/>
    </row>
    <row r="248" hidden="1">
      <c r="A248" s="16" t="s">
        <v>1870</v>
      </c>
      <c r="B248" s="19" t="s">
        <v>50</v>
      </c>
      <c r="C248" s="19" t="s">
        <v>616</v>
      </c>
      <c r="D248" s="19" t="s">
        <v>1512</v>
      </c>
      <c r="E248" s="16" t="str">
        <f>IFERROR(__xludf.DUMMYFUNCTION("filter('INVOICE CODES'!B:B,'INVOICE CODES'!D:D=C248,'INVOICE CODES'!E:E=D248)"),"MC-D400-Blue")</f>
        <v>MC-D400-Blue</v>
      </c>
      <c r="F248" s="19" t="s">
        <v>3004</v>
      </c>
      <c r="G248" s="61" t="s">
        <v>3006</v>
      </c>
      <c r="H248" s="62">
        <v>45635.0</v>
      </c>
      <c r="I248" s="66" t="s">
        <v>3007</v>
      </c>
      <c r="J248" s="64" t="s">
        <v>1880</v>
      </c>
      <c r="K248" s="27" t="s">
        <v>3008</v>
      </c>
      <c r="L248" s="65"/>
      <c r="M248" s="65"/>
      <c r="N248" s="65"/>
      <c r="O248" s="65"/>
      <c r="P248" s="65"/>
      <c r="Q248" s="65"/>
      <c r="R248" s="65"/>
      <c r="S248" s="30" t="s">
        <v>1523</v>
      </c>
    </row>
    <row r="249" hidden="1">
      <c r="A249" s="16" t="s">
        <v>1870</v>
      </c>
      <c r="B249" s="19" t="s">
        <v>50</v>
      </c>
      <c r="C249" s="19" t="s">
        <v>616</v>
      </c>
      <c r="D249" s="19" t="s">
        <v>1512</v>
      </c>
      <c r="E249" s="16" t="str">
        <f>IFERROR(__xludf.DUMMYFUNCTION("filter('INVOICE CODES'!B:B,'INVOICE CODES'!D:D=C249,'INVOICE CODES'!E:E=D249)"),"MC-D400-Blue")</f>
        <v>MC-D400-Blue</v>
      </c>
      <c r="F249" s="19" t="s">
        <v>3012</v>
      </c>
      <c r="G249" s="61" t="s">
        <v>3014</v>
      </c>
      <c r="H249" s="62">
        <v>45635.0</v>
      </c>
      <c r="I249" s="66" t="s">
        <v>3016</v>
      </c>
      <c r="J249" s="64" t="s">
        <v>1880</v>
      </c>
      <c r="K249" s="27" t="s">
        <v>3018</v>
      </c>
      <c r="L249" s="65"/>
      <c r="M249" s="65"/>
      <c r="N249" s="65"/>
      <c r="O249" s="65"/>
      <c r="P249" s="65"/>
      <c r="Q249" s="65"/>
      <c r="R249" s="65"/>
      <c r="S249" s="30" t="s">
        <v>1523</v>
      </c>
    </row>
    <row r="250" hidden="1">
      <c r="A250" s="16" t="s">
        <v>1870</v>
      </c>
      <c r="B250" s="19" t="s">
        <v>50</v>
      </c>
      <c r="C250" s="19" t="s">
        <v>616</v>
      </c>
      <c r="D250" s="19" t="s">
        <v>1512</v>
      </c>
      <c r="E250" s="16" t="str">
        <f>IFERROR(__xludf.DUMMYFUNCTION("filter('INVOICE CODES'!B:B,'INVOICE CODES'!D:D=C250,'INVOICE CODES'!E:E=D250)"),"MC-D400-Blue")</f>
        <v>MC-D400-Blue</v>
      </c>
      <c r="F250" s="19" t="s">
        <v>3022</v>
      </c>
      <c r="G250" s="61" t="s">
        <v>3023</v>
      </c>
      <c r="H250" s="62">
        <v>45635.0</v>
      </c>
      <c r="I250" s="66" t="s">
        <v>3025</v>
      </c>
      <c r="J250" s="64" t="s">
        <v>1880</v>
      </c>
      <c r="K250" s="27" t="s">
        <v>3028</v>
      </c>
      <c r="L250" s="65"/>
      <c r="M250" s="65"/>
      <c r="N250" s="65"/>
      <c r="O250" s="65"/>
      <c r="P250" s="65"/>
      <c r="Q250" s="65"/>
      <c r="R250" s="65"/>
      <c r="S250" s="60" t="s">
        <v>1237</v>
      </c>
    </row>
    <row r="251" hidden="1">
      <c r="A251" s="16" t="s">
        <v>1870</v>
      </c>
      <c r="B251" s="19" t="s">
        <v>50</v>
      </c>
      <c r="C251" s="19" t="s">
        <v>616</v>
      </c>
      <c r="D251" s="19" t="s">
        <v>1512</v>
      </c>
      <c r="E251" s="16" t="str">
        <f>IFERROR(__xludf.DUMMYFUNCTION("filter('INVOICE CODES'!B:B,'INVOICE CODES'!D:D=C251,'INVOICE CODES'!E:E=D251)"),"MC-D400-Blue")</f>
        <v>MC-D400-Blue</v>
      </c>
      <c r="F251" s="19" t="s">
        <v>3031</v>
      </c>
      <c r="G251" s="61" t="s">
        <v>3032</v>
      </c>
      <c r="H251" s="62">
        <v>45635.0</v>
      </c>
      <c r="I251" s="66" t="s">
        <v>3034</v>
      </c>
      <c r="J251" s="64" t="s">
        <v>1880</v>
      </c>
      <c r="K251" s="27" t="s">
        <v>3035</v>
      </c>
      <c r="L251" s="28" t="s">
        <v>670</v>
      </c>
      <c r="M251" s="58">
        <v>9.1000008755406E13</v>
      </c>
      <c r="N251" s="58" t="s">
        <v>3036</v>
      </c>
      <c r="O251" s="12" t="s">
        <v>67</v>
      </c>
      <c r="P251" s="65"/>
      <c r="Q251" s="12" t="s">
        <v>67</v>
      </c>
      <c r="R251" s="65"/>
      <c r="S251" s="30"/>
    </row>
    <row r="252" hidden="1">
      <c r="A252" s="16" t="s">
        <v>1870</v>
      </c>
      <c r="B252" s="19" t="s">
        <v>50</v>
      </c>
      <c r="C252" s="19" t="s">
        <v>616</v>
      </c>
      <c r="D252" s="19" t="s">
        <v>1512</v>
      </c>
      <c r="E252" s="16" t="str">
        <f>IFERROR(__xludf.DUMMYFUNCTION("filter('INVOICE CODES'!B:B,'INVOICE CODES'!D:D=C252,'INVOICE CODES'!E:E=D252)"),"MC-D400-Blue")</f>
        <v>MC-D400-Blue</v>
      </c>
      <c r="F252" s="19" t="s">
        <v>3040</v>
      </c>
      <c r="G252" s="61" t="s">
        <v>3041</v>
      </c>
      <c r="H252" s="62">
        <v>45635.0</v>
      </c>
      <c r="I252" s="66" t="s">
        <v>3043</v>
      </c>
      <c r="J252" s="64" t="s">
        <v>1880</v>
      </c>
      <c r="K252" s="27" t="s">
        <v>3046</v>
      </c>
      <c r="L252" s="65"/>
      <c r="M252" s="65"/>
      <c r="N252" s="65"/>
      <c r="O252" s="65"/>
      <c r="P252" s="65"/>
      <c r="Q252" s="65"/>
      <c r="R252" s="65"/>
      <c r="S252" s="60" t="s">
        <v>1237</v>
      </c>
    </row>
    <row r="253" hidden="1">
      <c r="A253" s="16" t="s">
        <v>1870</v>
      </c>
      <c r="B253" s="19" t="s">
        <v>50</v>
      </c>
      <c r="C253" s="19" t="s">
        <v>616</v>
      </c>
      <c r="D253" s="19" t="s">
        <v>1512</v>
      </c>
      <c r="E253" s="16" t="str">
        <f>IFERROR(__xludf.DUMMYFUNCTION("filter('INVOICE CODES'!B:B,'INVOICE CODES'!D:D=C253,'INVOICE CODES'!E:E=D253)"),"MC-D400-Blue")</f>
        <v>MC-D400-Blue</v>
      </c>
      <c r="F253" s="19" t="s">
        <v>3051</v>
      </c>
      <c r="G253" s="61" t="s">
        <v>3053</v>
      </c>
      <c r="H253" s="62">
        <v>45635.0</v>
      </c>
      <c r="I253" s="66" t="s">
        <v>3055</v>
      </c>
      <c r="J253" s="64" t="s">
        <v>1880</v>
      </c>
      <c r="K253" s="27" t="s">
        <v>3056</v>
      </c>
      <c r="L253" s="28" t="s">
        <v>64</v>
      </c>
      <c r="M253" s="28" t="s">
        <v>67</v>
      </c>
      <c r="N253" s="28" t="s">
        <v>3057</v>
      </c>
      <c r="O253" s="12">
        <v>11027.0</v>
      </c>
      <c r="P253" s="65"/>
      <c r="Q253" s="12" t="s">
        <v>3058</v>
      </c>
      <c r="R253" s="65"/>
      <c r="S253" s="30"/>
    </row>
    <row r="254" hidden="1">
      <c r="A254" s="16" t="s">
        <v>1870</v>
      </c>
      <c r="B254" s="19" t="s">
        <v>50</v>
      </c>
      <c r="C254" s="19" t="s">
        <v>616</v>
      </c>
      <c r="D254" s="19" t="s">
        <v>1512</v>
      </c>
      <c r="E254" s="16" t="str">
        <f>IFERROR(__xludf.DUMMYFUNCTION("filter('INVOICE CODES'!B:B,'INVOICE CODES'!D:D=C254,'INVOICE CODES'!E:E=D254)"),"MC-D400-Blue")</f>
        <v>MC-D400-Blue</v>
      </c>
      <c r="F254" s="19" t="s">
        <v>3062</v>
      </c>
      <c r="G254" s="61" t="s">
        <v>3063</v>
      </c>
      <c r="H254" s="62">
        <v>45635.0</v>
      </c>
      <c r="I254" s="66" t="s">
        <v>3064</v>
      </c>
      <c r="J254" s="64" t="s">
        <v>1880</v>
      </c>
      <c r="K254" s="27" t="s">
        <v>3065</v>
      </c>
      <c r="L254" s="28" t="s">
        <v>64</v>
      </c>
      <c r="M254" s="28" t="s">
        <v>67</v>
      </c>
      <c r="N254" s="28" t="s">
        <v>3068</v>
      </c>
      <c r="O254" s="12">
        <v>11029.0</v>
      </c>
      <c r="P254" s="65"/>
      <c r="Q254" s="12" t="s">
        <v>3070</v>
      </c>
      <c r="R254" s="65"/>
      <c r="S254" s="30"/>
    </row>
    <row r="255" hidden="1">
      <c r="A255" s="16" t="s">
        <v>1870</v>
      </c>
      <c r="B255" s="19" t="s">
        <v>50</v>
      </c>
      <c r="C255" s="19" t="s">
        <v>616</v>
      </c>
      <c r="D255" s="19" t="s">
        <v>1512</v>
      </c>
      <c r="E255" s="16" t="str">
        <f>IFERROR(__xludf.DUMMYFUNCTION("filter('INVOICE CODES'!B:B,'INVOICE CODES'!D:D=C255,'INVOICE CODES'!E:E=D255)"),"MC-D400-Blue")</f>
        <v>MC-D400-Blue</v>
      </c>
      <c r="F255" s="19" t="s">
        <v>3074</v>
      </c>
      <c r="G255" s="61" t="s">
        <v>3075</v>
      </c>
      <c r="H255" s="62">
        <v>45635.0</v>
      </c>
      <c r="I255" s="66" t="s">
        <v>3076</v>
      </c>
      <c r="J255" s="64" t="s">
        <v>1880</v>
      </c>
      <c r="K255" s="27" t="s">
        <v>3077</v>
      </c>
      <c r="L255" s="65"/>
      <c r="M255" s="65"/>
      <c r="N255" s="65"/>
      <c r="O255" s="65"/>
      <c r="P255" s="65"/>
      <c r="Q255" s="65"/>
      <c r="R255" s="65"/>
      <c r="S255" s="30"/>
    </row>
    <row r="256" hidden="1">
      <c r="A256" s="16" t="s">
        <v>1870</v>
      </c>
      <c r="B256" s="19" t="s">
        <v>50</v>
      </c>
      <c r="C256" s="19" t="s">
        <v>616</v>
      </c>
      <c r="D256" s="19" t="s">
        <v>1512</v>
      </c>
      <c r="E256" s="16" t="str">
        <f>IFERROR(__xludf.DUMMYFUNCTION("filter('INVOICE CODES'!B:B,'INVOICE CODES'!D:D=C256,'INVOICE CODES'!E:E=D256)"),"MC-D400-Blue")</f>
        <v>MC-D400-Blue</v>
      </c>
      <c r="F256" s="19" t="s">
        <v>3084</v>
      </c>
      <c r="G256" s="61" t="s">
        <v>3085</v>
      </c>
      <c r="H256" s="62">
        <v>45635.0</v>
      </c>
      <c r="I256" s="66" t="s">
        <v>3088</v>
      </c>
      <c r="J256" s="64" t="s">
        <v>1880</v>
      </c>
      <c r="K256" s="27" t="s">
        <v>3090</v>
      </c>
      <c r="L256" s="65"/>
      <c r="M256" s="65"/>
      <c r="N256" s="65"/>
      <c r="O256" s="65"/>
      <c r="P256" s="65"/>
      <c r="Q256" s="65"/>
      <c r="R256" s="65"/>
      <c r="S256" s="30" t="s">
        <v>1523</v>
      </c>
    </row>
    <row r="257" hidden="1">
      <c r="A257" s="16" t="s">
        <v>1870</v>
      </c>
      <c r="B257" s="19" t="s">
        <v>50</v>
      </c>
      <c r="C257" s="19" t="s">
        <v>616</v>
      </c>
      <c r="D257" s="19" t="s">
        <v>1512</v>
      </c>
      <c r="E257" s="16" t="str">
        <f>IFERROR(__xludf.DUMMYFUNCTION("filter('INVOICE CODES'!B:B,'INVOICE CODES'!D:D=C257,'INVOICE CODES'!E:E=D257)"),"MC-D400-Blue")</f>
        <v>MC-D400-Blue</v>
      </c>
      <c r="F257" s="19" t="s">
        <v>3095</v>
      </c>
      <c r="G257" s="61" t="s">
        <v>3098</v>
      </c>
      <c r="H257" s="62">
        <v>45635.0</v>
      </c>
      <c r="I257" s="66" t="s">
        <v>3099</v>
      </c>
      <c r="J257" s="64" t="s">
        <v>1880</v>
      </c>
      <c r="K257" s="27" t="s">
        <v>3100</v>
      </c>
      <c r="L257" s="65"/>
      <c r="M257" s="65"/>
      <c r="N257" s="65"/>
      <c r="O257" s="65"/>
      <c r="P257" s="65"/>
      <c r="Q257" s="65"/>
      <c r="R257" s="65"/>
      <c r="S257" s="30"/>
    </row>
    <row r="258" hidden="1">
      <c r="A258" s="16" t="s">
        <v>1870</v>
      </c>
      <c r="B258" s="19" t="s">
        <v>50</v>
      </c>
      <c r="C258" s="19" t="s">
        <v>616</v>
      </c>
      <c r="D258" s="19" t="s">
        <v>1512</v>
      </c>
      <c r="E258" s="16" t="str">
        <f>IFERROR(__xludf.DUMMYFUNCTION("filter('INVOICE CODES'!B:B,'INVOICE CODES'!D:D=C258,'INVOICE CODES'!E:E=D258)"),"MC-D400-Blue")</f>
        <v>MC-D400-Blue</v>
      </c>
      <c r="F258" s="19" t="s">
        <v>3107</v>
      </c>
      <c r="G258" s="61" t="s">
        <v>3108</v>
      </c>
      <c r="H258" s="62">
        <v>45635.0</v>
      </c>
      <c r="I258" s="66" t="s">
        <v>3109</v>
      </c>
      <c r="J258" s="64" t="s">
        <v>1880</v>
      </c>
      <c r="K258" s="27" t="s">
        <v>3112</v>
      </c>
      <c r="L258" s="65"/>
      <c r="M258" s="65"/>
      <c r="N258" s="65"/>
      <c r="O258" s="65"/>
      <c r="P258" s="65"/>
      <c r="Q258" s="65"/>
      <c r="R258" s="65"/>
      <c r="S258" s="30" t="s">
        <v>1523</v>
      </c>
    </row>
    <row r="259" hidden="1">
      <c r="A259" s="16" t="s">
        <v>1870</v>
      </c>
      <c r="B259" s="19" t="s">
        <v>50</v>
      </c>
      <c r="C259" s="19" t="s">
        <v>616</v>
      </c>
      <c r="D259" s="19" t="s">
        <v>1512</v>
      </c>
      <c r="E259" s="16" t="str">
        <f>IFERROR(__xludf.DUMMYFUNCTION("filter('INVOICE CODES'!B:B,'INVOICE CODES'!D:D=C259,'INVOICE CODES'!E:E=D259)"),"MC-D400-Blue")</f>
        <v>MC-D400-Blue</v>
      </c>
      <c r="F259" s="19" t="s">
        <v>3117</v>
      </c>
      <c r="G259" s="61" t="s">
        <v>3118</v>
      </c>
      <c r="H259" s="62">
        <v>45635.0</v>
      </c>
      <c r="I259" s="66" t="s">
        <v>3121</v>
      </c>
      <c r="J259" s="64" t="s">
        <v>1880</v>
      </c>
      <c r="K259" s="27" t="s">
        <v>3123</v>
      </c>
      <c r="L259" s="65"/>
      <c r="M259" s="65"/>
      <c r="N259" s="65"/>
      <c r="O259" s="65"/>
      <c r="P259" s="65"/>
      <c r="Q259" s="65"/>
      <c r="R259" s="65"/>
      <c r="S259" s="30" t="s">
        <v>1523</v>
      </c>
    </row>
    <row r="260" hidden="1">
      <c r="A260" s="16" t="s">
        <v>1870</v>
      </c>
      <c r="B260" s="19" t="s">
        <v>50</v>
      </c>
      <c r="C260" s="19" t="s">
        <v>616</v>
      </c>
      <c r="D260" s="19" t="s">
        <v>1512</v>
      </c>
      <c r="E260" s="16" t="str">
        <f>IFERROR(__xludf.DUMMYFUNCTION("filter('INVOICE CODES'!B:B,'INVOICE CODES'!D:D=C260,'INVOICE CODES'!E:E=D260)"),"MC-D400-Blue")</f>
        <v>MC-D400-Blue</v>
      </c>
      <c r="F260" s="19" t="s">
        <v>3127</v>
      </c>
      <c r="G260" s="61" t="s">
        <v>3128</v>
      </c>
      <c r="H260" s="62">
        <v>45635.0</v>
      </c>
      <c r="I260" s="66" t="s">
        <v>3129</v>
      </c>
      <c r="J260" s="64" t="s">
        <v>1880</v>
      </c>
      <c r="K260" s="27" t="s">
        <v>3130</v>
      </c>
      <c r="L260" s="65"/>
      <c r="M260" s="65"/>
      <c r="N260" s="65"/>
      <c r="O260" s="65"/>
      <c r="P260" s="65"/>
      <c r="Q260" s="65"/>
      <c r="R260" s="65"/>
      <c r="S260" s="30" t="s">
        <v>1523</v>
      </c>
    </row>
    <row r="261" hidden="1">
      <c r="A261" s="16" t="s">
        <v>1870</v>
      </c>
      <c r="B261" s="19" t="s">
        <v>50</v>
      </c>
      <c r="C261" s="19" t="s">
        <v>616</v>
      </c>
      <c r="D261" s="19" t="s">
        <v>1512</v>
      </c>
      <c r="E261" s="16" t="str">
        <f>IFERROR(__xludf.DUMMYFUNCTION("filter('INVOICE CODES'!B:B,'INVOICE CODES'!D:D=C261,'INVOICE CODES'!E:E=D261)"),"MC-D400-Blue")</f>
        <v>MC-D400-Blue</v>
      </c>
      <c r="F261" s="19" t="s">
        <v>3134</v>
      </c>
      <c r="G261" s="61" t="s">
        <v>3135</v>
      </c>
      <c r="H261" s="62">
        <v>45635.0</v>
      </c>
      <c r="I261" s="66" t="s">
        <v>3136</v>
      </c>
      <c r="J261" s="64" t="s">
        <v>1880</v>
      </c>
      <c r="K261" s="27" t="s">
        <v>3137</v>
      </c>
      <c r="L261" s="65"/>
      <c r="M261" s="65"/>
      <c r="N261" s="65"/>
      <c r="O261" s="65"/>
      <c r="P261" s="65"/>
      <c r="Q261" s="65"/>
      <c r="R261" s="65"/>
      <c r="S261" s="30"/>
    </row>
    <row r="262" hidden="1">
      <c r="A262" s="16" t="s">
        <v>1870</v>
      </c>
      <c r="B262" s="19" t="s">
        <v>50</v>
      </c>
      <c r="C262" s="19" t="s">
        <v>616</v>
      </c>
      <c r="D262" s="19" t="s">
        <v>1512</v>
      </c>
      <c r="E262" s="16" t="str">
        <f>IFERROR(__xludf.DUMMYFUNCTION("filter('INVOICE CODES'!B:B,'INVOICE CODES'!D:D=C262,'INVOICE CODES'!E:E=D262)"),"MC-D400-Blue")</f>
        <v>MC-D400-Blue</v>
      </c>
      <c r="F262" s="19" t="s">
        <v>3143</v>
      </c>
      <c r="G262" s="61" t="s">
        <v>3145</v>
      </c>
      <c r="H262" s="62">
        <v>45635.0</v>
      </c>
      <c r="I262" s="66" t="s">
        <v>3146</v>
      </c>
      <c r="J262" s="64" t="s">
        <v>1880</v>
      </c>
      <c r="K262" s="27" t="s">
        <v>3147</v>
      </c>
      <c r="L262" s="28" t="s">
        <v>670</v>
      </c>
      <c r="M262" s="28">
        <v>9.1000008754463E13</v>
      </c>
      <c r="N262" s="28" t="s">
        <v>3148</v>
      </c>
      <c r="O262" s="12">
        <v>14.0</v>
      </c>
      <c r="P262" s="65"/>
      <c r="Q262" s="12" t="s">
        <v>67</v>
      </c>
      <c r="R262" s="65"/>
      <c r="S262" s="30"/>
    </row>
    <row r="263" hidden="1">
      <c r="A263" s="16" t="s">
        <v>1870</v>
      </c>
      <c r="B263" s="19" t="s">
        <v>50</v>
      </c>
      <c r="C263" s="19" t="s">
        <v>616</v>
      </c>
      <c r="D263" s="19" t="s">
        <v>1512</v>
      </c>
      <c r="E263" s="16" t="str">
        <f>IFERROR(__xludf.DUMMYFUNCTION("filter('INVOICE CODES'!B:B,'INVOICE CODES'!D:D=C263,'INVOICE CODES'!E:E=D263)"),"MC-D400-Blue")</f>
        <v>MC-D400-Blue</v>
      </c>
      <c r="F263" s="19" t="s">
        <v>3154</v>
      </c>
      <c r="G263" s="61" t="s">
        <v>3155</v>
      </c>
      <c r="H263" s="62">
        <v>45635.0</v>
      </c>
      <c r="I263" s="66" t="s">
        <v>3156</v>
      </c>
      <c r="J263" s="64" t="s">
        <v>1880</v>
      </c>
      <c r="K263" s="27" t="s">
        <v>3158</v>
      </c>
      <c r="L263" s="65"/>
      <c r="M263" s="65"/>
      <c r="N263" s="65"/>
      <c r="O263" s="65"/>
      <c r="P263" s="65"/>
      <c r="Q263" s="65"/>
      <c r="R263" s="65"/>
      <c r="S263" s="30"/>
    </row>
    <row r="264" hidden="1">
      <c r="A264" s="16" t="s">
        <v>1870</v>
      </c>
      <c r="B264" s="19" t="s">
        <v>50</v>
      </c>
      <c r="C264" s="19" t="s">
        <v>616</v>
      </c>
      <c r="D264" s="19" t="s">
        <v>1512</v>
      </c>
      <c r="E264" s="16" t="str">
        <f>IFERROR(__xludf.DUMMYFUNCTION("filter('INVOICE CODES'!B:B,'INVOICE CODES'!D:D=C264,'INVOICE CODES'!E:E=D264)"),"MC-D400-Blue")</f>
        <v>MC-D400-Blue</v>
      </c>
      <c r="F264" s="19" t="s">
        <v>3162</v>
      </c>
      <c r="G264" s="61" t="s">
        <v>3163</v>
      </c>
      <c r="H264" s="62">
        <v>45635.0</v>
      </c>
      <c r="I264" s="66" t="s">
        <v>3164</v>
      </c>
      <c r="J264" s="64" t="s">
        <v>1880</v>
      </c>
      <c r="K264" s="27" t="s">
        <v>3168</v>
      </c>
      <c r="L264" s="65"/>
      <c r="M264" s="65"/>
      <c r="N264" s="65"/>
      <c r="O264" s="65"/>
      <c r="P264" s="65"/>
      <c r="Q264" s="65"/>
      <c r="R264" s="65"/>
      <c r="S264" s="30" t="s">
        <v>1523</v>
      </c>
    </row>
    <row r="265" hidden="1">
      <c r="A265" s="16" t="s">
        <v>1870</v>
      </c>
      <c r="B265" s="19" t="s">
        <v>50</v>
      </c>
      <c r="C265" s="19" t="s">
        <v>616</v>
      </c>
      <c r="D265" s="19" t="s">
        <v>1512</v>
      </c>
      <c r="E265" s="16" t="str">
        <f>IFERROR(__xludf.DUMMYFUNCTION("filter('INVOICE CODES'!B:B,'INVOICE CODES'!D:D=C265,'INVOICE CODES'!E:E=D265)"),"MC-D400-Blue")</f>
        <v>MC-D400-Blue</v>
      </c>
      <c r="F265" s="19" t="s">
        <v>3172</v>
      </c>
      <c r="G265" s="61" t="s">
        <v>3173</v>
      </c>
      <c r="H265" s="62">
        <v>45635.0</v>
      </c>
      <c r="I265" s="66" t="s">
        <v>3174</v>
      </c>
      <c r="J265" s="64" t="s">
        <v>1880</v>
      </c>
      <c r="K265" s="27" t="s">
        <v>3176</v>
      </c>
      <c r="L265" s="65"/>
      <c r="M265" s="65"/>
      <c r="N265" s="65"/>
      <c r="O265" s="65"/>
      <c r="P265" s="65"/>
      <c r="Q265" s="65"/>
      <c r="R265" s="65"/>
      <c r="S265" s="30"/>
    </row>
    <row r="266" hidden="1">
      <c r="A266" s="16" t="s">
        <v>1870</v>
      </c>
      <c r="B266" s="19" t="s">
        <v>50</v>
      </c>
      <c r="C266" s="19" t="s">
        <v>616</v>
      </c>
      <c r="D266" s="19" t="s">
        <v>1512</v>
      </c>
      <c r="E266" s="16" t="str">
        <f>IFERROR(__xludf.DUMMYFUNCTION("filter('INVOICE CODES'!B:B,'INVOICE CODES'!D:D=C266,'INVOICE CODES'!E:E=D266)"),"MC-D400-Blue")</f>
        <v>MC-D400-Blue</v>
      </c>
      <c r="F266" s="19" t="s">
        <v>3182</v>
      </c>
      <c r="G266" s="61" t="s">
        <v>3183</v>
      </c>
      <c r="H266" s="62">
        <v>45635.0</v>
      </c>
      <c r="I266" s="66" t="s">
        <v>3184</v>
      </c>
      <c r="J266" s="64" t="s">
        <v>1880</v>
      </c>
      <c r="K266" s="27" t="s">
        <v>3185</v>
      </c>
      <c r="L266" s="65"/>
      <c r="M266" s="65"/>
      <c r="N266" s="65"/>
      <c r="O266" s="65"/>
      <c r="P266" s="65"/>
      <c r="Q266" s="65"/>
      <c r="R266" s="65"/>
      <c r="S266" s="30" t="s">
        <v>1523</v>
      </c>
    </row>
    <row r="267" hidden="1">
      <c r="A267" s="16" t="s">
        <v>1870</v>
      </c>
      <c r="B267" s="19" t="s">
        <v>50</v>
      </c>
      <c r="C267" s="19" t="s">
        <v>616</v>
      </c>
      <c r="D267" s="19" t="s">
        <v>1512</v>
      </c>
      <c r="E267" s="16" t="str">
        <f>IFERROR(__xludf.DUMMYFUNCTION("filter('INVOICE CODES'!B:B,'INVOICE CODES'!D:D=C267,'INVOICE CODES'!E:E=D267)"),"MC-D400-Blue")</f>
        <v>MC-D400-Blue</v>
      </c>
      <c r="F267" s="19" t="s">
        <v>3192</v>
      </c>
      <c r="G267" s="61" t="s">
        <v>3193</v>
      </c>
      <c r="H267" s="62">
        <v>45635.0</v>
      </c>
      <c r="I267" s="66" t="s">
        <v>3194</v>
      </c>
      <c r="J267" s="64" t="s">
        <v>1880</v>
      </c>
      <c r="K267" s="27" t="s">
        <v>3195</v>
      </c>
      <c r="L267" s="28" t="s">
        <v>670</v>
      </c>
      <c r="M267" s="58">
        <v>9.1000008767703E13</v>
      </c>
      <c r="N267" s="58" t="s">
        <v>3198</v>
      </c>
      <c r="O267" s="12">
        <v>32.0</v>
      </c>
      <c r="P267" s="65"/>
      <c r="Q267" s="12" t="s">
        <v>67</v>
      </c>
      <c r="R267" s="65"/>
      <c r="S267" s="30"/>
    </row>
    <row r="268" hidden="1">
      <c r="A268" s="16" t="s">
        <v>1870</v>
      </c>
      <c r="B268" s="19" t="s">
        <v>50</v>
      </c>
      <c r="C268" s="19" t="s">
        <v>616</v>
      </c>
      <c r="D268" s="19" t="s">
        <v>1512</v>
      </c>
      <c r="E268" s="16" t="str">
        <f>IFERROR(__xludf.DUMMYFUNCTION("filter('INVOICE CODES'!B:B,'INVOICE CODES'!D:D=C268,'INVOICE CODES'!E:E=D268)"),"MC-D400-Blue")</f>
        <v>MC-D400-Blue</v>
      </c>
      <c r="F268" s="19" t="s">
        <v>3200</v>
      </c>
      <c r="G268" s="61" t="s">
        <v>3201</v>
      </c>
      <c r="H268" s="62">
        <v>45635.0</v>
      </c>
      <c r="I268" s="66" t="s">
        <v>3203</v>
      </c>
      <c r="J268" s="64" t="s">
        <v>1880</v>
      </c>
      <c r="K268" s="27" t="s">
        <v>3206</v>
      </c>
      <c r="L268" s="28" t="s">
        <v>64</v>
      </c>
      <c r="M268" s="28" t="s">
        <v>67</v>
      </c>
      <c r="N268" s="28" t="s">
        <v>3207</v>
      </c>
      <c r="O268" s="12">
        <v>11058.0</v>
      </c>
      <c r="P268" s="65"/>
      <c r="Q268" s="12" t="s">
        <v>3208</v>
      </c>
      <c r="R268" s="65"/>
      <c r="S268" s="30"/>
    </row>
    <row r="269" hidden="1">
      <c r="A269" s="16" t="s">
        <v>1870</v>
      </c>
      <c r="B269" s="19" t="s">
        <v>50</v>
      </c>
      <c r="C269" s="19" t="s">
        <v>616</v>
      </c>
      <c r="D269" s="19" t="s">
        <v>1512</v>
      </c>
      <c r="E269" s="16" t="str">
        <f>IFERROR(__xludf.DUMMYFUNCTION("filter('INVOICE CODES'!B:B,'INVOICE CODES'!D:D=C269,'INVOICE CODES'!E:E=D269)"),"MC-D400-Blue")</f>
        <v>MC-D400-Blue</v>
      </c>
      <c r="F269" s="19" t="s">
        <v>3212</v>
      </c>
      <c r="G269" s="61" t="s">
        <v>3213</v>
      </c>
      <c r="H269" s="62">
        <v>45635.0</v>
      </c>
      <c r="I269" s="66" t="s">
        <v>3214</v>
      </c>
      <c r="J269" s="64" t="s">
        <v>1880</v>
      </c>
      <c r="K269" s="27" t="s">
        <v>3215</v>
      </c>
      <c r="L269" s="65"/>
      <c r="M269" s="65"/>
      <c r="N269" s="65"/>
      <c r="O269" s="65"/>
      <c r="P269" s="65"/>
      <c r="Q269" s="65"/>
      <c r="R269" s="65"/>
      <c r="S269" s="30"/>
    </row>
    <row r="270" hidden="1">
      <c r="A270" s="16" t="s">
        <v>1870</v>
      </c>
      <c r="B270" s="19" t="s">
        <v>50</v>
      </c>
      <c r="C270" s="19" t="s">
        <v>616</v>
      </c>
      <c r="D270" s="19" t="s">
        <v>1128</v>
      </c>
      <c r="E270" s="16" t="str">
        <f>IFERROR(__xludf.DUMMYFUNCTION("filter('INVOICE CODES'!B:B,'INVOICE CODES'!D:D=C270,'INVOICE CODES'!E:E=D270)"),"MC-D400-Red")</f>
        <v>MC-D400-Red</v>
      </c>
      <c r="F270" s="19" t="s">
        <v>3219</v>
      </c>
      <c r="G270" s="61" t="s">
        <v>3220</v>
      </c>
      <c r="H270" s="62">
        <v>45635.0</v>
      </c>
      <c r="I270" s="63" t="s">
        <v>3221</v>
      </c>
      <c r="J270" s="64" t="s">
        <v>1880</v>
      </c>
      <c r="K270" s="27" t="s">
        <v>3222</v>
      </c>
      <c r="L270" s="65"/>
      <c r="M270" s="65"/>
      <c r="N270" s="65"/>
      <c r="O270" s="65"/>
      <c r="P270" s="65"/>
      <c r="Q270" s="65"/>
      <c r="R270" s="65"/>
      <c r="S270" s="60" t="s">
        <v>1237</v>
      </c>
    </row>
    <row r="271" hidden="1">
      <c r="A271" s="16" t="s">
        <v>1870</v>
      </c>
      <c r="B271" s="19" t="s">
        <v>50</v>
      </c>
      <c r="C271" s="19" t="s">
        <v>616</v>
      </c>
      <c r="D271" s="19" t="s">
        <v>1512</v>
      </c>
      <c r="E271" s="16" t="str">
        <f>IFERROR(__xludf.DUMMYFUNCTION("filter('INVOICE CODES'!B:B,'INVOICE CODES'!D:D=C271,'INVOICE CODES'!E:E=D271)"),"MC-D400-Blue")</f>
        <v>MC-D400-Blue</v>
      </c>
      <c r="F271" s="19" t="s">
        <v>3229</v>
      </c>
      <c r="G271" s="61" t="s">
        <v>3230</v>
      </c>
      <c r="H271" s="62">
        <v>45635.0</v>
      </c>
      <c r="I271" s="66" t="s">
        <v>3231</v>
      </c>
      <c r="J271" s="64" t="s">
        <v>1880</v>
      </c>
      <c r="K271" s="27" t="s">
        <v>3232</v>
      </c>
      <c r="L271" s="65"/>
      <c r="M271" s="65"/>
      <c r="N271" s="65"/>
      <c r="O271" s="65"/>
      <c r="P271" s="65"/>
      <c r="Q271" s="65"/>
      <c r="R271" s="65"/>
      <c r="S271" s="30"/>
    </row>
    <row r="272" hidden="1">
      <c r="A272" s="19" t="s">
        <v>3236</v>
      </c>
      <c r="B272" s="19" t="s">
        <v>50</v>
      </c>
      <c r="C272" s="19" t="s">
        <v>616</v>
      </c>
      <c r="D272" s="19" t="s">
        <v>1512</v>
      </c>
      <c r="E272" s="16" t="str">
        <f>IFERROR(__xludf.DUMMYFUNCTION("filter('INVOICE CODES'!B:B,'INVOICE CODES'!D:D=C272,'INVOICE CODES'!E:E=D272)"),"MC-D400-Blue")</f>
        <v>MC-D400-Blue</v>
      </c>
      <c r="F272" s="19" t="s">
        <v>3237</v>
      </c>
      <c r="G272" s="19" t="s">
        <v>3238</v>
      </c>
      <c r="H272" s="23">
        <v>45444.0</v>
      </c>
      <c r="I272" s="26" t="s">
        <v>67</v>
      </c>
      <c r="J272" s="64" t="s">
        <v>1880</v>
      </c>
      <c r="K272" s="19" t="s">
        <v>67</v>
      </c>
      <c r="L272" s="65"/>
      <c r="M272" s="65"/>
      <c r="N272" s="65"/>
      <c r="O272" s="65"/>
      <c r="P272" s="65"/>
      <c r="Q272" s="65"/>
      <c r="R272" s="65"/>
      <c r="S272" s="30"/>
    </row>
    <row r="273" hidden="1">
      <c r="A273" s="19" t="s">
        <v>3236</v>
      </c>
      <c r="B273" s="19" t="s">
        <v>50</v>
      </c>
      <c r="C273" s="19" t="s">
        <v>3242</v>
      </c>
      <c r="D273" s="19" t="s">
        <v>702</v>
      </c>
      <c r="E273" s="16" t="s">
        <v>67</v>
      </c>
      <c r="F273" s="19" t="s">
        <v>3245</v>
      </c>
      <c r="G273" s="19" t="s">
        <v>3247</v>
      </c>
      <c r="H273" s="23">
        <v>45444.0</v>
      </c>
      <c r="I273" s="68"/>
      <c r="J273" s="68"/>
      <c r="K273" s="19" t="s">
        <v>67</v>
      </c>
      <c r="L273" s="69"/>
      <c r="M273" s="69"/>
      <c r="N273" s="69"/>
      <c r="O273" s="69"/>
      <c r="P273" s="69"/>
      <c r="Q273" s="69"/>
      <c r="R273" s="69"/>
      <c r="S273" s="30"/>
    </row>
    <row r="274" hidden="1">
      <c r="A274" s="19" t="s">
        <v>3251</v>
      </c>
      <c r="B274" s="19" t="s">
        <v>628</v>
      </c>
      <c r="C274" s="19" t="s">
        <v>636</v>
      </c>
      <c r="D274" s="19" t="s">
        <v>569</v>
      </c>
      <c r="E274" s="16" t="str">
        <f>IFERROR(__xludf.DUMMYFUNCTION("filter('INVOICE CODES'!B:B,'INVOICE CODES'!D:D=C274,'INVOICE CODES'!E:E=D274)"),"MC-LEOPARD-Blue")</f>
        <v>MC-LEOPARD-Blue</v>
      </c>
      <c r="F274" s="19" t="s">
        <v>3255</v>
      </c>
      <c r="G274" s="19" t="s">
        <v>3256</v>
      </c>
      <c r="H274" s="62">
        <v>45505.0</v>
      </c>
      <c r="I274" s="70"/>
      <c r="J274" s="70"/>
      <c r="K274" s="19" t="s">
        <v>67</v>
      </c>
      <c r="L274" s="71"/>
      <c r="M274" s="71"/>
      <c r="N274" s="71"/>
      <c r="O274" s="71"/>
      <c r="P274" s="71"/>
      <c r="Q274" s="71"/>
      <c r="R274" s="71"/>
      <c r="S274" s="30"/>
    </row>
    <row r="275" hidden="1">
      <c r="A275" s="19" t="s">
        <v>3236</v>
      </c>
      <c r="B275" s="19" t="s">
        <v>50</v>
      </c>
      <c r="C275" s="19" t="s">
        <v>637</v>
      </c>
      <c r="D275" s="19" t="s">
        <v>1128</v>
      </c>
      <c r="E275" s="16" t="s">
        <v>67</v>
      </c>
      <c r="F275" s="19" t="s">
        <v>3265</v>
      </c>
      <c r="G275" s="19" t="s">
        <v>67</v>
      </c>
      <c r="H275" s="23">
        <v>45444.0</v>
      </c>
      <c r="I275" s="68"/>
      <c r="J275" s="68"/>
      <c r="K275" s="19" t="s">
        <v>67</v>
      </c>
      <c r="L275" s="69"/>
      <c r="M275" s="69"/>
      <c r="N275" s="69"/>
      <c r="O275" s="69"/>
      <c r="P275" s="69"/>
      <c r="Q275" s="69"/>
      <c r="R275" s="69"/>
      <c r="S275" s="30"/>
    </row>
    <row r="276" hidden="1">
      <c r="A276" s="16" t="s">
        <v>3269</v>
      </c>
      <c r="B276" s="19" t="s">
        <v>50</v>
      </c>
      <c r="C276" s="19" t="s">
        <v>52</v>
      </c>
      <c r="D276" s="16" t="s">
        <v>53</v>
      </c>
      <c r="E276" s="16" t="str">
        <f>IFERROR(__xludf.DUMMYFUNCTION("filter('INVOICE CODES'!B:B,'INVOICE CODES'!D:D=C276,'INVOICE CODES'!E:E=D276)"),"MC-R280-Black")</f>
        <v>MC-R280-Black</v>
      </c>
      <c r="F276" s="16" t="s">
        <v>3274</v>
      </c>
      <c r="G276" s="16" t="s">
        <v>3275</v>
      </c>
      <c r="H276" s="23">
        <v>45567.0</v>
      </c>
      <c r="I276" s="25" t="s">
        <v>3278</v>
      </c>
      <c r="J276" s="26">
        <v>368408.0</v>
      </c>
      <c r="K276" s="27" t="s">
        <v>3280</v>
      </c>
      <c r="L276" s="28" t="s">
        <v>670</v>
      </c>
      <c r="M276" s="58">
        <v>9.1000008742197E13</v>
      </c>
      <c r="N276" s="58" t="s">
        <v>3281</v>
      </c>
      <c r="O276" s="46">
        <v>2.0</v>
      </c>
      <c r="P276" s="29"/>
      <c r="Q276" s="12" t="s">
        <v>67</v>
      </c>
      <c r="R276" s="29"/>
      <c r="S276" s="30"/>
    </row>
    <row r="277" hidden="1">
      <c r="A277" s="16" t="s">
        <v>3269</v>
      </c>
      <c r="B277" s="19" t="s">
        <v>50</v>
      </c>
      <c r="C277" s="19" t="s">
        <v>52</v>
      </c>
      <c r="D277" s="16" t="s">
        <v>702</v>
      </c>
      <c r="E277" s="16" t="s">
        <v>3285</v>
      </c>
      <c r="F277" s="72" t="s">
        <v>3286</v>
      </c>
      <c r="G277" s="72" t="s">
        <v>3287</v>
      </c>
      <c r="H277" s="23">
        <v>45567.0</v>
      </c>
      <c r="I277" s="73" t="s">
        <v>3291</v>
      </c>
      <c r="J277" s="64" t="s">
        <v>1880</v>
      </c>
      <c r="K277" s="19" t="s">
        <v>3292</v>
      </c>
      <c r="L277" s="28" t="s">
        <v>670</v>
      </c>
      <c r="M277" s="58">
        <v>9.1000008742184E13</v>
      </c>
      <c r="N277" s="58" t="s">
        <v>3293</v>
      </c>
      <c r="O277" s="46">
        <v>4.0</v>
      </c>
      <c r="P277" s="65"/>
      <c r="Q277" s="12" t="s">
        <v>67</v>
      </c>
      <c r="R277" s="65"/>
      <c r="S277" s="30"/>
    </row>
    <row r="278" hidden="1">
      <c r="A278" s="16" t="s">
        <v>49</v>
      </c>
      <c r="B278" s="19" t="s">
        <v>50</v>
      </c>
      <c r="C278" s="16" t="s">
        <v>1127</v>
      </c>
      <c r="D278" s="16" t="s">
        <v>1512</v>
      </c>
      <c r="E278" s="16" t="str">
        <f>IFERROR(__xludf.DUMMYFUNCTION("filter('INVOICE CODES'!B:B,'INVOICE CODES'!D:D=C278,'INVOICE CODES'!E:E=D278)"),"MC-R280 Sport-Blue")</f>
        <v>MC-R280 Sport-Blue</v>
      </c>
      <c r="F278" s="16" t="s">
        <v>3300</v>
      </c>
      <c r="G278" s="16" t="s">
        <v>3301</v>
      </c>
      <c r="H278" s="23">
        <v>45567.0</v>
      </c>
      <c r="I278" s="25" t="s">
        <v>3304</v>
      </c>
      <c r="J278" s="26">
        <v>368408.0</v>
      </c>
      <c r="K278" s="27" t="s">
        <v>3306</v>
      </c>
      <c r="L278" s="28" t="s">
        <v>670</v>
      </c>
      <c r="M278" s="58">
        <v>9.100000874218E13</v>
      </c>
      <c r="N278" s="58" t="s">
        <v>3307</v>
      </c>
      <c r="O278" s="46">
        <v>5.0</v>
      </c>
      <c r="P278" s="29"/>
      <c r="Q278" s="12" t="s">
        <v>67</v>
      </c>
      <c r="R278" s="29"/>
      <c r="S278" s="30"/>
    </row>
    <row r="279" hidden="1">
      <c r="A279" s="16" t="s">
        <v>3269</v>
      </c>
      <c r="B279" s="19" t="s">
        <v>50</v>
      </c>
      <c r="C279" s="16" t="s">
        <v>1127</v>
      </c>
      <c r="D279" s="16" t="s">
        <v>1128</v>
      </c>
      <c r="E279" s="16" t="str">
        <f>IFERROR(__xludf.DUMMYFUNCTION("filter('INVOICE CODES'!B:B,'INVOICE CODES'!D:D=C279,'INVOICE CODES'!E:E=D279)"),"MC-R280 Sport-Red")</f>
        <v>MC-R280 Sport-Red</v>
      </c>
      <c r="F279" s="16" t="s">
        <v>3314</v>
      </c>
      <c r="G279" s="16" t="s">
        <v>3315</v>
      </c>
      <c r="H279" s="23">
        <v>45567.0</v>
      </c>
      <c r="I279" s="25" t="s">
        <v>3316</v>
      </c>
      <c r="J279" s="26">
        <v>368408.0</v>
      </c>
      <c r="K279" s="27" t="s">
        <v>3319</v>
      </c>
      <c r="L279" s="28" t="s">
        <v>670</v>
      </c>
      <c r="M279" s="58">
        <v>9.1000008755405E13</v>
      </c>
      <c r="N279" s="74" t="s">
        <v>3321</v>
      </c>
      <c r="O279" s="12" t="s">
        <v>67</v>
      </c>
      <c r="P279" s="29"/>
      <c r="Q279" s="12" t="s">
        <v>67</v>
      </c>
      <c r="R279" s="29"/>
      <c r="S279" s="30"/>
    </row>
    <row r="280" hidden="1">
      <c r="A280" s="19" t="s">
        <v>3251</v>
      </c>
      <c r="B280" s="19" t="s">
        <v>628</v>
      </c>
      <c r="C280" s="19" t="s">
        <v>626</v>
      </c>
      <c r="D280" s="19" t="s">
        <v>627</v>
      </c>
      <c r="E280" s="16" t="s">
        <v>67</v>
      </c>
      <c r="F280" s="19" t="s">
        <v>3325</v>
      </c>
      <c r="G280" s="19" t="s">
        <v>3327</v>
      </c>
      <c r="H280" s="62">
        <v>45505.0</v>
      </c>
      <c r="I280" s="70"/>
      <c r="J280" s="70"/>
      <c r="K280" s="19" t="s">
        <v>67</v>
      </c>
      <c r="L280" s="71"/>
      <c r="M280" s="71"/>
      <c r="N280" s="71"/>
      <c r="O280" s="71"/>
      <c r="P280" s="71"/>
      <c r="Q280" s="71"/>
      <c r="R280" s="71"/>
      <c r="S280" s="30"/>
    </row>
    <row r="281" hidden="1">
      <c r="A281" s="19" t="s">
        <v>3251</v>
      </c>
      <c r="B281" s="19" t="s">
        <v>628</v>
      </c>
      <c r="C281" s="19" t="s">
        <v>630</v>
      </c>
      <c r="D281" s="19" t="s">
        <v>613</v>
      </c>
      <c r="E281" s="16" t="s">
        <v>67</v>
      </c>
      <c r="F281" s="19" t="s">
        <v>3333</v>
      </c>
      <c r="G281" s="19" t="s">
        <v>3334</v>
      </c>
      <c r="H281" s="62">
        <v>45505.0</v>
      </c>
      <c r="I281" s="70"/>
      <c r="J281" s="70"/>
      <c r="K281" s="19" t="s">
        <v>67</v>
      </c>
      <c r="L281" s="71"/>
      <c r="M281" s="71"/>
      <c r="N281" s="71"/>
      <c r="O281" s="71"/>
      <c r="P281" s="71"/>
      <c r="Q281" s="71"/>
      <c r="R281" s="71"/>
      <c r="S281" s="30"/>
    </row>
    <row r="282" hidden="1">
      <c r="A282" s="19" t="s">
        <v>3338</v>
      </c>
      <c r="B282" s="19" t="s">
        <v>3339</v>
      </c>
      <c r="C282" s="19" t="s">
        <v>3340</v>
      </c>
      <c r="D282" s="75" t="s">
        <v>46</v>
      </c>
      <c r="E282" s="16" t="s">
        <v>67</v>
      </c>
      <c r="F282" s="19" t="s">
        <v>3344</v>
      </c>
      <c r="G282" s="19" t="s">
        <v>3345</v>
      </c>
      <c r="H282" s="19" t="s">
        <v>67</v>
      </c>
      <c r="I282" s="66" t="s">
        <v>3346</v>
      </c>
      <c r="J282" s="64" t="s">
        <v>3347</v>
      </c>
      <c r="K282" s="19" t="s">
        <v>67</v>
      </c>
      <c r="L282" s="65"/>
      <c r="M282" s="65"/>
      <c r="N282" s="65"/>
      <c r="O282" s="65"/>
      <c r="P282" s="65"/>
      <c r="Q282" s="65"/>
      <c r="R282" s="65"/>
      <c r="S282" s="30"/>
    </row>
    <row r="283" hidden="1">
      <c r="A283" s="19" t="s">
        <v>3351</v>
      </c>
      <c r="B283" s="19" t="s">
        <v>3339</v>
      </c>
      <c r="C283" s="19" t="s">
        <v>3352</v>
      </c>
      <c r="D283" s="75" t="s">
        <v>3353</v>
      </c>
      <c r="E283" s="16" t="s">
        <v>67</v>
      </c>
      <c r="F283" s="19" t="s">
        <v>3357</v>
      </c>
      <c r="G283" s="19" t="s">
        <v>3358</v>
      </c>
      <c r="H283" s="19" t="s">
        <v>67</v>
      </c>
      <c r="I283" s="66" t="s">
        <v>3359</v>
      </c>
      <c r="J283" s="64" t="s">
        <v>3360</v>
      </c>
      <c r="K283" s="19" t="s">
        <v>67</v>
      </c>
      <c r="L283" s="65"/>
      <c r="M283" s="65"/>
      <c r="N283" s="65"/>
      <c r="O283" s="65"/>
      <c r="P283" s="65"/>
      <c r="Q283" s="65"/>
      <c r="R283" s="65"/>
      <c r="S283" s="30"/>
    </row>
    <row r="284">
      <c r="A284" s="19" t="s">
        <v>3364</v>
      </c>
      <c r="B284" s="19" t="s">
        <v>50</v>
      </c>
      <c r="C284" s="19" t="s">
        <v>616</v>
      </c>
      <c r="D284" s="75" t="s">
        <v>603</v>
      </c>
      <c r="E284" s="16" t="s">
        <v>67</v>
      </c>
      <c r="F284" s="19" t="s">
        <v>3365</v>
      </c>
      <c r="G284" s="19" t="s">
        <v>3366</v>
      </c>
      <c r="H284" s="19" t="s">
        <v>67</v>
      </c>
      <c r="I284" s="70"/>
      <c r="J284" s="70"/>
      <c r="K284" s="19" t="s">
        <v>67</v>
      </c>
      <c r="L284" s="71"/>
      <c r="M284" s="71"/>
      <c r="N284" s="71"/>
      <c r="O284" s="71"/>
      <c r="P284" s="71"/>
      <c r="Q284" s="71"/>
      <c r="R284" s="71"/>
      <c r="S284" s="30"/>
    </row>
    <row r="285">
      <c r="A285" s="19" t="s">
        <v>3364</v>
      </c>
      <c r="B285" s="19" t="s">
        <v>50</v>
      </c>
      <c r="C285" s="19" t="s">
        <v>3371</v>
      </c>
      <c r="D285" s="75" t="s">
        <v>3374</v>
      </c>
      <c r="E285" s="16" t="s">
        <v>67</v>
      </c>
      <c r="F285" s="19" t="s">
        <v>3375</v>
      </c>
      <c r="G285" s="19" t="s">
        <v>3376</v>
      </c>
      <c r="H285" s="19" t="s">
        <v>67</v>
      </c>
      <c r="I285" s="70"/>
      <c r="J285" s="70"/>
      <c r="K285" s="19" t="s">
        <v>67</v>
      </c>
      <c r="L285" s="71"/>
      <c r="M285" s="71"/>
      <c r="N285" s="71"/>
      <c r="O285" s="71"/>
      <c r="P285" s="71"/>
      <c r="Q285" s="71"/>
      <c r="R285" s="71"/>
      <c r="S285" s="30"/>
    </row>
    <row r="286" hidden="1">
      <c r="A286" s="16" t="s">
        <v>1870</v>
      </c>
      <c r="B286" s="19" t="s">
        <v>50</v>
      </c>
      <c r="C286" s="19" t="s">
        <v>616</v>
      </c>
      <c r="D286" s="19" t="s">
        <v>1128</v>
      </c>
      <c r="E286" s="16" t="str">
        <f>IFERROR(__xludf.DUMMYFUNCTION("filter('INVOICE CODES'!B:B,'INVOICE CODES'!D:D=C286,'INVOICE CODES'!E:E=D286)"),"MC-D400-Red")</f>
        <v>MC-D400-Red</v>
      </c>
      <c r="F286" s="12" t="s">
        <v>3383</v>
      </c>
      <c r="G286" s="76" t="s">
        <v>3384</v>
      </c>
      <c r="H286" s="62">
        <v>45771.0</v>
      </c>
      <c r="I286" s="77" t="s">
        <v>3388</v>
      </c>
      <c r="J286" s="14" t="s">
        <v>3389</v>
      </c>
      <c r="K286" s="19" t="s">
        <v>67</v>
      </c>
      <c r="L286" s="78"/>
      <c r="M286" s="78"/>
      <c r="N286" s="78"/>
      <c r="O286" s="78"/>
      <c r="P286" s="78"/>
      <c r="Q286" s="78"/>
      <c r="R286" s="78"/>
      <c r="S286" s="30"/>
    </row>
    <row r="287" hidden="1">
      <c r="A287" s="16" t="s">
        <v>1870</v>
      </c>
      <c r="B287" s="19" t="s">
        <v>50</v>
      </c>
      <c r="C287" s="19" t="s">
        <v>616</v>
      </c>
      <c r="D287" s="19" t="s">
        <v>1128</v>
      </c>
      <c r="E287" s="16" t="str">
        <f>IFERROR(__xludf.DUMMYFUNCTION("filter('INVOICE CODES'!B:B,'INVOICE CODES'!D:D=C287,'INVOICE CODES'!E:E=D287)"),"MC-D400-Red")</f>
        <v>MC-D400-Red</v>
      </c>
      <c r="F287" s="12" t="s">
        <v>3394</v>
      </c>
      <c r="G287" s="76" t="s">
        <v>3396</v>
      </c>
      <c r="H287" s="62">
        <v>45771.0</v>
      </c>
      <c r="I287" s="77" t="s">
        <v>3398</v>
      </c>
      <c r="J287" s="14" t="s">
        <v>3389</v>
      </c>
      <c r="K287" s="19" t="s">
        <v>67</v>
      </c>
      <c r="L287" s="78"/>
      <c r="M287" s="78"/>
      <c r="N287" s="78"/>
      <c r="O287" s="78"/>
      <c r="P287" s="78"/>
      <c r="Q287" s="78"/>
      <c r="R287" s="78"/>
      <c r="S287" s="30"/>
    </row>
    <row r="288">
      <c r="A288" s="12" t="s">
        <v>3402</v>
      </c>
      <c r="B288" s="19" t="s">
        <v>50</v>
      </c>
      <c r="C288" s="19" t="s">
        <v>52</v>
      </c>
      <c r="D288" s="16" t="s">
        <v>53</v>
      </c>
      <c r="E288" s="16" t="str">
        <f>IFERROR(__xludf.DUMMYFUNCTION("filter('INVOICE CODES'!B:B,'INVOICE CODES'!D:D=C288,'INVOICE CODES'!E:E=D288)"),"MC-R280-Black")</f>
        <v>MC-R280-Black</v>
      </c>
      <c r="F288" s="12" t="s">
        <v>3406</v>
      </c>
      <c r="G288" s="12" t="s">
        <v>3407</v>
      </c>
      <c r="H288" s="17">
        <v>45968.0</v>
      </c>
      <c r="I288" s="79" t="s">
        <v>3409</v>
      </c>
      <c r="J288" s="14">
        <v>410624.0</v>
      </c>
      <c r="K288" s="76" t="s">
        <v>3412</v>
      </c>
      <c r="L288" s="80"/>
      <c r="M288" s="80"/>
      <c r="N288" s="80"/>
      <c r="O288" s="80"/>
      <c r="P288" s="80"/>
      <c r="Q288" s="80"/>
      <c r="R288" s="80"/>
      <c r="S288" s="30"/>
    </row>
    <row r="289">
      <c r="A289" s="12" t="s">
        <v>3402</v>
      </c>
      <c r="B289" s="19" t="s">
        <v>50</v>
      </c>
      <c r="C289" s="19" t="s">
        <v>52</v>
      </c>
      <c r="D289" s="16" t="s">
        <v>53</v>
      </c>
      <c r="E289" s="16" t="str">
        <f>IFERROR(__xludf.DUMMYFUNCTION("filter('INVOICE CODES'!B:B,'INVOICE CODES'!D:D=C289,'INVOICE CODES'!E:E=D289)"),"MC-R280-Black")</f>
        <v>MC-R280-Black</v>
      </c>
      <c r="F289" s="12" t="s">
        <v>3421</v>
      </c>
      <c r="G289" s="12" t="s">
        <v>3423</v>
      </c>
      <c r="H289" s="17">
        <v>45968.0</v>
      </c>
      <c r="I289" s="79" t="s">
        <v>3424</v>
      </c>
      <c r="J289" s="14">
        <v>410624.0</v>
      </c>
      <c r="K289" s="76" t="s">
        <v>3425</v>
      </c>
      <c r="L289" s="80"/>
      <c r="M289" s="80"/>
      <c r="N289" s="80"/>
      <c r="O289" s="80"/>
      <c r="P289" s="80"/>
      <c r="Q289" s="80"/>
      <c r="R289" s="80"/>
      <c r="S289" s="30"/>
    </row>
    <row r="290">
      <c r="A290" s="12" t="s">
        <v>3402</v>
      </c>
      <c r="B290" s="19" t="s">
        <v>50</v>
      </c>
      <c r="C290" s="19" t="s">
        <v>52</v>
      </c>
      <c r="D290" s="16" t="s">
        <v>53</v>
      </c>
      <c r="E290" s="16" t="str">
        <f>IFERROR(__xludf.DUMMYFUNCTION("filter('INVOICE CODES'!B:B,'INVOICE CODES'!D:D=C290,'INVOICE CODES'!E:E=D290)"),"MC-R280-Black")</f>
        <v>MC-R280-Black</v>
      </c>
      <c r="F290" s="12" t="s">
        <v>3432</v>
      </c>
      <c r="G290" s="12" t="s">
        <v>3433</v>
      </c>
      <c r="H290" s="17">
        <v>45968.0</v>
      </c>
      <c r="I290" s="79" t="s">
        <v>3434</v>
      </c>
      <c r="J290" s="14">
        <v>410624.0</v>
      </c>
      <c r="K290" s="76" t="s">
        <v>3435</v>
      </c>
      <c r="L290" s="80"/>
      <c r="M290" s="80"/>
      <c r="N290" s="80"/>
      <c r="O290" s="80"/>
      <c r="P290" s="80"/>
      <c r="Q290" s="80"/>
      <c r="R290" s="80"/>
      <c r="S290" s="30"/>
    </row>
    <row r="291">
      <c r="A291" s="12" t="s">
        <v>3402</v>
      </c>
      <c r="B291" s="19" t="s">
        <v>50</v>
      </c>
      <c r="C291" s="19" t="s">
        <v>52</v>
      </c>
      <c r="D291" s="16" t="s">
        <v>53</v>
      </c>
      <c r="E291" s="16" t="str">
        <f>IFERROR(__xludf.DUMMYFUNCTION("filter('INVOICE CODES'!B:B,'INVOICE CODES'!D:D=C291,'INVOICE CODES'!E:E=D291)"),"MC-R280-Black")</f>
        <v>MC-R280-Black</v>
      </c>
      <c r="F291" s="12" t="s">
        <v>3440</v>
      </c>
      <c r="G291" s="12" t="s">
        <v>3442</v>
      </c>
      <c r="H291" s="17">
        <v>45968.0</v>
      </c>
      <c r="I291" s="79" t="s">
        <v>3444</v>
      </c>
      <c r="J291" s="14">
        <v>410624.0</v>
      </c>
      <c r="K291" s="76" t="s">
        <v>3445</v>
      </c>
      <c r="L291" s="80"/>
      <c r="M291" s="80"/>
      <c r="N291" s="80"/>
      <c r="O291" s="80"/>
      <c r="P291" s="80"/>
      <c r="Q291" s="80"/>
      <c r="R291" s="80"/>
      <c r="S291" s="30"/>
    </row>
    <row r="292">
      <c r="A292" s="12" t="s">
        <v>3402</v>
      </c>
      <c r="B292" s="19" t="s">
        <v>50</v>
      </c>
      <c r="C292" s="19" t="s">
        <v>52</v>
      </c>
      <c r="D292" s="16" t="s">
        <v>53</v>
      </c>
      <c r="E292" s="16" t="str">
        <f>IFERROR(__xludf.DUMMYFUNCTION("filter('INVOICE CODES'!B:B,'INVOICE CODES'!D:D=C292,'INVOICE CODES'!E:E=D292)"),"MC-R280-Black")</f>
        <v>MC-R280-Black</v>
      </c>
      <c r="F292" s="12" t="s">
        <v>3449</v>
      </c>
      <c r="G292" s="12" t="s">
        <v>3450</v>
      </c>
      <c r="H292" s="17">
        <v>45968.0</v>
      </c>
      <c r="I292" s="79" t="s">
        <v>3451</v>
      </c>
      <c r="J292" s="14">
        <v>410624.0</v>
      </c>
      <c r="K292" s="76" t="s">
        <v>3452</v>
      </c>
      <c r="L292" s="80"/>
      <c r="M292" s="80"/>
      <c r="N292" s="80"/>
      <c r="O292" s="80"/>
      <c r="P292" s="80"/>
      <c r="Q292" s="80"/>
      <c r="R292" s="80"/>
      <c r="S292" s="30"/>
    </row>
    <row r="293">
      <c r="A293" s="12" t="s">
        <v>3402</v>
      </c>
      <c r="B293" s="19" t="s">
        <v>50</v>
      </c>
      <c r="C293" s="19" t="s">
        <v>52</v>
      </c>
      <c r="D293" s="16" t="s">
        <v>53</v>
      </c>
      <c r="E293" s="16" t="str">
        <f>IFERROR(__xludf.DUMMYFUNCTION("filter('INVOICE CODES'!B:B,'INVOICE CODES'!D:D=C293,'INVOICE CODES'!E:E=D293)"),"MC-R280-Black")</f>
        <v>MC-R280-Black</v>
      </c>
      <c r="F293" s="12" t="s">
        <v>3456</v>
      </c>
      <c r="G293" s="12" t="s">
        <v>3457</v>
      </c>
      <c r="H293" s="17">
        <v>45968.0</v>
      </c>
      <c r="I293" s="79" t="s">
        <v>3458</v>
      </c>
      <c r="J293" s="14">
        <v>410624.0</v>
      </c>
      <c r="K293" s="76" t="s">
        <v>3459</v>
      </c>
      <c r="L293" s="80"/>
      <c r="M293" s="80"/>
      <c r="N293" s="80"/>
      <c r="O293" s="80"/>
      <c r="P293" s="80"/>
      <c r="Q293" s="80"/>
      <c r="R293" s="80"/>
      <c r="S293" s="30"/>
    </row>
    <row r="294">
      <c r="A294" s="12" t="s">
        <v>3402</v>
      </c>
      <c r="B294" s="19" t="s">
        <v>50</v>
      </c>
      <c r="C294" s="19" t="s">
        <v>52</v>
      </c>
      <c r="D294" s="16" t="s">
        <v>53</v>
      </c>
      <c r="E294" s="16" t="str">
        <f>IFERROR(__xludf.DUMMYFUNCTION("filter('INVOICE CODES'!B:B,'INVOICE CODES'!D:D=C294,'INVOICE CODES'!E:E=D294)"),"MC-R280-Black")</f>
        <v>MC-R280-Black</v>
      </c>
      <c r="F294" s="12" t="s">
        <v>3463</v>
      </c>
      <c r="G294" s="12" t="s">
        <v>3464</v>
      </c>
      <c r="H294" s="17">
        <v>45968.0</v>
      </c>
      <c r="I294" s="79" t="s">
        <v>3465</v>
      </c>
      <c r="J294" s="14">
        <v>410624.0</v>
      </c>
      <c r="K294" s="76" t="s">
        <v>3466</v>
      </c>
      <c r="L294" s="80"/>
      <c r="M294" s="80"/>
      <c r="N294" s="80"/>
      <c r="O294" s="80"/>
      <c r="P294" s="80"/>
      <c r="Q294" s="80"/>
      <c r="R294" s="80"/>
      <c r="S294" s="30"/>
    </row>
    <row r="295">
      <c r="A295" s="12" t="s">
        <v>3402</v>
      </c>
      <c r="B295" s="19" t="s">
        <v>50</v>
      </c>
      <c r="C295" s="19" t="s">
        <v>52</v>
      </c>
      <c r="D295" s="16" t="s">
        <v>53</v>
      </c>
      <c r="E295" s="16" t="str">
        <f>IFERROR(__xludf.DUMMYFUNCTION("filter('INVOICE CODES'!B:B,'INVOICE CODES'!D:D=C295,'INVOICE CODES'!E:E=D295)"),"MC-R280-Black")</f>
        <v>MC-R280-Black</v>
      </c>
      <c r="F295" s="12" t="s">
        <v>3473</v>
      </c>
      <c r="G295" s="12" t="s">
        <v>3474</v>
      </c>
      <c r="H295" s="17">
        <v>45968.0</v>
      </c>
      <c r="I295" s="79" t="s">
        <v>3477</v>
      </c>
      <c r="J295" s="14">
        <v>410624.0</v>
      </c>
      <c r="K295" s="76" t="s">
        <v>3479</v>
      </c>
      <c r="L295" s="80"/>
      <c r="M295" s="80"/>
      <c r="N295" s="80"/>
      <c r="O295" s="80"/>
      <c r="P295" s="80"/>
      <c r="Q295" s="80"/>
      <c r="R295" s="80"/>
      <c r="S295" s="30"/>
    </row>
    <row r="296">
      <c r="A296" s="12" t="s">
        <v>3402</v>
      </c>
      <c r="B296" s="19" t="s">
        <v>50</v>
      </c>
      <c r="C296" s="19" t="s">
        <v>52</v>
      </c>
      <c r="D296" s="16" t="s">
        <v>53</v>
      </c>
      <c r="E296" s="16" t="str">
        <f>IFERROR(__xludf.DUMMYFUNCTION("filter('INVOICE CODES'!B:B,'INVOICE CODES'!D:D=C296,'INVOICE CODES'!E:E=D296)"),"MC-R280-Black")</f>
        <v>MC-R280-Black</v>
      </c>
      <c r="F296" s="12" t="s">
        <v>3483</v>
      </c>
      <c r="G296" s="12" t="s">
        <v>3484</v>
      </c>
      <c r="H296" s="17">
        <v>45968.0</v>
      </c>
      <c r="I296" s="79" t="s">
        <v>3485</v>
      </c>
      <c r="J296" s="14">
        <v>410624.0</v>
      </c>
      <c r="K296" s="76" t="s">
        <v>3488</v>
      </c>
      <c r="L296" s="80"/>
      <c r="M296" s="80"/>
      <c r="N296" s="80"/>
      <c r="O296" s="80"/>
      <c r="P296" s="80"/>
      <c r="Q296" s="80"/>
      <c r="R296" s="80"/>
      <c r="S296" s="30"/>
    </row>
    <row r="297">
      <c r="A297" s="12" t="s">
        <v>3402</v>
      </c>
      <c r="B297" s="19" t="s">
        <v>50</v>
      </c>
      <c r="C297" s="19" t="s">
        <v>52</v>
      </c>
      <c r="D297" s="16" t="s">
        <v>53</v>
      </c>
      <c r="E297" s="16" t="str">
        <f>IFERROR(__xludf.DUMMYFUNCTION("filter('INVOICE CODES'!B:B,'INVOICE CODES'!D:D=C297,'INVOICE CODES'!E:E=D297)"),"MC-R280-Black")</f>
        <v>MC-R280-Black</v>
      </c>
      <c r="F297" s="12" t="s">
        <v>3493</v>
      </c>
      <c r="G297" s="12" t="s">
        <v>3494</v>
      </c>
      <c r="H297" s="17">
        <v>45968.0</v>
      </c>
      <c r="I297" s="79" t="s">
        <v>3495</v>
      </c>
      <c r="J297" s="14">
        <v>410624.0</v>
      </c>
      <c r="K297" s="76" t="s">
        <v>3496</v>
      </c>
      <c r="L297" s="80"/>
      <c r="M297" s="80"/>
      <c r="N297" s="80"/>
      <c r="O297" s="80"/>
      <c r="P297" s="80"/>
      <c r="Q297" s="80"/>
      <c r="R297" s="80"/>
      <c r="S297" s="30"/>
    </row>
    <row r="298">
      <c r="A298" s="12" t="s">
        <v>3402</v>
      </c>
      <c r="B298" s="19" t="s">
        <v>50</v>
      </c>
      <c r="C298" s="19" t="s">
        <v>52</v>
      </c>
      <c r="D298" s="16" t="s">
        <v>53</v>
      </c>
      <c r="E298" s="16" t="str">
        <f>IFERROR(__xludf.DUMMYFUNCTION("filter('INVOICE CODES'!B:B,'INVOICE CODES'!D:D=C298,'INVOICE CODES'!E:E=D298)"),"MC-R280-Black")</f>
        <v>MC-R280-Black</v>
      </c>
      <c r="F298" s="12" t="s">
        <v>3502</v>
      </c>
      <c r="G298" s="12" t="s">
        <v>3504</v>
      </c>
      <c r="H298" s="17">
        <v>45968.0</v>
      </c>
      <c r="I298" s="79" t="s">
        <v>3505</v>
      </c>
      <c r="J298" s="14">
        <v>410624.0</v>
      </c>
      <c r="K298" s="76" t="s">
        <v>3506</v>
      </c>
      <c r="L298" s="80"/>
      <c r="M298" s="80"/>
      <c r="N298" s="80"/>
      <c r="O298" s="80"/>
      <c r="P298" s="80"/>
      <c r="Q298" s="80"/>
      <c r="R298" s="80"/>
      <c r="S298" s="30"/>
    </row>
    <row r="299">
      <c r="A299" s="12" t="s">
        <v>3402</v>
      </c>
      <c r="B299" s="19" t="s">
        <v>50</v>
      </c>
      <c r="C299" s="19" t="s">
        <v>52</v>
      </c>
      <c r="D299" s="16" t="s">
        <v>53</v>
      </c>
      <c r="E299" s="16" t="str">
        <f>IFERROR(__xludf.DUMMYFUNCTION("filter('INVOICE CODES'!B:B,'INVOICE CODES'!D:D=C299,'INVOICE CODES'!E:E=D299)"),"MC-R280-Black")</f>
        <v>MC-R280-Black</v>
      </c>
      <c r="F299" s="12" t="s">
        <v>3510</v>
      </c>
      <c r="G299" s="12" t="s">
        <v>3511</v>
      </c>
      <c r="H299" s="17">
        <v>45968.0</v>
      </c>
      <c r="I299" s="79" t="s">
        <v>3512</v>
      </c>
      <c r="J299" s="14">
        <v>410624.0</v>
      </c>
      <c r="K299" s="76" t="s">
        <v>3513</v>
      </c>
      <c r="L299" s="80"/>
      <c r="M299" s="80"/>
      <c r="N299" s="80"/>
      <c r="O299" s="80"/>
      <c r="P299" s="80"/>
      <c r="Q299" s="80"/>
      <c r="R299" s="80"/>
      <c r="S299" s="30"/>
    </row>
    <row r="300">
      <c r="A300" s="12" t="s">
        <v>3402</v>
      </c>
      <c r="B300" s="19" t="s">
        <v>50</v>
      </c>
      <c r="C300" s="19" t="s">
        <v>52</v>
      </c>
      <c r="D300" s="16" t="s">
        <v>53</v>
      </c>
      <c r="E300" s="16" t="str">
        <f>IFERROR(__xludf.DUMMYFUNCTION("filter('INVOICE CODES'!B:B,'INVOICE CODES'!D:D=C300,'INVOICE CODES'!E:E=D300)"),"MC-R280-Black")</f>
        <v>MC-R280-Black</v>
      </c>
      <c r="F300" s="12" t="s">
        <v>3517</v>
      </c>
      <c r="G300" s="12" t="s">
        <v>3518</v>
      </c>
      <c r="H300" s="17">
        <v>45968.0</v>
      </c>
      <c r="I300" s="79" t="s">
        <v>3519</v>
      </c>
      <c r="J300" s="14">
        <v>410624.0</v>
      </c>
      <c r="K300" s="76" t="s">
        <v>3520</v>
      </c>
      <c r="L300" s="80"/>
      <c r="M300" s="80"/>
      <c r="N300" s="80"/>
      <c r="O300" s="80"/>
      <c r="P300" s="80"/>
      <c r="Q300" s="80"/>
      <c r="R300" s="80"/>
      <c r="S300" s="30"/>
    </row>
    <row r="301">
      <c r="A301" s="12" t="s">
        <v>3402</v>
      </c>
      <c r="B301" s="19" t="s">
        <v>50</v>
      </c>
      <c r="C301" s="19" t="s">
        <v>52</v>
      </c>
      <c r="D301" s="16" t="s">
        <v>53</v>
      </c>
      <c r="E301" s="16" t="str">
        <f>IFERROR(__xludf.DUMMYFUNCTION("filter('INVOICE CODES'!B:B,'INVOICE CODES'!D:D=C301,'INVOICE CODES'!E:E=D301)"),"MC-R280-Black")</f>
        <v>MC-R280-Black</v>
      </c>
      <c r="F301" s="12" t="s">
        <v>3524</v>
      </c>
      <c r="G301" s="12" t="s">
        <v>3525</v>
      </c>
      <c r="H301" s="17">
        <v>45968.0</v>
      </c>
      <c r="I301" s="79" t="s">
        <v>3526</v>
      </c>
      <c r="J301" s="14">
        <v>410624.0</v>
      </c>
      <c r="K301" s="76" t="s">
        <v>3527</v>
      </c>
      <c r="L301" s="80"/>
      <c r="M301" s="80"/>
      <c r="N301" s="80"/>
      <c r="O301" s="80"/>
      <c r="P301" s="80"/>
      <c r="Q301" s="80"/>
      <c r="R301" s="80"/>
      <c r="S301" s="30"/>
    </row>
    <row r="302">
      <c r="A302" s="12" t="s">
        <v>3402</v>
      </c>
      <c r="B302" s="19" t="s">
        <v>50</v>
      </c>
      <c r="C302" s="19" t="s">
        <v>52</v>
      </c>
      <c r="D302" s="16" t="s">
        <v>53</v>
      </c>
      <c r="E302" s="16" t="str">
        <f>IFERROR(__xludf.DUMMYFUNCTION("filter('INVOICE CODES'!B:B,'INVOICE CODES'!D:D=C302,'INVOICE CODES'!E:E=D302)"),"MC-R280-Black")</f>
        <v>MC-R280-Black</v>
      </c>
      <c r="F302" s="12" t="s">
        <v>3531</v>
      </c>
      <c r="G302" s="12" t="s">
        <v>3532</v>
      </c>
      <c r="H302" s="17">
        <v>45968.0</v>
      </c>
      <c r="I302" s="79" t="s">
        <v>3533</v>
      </c>
      <c r="J302" s="14">
        <v>410624.0</v>
      </c>
      <c r="K302" s="76" t="s">
        <v>3534</v>
      </c>
      <c r="L302" s="80"/>
      <c r="M302" s="80"/>
      <c r="N302" s="80"/>
      <c r="O302" s="80"/>
      <c r="P302" s="80"/>
      <c r="Q302" s="80"/>
      <c r="R302" s="80"/>
      <c r="S302" s="30"/>
    </row>
    <row r="303">
      <c r="A303" s="12" t="s">
        <v>3402</v>
      </c>
      <c r="B303" s="19" t="s">
        <v>50</v>
      </c>
      <c r="C303" s="19" t="s">
        <v>52</v>
      </c>
      <c r="D303" s="16" t="s">
        <v>53</v>
      </c>
      <c r="E303" s="16" t="str">
        <f>IFERROR(__xludf.DUMMYFUNCTION("filter('INVOICE CODES'!B:B,'INVOICE CODES'!D:D=C303,'INVOICE CODES'!E:E=D303)"),"MC-R280-Black")</f>
        <v>MC-R280-Black</v>
      </c>
      <c r="F303" s="12" t="s">
        <v>3541</v>
      </c>
      <c r="G303" s="12" t="s">
        <v>3542</v>
      </c>
      <c r="H303" s="17">
        <v>45968.0</v>
      </c>
      <c r="I303" s="79" t="s">
        <v>3543</v>
      </c>
      <c r="J303" s="14">
        <v>410624.0</v>
      </c>
      <c r="K303" s="76" t="s">
        <v>3544</v>
      </c>
      <c r="L303" s="80"/>
      <c r="M303" s="80"/>
      <c r="N303" s="80"/>
      <c r="O303" s="80"/>
      <c r="P303" s="80"/>
      <c r="Q303" s="80"/>
      <c r="R303" s="80"/>
      <c r="S303" s="30"/>
    </row>
    <row r="304">
      <c r="A304" s="12" t="s">
        <v>3402</v>
      </c>
      <c r="B304" s="19" t="s">
        <v>50</v>
      </c>
      <c r="C304" s="19" t="s">
        <v>52</v>
      </c>
      <c r="D304" s="16" t="s">
        <v>53</v>
      </c>
      <c r="E304" s="16" t="str">
        <f>IFERROR(__xludf.DUMMYFUNCTION("filter('INVOICE CODES'!B:B,'INVOICE CODES'!D:D=C304,'INVOICE CODES'!E:E=D304)"),"MC-R280-Black")</f>
        <v>MC-R280-Black</v>
      </c>
      <c r="F304" s="12" t="s">
        <v>3546</v>
      </c>
      <c r="G304" s="12" t="s">
        <v>3548</v>
      </c>
      <c r="H304" s="17">
        <v>45968.0</v>
      </c>
      <c r="I304" s="79" t="s">
        <v>3550</v>
      </c>
      <c r="J304" s="14">
        <v>410624.0</v>
      </c>
      <c r="K304" s="76" t="s">
        <v>3551</v>
      </c>
      <c r="L304" s="80"/>
      <c r="M304" s="80"/>
      <c r="N304" s="80"/>
      <c r="O304" s="80"/>
      <c r="P304" s="80"/>
      <c r="Q304" s="80"/>
      <c r="R304" s="80"/>
      <c r="S304" s="30"/>
    </row>
    <row r="305">
      <c r="A305" s="12" t="s">
        <v>3402</v>
      </c>
      <c r="B305" s="19" t="s">
        <v>50</v>
      </c>
      <c r="C305" s="19" t="s">
        <v>52</v>
      </c>
      <c r="D305" s="16" t="s">
        <v>53</v>
      </c>
      <c r="E305" s="16" t="str">
        <f>IFERROR(__xludf.DUMMYFUNCTION("filter('INVOICE CODES'!B:B,'INVOICE CODES'!D:D=C305,'INVOICE CODES'!E:E=D305)"),"MC-R280-Black")</f>
        <v>MC-R280-Black</v>
      </c>
      <c r="F305" s="12" t="s">
        <v>3552</v>
      </c>
      <c r="G305" s="12" t="s">
        <v>3554</v>
      </c>
      <c r="H305" s="17">
        <v>45968.0</v>
      </c>
      <c r="I305" s="79" t="s">
        <v>3557</v>
      </c>
      <c r="J305" s="14">
        <v>410624.0</v>
      </c>
      <c r="K305" s="76" t="s">
        <v>3558</v>
      </c>
      <c r="L305" s="80"/>
      <c r="M305" s="80"/>
      <c r="N305" s="80"/>
      <c r="O305" s="80"/>
      <c r="P305" s="80"/>
      <c r="Q305" s="80"/>
      <c r="R305" s="80"/>
      <c r="S305" s="30"/>
    </row>
    <row r="306">
      <c r="A306" s="12" t="s">
        <v>3402</v>
      </c>
      <c r="B306" s="19" t="s">
        <v>50</v>
      </c>
      <c r="C306" s="19" t="s">
        <v>52</v>
      </c>
      <c r="D306" s="16" t="s">
        <v>53</v>
      </c>
      <c r="E306" s="16" t="str">
        <f>IFERROR(__xludf.DUMMYFUNCTION("filter('INVOICE CODES'!B:B,'INVOICE CODES'!D:D=C306,'INVOICE CODES'!E:E=D306)"),"MC-R280-Black")</f>
        <v>MC-R280-Black</v>
      </c>
      <c r="F306" s="12" t="s">
        <v>3559</v>
      </c>
      <c r="G306" s="12" t="s">
        <v>3561</v>
      </c>
      <c r="H306" s="17">
        <v>45968.0</v>
      </c>
      <c r="I306" s="79" t="s">
        <v>3563</v>
      </c>
      <c r="J306" s="14">
        <v>410624.0</v>
      </c>
      <c r="K306" s="76" t="s">
        <v>3565</v>
      </c>
      <c r="L306" s="80"/>
      <c r="M306" s="80"/>
      <c r="N306" s="80"/>
      <c r="O306" s="80"/>
      <c r="P306" s="80"/>
      <c r="Q306" s="80"/>
      <c r="R306" s="80"/>
      <c r="S306" s="30"/>
    </row>
    <row r="307">
      <c r="A307" s="12" t="s">
        <v>3402</v>
      </c>
      <c r="B307" s="19" t="s">
        <v>50</v>
      </c>
      <c r="C307" s="19" t="s">
        <v>52</v>
      </c>
      <c r="D307" s="16" t="s">
        <v>53</v>
      </c>
      <c r="E307" s="16" t="str">
        <f>IFERROR(__xludf.DUMMYFUNCTION("filter('INVOICE CODES'!B:B,'INVOICE CODES'!D:D=C307,'INVOICE CODES'!E:E=D307)"),"MC-R280-Black")</f>
        <v>MC-R280-Black</v>
      </c>
      <c r="F307" s="12" t="s">
        <v>3569</v>
      </c>
      <c r="G307" s="12" t="s">
        <v>3570</v>
      </c>
      <c r="H307" s="17">
        <v>45968.0</v>
      </c>
      <c r="I307" s="79" t="s">
        <v>3571</v>
      </c>
      <c r="J307" s="14">
        <v>410624.0</v>
      </c>
      <c r="K307" s="76" t="s">
        <v>3572</v>
      </c>
      <c r="L307" s="80"/>
      <c r="M307" s="80"/>
      <c r="N307" s="80"/>
      <c r="O307" s="80"/>
      <c r="P307" s="80"/>
      <c r="Q307" s="80"/>
      <c r="R307" s="80"/>
      <c r="S307" s="30"/>
    </row>
    <row r="308">
      <c r="A308" s="12" t="s">
        <v>3402</v>
      </c>
      <c r="B308" s="19" t="s">
        <v>50</v>
      </c>
      <c r="C308" s="19" t="s">
        <v>52</v>
      </c>
      <c r="D308" s="16" t="s">
        <v>53</v>
      </c>
      <c r="E308" s="16" t="str">
        <f>IFERROR(__xludf.DUMMYFUNCTION("filter('INVOICE CODES'!B:B,'INVOICE CODES'!D:D=C308,'INVOICE CODES'!E:E=D308)"),"MC-R280-Black")</f>
        <v>MC-R280-Black</v>
      </c>
      <c r="F308" s="12" t="s">
        <v>3576</v>
      </c>
      <c r="G308" s="12" t="s">
        <v>3577</v>
      </c>
      <c r="H308" s="17">
        <v>45968.0</v>
      </c>
      <c r="I308" s="79" t="s">
        <v>3578</v>
      </c>
      <c r="J308" s="14">
        <v>410624.0</v>
      </c>
      <c r="K308" s="76" t="s">
        <v>3579</v>
      </c>
      <c r="L308" s="80"/>
      <c r="M308" s="80"/>
      <c r="N308" s="80"/>
      <c r="O308" s="80"/>
      <c r="P308" s="80"/>
      <c r="Q308" s="80"/>
      <c r="R308" s="80"/>
      <c r="S308" s="30"/>
    </row>
    <row r="309">
      <c r="A309" s="12" t="s">
        <v>3402</v>
      </c>
      <c r="B309" s="19" t="s">
        <v>50</v>
      </c>
      <c r="C309" s="19" t="s">
        <v>52</v>
      </c>
      <c r="D309" s="16" t="s">
        <v>53</v>
      </c>
      <c r="E309" s="16" t="str">
        <f>IFERROR(__xludf.DUMMYFUNCTION("filter('INVOICE CODES'!B:B,'INVOICE CODES'!D:D=C309,'INVOICE CODES'!E:E=D309)"),"MC-R280-Black")</f>
        <v>MC-R280-Black</v>
      </c>
      <c r="F309" s="12" t="s">
        <v>3586</v>
      </c>
      <c r="G309" s="12" t="s">
        <v>3587</v>
      </c>
      <c r="H309" s="17">
        <v>45968.0</v>
      </c>
      <c r="I309" s="79" t="s">
        <v>3588</v>
      </c>
      <c r="J309" s="14">
        <v>410624.0</v>
      </c>
      <c r="K309" s="76" t="s">
        <v>3589</v>
      </c>
      <c r="L309" s="80"/>
      <c r="M309" s="80"/>
      <c r="N309" s="80"/>
      <c r="O309" s="80"/>
      <c r="P309" s="80"/>
      <c r="Q309" s="80"/>
      <c r="R309" s="80"/>
      <c r="S309" s="30"/>
    </row>
    <row r="310">
      <c r="A310" s="12" t="s">
        <v>3402</v>
      </c>
      <c r="B310" s="19" t="s">
        <v>50</v>
      </c>
      <c r="C310" s="19" t="s">
        <v>52</v>
      </c>
      <c r="D310" s="16" t="s">
        <v>53</v>
      </c>
      <c r="E310" s="16" t="str">
        <f>IFERROR(__xludf.DUMMYFUNCTION("filter('INVOICE CODES'!B:B,'INVOICE CODES'!D:D=C310,'INVOICE CODES'!E:E=D310)"),"MC-R280-Black")</f>
        <v>MC-R280-Black</v>
      </c>
      <c r="F310" s="12" t="s">
        <v>3593</v>
      </c>
      <c r="G310" s="12" t="s">
        <v>3594</v>
      </c>
      <c r="H310" s="17">
        <v>45968.0</v>
      </c>
      <c r="I310" s="79" t="s">
        <v>3597</v>
      </c>
      <c r="J310" s="14">
        <v>410624.0</v>
      </c>
      <c r="K310" s="76" t="s">
        <v>3599</v>
      </c>
      <c r="L310" s="80"/>
      <c r="M310" s="80"/>
      <c r="N310" s="80"/>
      <c r="O310" s="80"/>
      <c r="P310" s="80"/>
      <c r="Q310" s="80"/>
      <c r="R310" s="80"/>
      <c r="S310" s="30"/>
    </row>
    <row r="311">
      <c r="A311" s="12" t="s">
        <v>3402</v>
      </c>
      <c r="B311" s="19" t="s">
        <v>50</v>
      </c>
      <c r="C311" s="19" t="s">
        <v>52</v>
      </c>
      <c r="D311" s="16" t="s">
        <v>53</v>
      </c>
      <c r="E311" s="16" t="str">
        <f>IFERROR(__xludf.DUMMYFUNCTION("filter('INVOICE CODES'!B:B,'INVOICE CODES'!D:D=C311,'INVOICE CODES'!E:E=D311)"),"MC-R280-Black")</f>
        <v>MC-R280-Black</v>
      </c>
      <c r="F311" s="12" t="s">
        <v>3601</v>
      </c>
      <c r="G311" s="12" t="s">
        <v>3603</v>
      </c>
      <c r="H311" s="17">
        <v>45968.0</v>
      </c>
      <c r="I311" s="79" t="s">
        <v>3605</v>
      </c>
      <c r="J311" s="14">
        <v>410624.0</v>
      </c>
      <c r="K311" s="76" t="s">
        <v>3606</v>
      </c>
      <c r="L311" s="80"/>
      <c r="M311" s="80"/>
      <c r="N311" s="80"/>
      <c r="O311" s="80"/>
      <c r="P311" s="80"/>
      <c r="Q311" s="80"/>
      <c r="R311" s="80"/>
      <c r="S311" s="30"/>
    </row>
    <row r="312">
      <c r="A312" s="12" t="s">
        <v>3402</v>
      </c>
      <c r="B312" s="19" t="s">
        <v>50</v>
      </c>
      <c r="C312" s="19" t="s">
        <v>52</v>
      </c>
      <c r="D312" s="16" t="s">
        <v>53</v>
      </c>
      <c r="E312" s="16" t="str">
        <f>IFERROR(__xludf.DUMMYFUNCTION("filter('INVOICE CODES'!B:B,'INVOICE CODES'!D:D=C312,'INVOICE CODES'!E:E=D312)"),"MC-R280-Black")</f>
        <v>MC-R280-Black</v>
      </c>
      <c r="F312" s="12" t="s">
        <v>3609</v>
      </c>
      <c r="G312" s="12" t="s">
        <v>3610</v>
      </c>
      <c r="H312" s="17">
        <v>45968.0</v>
      </c>
      <c r="I312" s="79" t="s">
        <v>3612</v>
      </c>
      <c r="J312" s="14">
        <v>410624.0</v>
      </c>
      <c r="K312" s="76" t="s">
        <v>3613</v>
      </c>
      <c r="L312" s="80"/>
      <c r="M312" s="80"/>
      <c r="N312" s="80"/>
      <c r="O312" s="80"/>
      <c r="P312" s="80"/>
      <c r="Q312" s="80"/>
      <c r="R312" s="80"/>
      <c r="S312" s="30"/>
    </row>
    <row r="313">
      <c r="A313" s="12" t="s">
        <v>3402</v>
      </c>
      <c r="B313" s="19" t="s">
        <v>50</v>
      </c>
      <c r="C313" s="19" t="s">
        <v>52</v>
      </c>
      <c r="D313" s="16" t="s">
        <v>53</v>
      </c>
      <c r="E313" s="16" t="str">
        <f>IFERROR(__xludf.DUMMYFUNCTION("filter('INVOICE CODES'!B:B,'INVOICE CODES'!D:D=C313,'INVOICE CODES'!E:E=D313)"),"MC-R280-Black")</f>
        <v>MC-R280-Black</v>
      </c>
      <c r="F313" s="12" t="s">
        <v>3616</v>
      </c>
      <c r="G313" s="12" t="s">
        <v>3618</v>
      </c>
      <c r="H313" s="17">
        <v>45968.0</v>
      </c>
      <c r="I313" s="79" t="s">
        <v>3619</v>
      </c>
      <c r="J313" s="14">
        <v>410624.0</v>
      </c>
      <c r="K313" s="76" t="s">
        <v>3620</v>
      </c>
      <c r="L313" s="80"/>
      <c r="M313" s="80"/>
      <c r="N313" s="80"/>
      <c r="O313" s="80"/>
      <c r="P313" s="80"/>
      <c r="Q313" s="80"/>
      <c r="R313" s="80"/>
      <c r="S313" s="30"/>
    </row>
    <row r="314">
      <c r="A314" s="12" t="s">
        <v>3402</v>
      </c>
      <c r="B314" s="19" t="s">
        <v>50</v>
      </c>
      <c r="C314" s="19" t="s">
        <v>52</v>
      </c>
      <c r="D314" s="16" t="s">
        <v>53</v>
      </c>
      <c r="E314" s="16" t="str">
        <f>IFERROR(__xludf.DUMMYFUNCTION("filter('INVOICE CODES'!B:B,'INVOICE CODES'!D:D=C314,'INVOICE CODES'!E:E=D314)"),"MC-R280-Black")</f>
        <v>MC-R280-Black</v>
      </c>
      <c r="F314" s="12" t="s">
        <v>3624</v>
      </c>
      <c r="G314" s="12" t="s">
        <v>3625</v>
      </c>
      <c r="H314" s="17">
        <v>45968.0</v>
      </c>
      <c r="I314" s="79" t="s">
        <v>3626</v>
      </c>
      <c r="J314" s="14">
        <v>410624.0</v>
      </c>
      <c r="K314" s="76" t="s">
        <v>3627</v>
      </c>
      <c r="L314" s="80"/>
      <c r="M314" s="80"/>
      <c r="N314" s="80"/>
      <c r="O314" s="80"/>
      <c r="P314" s="80"/>
      <c r="Q314" s="80"/>
      <c r="R314" s="80"/>
      <c r="S314" s="30"/>
    </row>
    <row r="315">
      <c r="A315" s="12" t="s">
        <v>3402</v>
      </c>
      <c r="B315" s="19" t="s">
        <v>50</v>
      </c>
      <c r="C315" s="19" t="s">
        <v>52</v>
      </c>
      <c r="D315" s="16" t="s">
        <v>53</v>
      </c>
      <c r="E315" s="16" t="str">
        <f>IFERROR(__xludf.DUMMYFUNCTION("filter('INVOICE CODES'!B:B,'INVOICE CODES'!D:D=C315,'INVOICE CODES'!E:E=D315)"),"MC-R280-Black")</f>
        <v>MC-R280-Black</v>
      </c>
      <c r="F315" s="12" t="s">
        <v>3631</v>
      </c>
      <c r="G315" s="12" t="s">
        <v>3632</v>
      </c>
      <c r="H315" s="17">
        <v>45968.0</v>
      </c>
      <c r="I315" s="79" t="s">
        <v>3634</v>
      </c>
      <c r="J315" s="14">
        <v>410624.0</v>
      </c>
      <c r="K315" s="76" t="s">
        <v>3637</v>
      </c>
      <c r="L315" s="80"/>
      <c r="M315" s="80"/>
      <c r="N315" s="80"/>
      <c r="O315" s="80"/>
      <c r="P315" s="80"/>
      <c r="Q315" s="80"/>
      <c r="R315" s="80"/>
      <c r="S315" s="30"/>
    </row>
    <row r="316">
      <c r="A316" s="12" t="s">
        <v>3402</v>
      </c>
      <c r="B316" s="19" t="s">
        <v>50</v>
      </c>
      <c r="C316" s="19" t="s">
        <v>52</v>
      </c>
      <c r="D316" s="16" t="s">
        <v>53</v>
      </c>
      <c r="E316" s="16" t="str">
        <f>IFERROR(__xludf.DUMMYFUNCTION("filter('INVOICE CODES'!B:B,'INVOICE CODES'!D:D=C316,'INVOICE CODES'!E:E=D316)"),"MC-R280-Black")</f>
        <v>MC-R280-Black</v>
      </c>
      <c r="F316" s="12" t="s">
        <v>3641</v>
      </c>
      <c r="G316" s="12" t="s">
        <v>3642</v>
      </c>
      <c r="H316" s="17">
        <v>45968.0</v>
      </c>
      <c r="I316" s="79" t="s">
        <v>3643</v>
      </c>
      <c r="J316" s="14">
        <v>410624.0</v>
      </c>
      <c r="K316" s="76" t="s">
        <v>3644</v>
      </c>
      <c r="L316" s="80"/>
      <c r="M316" s="80"/>
      <c r="N316" s="80"/>
      <c r="O316" s="80"/>
      <c r="P316" s="80"/>
      <c r="Q316" s="80"/>
      <c r="R316" s="80"/>
      <c r="S316" s="30"/>
    </row>
    <row r="317">
      <c r="A317" s="12" t="s">
        <v>3402</v>
      </c>
      <c r="B317" s="19" t="s">
        <v>50</v>
      </c>
      <c r="C317" s="19" t="s">
        <v>52</v>
      </c>
      <c r="D317" s="16" t="s">
        <v>53</v>
      </c>
      <c r="E317" s="16" t="str">
        <f>IFERROR(__xludf.DUMMYFUNCTION("filter('INVOICE CODES'!B:B,'INVOICE CODES'!D:D=C317,'INVOICE CODES'!E:E=D317)"),"MC-R280-Black")</f>
        <v>MC-R280-Black</v>
      </c>
      <c r="F317" s="12" t="s">
        <v>3649</v>
      </c>
      <c r="G317" s="12" t="s">
        <v>3651</v>
      </c>
      <c r="H317" s="17">
        <v>45968.0</v>
      </c>
      <c r="I317" s="79" t="s">
        <v>3653</v>
      </c>
      <c r="J317" s="14">
        <v>410624.0</v>
      </c>
      <c r="K317" s="76" t="s">
        <v>3654</v>
      </c>
      <c r="L317" s="80"/>
      <c r="M317" s="80"/>
      <c r="N317" s="80"/>
      <c r="O317" s="80"/>
      <c r="P317" s="80"/>
      <c r="Q317" s="80"/>
      <c r="R317" s="80"/>
      <c r="S317" s="30"/>
    </row>
    <row r="318">
      <c r="A318" s="12" t="s">
        <v>3402</v>
      </c>
      <c r="B318" s="19" t="s">
        <v>50</v>
      </c>
      <c r="C318" s="19" t="s">
        <v>52</v>
      </c>
      <c r="D318" s="16" t="s">
        <v>702</v>
      </c>
      <c r="E318" s="16" t="str">
        <f>IFERROR(__xludf.DUMMYFUNCTION("filter('INVOICE CODES'!B:B,'INVOICE CODES'!D:D=C318,'INVOICE CODES'!E:E=D318)"),"MC-R280-White")</f>
        <v>MC-R280-White</v>
      </c>
      <c r="F318" s="12" t="s">
        <v>3661</v>
      </c>
      <c r="G318" s="12" t="s">
        <v>3662</v>
      </c>
      <c r="H318" s="17">
        <v>45968.0</v>
      </c>
      <c r="I318" s="79" t="s">
        <v>3663</v>
      </c>
      <c r="J318" s="14">
        <v>410624.0</v>
      </c>
      <c r="K318" s="76" t="s">
        <v>3664</v>
      </c>
      <c r="L318" s="80"/>
      <c r="M318" s="80"/>
      <c r="N318" s="80"/>
      <c r="O318" s="80"/>
      <c r="P318" s="80"/>
      <c r="Q318" s="80"/>
      <c r="R318" s="80"/>
      <c r="S318" s="30"/>
    </row>
    <row r="319">
      <c r="A319" s="12" t="s">
        <v>3402</v>
      </c>
      <c r="B319" s="19" t="s">
        <v>50</v>
      </c>
      <c r="C319" s="19" t="s">
        <v>52</v>
      </c>
      <c r="D319" s="16" t="s">
        <v>702</v>
      </c>
      <c r="E319" s="16" t="str">
        <f>IFERROR(__xludf.DUMMYFUNCTION("filter('INVOICE CODES'!B:B,'INVOICE CODES'!D:D=C319,'INVOICE CODES'!E:E=D319)"),"MC-R280-White")</f>
        <v>MC-R280-White</v>
      </c>
      <c r="F319" s="12" t="s">
        <v>3668</v>
      </c>
      <c r="G319" s="12" t="s">
        <v>3669</v>
      </c>
      <c r="H319" s="17">
        <v>45968.0</v>
      </c>
      <c r="I319" s="79" t="s">
        <v>3670</v>
      </c>
      <c r="J319" s="14">
        <v>410624.0</v>
      </c>
      <c r="K319" s="76" t="s">
        <v>3674</v>
      </c>
      <c r="L319" s="80"/>
      <c r="M319" s="80"/>
      <c r="N319" s="80"/>
      <c r="O319" s="80"/>
      <c r="P319" s="80"/>
      <c r="Q319" s="80"/>
      <c r="R319" s="80"/>
      <c r="S319" s="30"/>
    </row>
    <row r="320">
      <c r="A320" s="12" t="s">
        <v>3402</v>
      </c>
      <c r="B320" s="19" t="s">
        <v>50</v>
      </c>
      <c r="C320" s="19" t="s">
        <v>52</v>
      </c>
      <c r="D320" s="16" t="s">
        <v>702</v>
      </c>
      <c r="E320" s="16" t="str">
        <f>IFERROR(__xludf.DUMMYFUNCTION("filter('INVOICE CODES'!B:B,'INVOICE CODES'!D:D=C320,'INVOICE CODES'!E:E=D320)"),"MC-R280-White")</f>
        <v>MC-R280-White</v>
      </c>
      <c r="F320" s="12" t="s">
        <v>3678</v>
      </c>
      <c r="G320" s="12" t="s">
        <v>3679</v>
      </c>
      <c r="H320" s="17">
        <v>45968.0</v>
      </c>
      <c r="I320" s="79" t="s">
        <v>3680</v>
      </c>
      <c r="J320" s="14">
        <v>410624.0</v>
      </c>
      <c r="K320" s="76" t="s">
        <v>3681</v>
      </c>
      <c r="L320" s="80"/>
      <c r="M320" s="80"/>
      <c r="N320" s="80"/>
      <c r="O320" s="80"/>
      <c r="P320" s="80"/>
      <c r="Q320" s="80"/>
      <c r="R320" s="80"/>
      <c r="S320" s="30"/>
    </row>
    <row r="321">
      <c r="A321" s="12" t="s">
        <v>3402</v>
      </c>
      <c r="B321" s="19" t="s">
        <v>50</v>
      </c>
      <c r="C321" s="19" t="s">
        <v>52</v>
      </c>
      <c r="D321" s="16" t="s">
        <v>702</v>
      </c>
      <c r="E321" s="16" t="str">
        <f>IFERROR(__xludf.DUMMYFUNCTION("filter('INVOICE CODES'!B:B,'INVOICE CODES'!D:D=C321,'INVOICE CODES'!E:E=D321)"),"MC-R280-White")</f>
        <v>MC-R280-White</v>
      </c>
      <c r="F321" s="12" t="s">
        <v>3685</v>
      </c>
      <c r="G321" s="12" t="s">
        <v>3686</v>
      </c>
      <c r="H321" s="17">
        <v>45968.0</v>
      </c>
      <c r="I321" s="79" t="s">
        <v>3690</v>
      </c>
      <c r="J321" s="14">
        <v>410624.0</v>
      </c>
      <c r="K321" s="76" t="s">
        <v>3691</v>
      </c>
      <c r="L321" s="80"/>
      <c r="M321" s="80"/>
      <c r="N321" s="80"/>
      <c r="O321" s="80"/>
      <c r="P321" s="80"/>
      <c r="Q321" s="80"/>
      <c r="R321" s="80"/>
      <c r="S321" s="30"/>
    </row>
    <row r="322">
      <c r="A322" s="12" t="s">
        <v>3402</v>
      </c>
      <c r="B322" s="19" t="s">
        <v>50</v>
      </c>
      <c r="C322" s="19" t="s">
        <v>52</v>
      </c>
      <c r="D322" s="16" t="s">
        <v>702</v>
      </c>
      <c r="E322" s="16" t="str">
        <f>IFERROR(__xludf.DUMMYFUNCTION("filter('INVOICE CODES'!B:B,'INVOICE CODES'!D:D=C322,'INVOICE CODES'!E:E=D322)"),"MC-R280-White")</f>
        <v>MC-R280-White</v>
      </c>
      <c r="F322" s="12" t="s">
        <v>3695</v>
      </c>
      <c r="G322" s="12" t="s">
        <v>3696</v>
      </c>
      <c r="H322" s="17">
        <v>45968.0</v>
      </c>
      <c r="I322" s="79" t="s">
        <v>3697</v>
      </c>
      <c r="J322" s="14">
        <v>410624.0</v>
      </c>
      <c r="K322" s="76" t="s">
        <v>3698</v>
      </c>
      <c r="L322" s="80"/>
      <c r="M322" s="80"/>
      <c r="N322" s="80"/>
      <c r="O322" s="80"/>
      <c r="P322" s="80"/>
      <c r="Q322" s="80"/>
      <c r="R322" s="80"/>
      <c r="S322" s="30"/>
    </row>
    <row r="323">
      <c r="A323" s="12" t="s">
        <v>3402</v>
      </c>
      <c r="B323" s="19" t="s">
        <v>50</v>
      </c>
      <c r="C323" s="19" t="s">
        <v>52</v>
      </c>
      <c r="D323" s="16" t="s">
        <v>702</v>
      </c>
      <c r="E323" s="16" t="str">
        <f>IFERROR(__xludf.DUMMYFUNCTION("filter('INVOICE CODES'!B:B,'INVOICE CODES'!D:D=C323,'INVOICE CODES'!E:E=D323)"),"MC-R280-White")</f>
        <v>MC-R280-White</v>
      </c>
      <c r="F323" s="12" t="s">
        <v>3703</v>
      </c>
      <c r="G323" s="12" t="s">
        <v>3705</v>
      </c>
      <c r="H323" s="17">
        <v>45968.0</v>
      </c>
      <c r="I323" s="79" t="s">
        <v>3707</v>
      </c>
      <c r="J323" s="14">
        <v>410624.0</v>
      </c>
      <c r="K323" s="76" t="s">
        <v>3708</v>
      </c>
      <c r="L323" s="80"/>
      <c r="M323" s="80"/>
      <c r="N323" s="80"/>
      <c r="O323" s="80"/>
      <c r="P323" s="80"/>
      <c r="Q323" s="80"/>
      <c r="R323" s="80"/>
      <c r="S323" s="30"/>
    </row>
    <row r="324">
      <c r="A324" s="12" t="s">
        <v>3402</v>
      </c>
      <c r="B324" s="19" t="s">
        <v>50</v>
      </c>
      <c r="C324" s="19" t="s">
        <v>52</v>
      </c>
      <c r="D324" s="16" t="s">
        <v>702</v>
      </c>
      <c r="E324" s="16" t="str">
        <f>IFERROR(__xludf.DUMMYFUNCTION("filter('INVOICE CODES'!B:B,'INVOICE CODES'!D:D=C324,'INVOICE CODES'!E:E=D324)"),"MC-R280-White")</f>
        <v>MC-R280-White</v>
      </c>
      <c r="F324" s="12" t="s">
        <v>3712</v>
      </c>
      <c r="G324" s="12" t="s">
        <v>3713</v>
      </c>
      <c r="H324" s="17">
        <v>45968.0</v>
      </c>
      <c r="I324" s="79" t="s">
        <v>3715</v>
      </c>
      <c r="J324" s="14">
        <v>410624.0</v>
      </c>
      <c r="K324" s="76" t="s">
        <v>3717</v>
      </c>
      <c r="L324" s="80"/>
      <c r="M324" s="80"/>
      <c r="N324" s="80"/>
      <c r="O324" s="80"/>
      <c r="P324" s="80"/>
      <c r="Q324" s="80"/>
      <c r="R324" s="80"/>
      <c r="S324" s="30"/>
    </row>
    <row r="325">
      <c r="A325" s="12" t="s">
        <v>3402</v>
      </c>
      <c r="B325" s="19" t="s">
        <v>50</v>
      </c>
      <c r="C325" s="19" t="s">
        <v>52</v>
      </c>
      <c r="D325" s="16" t="s">
        <v>702</v>
      </c>
      <c r="E325" s="16" t="str">
        <f>IFERROR(__xludf.DUMMYFUNCTION("filter('INVOICE CODES'!B:B,'INVOICE CODES'!D:D=C325,'INVOICE CODES'!E:E=D325)"),"MC-R280-White")</f>
        <v>MC-R280-White</v>
      </c>
      <c r="F325" s="12" t="s">
        <v>3719</v>
      </c>
      <c r="G325" s="12" t="s">
        <v>3720</v>
      </c>
      <c r="H325" s="17">
        <v>45968.0</v>
      </c>
      <c r="I325" s="79" t="s">
        <v>3723</v>
      </c>
      <c r="J325" s="14">
        <v>410624.0</v>
      </c>
      <c r="K325" s="76" t="s">
        <v>3725</v>
      </c>
      <c r="L325" s="80"/>
      <c r="M325" s="80"/>
      <c r="N325" s="80"/>
      <c r="O325" s="80"/>
      <c r="P325" s="80"/>
      <c r="Q325" s="80"/>
      <c r="R325" s="80"/>
      <c r="S325" s="30"/>
    </row>
    <row r="326">
      <c r="A326" s="12" t="s">
        <v>3402</v>
      </c>
      <c r="B326" s="19" t="s">
        <v>50</v>
      </c>
      <c r="C326" s="19" t="s">
        <v>52</v>
      </c>
      <c r="D326" s="16" t="s">
        <v>702</v>
      </c>
      <c r="E326" s="16" t="str">
        <f>IFERROR(__xludf.DUMMYFUNCTION("filter('INVOICE CODES'!B:B,'INVOICE CODES'!D:D=C326,'INVOICE CODES'!E:E=D326)"),"MC-R280-White")</f>
        <v>MC-R280-White</v>
      </c>
      <c r="F326" s="12" t="s">
        <v>3727</v>
      </c>
      <c r="G326" s="12" t="s">
        <v>3729</v>
      </c>
      <c r="H326" s="17">
        <v>45968.0</v>
      </c>
      <c r="I326" s="79" t="s">
        <v>3731</v>
      </c>
      <c r="J326" s="14">
        <v>410624.0</v>
      </c>
      <c r="K326" s="76" t="s">
        <v>3732</v>
      </c>
      <c r="L326" s="80"/>
      <c r="M326" s="80"/>
      <c r="N326" s="80"/>
      <c r="O326" s="80"/>
      <c r="P326" s="80"/>
      <c r="Q326" s="80"/>
      <c r="R326" s="80"/>
      <c r="S326" s="30"/>
    </row>
    <row r="327">
      <c r="A327" s="12" t="s">
        <v>3402</v>
      </c>
      <c r="B327" s="19" t="s">
        <v>50</v>
      </c>
      <c r="C327" s="19" t="s">
        <v>52</v>
      </c>
      <c r="D327" s="16" t="s">
        <v>702</v>
      </c>
      <c r="E327" s="16" t="str">
        <f>IFERROR(__xludf.DUMMYFUNCTION("filter('INVOICE CODES'!B:B,'INVOICE CODES'!D:D=C327,'INVOICE CODES'!E:E=D327)"),"MC-R280-White")</f>
        <v>MC-R280-White</v>
      </c>
      <c r="F327" s="12" t="s">
        <v>3735</v>
      </c>
      <c r="G327" s="12" t="s">
        <v>3736</v>
      </c>
      <c r="H327" s="17">
        <v>45968.0</v>
      </c>
      <c r="I327" s="79" t="s">
        <v>3738</v>
      </c>
      <c r="J327" s="14">
        <v>410624.0</v>
      </c>
      <c r="K327" s="76" t="s">
        <v>3739</v>
      </c>
      <c r="L327" s="80"/>
      <c r="M327" s="80"/>
      <c r="N327" s="80"/>
      <c r="O327" s="80"/>
      <c r="P327" s="80"/>
      <c r="Q327" s="80"/>
      <c r="R327" s="80"/>
      <c r="S327" s="30"/>
    </row>
    <row r="328">
      <c r="A328" s="12" t="s">
        <v>3402</v>
      </c>
      <c r="B328" s="19" t="s">
        <v>50</v>
      </c>
      <c r="C328" s="19" t="s">
        <v>52</v>
      </c>
      <c r="D328" s="16" t="s">
        <v>702</v>
      </c>
      <c r="E328" s="16" t="str">
        <f>IFERROR(__xludf.DUMMYFUNCTION("filter('INVOICE CODES'!B:B,'INVOICE CODES'!D:D=C328,'INVOICE CODES'!E:E=D328)"),"MC-R280-White")</f>
        <v>MC-R280-White</v>
      </c>
      <c r="F328" s="12" t="s">
        <v>3743</v>
      </c>
      <c r="G328" s="12" t="s">
        <v>3744</v>
      </c>
      <c r="H328" s="17">
        <v>45968.0</v>
      </c>
      <c r="I328" s="79" t="s">
        <v>3745</v>
      </c>
      <c r="J328" s="14">
        <v>410624.0</v>
      </c>
      <c r="K328" s="76" t="s">
        <v>3746</v>
      </c>
      <c r="L328" s="80"/>
      <c r="M328" s="80"/>
      <c r="N328" s="80"/>
      <c r="O328" s="80"/>
      <c r="P328" s="80"/>
      <c r="Q328" s="80"/>
      <c r="R328" s="80"/>
      <c r="S328" s="30"/>
    </row>
    <row r="329">
      <c r="A329" s="12" t="s">
        <v>3402</v>
      </c>
      <c r="B329" s="19" t="s">
        <v>50</v>
      </c>
      <c r="C329" s="19" t="s">
        <v>52</v>
      </c>
      <c r="D329" s="16" t="s">
        <v>702</v>
      </c>
      <c r="E329" s="16" t="str">
        <f>IFERROR(__xludf.DUMMYFUNCTION("filter('INVOICE CODES'!B:B,'INVOICE CODES'!D:D=C329,'INVOICE CODES'!E:E=D329)"),"MC-R280-White")</f>
        <v>MC-R280-White</v>
      </c>
      <c r="F329" s="12" t="s">
        <v>3750</v>
      </c>
      <c r="G329" s="12" t="s">
        <v>3751</v>
      </c>
      <c r="H329" s="17">
        <v>45968.0</v>
      </c>
      <c r="I329" s="79" t="s">
        <v>3752</v>
      </c>
      <c r="J329" s="14">
        <v>410624.0</v>
      </c>
      <c r="K329" s="76" t="s">
        <v>3753</v>
      </c>
      <c r="L329" s="80"/>
      <c r="M329" s="80"/>
      <c r="N329" s="80"/>
      <c r="O329" s="80"/>
      <c r="P329" s="80"/>
      <c r="Q329" s="80"/>
      <c r="R329" s="80"/>
      <c r="S329" s="30"/>
    </row>
    <row r="330">
      <c r="A330" s="12" t="s">
        <v>3402</v>
      </c>
      <c r="B330" s="19" t="s">
        <v>50</v>
      </c>
      <c r="C330" s="19" t="s">
        <v>52</v>
      </c>
      <c r="D330" s="16" t="s">
        <v>702</v>
      </c>
      <c r="E330" s="16" t="str">
        <f>IFERROR(__xludf.DUMMYFUNCTION("filter('INVOICE CODES'!B:B,'INVOICE CODES'!D:D=C330,'INVOICE CODES'!E:E=D330)"),"MC-R280-White")</f>
        <v>MC-R280-White</v>
      </c>
      <c r="F330" s="12" t="s">
        <v>3760</v>
      </c>
      <c r="G330" s="12" t="s">
        <v>3761</v>
      </c>
      <c r="H330" s="17">
        <v>45968.0</v>
      </c>
      <c r="I330" s="79" t="s">
        <v>3762</v>
      </c>
      <c r="J330" s="14">
        <v>410624.0</v>
      </c>
      <c r="K330" s="76" t="s">
        <v>3763</v>
      </c>
      <c r="L330" s="80"/>
      <c r="M330" s="80"/>
      <c r="N330" s="80"/>
      <c r="O330" s="80"/>
      <c r="P330" s="80"/>
      <c r="Q330" s="80"/>
      <c r="R330" s="80"/>
      <c r="S330" s="30"/>
    </row>
    <row r="331">
      <c r="A331" s="12" t="s">
        <v>3402</v>
      </c>
      <c r="B331" s="19" t="s">
        <v>50</v>
      </c>
      <c r="C331" s="19" t="s">
        <v>52</v>
      </c>
      <c r="D331" s="16" t="s">
        <v>702</v>
      </c>
      <c r="E331" s="16" t="str">
        <f>IFERROR(__xludf.DUMMYFUNCTION("filter('INVOICE CODES'!B:B,'INVOICE CODES'!D:D=C331,'INVOICE CODES'!E:E=D331)"),"MC-R280-White")</f>
        <v>MC-R280-White</v>
      </c>
      <c r="F331" s="12" t="s">
        <v>3770</v>
      </c>
      <c r="G331" s="12" t="s">
        <v>3771</v>
      </c>
      <c r="H331" s="17">
        <v>45968.0</v>
      </c>
      <c r="I331" s="79" t="s">
        <v>3772</v>
      </c>
      <c r="J331" s="14">
        <v>410624.0</v>
      </c>
      <c r="K331" s="76" t="s">
        <v>3773</v>
      </c>
      <c r="L331" s="80"/>
      <c r="M331" s="80"/>
      <c r="N331" s="80"/>
      <c r="O331" s="80"/>
      <c r="P331" s="80"/>
      <c r="Q331" s="80"/>
      <c r="R331" s="80"/>
      <c r="S331" s="30"/>
    </row>
    <row r="332">
      <c r="A332" s="12" t="s">
        <v>3402</v>
      </c>
      <c r="B332" s="19" t="s">
        <v>50</v>
      </c>
      <c r="C332" s="19" t="s">
        <v>52</v>
      </c>
      <c r="D332" s="16" t="s">
        <v>702</v>
      </c>
      <c r="E332" s="16" t="str">
        <f>IFERROR(__xludf.DUMMYFUNCTION("filter('INVOICE CODES'!B:B,'INVOICE CODES'!D:D=C332,'INVOICE CODES'!E:E=D332)"),"MC-R280-White")</f>
        <v>MC-R280-White</v>
      </c>
      <c r="F332" s="12" t="s">
        <v>3779</v>
      </c>
      <c r="G332" s="12" t="s">
        <v>3781</v>
      </c>
      <c r="H332" s="17">
        <v>45968.0</v>
      </c>
      <c r="I332" s="79" t="s">
        <v>3782</v>
      </c>
      <c r="J332" s="14">
        <v>410624.0</v>
      </c>
      <c r="K332" s="76" t="s">
        <v>3783</v>
      </c>
      <c r="L332" s="80"/>
      <c r="M332" s="80"/>
      <c r="N332" s="80"/>
      <c r="O332" s="80"/>
      <c r="P332" s="80"/>
      <c r="Q332" s="80"/>
      <c r="R332" s="80"/>
      <c r="S332" s="30"/>
    </row>
    <row r="333">
      <c r="A333" s="12" t="s">
        <v>3402</v>
      </c>
      <c r="B333" s="19" t="s">
        <v>50</v>
      </c>
      <c r="C333" s="19" t="s">
        <v>52</v>
      </c>
      <c r="D333" s="16" t="s">
        <v>702</v>
      </c>
      <c r="E333" s="16" t="str">
        <f>IFERROR(__xludf.DUMMYFUNCTION("filter('INVOICE CODES'!B:B,'INVOICE CODES'!D:D=C333,'INVOICE CODES'!E:E=D333)"),"MC-R280-White")</f>
        <v>MC-R280-White</v>
      </c>
      <c r="F333" s="12" t="s">
        <v>3787</v>
      </c>
      <c r="G333" s="12" t="s">
        <v>3788</v>
      </c>
      <c r="H333" s="17">
        <v>45968.0</v>
      </c>
      <c r="I333" s="79" t="s">
        <v>3790</v>
      </c>
      <c r="J333" s="14">
        <v>410624.0</v>
      </c>
      <c r="K333" s="76" t="s">
        <v>3793</v>
      </c>
      <c r="L333" s="80"/>
      <c r="M333" s="80"/>
      <c r="N333" s="80"/>
      <c r="O333" s="80"/>
      <c r="P333" s="80"/>
      <c r="Q333" s="80"/>
      <c r="R333" s="80"/>
      <c r="S333" s="30"/>
    </row>
    <row r="334">
      <c r="A334" s="12" t="s">
        <v>3402</v>
      </c>
      <c r="B334" s="19" t="s">
        <v>50</v>
      </c>
      <c r="C334" s="19" t="s">
        <v>52</v>
      </c>
      <c r="D334" s="16" t="s">
        <v>702</v>
      </c>
      <c r="E334" s="16" t="str">
        <f>IFERROR(__xludf.DUMMYFUNCTION("filter('INVOICE CODES'!B:B,'INVOICE CODES'!D:D=C334,'INVOICE CODES'!E:E=D334)"),"MC-R280-White")</f>
        <v>MC-R280-White</v>
      </c>
      <c r="F334" s="12" t="s">
        <v>3796</v>
      </c>
      <c r="G334" s="12" t="s">
        <v>3798</v>
      </c>
      <c r="H334" s="17">
        <v>45968.0</v>
      </c>
      <c r="I334" s="79" t="s">
        <v>3799</v>
      </c>
      <c r="J334" s="14">
        <v>410624.0</v>
      </c>
      <c r="K334" s="76" t="s">
        <v>3800</v>
      </c>
      <c r="L334" s="80"/>
      <c r="M334" s="80"/>
      <c r="N334" s="80"/>
      <c r="O334" s="80"/>
      <c r="P334" s="80"/>
      <c r="Q334" s="80"/>
      <c r="R334" s="80"/>
      <c r="S334" s="30"/>
    </row>
    <row r="335">
      <c r="A335" s="12" t="s">
        <v>3402</v>
      </c>
      <c r="B335" s="19" t="s">
        <v>50</v>
      </c>
      <c r="C335" s="19" t="s">
        <v>52</v>
      </c>
      <c r="D335" s="16" t="s">
        <v>702</v>
      </c>
      <c r="E335" s="16" t="str">
        <f>IFERROR(__xludf.DUMMYFUNCTION("filter('INVOICE CODES'!B:B,'INVOICE CODES'!D:D=C335,'INVOICE CODES'!E:E=D335)"),"MC-R280-White")</f>
        <v>MC-R280-White</v>
      </c>
      <c r="F335" s="12" t="s">
        <v>3804</v>
      </c>
      <c r="G335" s="12" t="s">
        <v>3805</v>
      </c>
      <c r="H335" s="17">
        <v>45968.0</v>
      </c>
      <c r="I335" s="79" t="s">
        <v>3808</v>
      </c>
      <c r="J335" s="14">
        <v>410624.0</v>
      </c>
      <c r="K335" s="76" t="s">
        <v>3810</v>
      </c>
      <c r="L335" s="80"/>
      <c r="M335" s="80"/>
      <c r="N335" s="80"/>
      <c r="O335" s="80"/>
      <c r="P335" s="80"/>
      <c r="Q335" s="80"/>
      <c r="R335" s="80"/>
      <c r="S335" s="30"/>
    </row>
    <row r="336">
      <c r="A336" s="12" t="s">
        <v>3402</v>
      </c>
      <c r="B336" s="19" t="s">
        <v>50</v>
      </c>
      <c r="C336" s="19" t="s">
        <v>52</v>
      </c>
      <c r="D336" s="16" t="s">
        <v>702</v>
      </c>
      <c r="E336" s="16" t="str">
        <f>IFERROR(__xludf.DUMMYFUNCTION("filter('INVOICE CODES'!B:B,'INVOICE CODES'!D:D=C336,'INVOICE CODES'!E:E=D336)"),"MC-R280-White")</f>
        <v>MC-R280-White</v>
      </c>
      <c r="F336" s="12" t="s">
        <v>3814</v>
      </c>
      <c r="G336" s="12" t="s">
        <v>3815</v>
      </c>
      <c r="H336" s="17">
        <v>45968.0</v>
      </c>
      <c r="I336" s="79" t="s">
        <v>3817</v>
      </c>
      <c r="J336" s="14">
        <v>410624.0</v>
      </c>
      <c r="K336" s="76" t="s">
        <v>3820</v>
      </c>
      <c r="L336" s="80"/>
      <c r="M336" s="80"/>
      <c r="N336" s="80"/>
      <c r="O336" s="80"/>
      <c r="P336" s="80"/>
      <c r="Q336" s="80"/>
      <c r="R336" s="80"/>
      <c r="S336" s="30"/>
    </row>
    <row r="337">
      <c r="A337" s="12" t="s">
        <v>3402</v>
      </c>
      <c r="B337" s="19" t="s">
        <v>50</v>
      </c>
      <c r="C337" s="19" t="s">
        <v>52</v>
      </c>
      <c r="D337" s="16" t="s">
        <v>702</v>
      </c>
      <c r="E337" s="16" t="str">
        <f>IFERROR(__xludf.DUMMYFUNCTION("filter('INVOICE CODES'!B:B,'INVOICE CODES'!D:D=C337,'INVOICE CODES'!E:E=D337)"),"MC-R280-White")</f>
        <v>MC-R280-White</v>
      </c>
      <c r="F337" s="12" t="s">
        <v>3824</v>
      </c>
      <c r="G337" s="12" t="s">
        <v>3825</v>
      </c>
      <c r="H337" s="17">
        <v>45968.0</v>
      </c>
      <c r="I337" s="79" t="s">
        <v>3826</v>
      </c>
      <c r="J337" s="14">
        <v>410624.0</v>
      </c>
      <c r="K337" s="76" t="s">
        <v>3829</v>
      </c>
      <c r="L337" s="80"/>
      <c r="M337" s="80"/>
      <c r="N337" s="80"/>
      <c r="O337" s="80"/>
      <c r="P337" s="80"/>
      <c r="Q337" s="80"/>
      <c r="R337" s="80"/>
      <c r="S337" s="30"/>
    </row>
    <row r="338">
      <c r="A338" s="12" t="s">
        <v>3402</v>
      </c>
      <c r="B338" s="19" t="s">
        <v>50</v>
      </c>
      <c r="C338" s="19" t="s">
        <v>52</v>
      </c>
      <c r="D338" s="16" t="s">
        <v>702</v>
      </c>
      <c r="E338" s="16" t="str">
        <f>IFERROR(__xludf.DUMMYFUNCTION("filter('INVOICE CODES'!B:B,'INVOICE CODES'!D:D=C338,'INVOICE CODES'!E:E=D338)"),"MC-R280-White")</f>
        <v>MC-R280-White</v>
      </c>
      <c r="F338" s="12" t="s">
        <v>3832</v>
      </c>
      <c r="G338" s="12" t="s">
        <v>3834</v>
      </c>
      <c r="H338" s="17">
        <v>45968.0</v>
      </c>
      <c r="I338" s="79" t="s">
        <v>3836</v>
      </c>
      <c r="J338" s="14">
        <v>410624.0</v>
      </c>
      <c r="K338" s="76" t="s">
        <v>3837</v>
      </c>
      <c r="L338" s="80"/>
      <c r="M338" s="80"/>
      <c r="N338" s="80"/>
      <c r="O338" s="80"/>
      <c r="P338" s="80"/>
      <c r="Q338" s="80"/>
      <c r="R338" s="80"/>
      <c r="S338" s="30"/>
    </row>
    <row r="339">
      <c r="A339" s="12" t="s">
        <v>3402</v>
      </c>
      <c r="B339" s="19" t="s">
        <v>50</v>
      </c>
      <c r="C339" s="19" t="s">
        <v>52</v>
      </c>
      <c r="D339" s="16" t="s">
        <v>702</v>
      </c>
      <c r="E339" s="16" t="str">
        <f>IFERROR(__xludf.DUMMYFUNCTION("filter('INVOICE CODES'!B:B,'INVOICE CODES'!D:D=C339,'INVOICE CODES'!E:E=D339)"),"MC-R280-White")</f>
        <v>MC-R280-White</v>
      </c>
      <c r="F339" s="12" t="s">
        <v>3841</v>
      </c>
      <c r="G339" s="12" t="s">
        <v>3842</v>
      </c>
      <c r="H339" s="17">
        <v>45968.0</v>
      </c>
      <c r="I339" s="79" t="s">
        <v>3843</v>
      </c>
      <c r="J339" s="14">
        <v>410624.0</v>
      </c>
      <c r="K339" s="76" t="s">
        <v>3844</v>
      </c>
      <c r="L339" s="80"/>
      <c r="M339" s="80"/>
      <c r="N339" s="80"/>
      <c r="O339" s="80"/>
      <c r="P339" s="80"/>
      <c r="Q339" s="80"/>
      <c r="R339" s="80"/>
      <c r="S339" s="30"/>
    </row>
    <row r="340">
      <c r="A340" s="12" t="s">
        <v>3402</v>
      </c>
      <c r="B340" s="19" t="s">
        <v>50</v>
      </c>
      <c r="C340" s="19" t="s">
        <v>52</v>
      </c>
      <c r="D340" s="16" t="s">
        <v>702</v>
      </c>
      <c r="E340" s="16" t="str">
        <f>IFERROR(__xludf.DUMMYFUNCTION("filter('INVOICE CODES'!B:B,'INVOICE CODES'!D:D=C340,'INVOICE CODES'!E:E=D340)"),"MC-R280-White")</f>
        <v>MC-R280-White</v>
      </c>
      <c r="F340" s="12" t="s">
        <v>3848</v>
      </c>
      <c r="G340" s="12" t="s">
        <v>3849</v>
      </c>
      <c r="H340" s="17">
        <v>45968.0</v>
      </c>
      <c r="I340" s="79" t="s">
        <v>3850</v>
      </c>
      <c r="J340" s="14">
        <v>410624.0</v>
      </c>
      <c r="K340" s="76" t="s">
        <v>3851</v>
      </c>
      <c r="L340" s="80"/>
      <c r="M340" s="80"/>
      <c r="N340" s="80"/>
      <c r="O340" s="80"/>
      <c r="P340" s="80"/>
      <c r="Q340" s="80"/>
      <c r="R340" s="80"/>
      <c r="S340" s="30"/>
    </row>
    <row r="341">
      <c r="A341" s="12" t="s">
        <v>3402</v>
      </c>
      <c r="B341" s="19" t="s">
        <v>50</v>
      </c>
      <c r="C341" s="19" t="s">
        <v>52</v>
      </c>
      <c r="D341" s="16" t="s">
        <v>702</v>
      </c>
      <c r="E341" s="16" t="str">
        <f>IFERROR(__xludf.DUMMYFUNCTION("filter('INVOICE CODES'!B:B,'INVOICE CODES'!D:D=C341,'INVOICE CODES'!E:E=D341)"),"MC-R280-White")</f>
        <v>MC-R280-White</v>
      </c>
      <c r="F341" s="12" t="s">
        <v>3855</v>
      </c>
      <c r="G341" s="12" t="s">
        <v>3856</v>
      </c>
      <c r="H341" s="17">
        <v>45968.0</v>
      </c>
      <c r="I341" s="79" t="s">
        <v>3857</v>
      </c>
      <c r="J341" s="14">
        <v>410624.0</v>
      </c>
      <c r="K341" s="76" t="s">
        <v>3861</v>
      </c>
      <c r="L341" s="80"/>
      <c r="M341" s="80"/>
      <c r="N341" s="80"/>
      <c r="O341" s="80"/>
      <c r="P341" s="80"/>
      <c r="Q341" s="80"/>
      <c r="R341" s="80"/>
      <c r="S341" s="30"/>
    </row>
    <row r="342">
      <c r="A342" s="12" t="s">
        <v>3402</v>
      </c>
      <c r="B342" s="19" t="s">
        <v>50</v>
      </c>
      <c r="C342" s="19" t="s">
        <v>52</v>
      </c>
      <c r="D342" s="16" t="s">
        <v>702</v>
      </c>
      <c r="E342" s="16" t="str">
        <f>IFERROR(__xludf.DUMMYFUNCTION("filter('INVOICE CODES'!B:B,'INVOICE CODES'!D:D=C342,'INVOICE CODES'!E:E=D342)"),"MC-R280-White")</f>
        <v>MC-R280-White</v>
      </c>
      <c r="F342" s="12" t="s">
        <v>3862</v>
      </c>
      <c r="G342" s="12" t="s">
        <v>3863</v>
      </c>
      <c r="H342" s="17">
        <v>45968.0</v>
      </c>
      <c r="I342" s="79" t="s">
        <v>3864</v>
      </c>
      <c r="J342" s="14">
        <v>410624.0</v>
      </c>
      <c r="K342" s="76" t="s">
        <v>3867</v>
      </c>
      <c r="L342" s="80"/>
      <c r="M342" s="80"/>
      <c r="N342" s="80"/>
      <c r="O342" s="80"/>
      <c r="P342" s="80"/>
      <c r="Q342" s="80"/>
      <c r="R342" s="80"/>
      <c r="S342" s="30"/>
    </row>
    <row r="343">
      <c r="A343" s="12" t="s">
        <v>3402</v>
      </c>
      <c r="B343" s="19" t="s">
        <v>50</v>
      </c>
      <c r="C343" s="19" t="s">
        <v>52</v>
      </c>
      <c r="D343" s="16" t="s">
        <v>702</v>
      </c>
      <c r="E343" s="16" t="str">
        <f>IFERROR(__xludf.DUMMYFUNCTION("filter('INVOICE CODES'!B:B,'INVOICE CODES'!D:D=C343,'INVOICE CODES'!E:E=D343)"),"MC-R280-White")</f>
        <v>MC-R280-White</v>
      </c>
      <c r="F343" s="12" t="s">
        <v>3872</v>
      </c>
      <c r="G343" s="12" t="s">
        <v>3873</v>
      </c>
      <c r="H343" s="17">
        <v>45968.0</v>
      </c>
      <c r="I343" s="79" t="s">
        <v>3874</v>
      </c>
      <c r="J343" s="14">
        <v>410624.0</v>
      </c>
      <c r="K343" s="76" t="s">
        <v>3875</v>
      </c>
      <c r="L343" s="80"/>
      <c r="M343" s="80"/>
      <c r="N343" s="80"/>
      <c r="O343" s="80"/>
      <c r="P343" s="80"/>
      <c r="Q343" s="80"/>
      <c r="R343" s="80"/>
      <c r="S343" s="30"/>
    </row>
    <row r="344">
      <c r="A344" s="12" t="s">
        <v>3402</v>
      </c>
      <c r="B344" s="19" t="s">
        <v>50</v>
      </c>
      <c r="C344" s="19" t="s">
        <v>52</v>
      </c>
      <c r="D344" s="16" t="s">
        <v>702</v>
      </c>
      <c r="E344" s="16" t="str">
        <f>IFERROR(__xludf.DUMMYFUNCTION("filter('INVOICE CODES'!B:B,'INVOICE CODES'!D:D=C344,'INVOICE CODES'!E:E=D344)"),"MC-R280-White")</f>
        <v>MC-R280-White</v>
      </c>
      <c r="F344" s="12" t="s">
        <v>3879</v>
      </c>
      <c r="G344" s="12" t="s">
        <v>3880</v>
      </c>
      <c r="H344" s="17">
        <v>45968.0</v>
      </c>
      <c r="I344" s="79" t="s">
        <v>3883</v>
      </c>
      <c r="J344" s="14">
        <v>410624.0</v>
      </c>
      <c r="K344" s="76" t="s">
        <v>3885</v>
      </c>
      <c r="L344" s="80"/>
      <c r="M344" s="80"/>
      <c r="N344" s="80"/>
      <c r="O344" s="80"/>
      <c r="P344" s="80"/>
      <c r="Q344" s="80"/>
      <c r="R344" s="80"/>
      <c r="S344" s="30"/>
    </row>
    <row r="345">
      <c r="A345" s="12" t="s">
        <v>3402</v>
      </c>
      <c r="B345" s="19" t="s">
        <v>50</v>
      </c>
      <c r="C345" s="19" t="s">
        <v>52</v>
      </c>
      <c r="D345" s="16" t="s">
        <v>702</v>
      </c>
      <c r="E345" s="16" t="str">
        <f>IFERROR(__xludf.DUMMYFUNCTION("filter('INVOICE CODES'!B:B,'INVOICE CODES'!D:D=C345,'INVOICE CODES'!E:E=D345)"),"MC-R280-White")</f>
        <v>MC-R280-White</v>
      </c>
      <c r="F345" s="12" t="s">
        <v>3889</v>
      </c>
      <c r="G345" s="12" t="s">
        <v>3890</v>
      </c>
      <c r="H345" s="17">
        <v>45968.0</v>
      </c>
      <c r="I345" s="79" t="s">
        <v>3891</v>
      </c>
      <c r="J345" s="14">
        <v>410624.0</v>
      </c>
      <c r="K345" s="76" t="s">
        <v>3892</v>
      </c>
      <c r="L345" s="80"/>
      <c r="M345" s="80"/>
      <c r="N345" s="80"/>
      <c r="O345" s="80"/>
      <c r="P345" s="80"/>
      <c r="Q345" s="80"/>
      <c r="R345" s="80"/>
      <c r="S345" s="30"/>
    </row>
    <row r="346">
      <c r="A346" s="12" t="s">
        <v>3402</v>
      </c>
      <c r="B346" s="19" t="s">
        <v>50</v>
      </c>
      <c r="C346" s="19" t="s">
        <v>52</v>
      </c>
      <c r="D346" s="16" t="s">
        <v>702</v>
      </c>
      <c r="E346" s="16" t="str">
        <f>IFERROR(__xludf.DUMMYFUNCTION("filter('INVOICE CODES'!B:B,'INVOICE CODES'!D:D=C346,'INVOICE CODES'!E:E=D346)"),"MC-R280-White")</f>
        <v>MC-R280-White</v>
      </c>
      <c r="F346" s="12" t="s">
        <v>3896</v>
      </c>
      <c r="G346" s="12" t="s">
        <v>3897</v>
      </c>
      <c r="H346" s="17">
        <v>45968.0</v>
      </c>
      <c r="I346" s="79" t="s">
        <v>3899</v>
      </c>
      <c r="J346" s="14">
        <v>410624.0</v>
      </c>
      <c r="K346" s="76" t="s">
        <v>3902</v>
      </c>
      <c r="L346" s="80"/>
      <c r="M346" s="80"/>
      <c r="N346" s="80"/>
      <c r="O346" s="80"/>
      <c r="P346" s="80"/>
      <c r="Q346" s="80"/>
      <c r="R346" s="80"/>
      <c r="S346" s="30"/>
    </row>
    <row r="347">
      <c r="A347" s="12" t="s">
        <v>3402</v>
      </c>
      <c r="B347" s="19" t="s">
        <v>50</v>
      </c>
      <c r="C347" s="19" t="s">
        <v>52</v>
      </c>
      <c r="D347" s="16" t="s">
        <v>702</v>
      </c>
      <c r="E347" s="16" t="str">
        <f>IFERROR(__xludf.DUMMYFUNCTION("filter('INVOICE CODES'!B:B,'INVOICE CODES'!D:D=C347,'INVOICE CODES'!E:E=D347)"),"MC-R280-White")</f>
        <v>MC-R280-White</v>
      </c>
      <c r="F347" s="12" t="s">
        <v>3908</v>
      </c>
      <c r="G347" s="12" t="s">
        <v>3910</v>
      </c>
      <c r="H347" s="17">
        <v>45968.0</v>
      </c>
      <c r="I347" s="79" t="s">
        <v>3911</v>
      </c>
      <c r="J347" s="14">
        <v>410624.0</v>
      </c>
      <c r="K347" s="76" t="s">
        <v>3912</v>
      </c>
      <c r="L347" s="80"/>
      <c r="M347" s="80"/>
      <c r="N347" s="80"/>
      <c r="O347" s="80"/>
      <c r="P347" s="80"/>
      <c r="Q347" s="80"/>
      <c r="R347" s="80"/>
      <c r="S347" s="30"/>
    </row>
    <row r="348">
      <c r="A348" s="12" t="s">
        <v>3402</v>
      </c>
      <c r="B348" s="19" t="s">
        <v>50</v>
      </c>
      <c r="C348" s="19" t="s">
        <v>52</v>
      </c>
      <c r="D348" s="16" t="s">
        <v>702</v>
      </c>
      <c r="E348" s="16" t="str">
        <f>IFERROR(__xludf.DUMMYFUNCTION("filter('INVOICE CODES'!B:B,'INVOICE CODES'!D:D=C348,'INVOICE CODES'!E:E=D348)"),"MC-R280-White")</f>
        <v>MC-R280-White</v>
      </c>
      <c r="F348" s="12" t="s">
        <v>3918</v>
      </c>
      <c r="G348" s="12" t="s">
        <v>3920</v>
      </c>
      <c r="H348" s="17">
        <v>45968.0</v>
      </c>
      <c r="I348" s="79" t="s">
        <v>3921</v>
      </c>
      <c r="J348" s="14">
        <v>410624.0</v>
      </c>
      <c r="K348" s="76" t="s">
        <v>3922</v>
      </c>
      <c r="L348" s="80"/>
      <c r="M348" s="80"/>
      <c r="N348" s="80"/>
      <c r="O348" s="80"/>
      <c r="P348" s="80"/>
      <c r="Q348" s="80"/>
      <c r="R348" s="80"/>
      <c r="S348" s="30"/>
    </row>
    <row r="349">
      <c r="A349" s="12" t="s">
        <v>3402</v>
      </c>
      <c r="B349" s="19" t="s">
        <v>50</v>
      </c>
      <c r="C349" s="19" t="s">
        <v>52</v>
      </c>
      <c r="D349" s="16" t="s">
        <v>702</v>
      </c>
      <c r="E349" s="16" t="str">
        <f>IFERROR(__xludf.DUMMYFUNCTION("filter('INVOICE CODES'!B:B,'INVOICE CODES'!D:D=C349,'INVOICE CODES'!E:E=D349)"),"MC-R280-White")</f>
        <v>MC-R280-White</v>
      </c>
      <c r="F349" s="12" t="s">
        <v>3926</v>
      </c>
      <c r="G349" s="12" t="s">
        <v>3927</v>
      </c>
      <c r="H349" s="17">
        <v>45968.0</v>
      </c>
      <c r="I349" s="79" t="s">
        <v>3928</v>
      </c>
      <c r="J349" s="14">
        <v>410624.0</v>
      </c>
      <c r="K349" s="76" t="s">
        <v>3930</v>
      </c>
      <c r="L349" s="80"/>
      <c r="M349" s="80"/>
      <c r="N349" s="80"/>
      <c r="O349" s="80"/>
      <c r="P349" s="80"/>
      <c r="Q349" s="80"/>
      <c r="R349" s="80"/>
      <c r="S349" s="30"/>
    </row>
    <row r="350">
      <c r="A350" s="12" t="s">
        <v>3402</v>
      </c>
      <c r="B350" s="19" t="s">
        <v>50</v>
      </c>
      <c r="C350" s="19" t="s">
        <v>52</v>
      </c>
      <c r="D350" s="16" t="s">
        <v>702</v>
      </c>
      <c r="E350" s="16" t="str">
        <f>IFERROR(__xludf.DUMMYFUNCTION("filter('INVOICE CODES'!B:B,'INVOICE CODES'!D:D=C350,'INVOICE CODES'!E:E=D350)"),"MC-R280-White")</f>
        <v>MC-R280-White</v>
      </c>
      <c r="F350" s="12" t="s">
        <v>3936</v>
      </c>
      <c r="G350" s="12" t="s">
        <v>3937</v>
      </c>
      <c r="H350" s="17">
        <v>45968.0</v>
      </c>
      <c r="I350" s="79" t="s">
        <v>3938</v>
      </c>
      <c r="J350" s="14">
        <v>410624.0</v>
      </c>
      <c r="K350" s="76" t="s">
        <v>3939</v>
      </c>
      <c r="L350" s="80"/>
      <c r="M350" s="80"/>
      <c r="N350" s="80"/>
      <c r="O350" s="80"/>
      <c r="P350" s="80"/>
      <c r="Q350" s="80"/>
      <c r="R350" s="80"/>
      <c r="S350" s="30"/>
    </row>
    <row r="351">
      <c r="A351" s="12" t="s">
        <v>3402</v>
      </c>
      <c r="B351" s="19" t="s">
        <v>50</v>
      </c>
      <c r="C351" s="19" t="s">
        <v>52</v>
      </c>
      <c r="D351" s="16" t="s">
        <v>702</v>
      </c>
      <c r="E351" s="16" t="str">
        <f>IFERROR(__xludf.DUMMYFUNCTION("filter('INVOICE CODES'!B:B,'INVOICE CODES'!D:D=C351,'INVOICE CODES'!E:E=D351)"),"MC-R280-White")</f>
        <v>MC-R280-White</v>
      </c>
      <c r="F351" s="12" t="s">
        <v>3943</v>
      </c>
      <c r="G351" s="12" t="s">
        <v>3944</v>
      </c>
      <c r="H351" s="17">
        <v>45968.0</v>
      </c>
      <c r="I351" s="79" t="s">
        <v>3946</v>
      </c>
      <c r="J351" s="14">
        <v>410624.0</v>
      </c>
      <c r="K351" s="76" t="s">
        <v>3949</v>
      </c>
      <c r="L351" s="80"/>
      <c r="M351" s="80"/>
      <c r="N351" s="80"/>
      <c r="O351" s="80"/>
      <c r="P351" s="80"/>
      <c r="Q351" s="80"/>
      <c r="R351" s="80"/>
      <c r="S351" s="30"/>
    </row>
    <row r="352">
      <c r="A352" s="12" t="s">
        <v>3402</v>
      </c>
      <c r="B352" s="19" t="s">
        <v>50</v>
      </c>
      <c r="C352" s="19" t="s">
        <v>52</v>
      </c>
      <c r="D352" s="16" t="s">
        <v>702</v>
      </c>
      <c r="E352" s="16" t="str">
        <f>IFERROR(__xludf.DUMMYFUNCTION("filter('INVOICE CODES'!B:B,'INVOICE CODES'!D:D=C352,'INVOICE CODES'!E:E=D352)"),"MC-R280-White")</f>
        <v>MC-R280-White</v>
      </c>
      <c r="F352" s="12" t="s">
        <v>3951</v>
      </c>
      <c r="G352" s="12" t="s">
        <v>3952</v>
      </c>
      <c r="H352" s="17">
        <v>45968.0</v>
      </c>
      <c r="I352" s="79" t="s">
        <v>3955</v>
      </c>
      <c r="J352" s="14">
        <v>410624.0</v>
      </c>
      <c r="K352" s="76" t="s">
        <v>3956</v>
      </c>
      <c r="L352" s="80"/>
      <c r="M352" s="80"/>
      <c r="N352" s="80"/>
      <c r="O352" s="80"/>
      <c r="P352" s="80"/>
      <c r="Q352" s="80"/>
      <c r="R352" s="80"/>
      <c r="S352" s="30"/>
    </row>
    <row r="353">
      <c r="A353" s="12" t="s">
        <v>3402</v>
      </c>
      <c r="B353" s="19" t="s">
        <v>50</v>
      </c>
      <c r="C353" s="19" t="s">
        <v>52</v>
      </c>
      <c r="D353" s="16" t="s">
        <v>702</v>
      </c>
      <c r="E353" s="16" t="str">
        <f>IFERROR(__xludf.DUMMYFUNCTION("filter('INVOICE CODES'!B:B,'INVOICE CODES'!D:D=C353,'INVOICE CODES'!E:E=D353)"),"MC-R280-White")</f>
        <v>MC-R280-White</v>
      </c>
      <c r="F353" s="12" t="s">
        <v>3957</v>
      </c>
      <c r="G353" s="12" t="s">
        <v>3959</v>
      </c>
      <c r="H353" s="17">
        <v>45968.0</v>
      </c>
      <c r="I353" s="79" t="s">
        <v>3961</v>
      </c>
      <c r="J353" s="14">
        <v>410624.0</v>
      </c>
      <c r="K353" s="76" t="s">
        <v>3963</v>
      </c>
      <c r="L353" s="80"/>
      <c r="M353" s="80"/>
      <c r="N353" s="80"/>
      <c r="O353" s="80"/>
      <c r="P353" s="80"/>
      <c r="Q353" s="80"/>
      <c r="R353" s="80"/>
      <c r="S353" s="30"/>
    </row>
    <row r="354">
      <c r="A354" s="12" t="s">
        <v>3402</v>
      </c>
      <c r="B354" s="19" t="s">
        <v>50</v>
      </c>
      <c r="C354" s="19" t="s">
        <v>52</v>
      </c>
      <c r="D354" s="16" t="s">
        <v>702</v>
      </c>
      <c r="E354" s="16" t="str">
        <f>IFERROR(__xludf.DUMMYFUNCTION("filter('INVOICE CODES'!B:B,'INVOICE CODES'!D:D=C354,'INVOICE CODES'!E:E=D354)"),"MC-R280-White")</f>
        <v>MC-R280-White</v>
      </c>
      <c r="F354" s="12" t="s">
        <v>3967</v>
      </c>
      <c r="G354" s="12" t="s">
        <v>3968</v>
      </c>
      <c r="H354" s="17">
        <v>45968.0</v>
      </c>
      <c r="I354" s="79" t="s">
        <v>3969</v>
      </c>
      <c r="J354" s="14">
        <v>410624.0</v>
      </c>
      <c r="K354" s="76" t="s">
        <v>3970</v>
      </c>
      <c r="L354" s="80"/>
      <c r="M354" s="80"/>
      <c r="N354" s="80"/>
      <c r="O354" s="80"/>
      <c r="P354" s="80"/>
      <c r="Q354" s="80"/>
      <c r="R354" s="80"/>
      <c r="S354" s="30"/>
    </row>
    <row r="355">
      <c r="A355" s="12" t="s">
        <v>3402</v>
      </c>
      <c r="B355" s="19" t="s">
        <v>50</v>
      </c>
      <c r="C355" s="19" t="s">
        <v>52</v>
      </c>
      <c r="D355" s="16" t="s">
        <v>702</v>
      </c>
      <c r="E355" s="16" t="str">
        <f>IFERROR(__xludf.DUMMYFUNCTION("filter('INVOICE CODES'!B:B,'INVOICE CODES'!D:D=C355,'INVOICE CODES'!E:E=D355)"),"MC-R280-White")</f>
        <v>MC-R280-White</v>
      </c>
      <c r="F355" s="12" t="s">
        <v>3974</v>
      </c>
      <c r="G355" s="12" t="s">
        <v>3975</v>
      </c>
      <c r="H355" s="17">
        <v>45968.0</v>
      </c>
      <c r="I355" s="79" t="s">
        <v>3976</v>
      </c>
      <c r="J355" s="14">
        <v>410624.0</v>
      </c>
      <c r="K355" s="76" t="s">
        <v>3977</v>
      </c>
      <c r="L355" s="80"/>
      <c r="M355" s="80"/>
      <c r="N355" s="80"/>
      <c r="O355" s="80"/>
      <c r="P355" s="80"/>
      <c r="Q355" s="80"/>
      <c r="R355" s="80"/>
      <c r="S355" s="30"/>
    </row>
    <row r="356">
      <c r="A356" s="12" t="s">
        <v>3402</v>
      </c>
      <c r="B356" s="19" t="s">
        <v>50</v>
      </c>
      <c r="C356" s="19" t="s">
        <v>52</v>
      </c>
      <c r="D356" s="16" t="s">
        <v>702</v>
      </c>
      <c r="E356" s="16" t="str">
        <f>IFERROR(__xludf.DUMMYFUNCTION("filter('INVOICE CODES'!B:B,'INVOICE CODES'!D:D=C356,'INVOICE CODES'!E:E=D356)"),"MC-R280-White")</f>
        <v>MC-R280-White</v>
      </c>
      <c r="F356" s="12" t="s">
        <v>3982</v>
      </c>
      <c r="G356" s="12" t="s">
        <v>3984</v>
      </c>
      <c r="H356" s="17">
        <v>45968.0</v>
      </c>
      <c r="I356" s="79" t="s">
        <v>3986</v>
      </c>
      <c r="J356" s="14">
        <v>410624.0</v>
      </c>
      <c r="K356" s="76" t="s">
        <v>3987</v>
      </c>
      <c r="L356" s="80"/>
      <c r="M356" s="80"/>
      <c r="N356" s="80"/>
      <c r="O356" s="80"/>
      <c r="P356" s="80"/>
      <c r="Q356" s="80"/>
      <c r="R356" s="80"/>
      <c r="S356" s="30"/>
    </row>
    <row r="357">
      <c r="A357" s="12" t="s">
        <v>3402</v>
      </c>
      <c r="B357" s="19" t="s">
        <v>50</v>
      </c>
      <c r="C357" s="19" t="s">
        <v>52</v>
      </c>
      <c r="D357" s="16" t="s">
        <v>702</v>
      </c>
      <c r="E357" s="16" t="str">
        <f>IFERROR(__xludf.DUMMYFUNCTION("filter('INVOICE CODES'!B:B,'INVOICE CODES'!D:D=C357,'INVOICE CODES'!E:E=D357)"),"MC-R280-White")</f>
        <v>MC-R280-White</v>
      </c>
      <c r="F357" s="12" t="s">
        <v>3991</v>
      </c>
      <c r="G357" s="12" t="s">
        <v>3992</v>
      </c>
      <c r="H357" s="17">
        <v>45968.0</v>
      </c>
      <c r="I357" s="79" t="s">
        <v>3995</v>
      </c>
      <c r="J357" s="14">
        <v>410624.0</v>
      </c>
      <c r="K357" s="76" t="s">
        <v>3997</v>
      </c>
      <c r="L357" s="80"/>
      <c r="M357" s="80"/>
      <c r="N357" s="80"/>
      <c r="O357" s="80"/>
      <c r="P357" s="80"/>
      <c r="Q357" s="80"/>
      <c r="R357" s="80"/>
      <c r="S357" s="30"/>
    </row>
    <row r="358">
      <c r="A358" s="12" t="s">
        <v>3402</v>
      </c>
      <c r="B358" s="19" t="s">
        <v>50</v>
      </c>
      <c r="C358" s="19" t="s">
        <v>52</v>
      </c>
      <c r="D358" s="16" t="s">
        <v>702</v>
      </c>
      <c r="E358" s="16" t="str">
        <f>IFERROR(__xludf.DUMMYFUNCTION("filter('INVOICE CODES'!B:B,'INVOICE CODES'!D:D=C358,'INVOICE CODES'!E:E=D358)"),"MC-R280-White")</f>
        <v>MC-R280-White</v>
      </c>
      <c r="F358" s="12" t="s">
        <v>4001</v>
      </c>
      <c r="G358" s="12" t="s">
        <v>4002</v>
      </c>
      <c r="H358" s="17">
        <v>45968.0</v>
      </c>
      <c r="I358" s="79" t="s">
        <v>4003</v>
      </c>
      <c r="J358" s="14">
        <v>410624.0</v>
      </c>
      <c r="K358" s="76" t="s">
        <v>4004</v>
      </c>
      <c r="L358" s="80"/>
      <c r="M358" s="80"/>
      <c r="N358" s="80"/>
      <c r="O358" s="80"/>
      <c r="P358" s="80"/>
      <c r="Q358" s="80"/>
      <c r="R358" s="80"/>
      <c r="S358" s="30"/>
    </row>
    <row r="359">
      <c r="A359" s="12" t="s">
        <v>3402</v>
      </c>
      <c r="B359" s="19" t="s">
        <v>50</v>
      </c>
      <c r="C359" s="19" t="s">
        <v>52</v>
      </c>
      <c r="D359" s="16" t="s">
        <v>702</v>
      </c>
      <c r="E359" s="16" t="str">
        <f>IFERROR(__xludf.DUMMYFUNCTION("filter('INVOICE CODES'!B:B,'INVOICE CODES'!D:D=C359,'INVOICE CODES'!E:E=D359)"),"MC-R280-White")</f>
        <v>MC-R280-White</v>
      </c>
      <c r="F359" s="12" t="s">
        <v>4008</v>
      </c>
      <c r="G359" s="12" t="s">
        <v>4009</v>
      </c>
      <c r="H359" s="17">
        <v>45968.0</v>
      </c>
      <c r="I359" s="79" t="s">
        <v>4012</v>
      </c>
      <c r="J359" s="14">
        <v>410624.0</v>
      </c>
      <c r="K359" s="76" t="s">
        <v>4014</v>
      </c>
      <c r="L359" s="80"/>
      <c r="M359" s="80"/>
      <c r="N359" s="80"/>
      <c r="O359" s="80"/>
      <c r="P359" s="80"/>
      <c r="Q359" s="80"/>
      <c r="R359" s="80"/>
      <c r="S359" s="30"/>
    </row>
    <row r="360">
      <c r="A360" s="12" t="s">
        <v>3402</v>
      </c>
      <c r="B360" s="19" t="s">
        <v>50</v>
      </c>
      <c r="C360" s="19" t="s">
        <v>52</v>
      </c>
      <c r="D360" s="16" t="s">
        <v>702</v>
      </c>
      <c r="E360" s="16" t="str">
        <f>IFERROR(__xludf.DUMMYFUNCTION("filter('INVOICE CODES'!B:B,'INVOICE CODES'!D:D=C360,'INVOICE CODES'!E:E=D360)"),"MC-R280-White")</f>
        <v>MC-R280-White</v>
      </c>
      <c r="F360" s="12" t="s">
        <v>4018</v>
      </c>
      <c r="G360" s="12" t="s">
        <v>4019</v>
      </c>
      <c r="H360" s="17">
        <v>45968.0</v>
      </c>
      <c r="I360" s="79" t="s">
        <v>4020</v>
      </c>
      <c r="J360" s="14">
        <v>410624.0</v>
      </c>
      <c r="K360" s="76" t="s">
        <v>4023</v>
      </c>
      <c r="L360" s="80"/>
      <c r="M360" s="80"/>
      <c r="N360" s="80"/>
      <c r="O360" s="80"/>
      <c r="P360" s="80"/>
      <c r="Q360" s="80"/>
      <c r="R360" s="80"/>
      <c r="S360" s="30"/>
    </row>
    <row r="361">
      <c r="A361" s="12" t="s">
        <v>3402</v>
      </c>
      <c r="B361" s="19" t="s">
        <v>50</v>
      </c>
      <c r="C361" s="19" t="s">
        <v>52</v>
      </c>
      <c r="D361" s="16" t="s">
        <v>702</v>
      </c>
      <c r="E361" s="16" t="str">
        <f>IFERROR(__xludf.DUMMYFUNCTION("filter('INVOICE CODES'!B:B,'INVOICE CODES'!D:D=C361,'INVOICE CODES'!E:E=D361)"),"MC-R280-White")</f>
        <v>MC-R280-White</v>
      </c>
      <c r="F361" s="12" t="s">
        <v>4028</v>
      </c>
      <c r="G361" s="12" t="s">
        <v>4029</v>
      </c>
      <c r="H361" s="17">
        <v>45968.0</v>
      </c>
      <c r="I361" s="79" t="s">
        <v>4030</v>
      </c>
      <c r="J361" s="14">
        <v>410624.0</v>
      </c>
      <c r="K361" s="76" t="s">
        <v>4031</v>
      </c>
      <c r="L361" s="80"/>
      <c r="M361" s="80"/>
      <c r="N361" s="80"/>
      <c r="O361" s="80"/>
      <c r="P361" s="80"/>
      <c r="Q361" s="80"/>
      <c r="R361" s="80"/>
      <c r="S361" s="30"/>
    </row>
    <row r="362">
      <c r="A362" s="12" t="s">
        <v>3402</v>
      </c>
      <c r="B362" s="19" t="s">
        <v>50</v>
      </c>
      <c r="C362" s="19" t="s">
        <v>52</v>
      </c>
      <c r="D362" s="16" t="s">
        <v>702</v>
      </c>
      <c r="E362" s="16" t="str">
        <f>IFERROR(__xludf.DUMMYFUNCTION("filter('INVOICE CODES'!B:B,'INVOICE CODES'!D:D=C362,'INVOICE CODES'!E:E=D362)"),"MC-R280-White")</f>
        <v>MC-R280-White</v>
      </c>
      <c r="F362" s="12" t="s">
        <v>4038</v>
      </c>
      <c r="G362" s="12" t="s">
        <v>4039</v>
      </c>
      <c r="H362" s="17">
        <v>45968.0</v>
      </c>
      <c r="I362" s="79" t="s">
        <v>4040</v>
      </c>
      <c r="J362" s="14">
        <v>410624.0</v>
      </c>
      <c r="K362" s="76" t="s">
        <v>4041</v>
      </c>
      <c r="L362" s="80"/>
      <c r="M362" s="80"/>
      <c r="N362" s="80"/>
      <c r="O362" s="80"/>
      <c r="P362" s="80"/>
      <c r="Q362" s="80"/>
      <c r="R362" s="80"/>
      <c r="S362" s="30"/>
    </row>
    <row r="363">
      <c r="A363" s="12" t="s">
        <v>3402</v>
      </c>
      <c r="B363" s="19" t="s">
        <v>50</v>
      </c>
      <c r="C363" s="19" t="s">
        <v>52</v>
      </c>
      <c r="D363" s="16" t="s">
        <v>702</v>
      </c>
      <c r="E363" s="16" t="str">
        <f>IFERROR(__xludf.DUMMYFUNCTION("filter('INVOICE CODES'!B:B,'INVOICE CODES'!D:D=C363,'INVOICE CODES'!E:E=D363)"),"MC-R280-White")</f>
        <v>MC-R280-White</v>
      </c>
      <c r="F363" s="12" t="s">
        <v>4048</v>
      </c>
      <c r="G363" s="12" t="s">
        <v>4049</v>
      </c>
      <c r="H363" s="17">
        <v>45968.0</v>
      </c>
      <c r="I363" s="79" t="s">
        <v>4050</v>
      </c>
      <c r="J363" s="14">
        <v>410624.0</v>
      </c>
      <c r="K363" s="76" t="s">
        <v>4051</v>
      </c>
      <c r="L363" s="80"/>
      <c r="M363" s="80"/>
      <c r="N363" s="80"/>
      <c r="O363" s="80"/>
      <c r="P363" s="80"/>
      <c r="Q363" s="80"/>
      <c r="R363" s="80"/>
      <c r="S363" s="30"/>
    </row>
    <row r="364">
      <c r="A364" s="12" t="s">
        <v>3402</v>
      </c>
      <c r="B364" s="19" t="s">
        <v>50</v>
      </c>
      <c r="C364" s="19" t="s">
        <v>52</v>
      </c>
      <c r="D364" s="16" t="s">
        <v>702</v>
      </c>
      <c r="E364" s="16" t="str">
        <f>IFERROR(__xludf.DUMMYFUNCTION("filter('INVOICE CODES'!B:B,'INVOICE CODES'!D:D=C364,'INVOICE CODES'!E:E=D364)"),"MC-R280-White")</f>
        <v>MC-R280-White</v>
      </c>
      <c r="F364" s="12" t="s">
        <v>4057</v>
      </c>
      <c r="G364" s="12" t="s">
        <v>4059</v>
      </c>
      <c r="H364" s="17">
        <v>45968.0</v>
      </c>
      <c r="I364" s="79" t="s">
        <v>4060</v>
      </c>
      <c r="J364" s="14">
        <v>410624.0</v>
      </c>
      <c r="K364" s="76" t="s">
        <v>4061</v>
      </c>
      <c r="L364" s="80"/>
      <c r="M364" s="80"/>
      <c r="N364" s="80"/>
      <c r="O364" s="80"/>
      <c r="P364" s="80"/>
      <c r="Q364" s="80"/>
      <c r="R364" s="80"/>
      <c r="S364" s="30"/>
    </row>
    <row r="365">
      <c r="A365" s="12" t="s">
        <v>3402</v>
      </c>
      <c r="B365" s="19" t="s">
        <v>50</v>
      </c>
      <c r="C365" s="19" t="s">
        <v>52</v>
      </c>
      <c r="D365" s="16" t="s">
        <v>702</v>
      </c>
      <c r="E365" s="16" t="str">
        <f>IFERROR(__xludf.DUMMYFUNCTION("filter('INVOICE CODES'!B:B,'INVOICE CODES'!D:D=C365,'INVOICE CODES'!E:E=D365)"),"MC-R280-White")</f>
        <v>MC-R280-White</v>
      </c>
      <c r="F365" s="12" t="s">
        <v>4065</v>
      </c>
      <c r="G365" s="12" t="s">
        <v>4066</v>
      </c>
      <c r="H365" s="17">
        <v>45968.0</v>
      </c>
      <c r="I365" s="79" t="s">
        <v>4067</v>
      </c>
      <c r="J365" s="14">
        <v>410624.0</v>
      </c>
      <c r="K365" s="76" t="s">
        <v>4068</v>
      </c>
      <c r="L365" s="80"/>
      <c r="M365" s="80"/>
      <c r="N365" s="80"/>
      <c r="O365" s="80"/>
      <c r="P365" s="80"/>
      <c r="Q365" s="80"/>
      <c r="R365" s="80"/>
      <c r="S365" s="30"/>
    </row>
    <row r="366">
      <c r="A366" s="12" t="s">
        <v>3402</v>
      </c>
      <c r="B366" s="19" t="s">
        <v>50</v>
      </c>
      <c r="C366" s="19" t="s">
        <v>52</v>
      </c>
      <c r="D366" s="16" t="s">
        <v>702</v>
      </c>
      <c r="E366" s="16" t="str">
        <f>IFERROR(__xludf.DUMMYFUNCTION("filter('INVOICE CODES'!B:B,'INVOICE CODES'!D:D=C366,'INVOICE CODES'!E:E=D366)"),"MC-R280-White")</f>
        <v>MC-R280-White</v>
      </c>
      <c r="F366" s="12" t="s">
        <v>4072</v>
      </c>
      <c r="G366" s="12" t="s">
        <v>4073</v>
      </c>
      <c r="H366" s="17">
        <v>45968.0</v>
      </c>
      <c r="I366" s="79" t="s">
        <v>4074</v>
      </c>
      <c r="J366" s="14">
        <v>410624.0</v>
      </c>
      <c r="K366" s="76" t="s">
        <v>4075</v>
      </c>
      <c r="L366" s="80"/>
      <c r="M366" s="80"/>
      <c r="N366" s="80"/>
      <c r="O366" s="80"/>
      <c r="P366" s="80"/>
      <c r="Q366" s="80"/>
      <c r="R366" s="80"/>
      <c r="S366" s="30"/>
    </row>
    <row r="367">
      <c r="A367" s="12" t="s">
        <v>3402</v>
      </c>
      <c r="B367" s="19" t="s">
        <v>50</v>
      </c>
      <c r="C367" s="19" t="s">
        <v>52</v>
      </c>
      <c r="D367" s="16" t="s">
        <v>702</v>
      </c>
      <c r="E367" s="16" t="str">
        <f>IFERROR(__xludf.DUMMYFUNCTION("filter('INVOICE CODES'!B:B,'INVOICE CODES'!D:D=C367,'INVOICE CODES'!E:E=D367)"),"MC-R280-White")</f>
        <v>MC-R280-White</v>
      </c>
      <c r="F367" s="12" t="s">
        <v>4079</v>
      </c>
      <c r="G367" s="12" t="s">
        <v>4080</v>
      </c>
      <c r="H367" s="17">
        <v>45968.0</v>
      </c>
      <c r="I367" s="79" t="s">
        <v>4081</v>
      </c>
      <c r="J367" s="14">
        <v>410624.0</v>
      </c>
      <c r="K367" s="76" t="s">
        <v>4082</v>
      </c>
      <c r="L367" s="80"/>
      <c r="M367" s="80"/>
      <c r="N367" s="80"/>
      <c r="O367" s="80"/>
      <c r="P367" s="80"/>
      <c r="Q367" s="80"/>
      <c r="R367" s="80"/>
      <c r="S367" s="30"/>
    </row>
    <row r="368">
      <c r="A368" s="12" t="s">
        <v>3402</v>
      </c>
      <c r="B368" s="19" t="s">
        <v>50</v>
      </c>
      <c r="C368" s="19" t="s">
        <v>52</v>
      </c>
      <c r="D368" s="16" t="s">
        <v>702</v>
      </c>
      <c r="E368" s="16" t="str">
        <f>IFERROR(__xludf.DUMMYFUNCTION("filter('INVOICE CODES'!B:B,'INVOICE CODES'!D:D=C368,'INVOICE CODES'!E:E=D368)"),"MC-R280-White")</f>
        <v>MC-R280-White</v>
      </c>
      <c r="F368" s="12" t="s">
        <v>4086</v>
      </c>
      <c r="G368" s="12" t="s">
        <v>4087</v>
      </c>
      <c r="H368" s="17">
        <v>45968.0</v>
      </c>
      <c r="I368" s="79" t="s">
        <v>4088</v>
      </c>
      <c r="J368" s="14">
        <v>410624.0</v>
      </c>
      <c r="K368" s="76" t="s">
        <v>4089</v>
      </c>
      <c r="L368" s="80"/>
      <c r="M368" s="80"/>
      <c r="N368" s="80"/>
      <c r="O368" s="80"/>
      <c r="P368" s="80"/>
      <c r="Q368" s="80"/>
      <c r="R368" s="80"/>
      <c r="S368" s="30"/>
    </row>
    <row r="369">
      <c r="A369" s="12" t="s">
        <v>3402</v>
      </c>
      <c r="B369" s="19" t="s">
        <v>50</v>
      </c>
      <c r="C369" s="19" t="s">
        <v>52</v>
      </c>
      <c r="D369" s="16" t="s">
        <v>702</v>
      </c>
      <c r="E369" s="16" t="str">
        <f>IFERROR(__xludf.DUMMYFUNCTION("filter('INVOICE CODES'!B:B,'INVOICE CODES'!D:D=C369,'INVOICE CODES'!E:E=D369)"),"MC-R280-White")</f>
        <v>MC-R280-White</v>
      </c>
      <c r="F369" s="12" t="s">
        <v>4093</v>
      </c>
      <c r="G369" s="12" t="s">
        <v>4094</v>
      </c>
      <c r="H369" s="17">
        <v>45968.0</v>
      </c>
      <c r="I369" s="79" t="s">
        <v>4095</v>
      </c>
      <c r="J369" s="14">
        <v>410624.0</v>
      </c>
      <c r="K369" s="76" t="s">
        <v>4096</v>
      </c>
      <c r="L369" s="80"/>
      <c r="M369" s="80"/>
      <c r="N369" s="80"/>
      <c r="O369" s="80"/>
      <c r="P369" s="80"/>
      <c r="Q369" s="80"/>
      <c r="R369" s="80"/>
      <c r="S369" s="30"/>
    </row>
    <row r="370">
      <c r="A370" s="12" t="s">
        <v>3402</v>
      </c>
      <c r="B370" s="19" t="s">
        <v>50</v>
      </c>
      <c r="C370" s="19" t="s">
        <v>52</v>
      </c>
      <c r="D370" s="16" t="s">
        <v>702</v>
      </c>
      <c r="E370" s="16" t="str">
        <f>IFERROR(__xludf.DUMMYFUNCTION("filter('INVOICE CODES'!B:B,'INVOICE CODES'!D:D=C370,'INVOICE CODES'!E:E=D370)"),"MC-R280-White")</f>
        <v>MC-R280-White</v>
      </c>
      <c r="F370" s="12" t="s">
        <v>4103</v>
      </c>
      <c r="G370" s="12" t="s">
        <v>4104</v>
      </c>
      <c r="H370" s="17">
        <v>45968.0</v>
      </c>
      <c r="I370" s="79" t="s">
        <v>4105</v>
      </c>
      <c r="J370" s="14">
        <v>410624.0</v>
      </c>
      <c r="K370" s="76" t="s">
        <v>4106</v>
      </c>
      <c r="L370" s="80"/>
      <c r="M370" s="80"/>
      <c r="N370" s="80"/>
      <c r="O370" s="80"/>
      <c r="P370" s="80"/>
      <c r="Q370" s="80"/>
      <c r="R370" s="80"/>
      <c r="S370" s="30"/>
    </row>
    <row r="371">
      <c r="A371" s="12" t="s">
        <v>3402</v>
      </c>
      <c r="B371" s="19" t="s">
        <v>50</v>
      </c>
      <c r="C371" s="19" t="s">
        <v>52</v>
      </c>
      <c r="D371" s="16" t="s">
        <v>702</v>
      </c>
      <c r="E371" s="16" t="str">
        <f>IFERROR(__xludf.DUMMYFUNCTION("filter('INVOICE CODES'!B:B,'INVOICE CODES'!D:D=C371,'INVOICE CODES'!E:E=D371)"),"MC-R280-White")</f>
        <v>MC-R280-White</v>
      </c>
      <c r="F371" s="12" t="s">
        <v>4111</v>
      </c>
      <c r="G371" s="12" t="s">
        <v>4113</v>
      </c>
      <c r="H371" s="17">
        <v>45968.0</v>
      </c>
      <c r="I371" s="79" t="s">
        <v>4115</v>
      </c>
      <c r="J371" s="14">
        <v>410624.0</v>
      </c>
      <c r="K371" s="76" t="s">
        <v>4116</v>
      </c>
      <c r="L371" s="80"/>
      <c r="M371" s="80"/>
      <c r="N371" s="80"/>
      <c r="O371" s="80"/>
      <c r="P371" s="80"/>
      <c r="Q371" s="80"/>
      <c r="R371" s="80"/>
      <c r="S371" s="30"/>
    </row>
    <row r="372">
      <c r="A372" s="12" t="s">
        <v>3402</v>
      </c>
      <c r="B372" s="19" t="s">
        <v>50</v>
      </c>
      <c r="C372" s="19" t="s">
        <v>52</v>
      </c>
      <c r="D372" s="16" t="s">
        <v>702</v>
      </c>
      <c r="E372" s="16" t="str">
        <f>IFERROR(__xludf.DUMMYFUNCTION("filter('INVOICE CODES'!B:B,'INVOICE CODES'!D:D=C372,'INVOICE CODES'!E:E=D372)"),"MC-R280-White")</f>
        <v>MC-R280-White</v>
      </c>
      <c r="F372" s="12" t="s">
        <v>4120</v>
      </c>
      <c r="G372" s="12" t="s">
        <v>4121</v>
      </c>
      <c r="H372" s="17">
        <v>45968.0</v>
      </c>
      <c r="I372" s="79" t="s">
        <v>4124</v>
      </c>
      <c r="J372" s="14">
        <v>410624.0</v>
      </c>
      <c r="K372" s="76" t="s">
        <v>4126</v>
      </c>
      <c r="L372" s="80"/>
      <c r="M372" s="80"/>
      <c r="N372" s="80"/>
      <c r="O372" s="80"/>
      <c r="P372" s="80"/>
      <c r="Q372" s="80"/>
      <c r="R372" s="80"/>
      <c r="S372" s="30"/>
    </row>
    <row r="373">
      <c r="A373" s="12" t="s">
        <v>3402</v>
      </c>
      <c r="B373" s="19" t="s">
        <v>50</v>
      </c>
      <c r="C373" s="19" t="s">
        <v>52</v>
      </c>
      <c r="D373" s="16" t="s">
        <v>702</v>
      </c>
      <c r="E373" s="16" t="str">
        <f>IFERROR(__xludf.DUMMYFUNCTION("filter('INVOICE CODES'!B:B,'INVOICE CODES'!D:D=C373,'INVOICE CODES'!E:E=D373)"),"MC-R280-White")</f>
        <v>MC-R280-White</v>
      </c>
      <c r="F373" s="12" t="s">
        <v>4130</v>
      </c>
      <c r="G373" s="12" t="s">
        <v>4131</v>
      </c>
      <c r="H373" s="17">
        <v>45968.0</v>
      </c>
      <c r="I373" s="79" t="s">
        <v>4132</v>
      </c>
      <c r="J373" s="14">
        <v>410624.0</v>
      </c>
      <c r="K373" s="76" t="s">
        <v>4133</v>
      </c>
      <c r="L373" s="80"/>
      <c r="M373" s="80"/>
      <c r="N373" s="80"/>
      <c r="O373" s="80"/>
      <c r="P373" s="80"/>
      <c r="Q373" s="80"/>
      <c r="R373" s="80"/>
      <c r="S373" s="30"/>
    </row>
    <row r="374">
      <c r="A374" s="12" t="s">
        <v>3402</v>
      </c>
      <c r="B374" s="19" t="s">
        <v>50</v>
      </c>
      <c r="C374" s="19" t="s">
        <v>52</v>
      </c>
      <c r="D374" s="16" t="s">
        <v>702</v>
      </c>
      <c r="E374" s="16" t="str">
        <f>IFERROR(__xludf.DUMMYFUNCTION("filter('INVOICE CODES'!B:B,'INVOICE CODES'!D:D=C374,'INVOICE CODES'!E:E=D374)"),"MC-R280-White")</f>
        <v>MC-R280-White</v>
      </c>
      <c r="F374" s="12" t="s">
        <v>4138</v>
      </c>
      <c r="G374" s="12" t="s">
        <v>4140</v>
      </c>
      <c r="H374" s="17">
        <v>45968.0</v>
      </c>
      <c r="I374" s="79" t="s">
        <v>4142</v>
      </c>
      <c r="J374" s="14">
        <v>410624.0</v>
      </c>
      <c r="K374" s="76" t="s">
        <v>4143</v>
      </c>
      <c r="L374" s="80"/>
      <c r="M374" s="80"/>
      <c r="N374" s="80"/>
      <c r="O374" s="80"/>
      <c r="P374" s="80"/>
      <c r="Q374" s="80"/>
      <c r="R374" s="80"/>
      <c r="S374" s="30"/>
    </row>
    <row r="375">
      <c r="A375" s="12" t="s">
        <v>3402</v>
      </c>
      <c r="B375" s="19" t="s">
        <v>50</v>
      </c>
      <c r="C375" s="19" t="s">
        <v>52</v>
      </c>
      <c r="D375" s="16" t="s">
        <v>702</v>
      </c>
      <c r="E375" s="16" t="str">
        <f>IFERROR(__xludf.DUMMYFUNCTION("filter('INVOICE CODES'!B:B,'INVOICE CODES'!D:D=C375,'INVOICE CODES'!E:E=D375)"),"MC-R280-White")</f>
        <v>MC-R280-White</v>
      </c>
      <c r="F375" s="12" t="s">
        <v>4147</v>
      </c>
      <c r="G375" s="12" t="s">
        <v>4148</v>
      </c>
      <c r="H375" s="17">
        <v>45968.0</v>
      </c>
      <c r="I375" s="79" t="s">
        <v>4149</v>
      </c>
      <c r="J375" s="14">
        <v>410624.0</v>
      </c>
      <c r="K375" s="76" t="s">
        <v>4150</v>
      </c>
      <c r="L375" s="80"/>
      <c r="M375" s="80"/>
      <c r="N375" s="80"/>
      <c r="O375" s="80"/>
      <c r="P375" s="80"/>
      <c r="Q375" s="80"/>
      <c r="R375" s="80"/>
      <c r="S375" s="30"/>
    </row>
    <row r="376">
      <c r="A376" s="12" t="s">
        <v>3402</v>
      </c>
      <c r="B376" s="19" t="s">
        <v>50</v>
      </c>
      <c r="C376" s="19" t="s">
        <v>52</v>
      </c>
      <c r="D376" s="16" t="s">
        <v>702</v>
      </c>
      <c r="E376" s="16" t="str">
        <f>IFERROR(__xludf.DUMMYFUNCTION("filter('INVOICE CODES'!B:B,'INVOICE CODES'!D:D=C376,'INVOICE CODES'!E:E=D376)"),"MC-R280-White")</f>
        <v>MC-R280-White</v>
      </c>
      <c r="F376" s="12" t="s">
        <v>4154</v>
      </c>
      <c r="G376" s="12" t="s">
        <v>4155</v>
      </c>
      <c r="H376" s="17">
        <v>45968.0</v>
      </c>
      <c r="I376" s="79" t="s">
        <v>4159</v>
      </c>
      <c r="J376" s="14">
        <v>410624.0</v>
      </c>
      <c r="K376" s="76" t="s">
        <v>4160</v>
      </c>
      <c r="L376" s="80"/>
      <c r="M376" s="80"/>
      <c r="N376" s="80"/>
      <c r="O376" s="80"/>
      <c r="P376" s="80"/>
      <c r="Q376" s="80"/>
      <c r="R376" s="80"/>
      <c r="S376" s="30"/>
    </row>
    <row r="377">
      <c r="A377" s="12" t="s">
        <v>3402</v>
      </c>
      <c r="B377" s="19" t="s">
        <v>50</v>
      </c>
      <c r="C377" s="19" t="s">
        <v>52</v>
      </c>
      <c r="D377" s="16" t="s">
        <v>702</v>
      </c>
      <c r="E377" s="16" t="str">
        <f>IFERROR(__xludf.DUMMYFUNCTION("filter('INVOICE CODES'!B:B,'INVOICE CODES'!D:D=C377,'INVOICE CODES'!E:E=D377)"),"MC-R280-White")</f>
        <v>MC-R280-White</v>
      </c>
      <c r="F377" s="12" t="s">
        <v>4164</v>
      </c>
      <c r="G377" s="12" t="s">
        <v>4165</v>
      </c>
      <c r="H377" s="17">
        <v>45968.0</v>
      </c>
      <c r="I377" s="79" t="s">
        <v>4166</v>
      </c>
      <c r="J377" s="14">
        <v>410624.0</v>
      </c>
      <c r="K377" s="76" t="s">
        <v>4167</v>
      </c>
      <c r="L377" s="80"/>
      <c r="M377" s="80"/>
      <c r="N377" s="80"/>
      <c r="O377" s="80"/>
      <c r="P377" s="80"/>
      <c r="Q377" s="80"/>
      <c r="R377" s="80"/>
      <c r="S377" s="30"/>
    </row>
    <row r="378">
      <c r="A378" s="12" t="s">
        <v>3402</v>
      </c>
      <c r="B378" s="19" t="s">
        <v>50</v>
      </c>
      <c r="C378" s="19" t="s">
        <v>616</v>
      </c>
      <c r="D378" s="19" t="s">
        <v>53</v>
      </c>
      <c r="E378" s="16" t="str">
        <f>IFERROR(__xludf.DUMMYFUNCTION("filter('INVOICE CODES'!B:B,'INVOICE CODES'!D:D=C378,'INVOICE CODES'!E:E=D378)"),"MC-D400-Black")</f>
        <v>MC-D400-Black</v>
      </c>
      <c r="F378" s="12" t="s">
        <v>4171</v>
      </c>
      <c r="G378" s="12" t="s">
        <v>4172</v>
      </c>
      <c r="H378" s="17">
        <v>45968.0</v>
      </c>
      <c r="I378" s="79" t="s">
        <v>4173</v>
      </c>
      <c r="J378" s="14">
        <v>410624.0</v>
      </c>
      <c r="K378" s="76" t="s">
        <v>4176</v>
      </c>
      <c r="L378" s="80"/>
      <c r="M378" s="80"/>
      <c r="N378" s="80"/>
      <c r="O378" s="80"/>
      <c r="P378" s="80"/>
      <c r="Q378" s="80"/>
      <c r="R378" s="80"/>
      <c r="S378" s="30"/>
    </row>
    <row r="379">
      <c r="A379" s="12" t="s">
        <v>3402</v>
      </c>
      <c r="B379" s="19" t="s">
        <v>50</v>
      </c>
      <c r="C379" s="19" t="s">
        <v>616</v>
      </c>
      <c r="D379" s="19" t="s">
        <v>53</v>
      </c>
      <c r="E379" s="16" t="str">
        <f>IFERROR(__xludf.DUMMYFUNCTION("filter('INVOICE CODES'!B:B,'INVOICE CODES'!D:D=C379,'INVOICE CODES'!E:E=D379)"),"MC-D400-Black")</f>
        <v>MC-D400-Black</v>
      </c>
      <c r="F379" s="12" t="s">
        <v>4178</v>
      </c>
      <c r="G379" s="12" t="s">
        <v>4179</v>
      </c>
      <c r="H379" s="17">
        <v>45968.0</v>
      </c>
      <c r="I379" s="79" t="s">
        <v>4180</v>
      </c>
      <c r="J379" s="14">
        <v>410624.0</v>
      </c>
      <c r="K379" s="76" t="s">
        <v>4182</v>
      </c>
      <c r="L379" s="80"/>
      <c r="M379" s="80"/>
      <c r="N379" s="80"/>
      <c r="O379" s="80"/>
      <c r="P379" s="80"/>
      <c r="Q379" s="80"/>
      <c r="R379" s="80"/>
      <c r="S379" s="30"/>
    </row>
    <row r="380">
      <c r="A380" s="12" t="s">
        <v>3402</v>
      </c>
      <c r="B380" s="19" t="s">
        <v>50</v>
      </c>
      <c r="C380" s="19" t="s">
        <v>616</v>
      </c>
      <c r="D380" s="19" t="s">
        <v>53</v>
      </c>
      <c r="E380" s="16" t="str">
        <f>IFERROR(__xludf.DUMMYFUNCTION("filter('INVOICE CODES'!B:B,'INVOICE CODES'!D:D=C380,'INVOICE CODES'!E:E=D380)"),"MC-D400-Black")</f>
        <v>MC-D400-Black</v>
      </c>
      <c r="F380" s="12" t="s">
        <v>4185</v>
      </c>
      <c r="G380" s="12" t="s">
        <v>4186</v>
      </c>
      <c r="H380" s="17">
        <v>45968.0</v>
      </c>
      <c r="I380" s="79" t="s">
        <v>4187</v>
      </c>
      <c r="J380" s="14">
        <v>410624.0</v>
      </c>
      <c r="K380" s="76" t="s">
        <v>4188</v>
      </c>
      <c r="L380" s="80"/>
      <c r="M380" s="80"/>
      <c r="N380" s="80"/>
      <c r="O380" s="80"/>
      <c r="P380" s="80"/>
      <c r="Q380" s="80"/>
      <c r="R380" s="80"/>
      <c r="S380" s="30"/>
    </row>
    <row r="381">
      <c r="A381" s="12" t="s">
        <v>3402</v>
      </c>
      <c r="B381" s="19" t="s">
        <v>50</v>
      </c>
      <c r="C381" s="19" t="s">
        <v>616</v>
      </c>
      <c r="D381" s="19" t="s">
        <v>53</v>
      </c>
      <c r="E381" s="16" t="str">
        <f>IFERROR(__xludf.DUMMYFUNCTION("filter('INVOICE CODES'!B:B,'INVOICE CODES'!D:D=C381,'INVOICE CODES'!E:E=D381)"),"MC-D400-Black")</f>
        <v>MC-D400-Black</v>
      </c>
      <c r="F381" s="12" t="s">
        <v>4192</v>
      </c>
      <c r="G381" s="12" t="s">
        <v>4193</v>
      </c>
      <c r="H381" s="17">
        <v>45968.0</v>
      </c>
      <c r="I381" s="79" t="s">
        <v>4194</v>
      </c>
      <c r="J381" s="14">
        <v>410624.0</v>
      </c>
      <c r="K381" s="76" t="s">
        <v>4197</v>
      </c>
      <c r="L381" s="80"/>
      <c r="M381" s="80"/>
      <c r="N381" s="80"/>
      <c r="O381" s="80"/>
      <c r="P381" s="80"/>
      <c r="Q381" s="80"/>
      <c r="R381" s="80"/>
      <c r="S381" s="30"/>
    </row>
    <row r="382">
      <c r="A382" s="12" t="s">
        <v>3402</v>
      </c>
      <c r="B382" s="19" t="s">
        <v>50</v>
      </c>
      <c r="C382" s="19" t="s">
        <v>616</v>
      </c>
      <c r="D382" s="19" t="s">
        <v>53</v>
      </c>
      <c r="E382" s="16" t="str">
        <f>IFERROR(__xludf.DUMMYFUNCTION("filter('INVOICE CODES'!B:B,'INVOICE CODES'!D:D=C382,'INVOICE CODES'!E:E=D382)"),"MC-D400-Black")</f>
        <v>MC-D400-Black</v>
      </c>
      <c r="F382" s="12" t="s">
        <v>4199</v>
      </c>
      <c r="G382" s="12" t="s">
        <v>4200</v>
      </c>
      <c r="H382" s="17">
        <v>45968.0</v>
      </c>
      <c r="I382" s="79" t="s">
        <v>4203</v>
      </c>
      <c r="J382" s="14">
        <v>410624.0</v>
      </c>
      <c r="K382" s="76" t="s">
        <v>4205</v>
      </c>
      <c r="L382" s="80"/>
      <c r="M382" s="80"/>
      <c r="N382" s="80"/>
      <c r="O382" s="80"/>
      <c r="P382" s="80"/>
      <c r="Q382" s="80"/>
      <c r="R382" s="80"/>
      <c r="S382" s="30"/>
    </row>
    <row r="383">
      <c r="A383" s="12" t="s">
        <v>3402</v>
      </c>
      <c r="B383" s="19" t="s">
        <v>50</v>
      </c>
      <c r="C383" s="19" t="s">
        <v>616</v>
      </c>
      <c r="D383" s="19" t="s">
        <v>53</v>
      </c>
      <c r="E383" s="16" t="str">
        <f>IFERROR(__xludf.DUMMYFUNCTION("filter('INVOICE CODES'!B:B,'INVOICE CODES'!D:D=C383,'INVOICE CODES'!E:E=D383)"),"MC-D400-Black")</f>
        <v>MC-D400-Black</v>
      </c>
      <c r="F383" s="12" t="s">
        <v>4209</v>
      </c>
      <c r="G383" s="12" t="s">
        <v>4210</v>
      </c>
      <c r="H383" s="17">
        <v>45968.0</v>
      </c>
      <c r="I383" s="79" t="s">
        <v>4211</v>
      </c>
      <c r="J383" s="14">
        <v>410624.0</v>
      </c>
      <c r="K383" s="76" t="s">
        <v>4213</v>
      </c>
      <c r="L383" s="80"/>
      <c r="M383" s="80"/>
      <c r="N383" s="80"/>
      <c r="O383" s="80"/>
      <c r="P383" s="80"/>
      <c r="Q383" s="80"/>
      <c r="R383" s="80"/>
      <c r="S383" s="30"/>
    </row>
    <row r="384">
      <c r="A384" s="12" t="s">
        <v>3402</v>
      </c>
      <c r="B384" s="19" t="s">
        <v>50</v>
      </c>
      <c r="C384" s="19" t="s">
        <v>616</v>
      </c>
      <c r="D384" s="19" t="s">
        <v>53</v>
      </c>
      <c r="E384" s="16" t="str">
        <f>IFERROR(__xludf.DUMMYFUNCTION("filter('INVOICE CODES'!B:B,'INVOICE CODES'!D:D=C384,'INVOICE CODES'!E:E=D384)"),"MC-D400-Black")</f>
        <v>MC-D400-Black</v>
      </c>
      <c r="F384" s="12" t="s">
        <v>4218</v>
      </c>
      <c r="G384" s="12" t="s">
        <v>4220</v>
      </c>
      <c r="H384" s="17">
        <v>45968.0</v>
      </c>
      <c r="I384" s="79" t="s">
        <v>4221</v>
      </c>
      <c r="J384" s="14">
        <v>410624.0</v>
      </c>
      <c r="K384" s="76" t="s">
        <v>4222</v>
      </c>
      <c r="L384" s="80"/>
      <c r="M384" s="80"/>
      <c r="N384" s="80"/>
      <c r="O384" s="80"/>
      <c r="P384" s="80"/>
      <c r="Q384" s="80"/>
      <c r="R384" s="80"/>
      <c r="S384" s="30"/>
    </row>
    <row r="385">
      <c r="A385" s="12" t="s">
        <v>3402</v>
      </c>
      <c r="B385" s="19" t="s">
        <v>50</v>
      </c>
      <c r="C385" s="19" t="s">
        <v>616</v>
      </c>
      <c r="D385" s="19" t="s">
        <v>53</v>
      </c>
      <c r="E385" s="16" t="str">
        <f>IFERROR(__xludf.DUMMYFUNCTION("filter('INVOICE CODES'!B:B,'INVOICE CODES'!D:D=C385,'INVOICE CODES'!E:E=D385)"),"MC-D400-Black")</f>
        <v>MC-D400-Black</v>
      </c>
      <c r="F385" s="12" t="s">
        <v>4226</v>
      </c>
      <c r="G385" s="12" t="s">
        <v>4227</v>
      </c>
      <c r="H385" s="17">
        <v>45968.0</v>
      </c>
      <c r="I385" s="79" t="s">
        <v>4228</v>
      </c>
      <c r="J385" s="14">
        <v>410624.0</v>
      </c>
      <c r="K385" s="76" t="s">
        <v>4229</v>
      </c>
      <c r="L385" s="80"/>
      <c r="M385" s="80"/>
      <c r="N385" s="80"/>
      <c r="O385" s="80"/>
      <c r="P385" s="80"/>
      <c r="Q385" s="80"/>
      <c r="R385" s="80"/>
      <c r="S385" s="30"/>
    </row>
    <row r="386">
      <c r="A386" s="12" t="s">
        <v>3402</v>
      </c>
      <c r="B386" s="19" t="s">
        <v>50</v>
      </c>
      <c r="C386" s="19" t="s">
        <v>616</v>
      </c>
      <c r="D386" s="19" t="s">
        <v>53</v>
      </c>
      <c r="E386" s="16" t="str">
        <f>IFERROR(__xludf.DUMMYFUNCTION("filter('INVOICE CODES'!B:B,'INVOICE CODES'!D:D=C386,'INVOICE CODES'!E:E=D386)"),"MC-D400-Black")</f>
        <v>MC-D400-Black</v>
      </c>
      <c r="F386" s="12" t="s">
        <v>4236</v>
      </c>
      <c r="G386" s="12" t="s">
        <v>4237</v>
      </c>
      <c r="H386" s="17">
        <v>45968.0</v>
      </c>
      <c r="I386" s="79" t="s">
        <v>4238</v>
      </c>
      <c r="J386" s="14">
        <v>410624.0</v>
      </c>
      <c r="K386" s="76" t="s">
        <v>4239</v>
      </c>
      <c r="L386" s="80"/>
      <c r="M386" s="80"/>
      <c r="N386" s="80"/>
      <c r="O386" s="80"/>
      <c r="P386" s="80"/>
      <c r="Q386" s="80"/>
      <c r="R386" s="80"/>
      <c r="S386" s="30"/>
    </row>
    <row r="387">
      <c r="A387" s="12" t="s">
        <v>3402</v>
      </c>
      <c r="B387" s="19" t="s">
        <v>50</v>
      </c>
      <c r="C387" s="19" t="s">
        <v>616</v>
      </c>
      <c r="D387" s="19" t="s">
        <v>53</v>
      </c>
      <c r="E387" s="16" t="str">
        <f>IFERROR(__xludf.DUMMYFUNCTION("filter('INVOICE CODES'!B:B,'INVOICE CODES'!D:D=C387,'INVOICE CODES'!E:E=D387)"),"MC-D400-Black")</f>
        <v>MC-D400-Black</v>
      </c>
      <c r="F387" s="12" t="s">
        <v>4246</v>
      </c>
      <c r="G387" s="12" t="s">
        <v>4247</v>
      </c>
      <c r="H387" s="17">
        <v>45968.0</v>
      </c>
      <c r="I387" s="77" t="s">
        <v>4248</v>
      </c>
      <c r="J387" s="14">
        <v>410624.0</v>
      </c>
      <c r="K387" s="76" t="s">
        <v>4249</v>
      </c>
      <c r="L387" s="80"/>
      <c r="M387" s="80"/>
      <c r="N387" s="80"/>
      <c r="O387" s="80"/>
      <c r="P387" s="80"/>
      <c r="Q387" s="80"/>
      <c r="R387" s="80"/>
      <c r="S387" s="30"/>
    </row>
    <row r="388">
      <c r="A388" s="12" t="s">
        <v>3402</v>
      </c>
      <c r="B388" s="19" t="s">
        <v>50</v>
      </c>
      <c r="C388" s="19" t="s">
        <v>616</v>
      </c>
      <c r="D388" s="19" t="s">
        <v>53</v>
      </c>
      <c r="E388" s="16" t="str">
        <f>IFERROR(__xludf.DUMMYFUNCTION("filter('INVOICE CODES'!B:B,'INVOICE CODES'!D:D=C388,'INVOICE CODES'!E:E=D388)"),"MC-D400-Black")</f>
        <v>MC-D400-Black</v>
      </c>
      <c r="F388" s="12" t="s">
        <v>4254</v>
      </c>
      <c r="G388" s="12" t="s">
        <v>4255</v>
      </c>
      <c r="H388" s="17">
        <v>45968.0</v>
      </c>
      <c r="I388" s="79" t="s">
        <v>4256</v>
      </c>
      <c r="J388" s="14">
        <v>410624.0</v>
      </c>
      <c r="K388" s="76" t="s">
        <v>4258</v>
      </c>
      <c r="L388" s="80"/>
      <c r="M388" s="80"/>
      <c r="N388" s="80"/>
      <c r="O388" s="80"/>
      <c r="P388" s="80"/>
      <c r="Q388" s="80"/>
      <c r="R388" s="80"/>
      <c r="S388" s="30"/>
    </row>
    <row r="389">
      <c r="A389" s="12" t="s">
        <v>3402</v>
      </c>
      <c r="B389" s="19" t="s">
        <v>50</v>
      </c>
      <c r="C389" s="19" t="s">
        <v>616</v>
      </c>
      <c r="D389" s="19" t="s">
        <v>53</v>
      </c>
      <c r="E389" s="16" t="str">
        <f>IFERROR(__xludf.DUMMYFUNCTION("filter('INVOICE CODES'!B:B,'INVOICE CODES'!D:D=C389,'INVOICE CODES'!E:E=D389)"),"MC-D400-Black")</f>
        <v>MC-D400-Black</v>
      </c>
      <c r="F389" s="12" t="s">
        <v>4263</v>
      </c>
      <c r="G389" s="12" t="s">
        <v>4264</v>
      </c>
      <c r="H389" s="17">
        <v>45968.0</v>
      </c>
      <c r="I389" s="79" t="s">
        <v>4266</v>
      </c>
      <c r="J389" s="14">
        <v>410624.0</v>
      </c>
      <c r="K389" s="76" t="s">
        <v>4269</v>
      </c>
      <c r="L389" s="80"/>
      <c r="M389" s="80"/>
      <c r="N389" s="80"/>
      <c r="O389" s="80"/>
      <c r="P389" s="80"/>
      <c r="Q389" s="80"/>
      <c r="R389" s="80"/>
      <c r="S389" s="30"/>
    </row>
    <row r="390">
      <c r="A390" s="12" t="s">
        <v>3402</v>
      </c>
      <c r="B390" s="19" t="s">
        <v>50</v>
      </c>
      <c r="C390" s="19" t="s">
        <v>616</v>
      </c>
      <c r="D390" s="19" t="s">
        <v>53</v>
      </c>
      <c r="E390" s="16" t="str">
        <f>IFERROR(__xludf.DUMMYFUNCTION("filter('INVOICE CODES'!B:B,'INVOICE CODES'!D:D=C390,'INVOICE CODES'!E:E=D390)"),"MC-D400-Black")</f>
        <v>MC-D400-Black</v>
      </c>
      <c r="F390" s="12" t="s">
        <v>4273</v>
      </c>
      <c r="G390" s="12" t="s">
        <v>4274</v>
      </c>
      <c r="H390" s="17">
        <v>45968.0</v>
      </c>
      <c r="I390" s="79" t="s">
        <v>4275</v>
      </c>
      <c r="J390" s="14">
        <v>410624.0</v>
      </c>
      <c r="K390" s="76" t="s">
        <v>4276</v>
      </c>
      <c r="L390" s="80"/>
      <c r="M390" s="80"/>
      <c r="N390" s="80"/>
      <c r="O390" s="80"/>
      <c r="P390" s="80"/>
      <c r="Q390" s="80"/>
      <c r="R390" s="80"/>
      <c r="S390" s="30"/>
    </row>
    <row r="391">
      <c r="A391" s="12" t="s">
        <v>3402</v>
      </c>
      <c r="B391" s="19" t="s">
        <v>50</v>
      </c>
      <c r="C391" s="19" t="s">
        <v>616</v>
      </c>
      <c r="D391" s="19" t="s">
        <v>53</v>
      </c>
      <c r="E391" s="16" t="str">
        <f>IFERROR(__xludf.DUMMYFUNCTION("filter('INVOICE CODES'!B:B,'INVOICE CODES'!D:D=C391,'INVOICE CODES'!E:E=D391)"),"MC-D400-Black")</f>
        <v>MC-D400-Black</v>
      </c>
      <c r="F391" s="12" t="s">
        <v>4284</v>
      </c>
      <c r="G391" s="12" t="s">
        <v>4285</v>
      </c>
      <c r="H391" s="17">
        <v>45968.0</v>
      </c>
      <c r="I391" s="79" t="s">
        <v>4286</v>
      </c>
      <c r="J391" s="14">
        <v>410624.0</v>
      </c>
      <c r="K391" s="76" t="s">
        <v>4287</v>
      </c>
      <c r="L391" s="80"/>
      <c r="M391" s="80"/>
      <c r="N391" s="80"/>
      <c r="O391" s="80"/>
      <c r="P391" s="80"/>
      <c r="Q391" s="80"/>
      <c r="R391" s="80"/>
      <c r="S391" s="30"/>
    </row>
    <row r="392">
      <c r="A392" s="12" t="s">
        <v>3402</v>
      </c>
      <c r="B392" s="19" t="s">
        <v>50</v>
      </c>
      <c r="C392" s="19" t="s">
        <v>616</v>
      </c>
      <c r="D392" s="19" t="s">
        <v>53</v>
      </c>
      <c r="E392" s="16" t="str">
        <f>IFERROR(__xludf.DUMMYFUNCTION("filter('INVOICE CODES'!B:B,'INVOICE CODES'!D:D=C392,'INVOICE CODES'!E:E=D392)"),"MC-D400-Black")</f>
        <v>MC-D400-Black</v>
      </c>
      <c r="F392" s="12" t="s">
        <v>4294</v>
      </c>
      <c r="G392" s="12" t="s">
        <v>4295</v>
      </c>
      <c r="H392" s="17">
        <v>45968.0</v>
      </c>
      <c r="I392" s="79" t="s">
        <v>4296</v>
      </c>
      <c r="J392" s="14">
        <v>410624.0</v>
      </c>
      <c r="K392" s="76" t="s">
        <v>4297</v>
      </c>
      <c r="L392" s="80"/>
      <c r="M392" s="80"/>
      <c r="N392" s="80"/>
      <c r="O392" s="80"/>
      <c r="P392" s="80"/>
      <c r="Q392" s="80"/>
      <c r="R392" s="80"/>
      <c r="S392" s="30"/>
    </row>
    <row r="393">
      <c r="A393" s="12" t="s">
        <v>3402</v>
      </c>
      <c r="B393" s="19" t="s">
        <v>50</v>
      </c>
      <c r="C393" s="19" t="s">
        <v>616</v>
      </c>
      <c r="D393" s="19" t="s">
        <v>53</v>
      </c>
      <c r="E393" s="16" t="str">
        <f>IFERROR(__xludf.DUMMYFUNCTION("filter('INVOICE CODES'!B:B,'INVOICE CODES'!D:D=C393,'INVOICE CODES'!E:E=D393)"),"MC-D400-Black")</f>
        <v>MC-D400-Black</v>
      </c>
      <c r="F393" s="12" t="s">
        <v>4301</v>
      </c>
      <c r="G393" s="12" t="s">
        <v>4302</v>
      </c>
      <c r="H393" s="17">
        <v>45968.0</v>
      </c>
      <c r="I393" s="79" t="s">
        <v>4303</v>
      </c>
      <c r="J393" s="14">
        <v>410624.0</v>
      </c>
      <c r="K393" s="76" t="s">
        <v>4304</v>
      </c>
      <c r="L393" s="80"/>
      <c r="M393" s="80"/>
      <c r="N393" s="80"/>
      <c r="O393" s="80"/>
      <c r="P393" s="80"/>
      <c r="Q393" s="80"/>
      <c r="R393" s="80"/>
      <c r="S393" s="30"/>
    </row>
    <row r="394">
      <c r="A394" s="12" t="s">
        <v>3402</v>
      </c>
      <c r="B394" s="19" t="s">
        <v>50</v>
      </c>
      <c r="C394" s="19" t="s">
        <v>616</v>
      </c>
      <c r="D394" s="19" t="s">
        <v>53</v>
      </c>
      <c r="E394" s="16" t="str">
        <f>IFERROR(__xludf.DUMMYFUNCTION("filter('INVOICE CODES'!B:B,'INVOICE CODES'!D:D=C394,'INVOICE CODES'!E:E=D394)"),"MC-D400-Black")</f>
        <v>MC-D400-Black</v>
      </c>
      <c r="F394" s="12" t="s">
        <v>4308</v>
      </c>
      <c r="G394" s="12" t="s">
        <v>4309</v>
      </c>
      <c r="H394" s="17">
        <v>45968.0</v>
      </c>
      <c r="I394" s="79" t="s">
        <v>4310</v>
      </c>
      <c r="J394" s="14">
        <v>410624.0</v>
      </c>
      <c r="K394" s="76" t="s">
        <v>4311</v>
      </c>
      <c r="L394" s="80"/>
      <c r="M394" s="80"/>
      <c r="N394" s="80"/>
      <c r="O394" s="80"/>
      <c r="P394" s="80"/>
      <c r="Q394" s="80"/>
      <c r="R394" s="80"/>
      <c r="S394" s="30"/>
    </row>
    <row r="395">
      <c r="A395" s="12" t="s">
        <v>3402</v>
      </c>
      <c r="B395" s="19" t="s">
        <v>50</v>
      </c>
      <c r="C395" s="19" t="s">
        <v>616</v>
      </c>
      <c r="D395" s="19" t="s">
        <v>53</v>
      </c>
      <c r="E395" s="16" t="str">
        <f>IFERROR(__xludf.DUMMYFUNCTION("filter('INVOICE CODES'!B:B,'INVOICE CODES'!D:D=C395,'INVOICE CODES'!E:E=D395)"),"MC-D400-Black")</f>
        <v>MC-D400-Black</v>
      </c>
      <c r="F395" s="12" t="s">
        <v>4315</v>
      </c>
      <c r="G395" s="12" t="s">
        <v>4316</v>
      </c>
      <c r="H395" s="17">
        <v>45968.0</v>
      </c>
      <c r="I395" s="79" t="s">
        <v>4317</v>
      </c>
      <c r="J395" s="14">
        <v>410624.0</v>
      </c>
      <c r="K395" s="76" t="s">
        <v>4318</v>
      </c>
      <c r="L395" s="80"/>
      <c r="M395" s="80"/>
      <c r="N395" s="80"/>
      <c r="O395" s="80"/>
      <c r="P395" s="80"/>
      <c r="Q395" s="80"/>
      <c r="R395" s="80"/>
      <c r="S395" s="30"/>
    </row>
    <row r="396">
      <c r="A396" s="12" t="s">
        <v>3402</v>
      </c>
      <c r="B396" s="19" t="s">
        <v>50</v>
      </c>
      <c r="C396" s="19" t="s">
        <v>616</v>
      </c>
      <c r="D396" s="19" t="s">
        <v>53</v>
      </c>
      <c r="E396" s="16" t="str">
        <f>IFERROR(__xludf.DUMMYFUNCTION("filter('INVOICE CODES'!B:B,'INVOICE CODES'!D:D=C396,'INVOICE CODES'!E:E=D396)"),"MC-D400-Black")</f>
        <v>MC-D400-Black</v>
      </c>
      <c r="F396" s="12" t="s">
        <v>4322</v>
      </c>
      <c r="G396" s="12" t="s">
        <v>4323</v>
      </c>
      <c r="H396" s="17">
        <v>45968.0</v>
      </c>
      <c r="I396" s="79" t="s">
        <v>4324</v>
      </c>
      <c r="J396" s="14">
        <v>410624.0</v>
      </c>
      <c r="K396" s="76" t="s">
        <v>4326</v>
      </c>
      <c r="L396" s="80"/>
      <c r="M396" s="80"/>
      <c r="N396" s="80"/>
      <c r="O396" s="80"/>
      <c r="P396" s="80"/>
      <c r="Q396" s="80"/>
      <c r="R396" s="80"/>
      <c r="S396" s="30"/>
    </row>
    <row r="397">
      <c r="A397" s="12" t="s">
        <v>3402</v>
      </c>
      <c r="B397" s="19" t="s">
        <v>50</v>
      </c>
      <c r="C397" s="19" t="s">
        <v>616</v>
      </c>
      <c r="D397" s="19" t="s">
        <v>53</v>
      </c>
      <c r="E397" s="16" t="str">
        <f>IFERROR(__xludf.DUMMYFUNCTION("filter('INVOICE CODES'!B:B,'INVOICE CODES'!D:D=C397,'INVOICE CODES'!E:E=D397)"),"MC-D400-Black")</f>
        <v>MC-D400-Black</v>
      </c>
      <c r="F397" s="12" t="s">
        <v>4330</v>
      </c>
      <c r="G397" s="12" t="s">
        <v>4333</v>
      </c>
      <c r="H397" s="17">
        <v>45968.0</v>
      </c>
      <c r="I397" s="81" t="s">
        <v>4334</v>
      </c>
      <c r="J397" s="14">
        <v>410624.0</v>
      </c>
      <c r="K397" s="76" t="s">
        <v>4338</v>
      </c>
      <c r="L397" s="80"/>
      <c r="M397" s="80"/>
      <c r="N397" s="80"/>
      <c r="O397" s="80"/>
      <c r="P397" s="80"/>
      <c r="Q397" s="80"/>
      <c r="R397" s="80"/>
      <c r="S397" s="30"/>
    </row>
    <row r="398">
      <c r="A398" s="12" t="s">
        <v>3402</v>
      </c>
      <c r="B398" s="19" t="s">
        <v>50</v>
      </c>
      <c r="C398" s="19" t="s">
        <v>616</v>
      </c>
      <c r="D398" s="19" t="s">
        <v>53</v>
      </c>
      <c r="E398" s="16" t="str">
        <f>IFERROR(__xludf.DUMMYFUNCTION("filter('INVOICE CODES'!B:B,'INVOICE CODES'!D:D=C398,'INVOICE CODES'!E:E=D398)"),"MC-D400-Black")</f>
        <v>MC-D400-Black</v>
      </c>
      <c r="F398" s="12" t="s">
        <v>4343</v>
      </c>
      <c r="G398" s="12" t="s">
        <v>4345</v>
      </c>
      <c r="H398" s="17">
        <v>45968.0</v>
      </c>
      <c r="I398" s="79" t="s">
        <v>4347</v>
      </c>
      <c r="J398" s="14">
        <v>410624.0</v>
      </c>
      <c r="K398" s="76" t="s">
        <v>4348</v>
      </c>
      <c r="L398" s="80"/>
      <c r="M398" s="80"/>
      <c r="N398" s="80"/>
      <c r="O398" s="80"/>
      <c r="P398" s="80"/>
      <c r="Q398" s="80"/>
      <c r="R398" s="80"/>
      <c r="S398" s="30"/>
    </row>
    <row r="399">
      <c r="A399" s="12" t="s">
        <v>3402</v>
      </c>
      <c r="B399" s="19" t="s">
        <v>50</v>
      </c>
      <c r="C399" s="19" t="s">
        <v>616</v>
      </c>
      <c r="D399" s="19" t="s">
        <v>53</v>
      </c>
      <c r="E399" s="16" t="str">
        <f>IFERROR(__xludf.DUMMYFUNCTION("filter('INVOICE CODES'!B:B,'INVOICE CODES'!D:D=C399,'INVOICE CODES'!E:E=D399)"),"MC-D400-Black")</f>
        <v>MC-D400-Black</v>
      </c>
      <c r="F399" s="12" t="s">
        <v>4352</v>
      </c>
      <c r="G399" s="12" t="s">
        <v>4353</v>
      </c>
      <c r="H399" s="17">
        <v>45968.0</v>
      </c>
      <c r="I399" s="79" t="s">
        <v>4354</v>
      </c>
      <c r="J399" s="14">
        <v>410624.0</v>
      </c>
      <c r="K399" s="76" t="s">
        <v>4358</v>
      </c>
      <c r="L399" s="80"/>
      <c r="M399" s="80"/>
      <c r="N399" s="80"/>
      <c r="O399" s="80"/>
      <c r="P399" s="80"/>
      <c r="Q399" s="80"/>
      <c r="R399" s="80"/>
      <c r="S399" s="30"/>
    </row>
    <row r="400">
      <c r="A400" s="12" t="s">
        <v>3402</v>
      </c>
      <c r="B400" s="19" t="s">
        <v>50</v>
      </c>
      <c r="C400" s="19" t="s">
        <v>616</v>
      </c>
      <c r="D400" s="19" t="s">
        <v>53</v>
      </c>
      <c r="E400" s="16" t="str">
        <f>IFERROR(__xludf.DUMMYFUNCTION("filter('INVOICE CODES'!B:B,'INVOICE CODES'!D:D=C400,'INVOICE CODES'!E:E=D400)"),"MC-D400-Black")</f>
        <v>MC-D400-Black</v>
      </c>
      <c r="F400" s="12" t="s">
        <v>4362</v>
      </c>
      <c r="G400" s="12" t="s">
        <v>4363</v>
      </c>
      <c r="H400" s="17">
        <v>45968.0</v>
      </c>
      <c r="I400" s="79" t="s">
        <v>4364</v>
      </c>
      <c r="J400" s="14">
        <v>410624.0</v>
      </c>
      <c r="K400" s="76" t="s">
        <v>4366</v>
      </c>
      <c r="L400" s="80"/>
      <c r="M400" s="80"/>
      <c r="N400" s="80"/>
      <c r="O400" s="80"/>
      <c r="P400" s="80"/>
      <c r="Q400" s="80"/>
      <c r="R400" s="80"/>
      <c r="S400" s="30"/>
    </row>
    <row r="401">
      <c r="A401" s="12" t="s">
        <v>3402</v>
      </c>
      <c r="B401" s="19" t="s">
        <v>50</v>
      </c>
      <c r="C401" s="19" t="s">
        <v>616</v>
      </c>
      <c r="D401" s="19" t="s">
        <v>53</v>
      </c>
      <c r="E401" s="16" t="str">
        <f>IFERROR(__xludf.DUMMYFUNCTION("filter('INVOICE CODES'!B:B,'INVOICE CODES'!D:D=C401,'INVOICE CODES'!E:E=D401)"),"MC-D400-Black")</f>
        <v>MC-D400-Black</v>
      </c>
      <c r="F401" s="12" t="s">
        <v>4372</v>
      </c>
      <c r="G401" s="12" t="s">
        <v>4373</v>
      </c>
      <c r="H401" s="17">
        <v>45968.0</v>
      </c>
      <c r="I401" s="79" t="s">
        <v>4374</v>
      </c>
      <c r="J401" s="14">
        <v>410624.0</v>
      </c>
      <c r="K401" s="76" t="s">
        <v>4375</v>
      </c>
      <c r="L401" s="80"/>
      <c r="M401" s="80"/>
      <c r="N401" s="80"/>
      <c r="O401" s="80"/>
      <c r="P401" s="80"/>
      <c r="Q401" s="80"/>
      <c r="R401" s="80"/>
      <c r="S401" s="30"/>
    </row>
    <row r="402">
      <c r="A402" s="12" t="s">
        <v>3402</v>
      </c>
      <c r="B402" s="19" t="s">
        <v>50</v>
      </c>
      <c r="C402" s="19" t="s">
        <v>616</v>
      </c>
      <c r="D402" s="19" t="s">
        <v>53</v>
      </c>
      <c r="E402" s="16" t="str">
        <f>IFERROR(__xludf.DUMMYFUNCTION("filter('INVOICE CODES'!B:B,'INVOICE CODES'!D:D=C402,'INVOICE CODES'!E:E=D402)"),"MC-D400-Black")</f>
        <v>MC-D400-Black</v>
      </c>
      <c r="F402" s="12" t="s">
        <v>4381</v>
      </c>
      <c r="G402" s="12" t="s">
        <v>4383</v>
      </c>
      <c r="H402" s="17">
        <v>45968.0</v>
      </c>
      <c r="I402" s="79" t="s">
        <v>4384</v>
      </c>
      <c r="J402" s="14">
        <v>410624.0</v>
      </c>
      <c r="K402" s="76" t="s">
        <v>4385</v>
      </c>
      <c r="L402" s="80"/>
      <c r="M402" s="80"/>
      <c r="N402" s="80"/>
      <c r="O402" s="80"/>
      <c r="P402" s="80"/>
      <c r="Q402" s="80"/>
      <c r="R402" s="80"/>
      <c r="S402" s="30"/>
    </row>
    <row r="403">
      <c r="A403" s="12" t="s">
        <v>3402</v>
      </c>
      <c r="B403" s="19" t="s">
        <v>50</v>
      </c>
      <c r="C403" s="19" t="s">
        <v>616</v>
      </c>
      <c r="D403" s="19" t="s">
        <v>53</v>
      </c>
      <c r="E403" s="16" t="str">
        <f>IFERROR(__xludf.DUMMYFUNCTION("filter('INVOICE CODES'!B:B,'INVOICE CODES'!D:D=C403,'INVOICE CODES'!E:E=D403)"),"MC-D400-Black")</f>
        <v>MC-D400-Black</v>
      </c>
      <c r="F403" s="12" t="s">
        <v>4389</v>
      </c>
      <c r="G403" s="12" t="s">
        <v>4390</v>
      </c>
      <c r="H403" s="17">
        <v>45968.0</v>
      </c>
      <c r="I403" s="79" t="s">
        <v>4392</v>
      </c>
      <c r="J403" s="14">
        <v>410624.0</v>
      </c>
      <c r="K403" s="76" t="s">
        <v>4395</v>
      </c>
      <c r="L403" s="80"/>
      <c r="M403" s="80"/>
      <c r="N403" s="80"/>
      <c r="O403" s="80"/>
      <c r="P403" s="80"/>
      <c r="Q403" s="80"/>
      <c r="R403" s="80"/>
      <c r="S403" s="30"/>
    </row>
    <row r="404">
      <c r="A404" s="12" t="s">
        <v>3402</v>
      </c>
      <c r="B404" s="19" t="s">
        <v>50</v>
      </c>
      <c r="C404" s="19" t="s">
        <v>616</v>
      </c>
      <c r="D404" s="19" t="s">
        <v>53</v>
      </c>
      <c r="E404" s="16" t="str">
        <f>IFERROR(__xludf.DUMMYFUNCTION("filter('INVOICE CODES'!B:B,'INVOICE CODES'!D:D=C404,'INVOICE CODES'!E:E=D404)"),"MC-D400-Black")</f>
        <v>MC-D400-Black</v>
      </c>
      <c r="F404" s="12" t="s">
        <v>4399</v>
      </c>
      <c r="G404" s="12" t="s">
        <v>4400</v>
      </c>
      <c r="H404" s="17">
        <v>45968.0</v>
      </c>
      <c r="I404" s="79" t="s">
        <v>4401</v>
      </c>
      <c r="J404" s="14">
        <v>410624.0</v>
      </c>
      <c r="K404" s="76" t="s">
        <v>4402</v>
      </c>
      <c r="L404" s="80"/>
      <c r="M404" s="80"/>
      <c r="N404" s="80"/>
      <c r="O404" s="80"/>
      <c r="P404" s="80"/>
      <c r="Q404" s="80"/>
      <c r="R404" s="80"/>
      <c r="S404" s="30"/>
    </row>
    <row r="405">
      <c r="A405" s="12" t="s">
        <v>3402</v>
      </c>
      <c r="B405" s="19" t="s">
        <v>50</v>
      </c>
      <c r="C405" s="19" t="s">
        <v>616</v>
      </c>
      <c r="D405" s="19" t="s">
        <v>53</v>
      </c>
      <c r="E405" s="16" t="str">
        <f>IFERROR(__xludf.DUMMYFUNCTION("filter('INVOICE CODES'!B:B,'INVOICE CODES'!D:D=C405,'INVOICE CODES'!E:E=D405)"),"MC-D400-Black")</f>
        <v>MC-D400-Black</v>
      </c>
      <c r="F405" s="12" t="s">
        <v>4409</v>
      </c>
      <c r="G405" s="12" t="s">
        <v>4410</v>
      </c>
      <c r="H405" s="17">
        <v>45968.0</v>
      </c>
      <c r="I405" s="79" t="s">
        <v>4411</v>
      </c>
      <c r="J405" s="14">
        <v>410624.0</v>
      </c>
      <c r="K405" s="76" t="s">
        <v>4412</v>
      </c>
      <c r="L405" s="80"/>
      <c r="M405" s="80"/>
      <c r="N405" s="80"/>
      <c r="O405" s="80"/>
      <c r="P405" s="80"/>
      <c r="Q405" s="80"/>
      <c r="R405" s="80"/>
      <c r="S405" s="30"/>
    </row>
    <row r="406">
      <c r="A406" s="12" t="s">
        <v>3402</v>
      </c>
      <c r="B406" s="19" t="s">
        <v>50</v>
      </c>
      <c r="C406" s="19" t="s">
        <v>616</v>
      </c>
      <c r="D406" s="19" t="s">
        <v>53</v>
      </c>
      <c r="E406" s="16" t="str">
        <f>IFERROR(__xludf.DUMMYFUNCTION("filter('INVOICE CODES'!B:B,'INVOICE CODES'!D:D=C406,'INVOICE CODES'!E:E=D406)"),"MC-D400-Black")</f>
        <v>MC-D400-Black</v>
      </c>
      <c r="F406" s="12" t="s">
        <v>4416</v>
      </c>
      <c r="G406" s="12" t="s">
        <v>4417</v>
      </c>
      <c r="H406" s="17">
        <v>45968.0</v>
      </c>
      <c r="I406" s="79" t="s">
        <v>4419</v>
      </c>
      <c r="J406" s="14">
        <v>410624.0</v>
      </c>
      <c r="K406" s="76" t="s">
        <v>4421</v>
      </c>
      <c r="L406" s="80"/>
      <c r="M406" s="80"/>
      <c r="N406" s="80"/>
      <c r="O406" s="80"/>
      <c r="P406" s="80"/>
      <c r="Q406" s="80"/>
      <c r="R406" s="80"/>
      <c r="S406" s="30"/>
    </row>
    <row r="407">
      <c r="A407" s="12" t="s">
        <v>3402</v>
      </c>
      <c r="B407" s="19" t="s">
        <v>50</v>
      </c>
      <c r="C407" s="19" t="s">
        <v>616</v>
      </c>
      <c r="D407" s="19" t="s">
        <v>53</v>
      </c>
      <c r="E407" s="16" t="str">
        <f>IFERROR(__xludf.DUMMYFUNCTION("filter('INVOICE CODES'!B:B,'INVOICE CODES'!D:D=C407,'INVOICE CODES'!E:E=D407)"),"MC-D400-Black")</f>
        <v>MC-D400-Black</v>
      </c>
      <c r="F407" s="12" t="s">
        <v>4423</v>
      </c>
      <c r="G407" s="12" t="s">
        <v>4425</v>
      </c>
      <c r="H407" s="17">
        <v>45968.0</v>
      </c>
      <c r="I407" s="79" t="s">
        <v>4427</v>
      </c>
      <c r="J407" s="14">
        <v>410624.0</v>
      </c>
      <c r="K407" s="76" t="s">
        <v>4429</v>
      </c>
      <c r="L407" s="80"/>
      <c r="M407" s="80"/>
      <c r="N407" s="80"/>
      <c r="O407" s="80"/>
      <c r="P407" s="80"/>
      <c r="Q407" s="80"/>
      <c r="R407" s="80"/>
      <c r="S407" s="30"/>
    </row>
    <row r="408">
      <c r="A408" s="19" t="s">
        <v>4430</v>
      </c>
      <c r="B408" s="19" t="s">
        <v>50</v>
      </c>
      <c r="C408" s="12" t="s">
        <v>638</v>
      </c>
      <c r="D408" s="82" t="s">
        <v>46</v>
      </c>
      <c r="E408" s="16" t="str">
        <f>IFERROR(__xludf.DUMMYFUNCTION("filter('INVOICE CODES'!B:B,'INVOICE CODES'!D:D=C408,'INVOICE CODES'!E:E=D408)"),"MC-OKG-Green")</f>
        <v>MC-OKG-Green</v>
      </c>
      <c r="F408" s="12" t="s">
        <v>4434</v>
      </c>
      <c r="G408" s="12"/>
      <c r="H408" s="17"/>
      <c r="I408" s="14" t="s">
        <v>67</v>
      </c>
      <c r="J408" s="14" t="s">
        <v>67</v>
      </c>
      <c r="K408" s="12" t="s">
        <v>67</v>
      </c>
      <c r="L408" s="80"/>
      <c r="M408" s="80"/>
      <c r="N408" s="80"/>
      <c r="O408" s="80"/>
      <c r="P408" s="80"/>
      <c r="Q408" s="80"/>
      <c r="R408" s="80"/>
      <c r="S408" s="42"/>
    </row>
    <row r="409" hidden="1">
      <c r="A409" s="12"/>
      <c r="B409" s="12"/>
      <c r="C409" s="76"/>
      <c r="D409" s="83"/>
      <c r="E409" s="10"/>
      <c r="F409" s="12"/>
      <c r="G409" s="12"/>
      <c r="H409" s="17"/>
      <c r="I409" s="48"/>
      <c r="J409" s="48"/>
      <c r="K409" s="12"/>
      <c r="L409" s="80"/>
      <c r="M409" s="80"/>
      <c r="N409" s="80"/>
      <c r="O409" s="80"/>
      <c r="P409" s="80"/>
      <c r="Q409" s="80"/>
      <c r="R409" s="80"/>
      <c r="S409" s="42"/>
    </row>
    <row r="410" hidden="1">
      <c r="A410" s="12"/>
      <c r="B410" s="12"/>
      <c r="C410" s="76"/>
      <c r="D410" s="83"/>
      <c r="E410" s="10"/>
      <c r="F410" s="12"/>
      <c r="G410" s="12"/>
      <c r="H410" s="17"/>
      <c r="I410" s="48"/>
      <c r="J410" s="48"/>
      <c r="K410" s="12"/>
      <c r="L410" s="80"/>
      <c r="M410" s="80"/>
      <c r="N410" s="80"/>
      <c r="O410" s="80"/>
      <c r="P410" s="80"/>
      <c r="Q410" s="80"/>
      <c r="R410" s="80"/>
      <c r="S410" s="42"/>
    </row>
    <row r="411" hidden="1">
      <c r="A411" s="12"/>
      <c r="B411" s="12"/>
      <c r="C411" s="76"/>
      <c r="D411" s="83"/>
      <c r="E411" s="10"/>
      <c r="F411" s="12"/>
      <c r="G411" s="12"/>
      <c r="H411" s="17"/>
      <c r="I411" s="48"/>
      <c r="J411" s="48"/>
      <c r="K411" s="12"/>
      <c r="L411" s="80"/>
      <c r="M411" s="80"/>
      <c r="N411" s="80"/>
      <c r="O411" s="80"/>
      <c r="P411" s="80"/>
      <c r="Q411" s="80"/>
      <c r="R411" s="80"/>
      <c r="S411" s="42"/>
    </row>
    <row r="412" hidden="1">
      <c r="A412" s="12"/>
      <c r="B412" s="12"/>
      <c r="C412" s="76"/>
      <c r="D412" s="83"/>
      <c r="E412" s="10"/>
      <c r="F412" s="12"/>
      <c r="G412" s="12"/>
      <c r="H412" s="17"/>
      <c r="I412" s="48"/>
      <c r="J412" s="48"/>
      <c r="K412" s="12"/>
      <c r="L412" s="80"/>
      <c r="M412" s="80"/>
      <c r="N412" s="80"/>
      <c r="O412" s="80"/>
      <c r="P412" s="80"/>
      <c r="Q412" s="80"/>
      <c r="R412" s="80"/>
      <c r="S412" s="42"/>
    </row>
    <row r="413" hidden="1">
      <c r="A413" s="12"/>
      <c r="B413" s="12"/>
      <c r="C413" s="76"/>
      <c r="D413" s="83"/>
      <c r="E413" s="10"/>
      <c r="F413" s="12"/>
      <c r="G413" s="12"/>
      <c r="H413" s="17"/>
      <c r="I413" s="48"/>
      <c r="J413" s="48"/>
      <c r="K413" s="12"/>
      <c r="L413" s="80"/>
      <c r="M413" s="80"/>
      <c r="N413" s="80"/>
      <c r="O413" s="80"/>
      <c r="P413" s="80"/>
      <c r="Q413" s="80"/>
      <c r="R413" s="80"/>
      <c r="S413" s="42"/>
    </row>
    <row r="414" hidden="1">
      <c r="A414" s="12"/>
      <c r="B414" s="12"/>
      <c r="C414" s="76"/>
      <c r="D414" s="83"/>
      <c r="E414" s="10"/>
      <c r="F414" s="12"/>
      <c r="G414" s="12"/>
      <c r="H414" s="17"/>
      <c r="I414" s="48"/>
      <c r="J414" s="48"/>
      <c r="K414" s="12"/>
      <c r="L414" s="80"/>
      <c r="M414" s="80"/>
      <c r="N414" s="80"/>
      <c r="O414" s="80"/>
      <c r="P414" s="80"/>
      <c r="Q414" s="80"/>
      <c r="R414" s="80"/>
      <c r="S414" s="42"/>
    </row>
    <row r="415" hidden="1">
      <c r="A415" s="12"/>
      <c r="B415" s="12"/>
      <c r="C415" s="76"/>
      <c r="D415" s="83"/>
      <c r="E415" s="10"/>
      <c r="F415" s="12"/>
      <c r="G415" s="12"/>
      <c r="H415" s="17"/>
      <c r="I415" s="48"/>
      <c r="J415" s="48"/>
      <c r="K415" s="12"/>
      <c r="L415" s="80"/>
      <c r="M415" s="80"/>
      <c r="N415" s="80"/>
      <c r="O415" s="80"/>
      <c r="P415" s="80"/>
      <c r="Q415" s="80"/>
      <c r="R415" s="80"/>
      <c r="S415" s="42"/>
    </row>
    <row r="416" hidden="1">
      <c r="A416" s="12"/>
      <c r="B416" s="12"/>
      <c r="C416" s="76"/>
      <c r="D416" s="83"/>
      <c r="E416" s="10"/>
      <c r="F416" s="12"/>
      <c r="G416" s="12"/>
      <c r="H416" s="17"/>
      <c r="I416" s="48"/>
      <c r="J416" s="48"/>
      <c r="K416" s="12"/>
      <c r="L416" s="80"/>
      <c r="M416" s="80"/>
      <c r="N416" s="80"/>
      <c r="O416" s="80"/>
      <c r="P416" s="80"/>
      <c r="Q416" s="80"/>
      <c r="R416" s="80"/>
      <c r="S416" s="42"/>
    </row>
    <row r="417" hidden="1">
      <c r="A417" s="12"/>
      <c r="B417" s="12"/>
      <c r="C417" s="76"/>
      <c r="D417" s="83"/>
      <c r="E417" s="10"/>
      <c r="F417" s="12"/>
      <c r="G417" s="12"/>
      <c r="H417" s="17"/>
      <c r="I417" s="48"/>
      <c r="J417" s="48"/>
      <c r="K417" s="12"/>
      <c r="L417" s="80"/>
      <c r="M417" s="80"/>
      <c r="N417" s="80"/>
      <c r="O417" s="80"/>
      <c r="P417" s="80"/>
      <c r="Q417" s="80"/>
      <c r="R417" s="80"/>
      <c r="S417" s="42"/>
    </row>
    <row r="418" hidden="1">
      <c r="A418" s="12"/>
      <c r="B418" s="12"/>
      <c r="C418" s="76"/>
      <c r="D418" s="83"/>
      <c r="E418" s="10"/>
      <c r="F418" s="12"/>
      <c r="G418" s="12"/>
      <c r="H418" s="17"/>
      <c r="I418" s="48"/>
      <c r="J418" s="48"/>
      <c r="K418" s="12"/>
      <c r="L418" s="80"/>
      <c r="M418" s="80"/>
      <c r="N418" s="80"/>
      <c r="O418" s="80"/>
      <c r="P418" s="80"/>
      <c r="Q418" s="80"/>
      <c r="R418" s="80"/>
      <c r="S418" s="42"/>
    </row>
    <row r="419" hidden="1">
      <c r="A419" s="12"/>
      <c r="B419" s="12"/>
      <c r="C419" s="76"/>
      <c r="D419" s="83"/>
      <c r="E419" s="10"/>
      <c r="F419" s="12"/>
      <c r="G419" s="12"/>
      <c r="H419" s="17"/>
      <c r="I419" s="48"/>
      <c r="J419" s="48"/>
      <c r="K419" s="12"/>
      <c r="L419" s="80"/>
      <c r="M419" s="80"/>
      <c r="N419" s="80"/>
      <c r="O419" s="80"/>
      <c r="P419" s="80"/>
      <c r="Q419" s="80"/>
      <c r="R419" s="80"/>
      <c r="S419" s="42"/>
    </row>
    <row r="420" hidden="1">
      <c r="A420" s="12"/>
      <c r="B420" s="12"/>
      <c r="C420" s="76"/>
      <c r="D420" s="83"/>
      <c r="E420" s="10"/>
      <c r="F420" s="12"/>
      <c r="G420" s="12"/>
      <c r="H420" s="17"/>
      <c r="I420" s="48"/>
      <c r="J420" s="48"/>
      <c r="K420" s="12"/>
      <c r="L420" s="80"/>
      <c r="M420" s="80"/>
      <c r="N420" s="80"/>
      <c r="O420" s="80"/>
      <c r="P420" s="80"/>
      <c r="Q420" s="80"/>
      <c r="R420" s="80"/>
      <c r="S420" s="42"/>
    </row>
    <row r="421" hidden="1">
      <c r="A421" s="12"/>
      <c r="B421" s="12"/>
      <c r="C421" s="76"/>
      <c r="D421" s="83"/>
      <c r="E421" s="10"/>
      <c r="F421" s="12"/>
      <c r="G421" s="12"/>
      <c r="H421" s="17"/>
      <c r="I421" s="48"/>
      <c r="J421" s="48"/>
      <c r="K421" s="12"/>
      <c r="L421" s="80"/>
      <c r="M421" s="80"/>
      <c r="N421" s="80"/>
      <c r="O421" s="80"/>
      <c r="P421" s="80"/>
      <c r="Q421" s="80"/>
      <c r="R421" s="80"/>
      <c r="S421" s="42"/>
    </row>
    <row r="422" hidden="1">
      <c r="A422" s="12"/>
      <c r="B422" s="12"/>
      <c r="C422" s="76"/>
      <c r="D422" s="83"/>
      <c r="E422" s="10"/>
      <c r="F422" s="12"/>
      <c r="G422" s="12"/>
      <c r="H422" s="17"/>
      <c r="I422" s="48"/>
      <c r="J422" s="48"/>
      <c r="K422" s="12"/>
      <c r="L422" s="80"/>
      <c r="M422" s="80"/>
      <c r="N422" s="80"/>
      <c r="O422" s="80"/>
      <c r="P422" s="80"/>
      <c r="Q422" s="80"/>
      <c r="R422" s="80"/>
      <c r="S422" s="42"/>
    </row>
    <row r="423" hidden="1">
      <c r="A423" s="12"/>
      <c r="B423" s="12"/>
      <c r="C423" s="76"/>
      <c r="D423" s="83"/>
      <c r="E423" s="10"/>
      <c r="F423" s="12"/>
      <c r="G423" s="12"/>
      <c r="H423" s="17"/>
      <c r="I423" s="48"/>
      <c r="J423" s="48"/>
      <c r="K423" s="12"/>
      <c r="L423" s="80"/>
      <c r="M423" s="80"/>
      <c r="N423" s="80"/>
      <c r="O423" s="80"/>
      <c r="P423" s="80"/>
      <c r="Q423" s="80"/>
      <c r="R423" s="80"/>
      <c r="S423" s="42"/>
    </row>
    <row r="424" hidden="1">
      <c r="A424" s="12"/>
      <c r="B424" s="12"/>
      <c r="C424" s="76"/>
      <c r="D424" s="83"/>
      <c r="E424" s="10"/>
      <c r="F424" s="12"/>
      <c r="G424" s="12"/>
      <c r="H424" s="17"/>
      <c r="I424" s="48"/>
      <c r="J424" s="48"/>
      <c r="K424" s="12"/>
      <c r="L424" s="80"/>
      <c r="M424" s="80"/>
      <c r="N424" s="80"/>
      <c r="O424" s="80"/>
      <c r="P424" s="80"/>
      <c r="Q424" s="80"/>
      <c r="R424" s="80"/>
      <c r="S424" s="42"/>
    </row>
    <row r="425" hidden="1">
      <c r="A425" s="12"/>
      <c r="B425" s="12"/>
      <c r="C425" s="76"/>
      <c r="D425" s="83"/>
      <c r="E425" s="10"/>
      <c r="F425" s="12"/>
      <c r="G425" s="12"/>
      <c r="H425" s="17"/>
      <c r="I425" s="48"/>
      <c r="J425" s="48"/>
      <c r="K425" s="12"/>
      <c r="L425" s="80"/>
      <c r="M425" s="80"/>
      <c r="N425" s="80"/>
      <c r="O425" s="80"/>
      <c r="P425" s="80"/>
      <c r="Q425" s="80"/>
      <c r="R425" s="80"/>
      <c r="S425" s="42"/>
    </row>
    <row r="426" hidden="1">
      <c r="A426" s="12"/>
      <c r="B426" s="12"/>
      <c r="C426" s="76"/>
      <c r="D426" s="83"/>
      <c r="E426" s="10"/>
      <c r="F426" s="12"/>
      <c r="G426" s="12"/>
      <c r="H426" s="17"/>
      <c r="I426" s="48"/>
      <c r="J426" s="48"/>
      <c r="K426" s="12"/>
      <c r="L426" s="80"/>
      <c r="M426" s="80"/>
      <c r="N426" s="80"/>
      <c r="O426" s="80"/>
      <c r="P426" s="80"/>
      <c r="Q426" s="80"/>
      <c r="R426" s="80"/>
      <c r="S426" s="42"/>
    </row>
    <row r="427" hidden="1">
      <c r="A427" s="12"/>
      <c r="B427" s="12"/>
      <c r="C427" s="76"/>
      <c r="D427" s="83"/>
      <c r="E427" s="10"/>
      <c r="F427" s="12"/>
      <c r="G427" s="12"/>
      <c r="H427" s="17"/>
      <c r="I427" s="48"/>
      <c r="J427" s="48"/>
      <c r="K427" s="12"/>
      <c r="L427" s="80"/>
      <c r="M427" s="80"/>
      <c r="N427" s="80"/>
      <c r="O427" s="80"/>
      <c r="P427" s="80"/>
      <c r="Q427" s="80"/>
      <c r="R427" s="80"/>
      <c r="S427" s="42"/>
    </row>
    <row r="428" hidden="1">
      <c r="A428" s="12"/>
      <c r="B428" s="12"/>
      <c r="C428" s="76"/>
      <c r="D428" s="83"/>
      <c r="E428" s="10"/>
      <c r="F428" s="12"/>
      <c r="G428" s="12"/>
      <c r="H428" s="17"/>
      <c r="I428" s="48"/>
      <c r="J428" s="48"/>
      <c r="K428" s="12"/>
      <c r="L428" s="80"/>
      <c r="M428" s="80"/>
      <c r="N428" s="80"/>
      <c r="O428" s="80"/>
      <c r="P428" s="80"/>
      <c r="Q428" s="80"/>
      <c r="R428" s="80"/>
      <c r="S428" s="42"/>
    </row>
    <row r="429" hidden="1">
      <c r="A429" s="12"/>
      <c r="B429" s="12"/>
      <c r="C429" s="76"/>
      <c r="D429" s="83"/>
      <c r="E429" s="10"/>
      <c r="F429" s="12"/>
      <c r="G429" s="12"/>
      <c r="H429" s="17"/>
      <c r="I429" s="48"/>
      <c r="J429" s="48"/>
      <c r="K429" s="12"/>
      <c r="L429" s="80"/>
      <c r="M429" s="80"/>
      <c r="N429" s="80"/>
      <c r="O429" s="80"/>
      <c r="P429" s="80"/>
      <c r="Q429" s="80"/>
      <c r="R429" s="80"/>
      <c r="S429" s="42"/>
    </row>
    <row r="430" hidden="1">
      <c r="A430" s="12"/>
      <c r="B430" s="12"/>
      <c r="C430" s="76"/>
      <c r="D430" s="83"/>
      <c r="E430" s="10"/>
      <c r="F430" s="12"/>
      <c r="G430" s="12"/>
      <c r="H430" s="17"/>
      <c r="I430" s="48"/>
      <c r="J430" s="48"/>
      <c r="K430" s="12"/>
      <c r="L430" s="80"/>
      <c r="M430" s="80"/>
      <c r="N430" s="80"/>
      <c r="O430" s="80"/>
      <c r="P430" s="80"/>
      <c r="Q430" s="80"/>
      <c r="R430" s="80"/>
      <c r="S430" s="42"/>
    </row>
    <row r="431" hidden="1">
      <c r="A431" s="12"/>
      <c r="B431" s="12"/>
      <c r="C431" s="76"/>
      <c r="D431" s="83"/>
      <c r="E431" s="10"/>
      <c r="F431" s="12"/>
      <c r="G431" s="12"/>
      <c r="H431" s="17"/>
      <c r="I431" s="48"/>
      <c r="J431" s="48"/>
      <c r="K431" s="12"/>
      <c r="L431" s="80"/>
      <c r="M431" s="80"/>
      <c r="N431" s="80"/>
      <c r="O431" s="80"/>
      <c r="P431" s="80"/>
      <c r="Q431" s="80"/>
      <c r="R431" s="80"/>
      <c r="S431" s="42"/>
    </row>
    <row r="432" hidden="1">
      <c r="A432" s="12"/>
      <c r="B432" s="12"/>
      <c r="C432" s="76"/>
      <c r="D432" s="83"/>
      <c r="E432" s="10"/>
      <c r="F432" s="12"/>
      <c r="G432" s="12"/>
      <c r="H432" s="17"/>
      <c r="I432" s="48"/>
      <c r="J432" s="48"/>
      <c r="K432" s="12"/>
      <c r="L432" s="80"/>
      <c r="M432" s="80"/>
      <c r="N432" s="80"/>
      <c r="O432" s="80"/>
      <c r="P432" s="80"/>
      <c r="Q432" s="80"/>
      <c r="R432" s="80"/>
      <c r="S432" s="42"/>
    </row>
    <row r="433" hidden="1">
      <c r="A433" s="12"/>
      <c r="B433" s="12"/>
      <c r="C433" s="76"/>
      <c r="D433" s="83"/>
      <c r="E433" s="10"/>
      <c r="F433" s="12"/>
      <c r="G433" s="12"/>
      <c r="H433" s="17"/>
      <c r="I433" s="48"/>
      <c r="J433" s="48"/>
      <c r="K433" s="12"/>
      <c r="L433" s="80"/>
      <c r="M433" s="80"/>
      <c r="N433" s="80"/>
      <c r="O433" s="80"/>
      <c r="P433" s="80"/>
      <c r="Q433" s="80"/>
      <c r="R433" s="80"/>
      <c r="S433" s="42"/>
    </row>
    <row r="434" hidden="1">
      <c r="A434" s="12"/>
      <c r="B434" s="12"/>
      <c r="C434" s="76"/>
      <c r="D434" s="83"/>
      <c r="E434" s="10"/>
      <c r="F434" s="12"/>
      <c r="G434" s="12"/>
      <c r="H434" s="17"/>
      <c r="I434" s="48"/>
      <c r="J434" s="48"/>
      <c r="K434" s="12"/>
      <c r="L434" s="80"/>
      <c r="M434" s="80"/>
      <c r="N434" s="80"/>
      <c r="O434" s="80"/>
      <c r="P434" s="80"/>
      <c r="Q434" s="80"/>
      <c r="R434" s="80"/>
      <c r="S434" s="42"/>
    </row>
    <row r="435" hidden="1">
      <c r="A435" s="12"/>
      <c r="B435" s="12"/>
      <c r="C435" s="76"/>
      <c r="D435" s="83"/>
      <c r="E435" s="10"/>
      <c r="F435" s="12"/>
      <c r="G435" s="12"/>
      <c r="H435" s="17"/>
      <c r="I435" s="48"/>
      <c r="J435" s="48"/>
      <c r="K435" s="12"/>
      <c r="L435" s="80"/>
      <c r="M435" s="80"/>
      <c r="N435" s="80"/>
      <c r="O435" s="80"/>
      <c r="P435" s="80"/>
      <c r="Q435" s="80"/>
      <c r="R435" s="80"/>
      <c r="S435" s="42"/>
    </row>
    <row r="436" hidden="1">
      <c r="A436" s="12"/>
      <c r="B436" s="12"/>
      <c r="C436" s="76"/>
      <c r="D436" s="83"/>
      <c r="E436" s="10"/>
      <c r="F436" s="12"/>
      <c r="G436" s="12"/>
      <c r="H436" s="17"/>
      <c r="I436" s="48"/>
      <c r="J436" s="48"/>
      <c r="K436" s="12"/>
      <c r="L436" s="80"/>
      <c r="M436" s="80"/>
      <c r="N436" s="80"/>
      <c r="O436" s="80"/>
      <c r="P436" s="80"/>
      <c r="Q436" s="80"/>
      <c r="R436" s="80"/>
      <c r="S436" s="42"/>
    </row>
    <row r="437" hidden="1">
      <c r="A437" s="12"/>
      <c r="B437" s="12"/>
      <c r="C437" s="76"/>
      <c r="D437" s="83"/>
      <c r="E437" s="10"/>
      <c r="F437" s="12"/>
      <c r="G437" s="12"/>
      <c r="H437" s="17"/>
      <c r="I437" s="48"/>
      <c r="J437" s="48"/>
      <c r="K437" s="12"/>
      <c r="L437" s="80"/>
      <c r="M437" s="80"/>
      <c r="N437" s="80"/>
      <c r="O437" s="80"/>
      <c r="P437" s="80"/>
      <c r="Q437" s="80"/>
      <c r="R437" s="80"/>
      <c r="S437" s="42"/>
    </row>
    <row r="438" hidden="1">
      <c r="A438" s="12"/>
      <c r="B438" s="12"/>
      <c r="C438" s="76"/>
      <c r="D438" s="83"/>
      <c r="E438" s="10"/>
      <c r="F438" s="12"/>
      <c r="G438" s="12"/>
      <c r="H438" s="17"/>
      <c r="I438" s="48"/>
      <c r="J438" s="48"/>
      <c r="K438" s="12"/>
      <c r="L438" s="80"/>
      <c r="M438" s="80"/>
      <c r="N438" s="80"/>
      <c r="O438" s="80"/>
      <c r="P438" s="80"/>
      <c r="Q438" s="80"/>
      <c r="R438" s="80"/>
      <c r="S438" s="42"/>
    </row>
    <row r="439" hidden="1">
      <c r="A439" s="12"/>
      <c r="B439" s="12"/>
      <c r="C439" s="76"/>
      <c r="D439" s="83"/>
      <c r="E439" s="10"/>
      <c r="F439" s="12"/>
      <c r="G439" s="12"/>
      <c r="H439" s="17"/>
      <c r="I439" s="48"/>
      <c r="J439" s="48"/>
      <c r="K439" s="12"/>
      <c r="L439" s="80"/>
      <c r="M439" s="80"/>
      <c r="N439" s="80"/>
      <c r="O439" s="80"/>
      <c r="P439" s="80"/>
      <c r="Q439" s="80"/>
      <c r="R439" s="80"/>
      <c r="S439" s="42"/>
    </row>
    <row r="440" hidden="1">
      <c r="A440" s="12"/>
      <c r="B440" s="12"/>
      <c r="C440" s="76"/>
      <c r="D440" s="83"/>
      <c r="E440" s="10"/>
      <c r="F440" s="12"/>
      <c r="G440" s="12"/>
      <c r="H440" s="17"/>
      <c r="I440" s="48"/>
      <c r="J440" s="48"/>
      <c r="K440" s="12"/>
      <c r="L440" s="80"/>
      <c r="M440" s="80"/>
      <c r="N440" s="80"/>
      <c r="O440" s="80"/>
      <c r="P440" s="80"/>
      <c r="Q440" s="80"/>
      <c r="R440" s="80"/>
      <c r="S440" s="42"/>
    </row>
    <row r="441" hidden="1">
      <c r="A441" s="12"/>
      <c r="B441" s="12"/>
      <c r="C441" s="76"/>
      <c r="D441" s="83"/>
      <c r="E441" s="10"/>
      <c r="F441" s="12"/>
      <c r="G441" s="12"/>
      <c r="H441" s="17"/>
      <c r="I441" s="48"/>
      <c r="J441" s="48"/>
      <c r="K441" s="12"/>
      <c r="L441" s="80"/>
      <c r="M441" s="80"/>
      <c r="N441" s="80"/>
      <c r="O441" s="80"/>
      <c r="P441" s="80"/>
      <c r="Q441" s="80"/>
      <c r="R441" s="80"/>
      <c r="S441" s="42"/>
    </row>
    <row r="442" hidden="1">
      <c r="A442" s="12"/>
      <c r="B442" s="12"/>
      <c r="C442" s="76"/>
      <c r="D442" s="83"/>
      <c r="E442" s="10"/>
      <c r="F442" s="12"/>
      <c r="G442" s="12"/>
      <c r="H442" s="17"/>
      <c r="I442" s="48"/>
      <c r="J442" s="48"/>
      <c r="K442" s="12"/>
      <c r="L442" s="80"/>
      <c r="M442" s="80"/>
      <c r="N442" s="80"/>
      <c r="O442" s="80"/>
      <c r="P442" s="80"/>
      <c r="Q442" s="80"/>
      <c r="R442" s="80"/>
      <c r="S442" s="42"/>
    </row>
    <row r="443" hidden="1">
      <c r="A443" s="12"/>
      <c r="B443" s="12"/>
      <c r="C443" s="76"/>
      <c r="D443" s="83"/>
      <c r="E443" s="10"/>
      <c r="F443" s="12"/>
      <c r="G443" s="12"/>
      <c r="H443" s="17"/>
      <c r="I443" s="48"/>
      <c r="J443" s="48"/>
      <c r="K443" s="12"/>
      <c r="L443" s="80"/>
      <c r="M443" s="80"/>
      <c r="N443" s="80"/>
      <c r="O443" s="80"/>
      <c r="P443" s="80"/>
      <c r="Q443" s="80"/>
      <c r="R443" s="80"/>
      <c r="S443" s="42"/>
    </row>
    <row r="444" hidden="1">
      <c r="A444" s="12"/>
      <c r="B444" s="12"/>
      <c r="C444" s="76"/>
      <c r="D444" s="83"/>
      <c r="E444" s="10"/>
      <c r="F444" s="12"/>
      <c r="G444" s="12"/>
      <c r="H444" s="17"/>
      <c r="I444" s="48"/>
      <c r="J444" s="48"/>
      <c r="K444" s="12"/>
      <c r="L444" s="80"/>
      <c r="M444" s="80"/>
      <c r="N444" s="80"/>
      <c r="O444" s="80"/>
      <c r="P444" s="80"/>
      <c r="Q444" s="80"/>
      <c r="R444" s="80"/>
      <c r="S444" s="42"/>
    </row>
    <row r="445" hidden="1">
      <c r="A445" s="12"/>
      <c r="B445" s="12"/>
      <c r="C445" s="76"/>
      <c r="D445" s="83"/>
      <c r="E445" s="10"/>
      <c r="F445" s="12"/>
      <c r="G445" s="12"/>
      <c r="H445" s="17"/>
      <c r="I445" s="48"/>
      <c r="J445" s="48"/>
      <c r="K445" s="12"/>
      <c r="L445" s="80"/>
      <c r="M445" s="80"/>
      <c r="N445" s="80"/>
      <c r="O445" s="80"/>
      <c r="P445" s="80"/>
      <c r="Q445" s="80"/>
      <c r="R445" s="80"/>
      <c r="S445" s="42"/>
    </row>
    <row r="446" hidden="1">
      <c r="A446" s="12"/>
      <c r="B446" s="12"/>
      <c r="C446" s="76"/>
      <c r="D446" s="83"/>
      <c r="E446" s="10"/>
      <c r="F446" s="12"/>
      <c r="G446" s="12"/>
      <c r="H446" s="17"/>
      <c r="I446" s="48"/>
      <c r="J446" s="48"/>
      <c r="K446" s="12"/>
      <c r="L446" s="80"/>
      <c r="M446" s="80"/>
      <c r="N446" s="80"/>
      <c r="O446" s="80"/>
      <c r="P446" s="80"/>
      <c r="Q446" s="80"/>
      <c r="R446" s="80"/>
      <c r="S446" s="42"/>
    </row>
    <row r="447" hidden="1">
      <c r="A447" s="12"/>
      <c r="B447" s="12"/>
      <c r="C447" s="76"/>
      <c r="D447" s="83"/>
      <c r="E447" s="10"/>
      <c r="F447" s="12"/>
      <c r="G447" s="12"/>
      <c r="H447" s="17"/>
      <c r="I447" s="48"/>
      <c r="J447" s="48"/>
      <c r="K447" s="12"/>
      <c r="L447" s="80"/>
      <c r="M447" s="80"/>
      <c r="N447" s="80"/>
      <c r="O447" s="80"/>
      <c r="P447" s="80"/>
      <c r="Q447" s="80"/>
      <c r="R447" s="80"/>
      <c r="S447" s="42"/>
    </row>
    <row r="448" hidden="1">
      <c r="A448" s="12"/>
      <c r="B448" s="12"/>
      <c r="C448" s="76"/>
      <c r="D448" s="83"/>
      <c r="E448" s="10"/>
      <c r="F448" s="12"/>
      <c r="G448" s="12"/>
      <c r="H448" s="17"/>
      <c r="I448" s="48"/>
      <c r="J448" s="48"/>
      <c r="K448" s="12"/>
      <c r="L448" s="80"/>
      <c r="M448" s="80"/>
      <c r="N448" s="80"/>
      <c r="O448" s="80"/>
      <c r="P448" s="80"/>
      <c r="Q448" s="80"/>
      <c r="R448" s="80"/>
      <c r="S448" s="42"/>
    </row>
    <row r="449" hidden="1">
      <c r="A449" s="12"/>
      <c r="B449" s="12"/>
      <c r="C449" s="76"/>
      <c r="D449" s="83"/>
      <c r="E449" s="10"/>
      <c r="F449" s="12"/>
      <c r="G449" s="12"/>
      <c r="H449" s="17"/>
      <c r="I449" s="48"/>
      <c r="J449" s="48"/>
      <c r="K449" s="12"/>
      <c r="L449" s="80"/>
      <c r="M449" s="80"/>
      <c r="N449" s="80"/>
      <c r="O449" s="80"/>
      <c r="P449" s="80"/>
      <c r="Q449" s="80"/>
      <c r="R449" s="80"/>
      <c r="S449" s="42"/>
    </row>
    <row r="450" hidden="1">
      <c r="A450" s="12"/>
      <c r="B450" s="12"/>
      <c r="C450" s="76"/>
      <c r="D450" s="83"/>
      <c r="E450" s="10"/>
      <c r="F450" s="12"/>
      <c r="G450" s="12"/>
      <c r="H450" s="17"/>
      <c r="I450" s="48"/>
      <c r="J450" s="48"/>
      <c r="K450" s="12"/>
      <c r="L450" s="80"/>
      <c r="M450" s="80"/>
      <c r="N450" s="80"/>
      <c r="O450" s="80"/>
      <c r="P450" s="80"/>
      <c r="Q450" s="80"/>
      <c r="R450" s="80"/>
      <c r="S450" s="42"/>
    </row>
    <row r="451" hidden="1">
      <c r="A451" s="12"/>
      <c r="B451" s="12"/>
      <c r="C451" s="76"/>
      <c r="D451" s="83"/>
      <c r="E451" s="10"/>
      <c r="F451" s="12"/>
      <c r="G451" s="12"/>
      <c r="H451" s="17"/>
      <c r="I451" s="48"/>
      <c r="J451" s="48"/>
      <c r="K451" s="12"/>
      <c r="L451" s="80"/>
      <c r="M451" s="80"/>
      <c r="N451" s="80"/>
      <c r="O451" s="80"/>
      <c r="P451" s="80"/>
      <c r="Q451" s="80"/>
      <c r="R451" s="80"/>
      <c r="S451" s="42"/>
    </row>
    <row r="452" hidden="1">
      <c r="A452" s="12"/>
      <c r="B452" s="12"/>
      <c r="C452" s="76"/>
      <c r="D452" s="83"/>
      <c r="E452" s="10"/>
      <c r="F452" s="12"/>
      <c r="G452" s="12"/>
      <c r="H452" s="17"/>
      <c r="I452" s="48"/>
      <c r="J452" s="48"/>
      <c r="K452" s="12"/>
      <c r="L452" s="80"/>
      <c r="M452" s="80"/>
      <c r="N452" s="80"/>
      <c r="O452" s="80"/>
      <c r="P452" s="80"/>
      <c r="Q452" s="80"/>
      <c r="R452" s="80"/>
      <c r="S452" s="42"/>
    </row>
    <row r="453" hidden="1">
      <c r="A453" s="12"/>
      <c r="B453" s="12"/>
      <c r="C453" s="76"/>
      <c r="D453" s="83"/>
      <c r="E453" s="10"/>
      <c r="F453" s="12"/>
      <c r="G453" s="12"/>
      <c r="H453" s="17"/>
      <c r="I453" s="48"/>
      <c r="J453" s="48"/>
      <c r="K453" s="12"/>
      <c r="L453" s="80"/>
      <c r="M453" s="80"/>
      <c r="N453" s="80"/>
      <c r="O453" s="80"/>
      <c r="P453" s="80"/>
      <c r="Q453" s="80"/>
      <c r="R453" s="80"/>
      <c r="S453" s="42"/>
    </row>
    <row r="454" hidden="1">
      <c r="A454" s="12"/>
      <c r="B454" s="12"/>
      <c r="C454" s="76"/>
      <c r="D454" s="83"/>
      <c r="E454" s="10"/>
      <c r="F454" s="12"/>
      <c r="G454" s="12"/>
      <c r="H454" s="17"/>
      <c r="I454" s="48"/>
      <c r="J454" s="48"/>
      <c r="K454" s="12"/>
      <c r="L454" s="80"/>
      <c r="M454" s="80"/>
      <c r="N454" s="80"/>
      <c r="O454" s="80"/>
      <c r="P454" s="80"/>
      <c r="Q454" s="80"/>
      <c r="R454" s="80"/>
      <c r="S454" s="42"/>
    </row>
    <row r="455" hidden="1">
      <c r="A455" s="12"/>
      <c r="B455" s="12"/>
      <c r="C455" s="76"/>
      <c r="D455" s="83"/>
      <c r="E455" s="10"/>
      <c r="F455" s="12"/>
      <c r="G455" s="12"/>
      <c r="H455" s="17"/>
      <c r="I455" s="48"/>
      <c r="J455" s="48"/>
      <c r="K455" s="12"/>
      <c r="L455" s="80"/>
      <c r="M455" s="80"/>
      <c r="N455" s="80"/>
      <c r="O455" s="80"/>
      <c r="P455" s="80"/>
      <c r="Q455" s="80"/>
      <c r="R455" s="80"/>
      <c r="S455" s="42"/>
    </row>
    <row r="456" hidden="1">
      <c r="A456" s="12"/>
      <c r="B456" s="12"/>
      <c r="C456" s="76"/>
      <c r="D456" s="83"/>
      <c r="E456" s="10"/>
      <c r="F456" s="12"/>
      <c r="G456" s="12"/>
      <c r="H456" s="17"/>
      <c r="I456" s="48"/>
      <c r="J456" s="48"/>
      <c r="K456" s="12"/>
      <c r="L456" s="80"/>
      <c r="M456" s="80"/>
      <c r="N456" s="80"/>
      <c r="O456" s="80"/>
      <c r="P456" s="80"/>
      <c r="Q456" s="80"/>
      <c r="R456" s="80"/>
      <c r="S456" s="42"/>
    </row>
    <row r="457" hidden="1">
      <c r="A457" s="12"/>
      <c r="B457" s="12"/>
      <c r="C457" s="76"/>
      <c r="D457" s="83"/>
      <c r="E457" s="10"/>
      <c r="F457" s="12"/>
      <c r="G457" s="12"/>
      <c r="H457" s="17"/>
      <c r="I457" s="48"/>
      <c r="J457" s="48"/>
      <c r="K457" s="12"/>
      <c r="L457" s="80"/>
      <c r="M457" s="80"/>
      <c r="N457" s="80"/>
      <c r="O457" s="80"/>
      <c r="P457" s="80"/>
      <c r="Q457" s="80"/>
      <c r="R457" s="80"/>
      <c r="S457" s="42"/>
    </row>
    <row r="458" hidden="1">
      <c r="A458" s="12"/>
      <c r="B458" s="12"/>
      <c r="C458" s="76"/>
      <c r="D458" s="83"/>
      <c r="E458" s="10"/>
      <c r="F458" s="12"/>
      <c r="G458" s="12"/>
      <c r="H458" s="17"/>
      <c r="I458" s="48"/>
      <c r="J458" s="48"/>
      <c r="K458" s="12"/>
      <c r="L458" s="80"/>
      <c r="M458" s="80"/>
      <c r="N458" s="80"/>
      <c r="O458" s="80"/>
      <c r="P458" s="80"/>
      <c r="Q458" s="80"/>
      <c r="R458" s="80"/>
      <c r="S458" s="42"/>
    </row>
    <row r="459" hidden="1">
      <c r="A459" s="12"/>
      <c r="B459" s="12"/>
      <c r="C459" s="76"/>
      <c r="D459" s="83"/>
      <c r="E459" s="10"/>
      <c r="F459" s="12"/>
      <c r="G459" s="12"/>
      <c r="H459" s="17"/>
      <c r="I459" s="48"/>
      <c r="J459" s="48"/>
      <c r="K459" s="12"/>
      <c r="L459" s="80"/>
      <c r="M459" s="80"/>
      <c r="N459" s="80"/>
      <c r="O459" s="80"/>
      <c r="P459" s="80"/>
      <c r="Q459" s="80"/>
      <c r="R459" s="80"/>
      <c r="S459" s="42"/>
    </row>
    <row r="460" hidden="1">
      <c r="A460" s="12"/>
      <c r="B460" s="12"/>
      <c r="C460" s="76"/>
      <c r="D460" s="83"/>
      <c r="E460" s="10"/>
      <c r="F460" s="12"/>
      <c r="G460" s="12"/>
      <c r="H460" s="17"/>
      <c r="I460" s="48"/>
      <c r="J460" s="48"/>
      <c r="K460" s="12"/>
      <c r="L460" s="80"/>
      <c r="M460" s="80"/>
      <c r="N460" s="80"/>
      <c r="O460" s="80"/>
      <c r="P460" s="80"/>
      <c r="Q460" s="80"/>
      <c r="R460" s="80"/>
      <c r="S460" s="42"/>
    </row>
    <row r="461" hidden="1">
      <c r="A461" s="12"/>
      <c r="B461" s="12"/>
      <c r="C461" s="76"/>
      <c r="D461" s="83"/>
      <c r="E461" s="10"/>
      <c r="F461" s="12"/>
      <c r="G461" s="12"/>
      <c r="H461" s="17"/>
      <c r="I461" s="48"/>
      <c r="J461" s="48"/>
      <c r="K461" s="12"/>
      <c r="L461" s="80"/>
      <c r="M461" s="80"/>
      <c r="N461" s="80"/>
      <c r="O461" s="80"/>
      <c r="P461" s="80"/>
      <c r="Q461" s="80"/>
      <c r="R461" s="80"/>
      <c r="S461" s="42"/>
    </row>
    <row r="462" hidden="1">
      <c r="A462" s="12"/>
      <c r="B462" s="12"/>
      <c r="C462" s="76"/>
      <c r="D462" s="83"/>
      <c r="E462" s="10"/>
      <c r="F462" s="12"/>
      <c r="G462" s="12"/>
      <c r="H462" s="17"/>
      <c r="I462" s="48"/>
      <c r="J462" s="48"/>
      <c r="K462" s="12"/>
      <c r="L462" s="80"/>
      <c r="M462" s="80"/>
      <c r="N462" s="80"/>
      <c r="O462" s="80"/>
      <c r="P462" s="80"/>
      <c r="Q462" s="80"/>
      <c r="R462" s="80"/>
      <c r="S462" s="42"/>
    </row>
    <row r="463" hidden="1">
      <c r="A463" s="12"/>
      <c r="B463" s="12"/>
      <c r="C463" s="76"/>
      <c r="D463" s="83"/>
      <c r="E463" s="10"/>
      <c r="F463" s="12"/>
      <c r="G463" s="12"/>
      <c r="H463" s="17"/>
      <c r="I463" s="48"/>
      <c r="J463" s="48"/>
      <c r="K463" s="12"/>
      <c r="L463" s="80"/>
      <c r="M463" s="80"/>
      <c r="N463" s="80"/>
      <c r="O463" s="80"/>
      <c r="P463" s="80"/>
      <c r="Q463" s="80"/>
      <c r="R463" s="80"/>
      <c r="S463" s="42"/>
    </row>
    <row r="464" hidden="1">
      <c r="A464" s="12"/>
      <c r="B464" s="12"/>
      <c r="C464" s="76"/>
      <c r="D464" s="83"/>
      <c r="E464" s="10"/>
      <c r="F464" s="12"/>
      <c r="G464" s="12"/>
      <c r="H464" s="17"/>
      <c r="I464" s="48"/>
      <c r="J464" s="48"/>
      <c r="K464" s="12"/>
      <c r="L464" s="80"/>
      <c r="M464" s="80"/>
      <c r="N464" s="80"/>
      <c r="O464" s="80"/>
      <c r="P464" s="80"/>
      <c r="Q464" s="80"/>
      <c r="R464" s="80"/>
      <c r="S464" s="42"/>
    </row>
    <row r="465" hidden="1">
      <c r="A465" s="12"/>
      <c r="B465" s="12"/>
      <c r="C465" s="76"/>
      <c r="D465" s="83"/>
      <c r="E465" s="10"/>
      <c r="F465" s="12"/>
      <c r="G465" s="12"/>
      <c r="H465" s="17"/>
      <c r="I465" s="48"/>
      <c r="J465" s="48"/>
      <c r="K465" s="12"/>
      <c r="L465" s="80"/>
      <c r="M465" s="80"/>
      <c r="N465" s="80"/>
      <c r="O465" s="80"/>
      <c r="P465" s="80"/>
      <c r="Q465" s="80"/>
      <c r="R465" s="80"/>
      <c r="S465" s="42"/>
    </row>
    <row r="466" hidden="1">
      <c r="A466" s="12"/>
      <c r="B466" s="12"/>
      <c r="C466" s="76"/>
      <c r="D466" s="83"/>
      <c r="E466" s="10"/>
      <c r="F466" s="12"/>
      <c r="G466" s="12"/>
      <c r="H466" s="17"/>
      <c r="I466" s="48"/>
      <c r="J466" s="48"/>
      <c r="K466" s="12"/>
      <c r="L466" s="80"/>
      <c r="M466" s="80"/>
      <c r="N466" s="80"/>
      <c r="O466" s="80"/>
      <c r="P466" s="80"/>
      <c r="Q466" s="80"/>
      <c r="R466" s="80"/>
      <c r="S466" s="42"/>
    </row>
    <row r="467" hidden="1">
      <c r="A467" s="12"/>
      <c r="B467" s="12"/>
      <c r="C467" s="76"/>
      <c r="D467" s="83"/>
      <c r="E467" s="10"/>
      <c r="F467" s="12"/>
      <c r="G467" s="12"/>
      <c r="H467" s="17"/>
      <c r="I467" s="48"/>
      <c r="J467" s="48"/>
      <c r="K467" s="12"/>
      <c r="L467" s="80"/>
      <c r="M467" s="80"/>
      <c r="N467" s="80"/>
      <c r="O467" s="80"/>
      <c r="P467" s="80"/>
      <c r="Q467" s="80"/>
      <c r="R467" s="80"/>
      <c r="S467" s="42"/>
    </row>
    <row r="468" hidden="1">
      <c r="A468" s="12"/>
      <c r="B468" s="12"/>
      <c r="C468" s="76"/>
      <c r="D468" s="83"/>
      <c r="E468" s="10"/>
      <c r="F468" s="12"/>
      <c r="G468" s="12"/>
      <c r="H468" s="17"/>
      <c r="I468" s="48"/>
      <c r="J468" s="48"/>
      <c r="K468" s="12"/>
      <c r="L468" s="80"/>
      <c r="M468" s="80"/>
      <c r="N468" s="80"/>
      <c r="O468" s="80"/>
      <c r="P468" s="80"/>
      <c r="Q468" s="80"/>
      <c r="R468" s="80"/>
      <c r="S468" s="42"/>
    </row>
    <row r="469" hidden="1">
      <c r="A469" s="12"/>
      <c r="B469" s="12"/>
      <c r="C469" s="76"/>
      <c r="D469" s="83"/>
      <c r="E469" s="10"/>
      <c r="F469" s="12"/>
      <c r="G469" s="12"/>
      <c r="H469" s="17"/>
      <c r="I469" s="48"/>
      <c r="J469" s="48"/>
      <c r="K469" s="12"/>
      <c r="L469" s="80"/>
      <c r="M469" s="80"/>
      <c r="N469" s="80"/>
      <c r="O469" s="80"/>
      <c r="P469" s="80"/>
      <c r="Q469" s="80"/>
      <c r="R469" s="80"/>
      <c r="S469" s="42"/>
    </row>
    <row r="470" hidden="1">
      <c r="A470" s="12"/>
      <c r="B470" s="12"/>
      <c r="C470" s="76"/>
      <c r="D470" s="83"/>
      <c r="E470" s="10"/>
      <c r="F470" s="12"/>
      <c r="G470" s="12"/>
      <c r="H470" s="17"/>
      <c r="I470" s="48"/>
      <c r="J470" s="48"/>
      <c r="K470" s="12"/>
      <c r="L470" s="80"/>
      <c r="M470" s="80"/>
      <c r="N470" s="80"/>
      <c r="O470" s="80"/>
      <c r="P470" s="80"/>
      <c r="Q470" s="80"/>
      <c r="R470" s="80"/>
      <c r="S470" s="42"/>
    </row>
    <row r="471" hidden="1">
      <c r="A471" s="12"/>
      <c r="B471" s="12"/>
      <c r="C471" s="76"/>
      <c r="D471" s="83"/>
      <c r="E471" s="10"/>
      <c r="F471" s="12"/>
      <c r="G471" s="12"/>
      <c r="H471" s="17"/>
      <c r="I471" s="48"/>
      <c r="J471" s="48"/>
      <c r="K471" s="12"/>
      <c r="L471" s="80"/>
      <c r="M471" s="80"/>
      <c r="N471" s="80"/>
      <c r="O471" s="80"/>
      <c r="P471" s="80"/>
      <c r="Q471" s="80"/>
      <c r="R471" s="80"/>
      <c r="S471" s="42"/>
    </row>
    <row r="472" hidden="1">
      <c r="A472" s="12"/>
      <c r="B472" s="12"/>
      <c r="C472" s="76"/>
      <c r="D472" s="83"/>
      <c r="E472" s="10"/>
      <c r="F472" s="12"/>
      <c r="G472" s="12"/>
      <c r="H472" s="17"/>
      <c r="I472" s="48"/>
      <c r="J472" s="48"/>
      <c r="K472" s="12"/>
      <c r="L472" s="80"/>
      <c r="M472" s="80"/>
      <c r="N472" s="80"/>
      <c r="O472" s="80"/>
      <c r="P472" s="80"/>
      <c r="Q472" s="80"/>
      <c r="R472" s="80"/>
      <c r="S472" s="42"/>
    </row>
    <row r="473" hidden="1">
      <c r="A473" s="12"/>
      <c r="B473" s="12"/>
      <c r="C473" s="76"/>
      <c r="D473" s="83"/>
      <c r="E473" s="10"/>
      <c r="F473" s="12"/>
      <c r="G473" s="12"/>
      <c r="H473" s="17"/>
      <c r="I473" s="48"/>
      <c r="J473" s="48"/>
      <c r="K473" s="12"/>
      <c r="L473" s="80"/>
      <c r="M473" s="80"/>
      <c r="N473" s="80"/>
      <c r="O473" s="80"/>
      <c r="P473" s="80"/>
      <c r="Q473" s="80"/>
      <c r="R473" s="80"/>
      <c r="S473" s="42"/>
    </row>
    <row r="474" hidden="1">
      <c r="A474" s="12"/>
      <c r="B474" s="12"/>
      <c r="C474" s="76"/>
      <c r="D474" s="83"/>
      <c r="E474" s="10"/>
      <c r="F474" s="12"/>
      <c r="G474" s="12"/>
      <c r="H474" s="17"/>
      <c r="I474" s="48"/>
      <c r="J474" s="48"/>
      <c r="K474" s="12"/>
      <c r="L474" s="80"/>
      <c r="M474" s="80"/>
      <c r="N474" s="80"/>
      <c r="O474" s="80"/>
      <c r="P474" s="80"/>
      <c r="Q474" s="80"/>
      <c r="R474" s="80"/>
      <c r="S474" s="42"/>
    </row>
    <row r="475" hidden="1">
      <c r="A475" s="12"/>
      <c r="B475" s="12"/>
      <c r="C475" s="76"/>
      <c r="D475" s="83"/>
      <c r="E475" s="10"/>
      <c r="F475" s="12"/>
      <c r="G475" s="12"/>
      <c r="H475" s="17"/>
      <c r="I475" s="48"/>
      <c r="J475" s="48"/>
      <c r="K475" s="12"/>
      <c r="L475" s="80"/>
      <c r="M475" s="80"/>
      <c r="N475" s="80"/>
      <c r="O475" s="80"/>
      <c r="P475" s="80"/>
      <c r="Q475" s="80"/>
      <c r="R475" s="80"/>
      <c r="S475" s="42"/>
    </row>
    <row r="476" hidden="1">
      <c r="A476" s="12"/>
      <c r="B476" s="12"/>
      <c r="C476" s="76"/>
      <c r="D476" s="83"/>
      <c r="E476" s="10"/>
      <c r="F476" s="12"/>
      <c r="G476" s="12"/>
      <c r="H476" s="17"/>
      <c r="I476" s="48"/>
      <c r="J476" s="48"/>
      <c r="K476" s="12"/>
      <c r="L476" s="80"/>
      <c r="M476" s="80"/>
      <c r="N476" s="80"/>
      <c r="O476" s="80"/>
      <c r="P476" s="80"/>
      <c r="Q476" s="80"/>
      <c r="R476" s="80"/>
      <c r="S476" s="42"/>
    </row>
    <row r="477" hidden="1">
      <c r="A477" s="12"/>
      <c r="B477" s="12"/>
      <c r="C477" s="76"/>
      <c r="D477" s="83"/>
      <c r="E477" s="10"/>
      <c r="F477" s="12"/>
      <c r="G477" s="12"/>
      <c r="H477" s="17"/>
      <c r="I477" s="48"/>
      <c r="J477" s="48"/>
      <c r="K477" s="12"/>
      <c r="L477" s="80"/>
      <c r="M477" s="80"/>
      <c r="N477" s="80"/>
      <c r="O477" s="80"/>
      <c r="P477" s="80"/>
      <c r="Q477" s="80"/>
      <c r="R477" s="80"/>
      <c r="S477" s="42"/>
    </row>
    <row r="478" hidden="1">
      <c r="A478" s="12"/>
      <c r="B478" s="12"/>
      <c r="C478" s="76"/>
      <c r="D478" s="83"/>
      <c r="E478" s="10"/>
      <c r="F478" s="12"/>
      <c r="G478" s="12"/>
      <c r="H478" s="17"/>
      <c r="I478" s="48"/>
      <c r="J478" s="48"/>
      <c r="K478" s="12"/>
      <c r="L478" s="80"/>
      <c r="M478" s="80"/>
      <c r="N478" s="80"/>
      <c r="O478" s="80"/>
      <c r="P478" s="80"/>
      <c r="Q478" s="80"/>
      <c r="R478" s="80"/>
      <c r="S478" s="42"/>
    </row>
    <row r="479" hidden="1">
      <c r="A479" s="12"/>
      <c r="B479" s="12"/>
      <c r="C479" s="76"/>
      <c r="D479" s="83"/>
      <c r="E479" s="10"/>
      <c r="F479" s="12"/>
      <c r="G479" s="12"/>
      <c r="H479" s="17"/>
      <c r="I479" s="48"/>
      <c r="J479" s="48"/>
      <c r="K479" s="12"/>
      <c r="L479" s="80"/>
      <c r="M479" s="80"/>
      <c r="N479" s="80"/>
      <c r="O479" s="80"/>
      <c r="P479" s="80"/>
      <c r="Q479" s="80"/>
      <c r="R479" s="80"/>
      <c r="S479" s="42"/>
    </row>
    <row r="480" hidden="1">
      <c r="A480" s="12"/>
      <c r="B480" s="12"/>
      <c r="C480" s="76"/>
      <c r="D480" s="83"/>
      <c r="E480" s="10"/>
      <c r="F480" s="12"/>
      <c r="G480" s="12"/>
      <c r="H480" s="17"/>
      <c r="I480" s="48"/>
      <c r="J480" s="48"/>
      <c r="K480" s="12"/>
      <c r="L480" s="80"/>
      <c r="M480" s="80"/>
      <c r="N480" s="80"/>
      <c r="O480" s="80"/>
      <c r="P480" s="80"/>
      <c r="Q480" s="80"/>
      <c r="R480" s="80"/>
      <c r="S480" s="42"/>
    </row>
    <row r="481" hidden="1">
      <c r="A481" s="12"/>
      <c r="B481" s="12"/>
      <c r="C481" s="76"/>
      <c r="D481" s="83"/>
      <c r="E481" s="10"/>
      <c r="F481" s="12"/>
      <c r="G481" s="12"/>
      <c r="H481" s="17"/>
      <c r="I481" s="48"/>
      <c r="J481" s="48"/>
      <c r="K481" s="12"/>
      <c r="L481" s="80"/>
      <c r="M481" s="80"/>
      <c r="N481" s="80"/>
      <c r="O481" s="80"/>
      <c r="P481" s="80"/>
      <c r="Q481" s="80"/>
      <c r="R481" s="80"/>
      <c r="S481" s="42"/>
    </row>
    <row r="482" hidden="1">
      <c r="A482" s="12"/>
      <c r="B482" s="12"/>
      <c r="C482" s="76"/>
      <c r="D482" s="83"/>
      <c r="E482" s="10"/>
      <c r="F482" s="12"/>
      <c r="G482" s="12"/>
      <c r="H482" s="17"/>
      <c r="I482" s="48"/>
      <c r="J482" s="48"/>
      <c r="K482" s="12"/>
      <c r="L482" s="80"/>
      <c r="M482" s="80"/>
      <c r="N482" s="80"/>
      <c r="O482" s="80"/>
      <c r="P482" s="80"/>
      <c r="Q482" s="80"/>
      <c r="R482" s="80"/>
      <c r="S482" s="42"/>
    </row>
    <row r="483" hidden="1">
      <c r="A483" s="12"/>
      <c r="B483" s="12"/>
      <c r="C483" s="76"/>
      <c r="D483" s="83"/>
      <c r="E483" s="10"/>
      <c r="F483" s="12"/>
      <c r="G483" s="12"/>
      <c r="H483" s="17"/>
      <c r="I483" s="48"/>
      <c r="J483" s="48"/>
      <c r="K483" s="12"/>
      <c r="L483" s="80"/>
      <c r="M483" s="80"/>
      <c r="N483" s="80"/>
      <c r="O483" s="80"/>
      <c r="P483" s="80"/>
      <c r="Q483" s="80"/>
      <c r="R483" s="80"/>
      <c r="S483" s="42"/>
    </row>
    <row r="484" hidden="1">
      <c r="A484" s="12"/>
      <c r="B484" s="12"/>
      <c r="C484" s="76"/>
      <c r="D484" s="83"/>
      <c r="E484" s="10"/>
      <c r="F484" s="12"/>
      <c r="G484" s="12"/>
      <c r="H484" s="17"/>
      <c r="I484" s="48"/>
      <c r="J484" s="48"/>
      <c r="K484" s="12"/>
      <c r="L484" s="80"/>
      <c r="M484" s="80"/>
      <c r="N484" s="80"/>
      <c r="O484" s="80"/>
      <c r="P484" s="80"/>
      <c r="Q484" s="80"/>
      <c r="R484" s="80"/>
      <c r="S484" s="42"/>
    </row>
    <row r="485" hidden="1">
      <c r="A485" s="12"/>
      <c r="B485" s="12"/>
      <c r="C485" s="76"/>
      <c r="D485" s="83"/>
      <c r="E485" s="10"/>
      <c r="F485" s="12"/>
      <c r="G485" s="12"/>
      <c r="H485" s="17"/>
      <c r="I485" s="48"/>
      <c r="J485" s="48"/>
      <c r="K485" s="12"/>
      <c r="L485" s="80"/>
      <c r="M485" s="80"/>
      <c r="N485" s="80"/>
      <c r="O485" s="80"/>
      <c r="P485" s="80"/>
      <c r="Q485" s="80"/>
      <c r="R485" s="80"/>
      <c r="S485" s="42"/>
    </row>
    <row r="486" hidden="1">
      <c r="A486" s="12"/>
      <c r="B486" s="12"/>
      <c r="C486" s="76"/>
      <c r="D486" s="83"/>
      <c r="E486" s="10"/>
      <c r="F486" s="12"/>
      <c r="G486" s="12"/>
      <c r="H486" s="17"/>
      <c r="I486" s="48"/>
      <c r="J486" s="48"/>
      <c r="K486" s="12"/>
      <c r="L486" s="80"/>
      <c r="M486" s="80"/>
      <c r="N486" s="80"/>
      <c r="O486" s="80"/>
      <c r="P486" s="80"/>
      <c r="Q486" s="80"/>
      <c r="R486" s="80"/>
      <c r="S486" s="42"/>
    </row>
    <row r="487" hidden="1">
      <c r="A487" s="12"/>
      <c r="B487" s="12"/>
      <c r="C487" s="76"/>
      <c r="D487" s="83"/>
      <c r="E487" s="10"/>
      <c r="F487" s="12"/>
      <c r="G487" s="12"/>
      <c r="H487" s="17"/>
      <c r="I487" s="48"/>
      <c r="J487" s="48"/>
      <c r="K487" s="12"/>
      <c r="L487" s="80"/>
      <c r="M487" s="80"/>
      <c r="N487" s="80"/>
      <c r="O487" s="80"/>
      <c r="P487" s="80"/>
      <c r="Q487" s="80"/>
      <c r="R487" s="80"/>
      <c r="S487" s="42"/>
    </row>
    <row r="488" hidden="1">
      <c r="A488" s="12"/>
      <c r="B488" s="12"/>
      <c r="C488" s="76"/>
      <c r="D488" s="83"/>
      <c r="E488" s="10"/>
      <c r="F488" s="12"/>
      <c r="G488" s="12"/>
      <c r="H488" s="17"/>
      <c r="I488" s="48"/>
      <c r="J488" s="48"/>
      <c r="K488" s="12"/>
      <c r="L488" s="80"/>
      <c r="M488" s="80"/>
      <c r="N488" s="80"/>
      <c r="O488" s="80"/>
      <c r="P488" s="80"/>
      <c r="Q488" s="80"/>
      <c r="R488" s="80"/>
      <c r="S488" s="42"/>
    </row>
    <row r="489" hidden="1">
      <c r="A489" s="12"/>
      <c r="B489" s="12"/>
      <c r="C489" s="76"/>
      <c r="D489" s="83"/>
      <c r="E489" s="10"/>
      <c r="F489" s="12"/>
      <c r="G489" s="12"/>
      <c r="H489" s="17"/>
      <c r="I489" s="48"/>
      <c r="J489" s="48"/>
      <c r="K489" s="12"/>
      <c r="L489" s="80"/>
      <c r="M489" s="80"/>
      <c r="N489" s="80"/>
      <c r="O489" s="80"/>
      <c r="P489" s="80"/>
      <c r="Q489" s="80"/>
      <c r="R489" s="80"/>
      <c r="S489" s="42"/>
    </row>
    <row r="490" hidden="1">
      <c r="A490" s="12"/>
      <c r="B490" s="12"/>
      <c r="C490" s="76"/>
      <c r="D490" s="83"/>
      <c r="E490" s="10"/>
      <c r="F490" s="12"/>
      <c r="G490" s="12"/>
      <c r="H490" s="17"/>
      <c r="I490" s="48"/>
      <c r="J490" s="48"/>
      <c r="K490" s="12"/>
      <c r="L490" s="80"/>
      <c r="M490" s="80"/>
      <c r="N490" s="80"/>
      <c r="O490" s="80"/>
      <c r="P490" s="80"/>
      <c r="Q490" s="80"/>
      <c r="R490" s="80"/>
      <c r="S490" s="42"/>
    </row>
    <row r="491" hidden="1">
      <c r="A491" s="12"/>
      <c r="B491" s="12"/>
      <c r="C491" s="76"/>
      <c r="D491" s="83"/>
      <c r="E491" s="10"/>
      <c r="F491" s="12"/>
      <c r="G491" s="12"/>
      <c r="H491" s="17"/>
      <c r="I491" s="48"/>
      <c r="J491" s="48"/>
      <c r="K491" s="12"/>
      <c r="L491" s="80"/>
      <c r="M491" s="80"/>
      <c r="N491" s="80"/>
      <c r="O491" s="80"/>
      <c r="P491" s="80"/>
      <c r="Q491" s="80"/>
      <c r="R491" s="80"/>
      <c r="S491" s="42"/>
    </row>
    <row r="492" hidden="1">
      <c r="A492" s="12"/>
      <c r="B492" s="12"/>
      <c r="C492" s="76"/>
      <c r="D492" s="83"/>
      <c r="E492" s="10"/>
      <c r="F492" s="12"/>
      <c r="G492" s="12"/>
      <c r="H492" s="17"/>
      <c r="I492" s="48"/>
      <c r="J492" s="48"/>
      <c r="K492" s="12"/>
      <c r="L492" s="80"/>
      <c r="M492" s="80"/>
      <c r="N492" s="80"/>
      <c r="O492" s="80"/>
      <c r="P492" s="80"/>
      <c r="Q492" s="80"/>
      <c r="R492" s="80"/>
      <c r="S492" s="42"/>
    </row>
    <row r="493" hidden="1">
      <c r="A493" s="12"/>
      <c r="B493" s="12"/>
      <c r="C493" s="76"/>
      <c r="D493" s="83"/>
      <c r="E493" s="10"/>
      <c r="F493" s="12"/>
      <c r="G493" s="12"/>
      <c r="H493" s="17"/>
      <c r="I493" s="48"/>
      <c r="J493" s="48"/>
      <c r="K493" s="12"/>
      <c r="L493" s="80"/>
      <c r="M493" s="80"/>
      <c r="N493" s="80"/>
      <c r="O493" s="80"/>
      <c r="P493" s="80"/>
      <c r="Q493" s="80"/>
      <c r="R493" s="80"/>
      <c r="S493" s="42"/>
    </row>
    <row r="494" hidden="1">
      <c r="A494" s="12"/>
      <c r="B494" s="12"/>
      <c r="C494" s="76"/>
      <c r="D494" s="83"/>
      <c r="E494" s="10"/>
      <c r="F494" s="12"/>
      <c r="G494" s="12"/>
      <c r="H494" s="17"/>
      <c r="I494" s="48"/>
      <c r="J494" s="48"/>
      <c r="K494" s="12"/>
      <c r="L494" s="80"/>
      <c r="M494" s="80"/>
      <c r="N494" s="80"/>
      <c r="O494" s="80"/>
      <c r="P494" s="80"/>
      <c r="Q494" s="80"/>
      <c r="R494" s="80"/>
      <c r="S494" s="42"/>
    </row>
    <row r="495" hidden="1">
      <c r="A495" s="12"/>
      <c r="B495" s="12"/>
      <c r="C495" s="76"/>
      <c r="D495" s="83"/>
      <c r="E495" s="10"/>
      <c r="F495" s="12"/>
      <c r="G495" s="12"/>
      <c r="H495" s="17"/>
      <c r="I495" s="48"/>
      <c r="J495" s="48"/>
      <c r="K495" s="12"/>
      <c r="L495" s="80"/>
      <c r="M495" s="80"/>
      <c r="N495" s="80"/>
      <c r="O495" s="80"/>
      <c r="P495" s="80"/>
      <c r="Q495" s="80"/>
      <c r="R495" s="80"/>
      <c r="S495" s="42"/>
    </row>
    <row r="496" hidden="1">
      <c r="A496" s="12"/>
      <c r="B496" s="12"/>
      <c r="C496" s="76"/>
      <c r="D496" s="83"/>
      <c r="E496" s="10"/>
      <c r="F496" s="12"/>
      <c r="G496" s="12"/>
      <c r="H496" s="17"/>
      <c r="I496" s="48"/>
      <c r="J496" s="48"/>
      <c r="K496" s="12"/>
      <c r="L496" s="80"/>
      <c r="M496" s="80"/>
      <c r="N496" s="80"/>
      <c r="O496" s="80"/>
      <c r="P496" s="80"/>
      <c r="Q496" s="80"/>
      <c r="R496" s="80"/>
      <c r="S496" s="42"/>
    </row>
    <row r="497" hidden="1">
      <c r="A497" s="12"/>
      <c r="B497" s="12"/>
      <c r="C497" s="76"/>
      <c r="D497" s="83"/>
      <c r="E497" s="10"/>
      <c r="F497" s="12"/>
      <c r="G497" s="12"/>
      <c r="H497" s="17"/>
      <c r="I497" s="48"/>
      <c r="J497" s="48"/>
      <c r="K497" s="12"/>
      <c r="L497" s="80"/>
      <c r="M497" s="80"/>
      <c r="N497" s="80"/>
      <c r="O497" s="80"/>
      <c r="P497" s="80"/>
      <c r="Q497" s="80"/>
      <c r="R497" s="80"/>
      <c r="S497" s="42"/>
    </row>
    <row r="498" hidden="1">
      <c r="A498" s="12"/>
      <c r="B498" s="12"/>
      <c r="C498" s="76"/>
      <c r="D498" s="83"/>
      <c r="E498" s="10"/>
      <c r="F498" s="12"/>
      <c r="G498" s="12"/>
      <c r="H498" s="17"/>
      <c r="I498" s="48"/>
      <c r="J498" s="48"/>
      <c r="K498" s="12"/>
      <c r="L498" s="80"/>
      <c r="M498" s="80"/>
      <c r="N498" s="80"/>
      <c r="O498" s="80"/>
      <c r="P498" s="80"/>
      <c r="Q498" s="80"/>
      <c r="R498" s="80"/>
      <c r="S498" s="42"/>
    </row>
    <row r="499" hidden="1">
      <c r="A499" s="12"/>
      <c r="B499" s="12"/>
      <c r="C499" s="76"/>
      <c r="D499" s="83"/>
      <c r="E499" s="10"/>
      <c r="F499" s="12"/>
      <c r="G499" s="12"/>
      <c r="H499" s="17"/>
      <c r="I499" s="48"/>
      <c r="J499" s="48"/>
      <c r="K499" s="12"/>
      <c r="L499" s="80"/>
      <c r="M499" s="80"/>
      <c r="N499" s="80"/>
      <c r="O499" s="80"/>
      <c r="P499" s="80"/>
      <c r="Q499" s="80"/>
      <c r="R499" s="80"/>
      <c r="S499" s="42"/>
    </row>
    <row r="500" hidden="1">
      <c r="A500" s="12"/>
      <c r="B500" s="12"/>
      <c r="C500" s="76"/>
      <c r="D500" s="83"/>
      <c r="E500" s="10"/>
      <c r="F500" s="12"/>
      <c r="G500" s="12"/>
      <c r="H500" s="17"/>
      <c r="I500" s="48"/>
      <c r="J500" s="48"/>
      <c r="K500" s="12"/>
      <c r="L500" s="80"/>
      <c r="M500" s="80"/>
      <c r="N500" s="80"/>
      <c r="O500" s="80"/>
      <c r="P500" s="80"/>
      <c r="Q500" s="80"/>
      <c r="R500" s="80"/>
      <c r="S500" s="42"/>
    </row>
    <row r="501" hidden="1">
      <c r="A501" s="12"/>
      <c r="B501" s="12"/>
      <c r="C501" s="76"/>
      <c r="D501" s="83"/>
      <c r="E501" s="10"/>
      <c r="F501" s="12"/>
      <c r="G501" s="12"/>
      <c r="H501" s="17"/>
      <c r="I501" s="48"/>
      <c r="J501" s="48"/>
      <c r="K501" s="12"/>
      <c r="L501" s="80"/>
      <c r="M501" s="80"/>
      <c r="N501" s="80"/>
      <c r="O501" s="80"/>
      <c r="P501" s="80"/>
      <c r="Q501" s="80"/>
      <c r="R501" s="80"/>
      <c r="S501" s="42"/>
    </row>
    <row r="502" hidden="1">
      <c r="A502" s="12"/>
      <c r="B502" s="12"/>
      <c r="C502" s="76"/>
      <c r="D502" s="83"/>
      <c r="E502" s="10"/>
      <c r="F502" s="12"/>
      <c r="G502" s="12"/>
      <c r="H502" s="17"/>
      <c r="I502" s="48"/>
      <c r="J502" s="48"/>
      <c r="K502" s="12"/>
      <c r="L502" s="80"/>
      <c r="M502" s="80"/>
      <c r="N502" s="80"/>
      <c r="O502" s="80"/>
      <c r="P502" s="80"/>
      <c r="Q502" s="80"/>
      <c r="R502" s="80"/>
      <c r="S502" s="42"/>
    </row>
    <row r="503" hidden="1">
      <c r="A503" s="12"/>
      <c r="B503" s="12"/>
      <c r="C503" s="76"/>
      <c r="D503" s="83"/>
      <c r="E503" s="10"/>
      <c r="F503" s="12"/>
      <c r="G503" s="12"/>
      <c r="H503" s="17"/>
      <c r="I503" s="48"/>
      <c r="J503" s="48"/>
      <c r="K503" s="12"/>
      <c r="L503" s="80"/>
      <c r="M503" s="80"/>
      <c r="N503" s="80"/>
      <c r="O503" s="80"/>
      <c r="P503" s="80"/>
      <c r="Q503" s="80"/>
      <c r="R503" s="80"/>
      <c r="S503" s="42"/>
    </row>
    <row r="504" hidden="1">
      <c r="A504" s="12"/>
      <c r="B504" s="12"/>
      <c r="C504" s="76"/>
      <c r="D504" s="83"/>
      <c r="E504" s="10"/>
      <c r="F504" s="12"/>
      <c r="G504" s="12"/>
      <c r="H504" s="17"/>
      <c r="I504" s="48"/>
      <c r="J504" s="48"/>
      <c r="K504" s="12"/>
      <c r="L504" s="80"/>
      <c r="M504" s="80"/>
      <c r="N504" s="80"/>
      <c r="O504" s="80"/>
      <c r="P504" s="80"/>
      <c r="Q504" s="80"/>
      <c r="R504" s="80"/>
      <c r="S504" s="42"/>
    </row>
    <row r="505" hidden="1">
      <c r="A505" s="12"/>
      <c r="B505" s="12"/>
      <c r="C505" s="76"/>
      <c r="D505" s="83"/>
      <c r="E505" s="10"/>
      <c r="F505" s="12"/>
      <c r="G505" s="12"/>
      <c r="H505" s="17"/>
      <c r="I505" s="48"/>
      <c r="J505" s="48"/>
      <c r="K505" s="12"/>
      <c r="L505" s="80"/>
      <c r="M505" s="80"/>
      <c r="N505" s="80"/>
      <c r="O505" s="80"/>
      <c r="P505" s="80"/>
      <c r="Q505" s="80"/>
      <c r="R505" s="80"/>
      <c r="S505" s="42"/>
    </row>
    <row r="506" hidden="1">
      <c r="A506" s="12"/>
      <c r="B506" s="12"/>
      <c r="C506" s="76"/>
      <c r="D506" s="83"/>
      <c r="E506" s="10"/>
      <c r="F506" s="12"/>
      <c r="G506" s="12"/>
      <c r="H506" s="17"/>
      <c r="I506" s="48"/>
      <c r="J506" s="48"/>
      <c r="K506" s="12"/>
      <c r="L506" s="80"/>
      <c r="M506" s="80"/>
      <c r="N506" s="80"/>
      <c r="O506" s="80"/>
      <c r="P506" s="80"/>
      <c r="Q506" s="80"/>
      <c r="R506" s="80"/>
      <c r="S506" s="42"/>
    </row>
    <row r="507" hidden="1">
      <c r="A507" s="12"/>
      <c r="B507" s="12"/>
      <c r="C507" s="76"/>
      <c r="D507" s="83"/>
      <c r="E507" s="10"/>
      <c r="F507" s="12"/>
      <c r="G507" s="12"/>
      <c r="H507" s="17"/>
      <c r="I507" s="48"/>
      <c r="J507" s="48"/>
      <c r="K507" s="12"/>
      <c r="L507" s="80"/>
      <c r="M507" s="80"/>
      <c r="N507" s="80"/>
      <c r="O507" s="80"/>
      <c r="P507" s="80"/>
      <c r="Q507" s="80"/>
      <c r="R507" s="80"/>
      <c r="S507" s="42"/>
    </row>
    <row r="508" hidden="1">
      <c r="A508" s="12"/>
      <c r="B508" s="12"/>
      <c r="C508" s="76"/>
      <c r="D508" s="83"/>
      <c r="E508" s="10"/>
      <c r="F508" s="12"/>
      <c r="G508" s="12"/>
      <c r="H508" s="17"/>
      <c r="I508" s="48"/>
      <c r="J508" s="48"/>
      <c r="K508" s="12"/>
      <c r="L508" s="80"/>
      <c r="M508" s="80"/>
      <c r="N508" s="80"/>
      <c r="O508" s="80"/>
      <c r="P508" s="80"/>
      <c r="Q508" s="80"/>
      <c r="R508" s="80"/>
      <c r="S508" s="42"/>
    </row>
    <row r="509" hidden="1">
      <c r="A509" s="12"/>
      <c r="B509" s="12"/>
      <c r="C509" s="76"/>
      <c r="D509" s="83"/>
      <c r="E509" s="10"/>
      <c r="F509" s="12"/>
      <c r="G509" s="12"/>
      <c r="H509" s="17"/>
      <c r="I509" s="48"/>
      <c r="J509" s="48"/>
      <c r="K509" s="12"/>
      <c r="L509" s="80"/>
      <c r="M509" s="80"/>
      <c r="N509" s="80"/>
      <c r="O509" s="80"/>
      <c r="P509" s="80"/>
      <c r="Q509" s="80"/>
      <c r="R509" s="80"/>
      <c r="S509" s="42"/>
    </row>
    <row r="510" hidden="1">
      <c r="A510" s="12"/>
      <c r="B510" s="12"/>
      <c r="C510" s="76"/>
      <c r="D510" s="83"/>
      <c r="E510" s="10"/>
      <c r="F510" s="12"/>
      <c r="G510" s="12"/>
      <c r="H510" s="17"/>
      <c r="I510" s="48"/>
      <c r="J510" s="48"/>
      <c r="K510" s="12"/>
      <c r="L510" s="80"/>
      <c r="M510" s="80"/>
      <c r="N510" s="80"/>
      <c r="O510" s="80"/>
      <c r="P510" s="80"/>
      <c r="Q510" s="80"/>
      <c r="R510" s="80"/>
      <c r="S510" s="42"/>
    </row>
    <row r="511" hidden="1">
      <c r="A511" s="12"/>
      <c r="B511" s="12"/>
      <c r="C511" s="76"/>
      <c r="D511" s="83"/>
      <c r="E511" s="10"/>
      <c r="F511" s="12"/>
      <c r="G511" s="12"/>
      <c r="H511" s="17"/>
      <c r="I511" s="48"/>
      <c r="J511" s="48"/>
      <c r="K511" s="12"/>
      <c r="L511" s="80"/>
      <c r="M511" s="80"/>
      <c r="N511" s="80"/>
      <c r="O511" s="80"/>
      <c r="P511" s="80"/>
      <c r="Q511" s="80"/>
      <c r="R511" s="80"/>
      <c r="S511" s="42"/>
    </row>
    <row r="512" hidden="1">
      <c r="A512" s="12"/>
      <c r="B512" s="12"/>
      <c r="C512" s="76"/>
      <c r="D512" s="83"/>
      <c r="E512" s="10"/>
      <c r="F512" s="12"/>
      <c r="G512" s="12"/>
      <c r="H512" s="17"/>
      <c r="I512" s="48"/>
      <c r="J512" s="48"/>
      <c r="K512" s="12"/>
      <c r="L512" s="80"/>
      <c r="M512" s="80"/>
      <c r="N512" s="80"/>
      <c r="O512" s="80"/>
      <c r="P512" s="80"/>
      <c r="Q512" s="80"/>
      <c r="R512" s="80"/>
      <c r="S512" s="42"/>
    </row>
    <row r="513" hidden="1">
      <c r="A513" s="12"/>
      <c r="B513" s="12"/>
      <c r="C513" s="76"/>
      <c r="D513" s="83"/>
      <c r="E513" s="10"/>
      <c r="F513" s="12"/>
      <c r="G513" s="12"/>
      <c r="H513" s="17"/>
      <c r="I513" s="48"/>
      <c r="J513" s="48"/>
      <c r="K513" s="12"/>
      <c r="L513" s="80"/>
      <c r="M513" s="80"/>
      <c r="N513" s="80"/>
      <c r="O513" s="80"/>
      <c r="P513" s="80"/>
      <c r="Q513" s="80"/>
      <c r="R513" s="80"/>
      <c r="S513" s="42"/>
    </row>
    <row r="514" hidden="1">
      <c r="A514" s="12"/>
      <c r="B514" s="12"/>
      <c r="C514" s="76"/>
      <c r="D514" s="83"/>
      <c r="E514" s="10"/>
      <c r="F514" s="12"/>
      <c r="G514" s="12"/>
      <c r="H514" s="17"/>
      <c r="I514" s="48"/>
      <c r="J514" s="48"/>
      <c r="K514" s="12"/>
      <c r="L514" s="80"/>
      <c r="M514" s="80"/>
      <c r="N514" s="80"/>
      <c r="O514" s="80"/>
      <c r="P514" s="80"/>
      <c r="Q514" s="80"/>
      <c r="R514" s="80"/>
      <c r="S514" s="42"/>
    </row>
    <row r="515" hidden="1">
      <c r="A515" s="12"/>
      <c r="B515" s="12"/>
      <c r="C515" s="76"/>
      <c r="D515" s="83"/>
      <c r="E515" s="10"/>
      <c r="F515" s="12"/>
      <c r="G515" s="12"/>
      <c r="H515" s="17"/>
      <c r="I515" s="48"/>
      <c r="J515" s="48"/>
      <c r="K515" s="12"/>
      <c r="L515" s="80"/>
      <c r="M515" s="80"/>
      <c r="N515" s="80"/>
      <c r="O515" s="80"/>
      <c r="P515" s="80"/>
      <c r="Q515" s="80"/>
      <c r="R515" s="80"/>
      <c r="S515" s="42"/>
    </row>
    <row r="516" hidden="1">
      <c r="A516" s="12"/>
      <c r="B516" s="12"/>
      <c r="C516" s="76"/>
      <c r="D516" s="83"/>
      <c r="E516" s="10"/>
      <c r="F516" s="12"/>
      <c r="G516" s="12"/>
      <c r="H516" s="17"/>
      <c r="I516" s="48"/>
      <c r="J516" s="48"/>
      <c r="K516" s="12"/>
      <c r="L516" s="80"/>
      <c r="M516" s="80"/>
      <c r="N516" s="80"/>
      <c r="O516" s="80"/>
      <c r="P516" s="80"/>
      <c r="Q516" s="80"/>
      <c r="R516" s="80"/>
      <c r="S516" s="42"/>
    </row>
    <row r="517" hidden="1">
      <c r="A517" s="12"/>
      <c r="B517" s="12"/>
      <c r="C517" s="76"/>
      <c r="D517" s="83"/>
      <c r="E517" s="10"/>
      <c r="F517" s="12"/>
      <c r="G517" s="12"/>
      <c r="H517" s="17"/>
      <c r="I517" s="48"/>
      <c r="J517" s="48"/>
      <c r="K517" s="12"/>
      <c r="L517" s="80"/>
      <c r="M517" s="80"/>
      <c r="N517" s="80"/>
      <c r="O517" s="80"/>
      <c r="P517" s="80"/>
      <c r="Q517" s="80"/>
      <c r="R517" s="80"/>
      <c r="S517" s="42"/>
    </row>
    <row r="518" hidden="1">
      <c r="A518" s="12"/>
      <c r="B518" s="12"/>
      <c r="C518" s="76"/>
      <c r="D518" s="83"/>
      <c r="E518" s="10"/>
      <c r="F518" s="12"/>
      <c r="G518" s="12"/>
      <c r="H518" s="17"/>
      <c r="I518" s="48"/>
      <c r="J518" s="48"/>
      <c r="K518" s="12"/>
      <c r="L518" s="80"/>
      <c r="M518" s="80"/>
      <c r="N518" s="80"/>
      <c r="O518" s="80"/>
      <c r="P518" s="80"/>
      <c r="Q518" s="80"/>
      <c r="R518" s="80"/>
      <c r="S518" s="42"/>
    </row>
    <row r="519" hidden="1">
      <c r="A519" s="12"/>
      <c r="B519" s="12"/>
      <c r="C519" s="76"/>
      <c r="D519" s="83"/>
      <c r="E519" s="10"/>
      <c r="F519" s="12"/>
      <c r="G519" s="12"/>
      <c r="H519" s="17"/>
      <c r="I519" s="48"/>
      <c r="J519" s="48"/>
      <c r="K519" s="12"/>
      <c r="L519" s="80"/>
      <c r="M519" s="80"/>
      <c r="N519" s="80"/>
      <c r="O519" s="80"/>
      <c r="P519" s="80"/>
      <c r="Q519" s="80"/>
      <c r="R519" s="80"/>
      <c r="S519" s="42"/>
    </row>
    <row r="520" hidden="1">
      <c r="A520" s="12"/>
      <c r="B520" s="12"/>
      <c r="C520" s="76"/>
      <c r="D520" s="83"/>
      <c r="E520" s="10"/>
      <c r="F520" s="12"/>
      <c r="G520" s="12"/>
      <c r="H520" s="17"/>
      <c r="I520" s="48"/>
      <c r="J520" s="48"/>
      <c r="K520" s="12"/>
      <c r="L520" s="80"/>
      <c r="M520" s="80"/>
      <c r="N520" s="80"/>
      <c r="O520" s="80"/>
      <c r="P520" s="80"/>
      <c r="Q520" s="80"/>
      <c r="R520" s="80"/>
      <c r="S520" s="42"/>
    </row>
    <row r="521" hidden="1">
      <c r="A521" s="12"/>
      <c r="B521" s="12"/>
      <c r="C521" s="76"/>
      <c r="D521" s="83"/>
      <c r="E521" s="10"/>
      <c r="F521" s="12"/>
      <c r="G521" s="12"/>
      <c r="H521" s="17"/>
      <c r="I521" s="48"/>
      <c r="J521" s="48"/>
      <c r="K521" s="12"/>
      <c r="L521" s="80"/>
      <c r="M521" s="80"/>
      <c r="N521" s="80"/>
      <c r="O521" s="80"/>
      <c r="P521" s="80"/>
      <c r="Q521" s="80"/>
      <c r="R521" s="80"/>
      <c r="S521" s="42"/>
    </row>
    <row r="522" hidden="1">
      <c r="A522" s="12"/>
      <c r="B522" s="12"/>
      <c r="C522" s="76"/>
      <c r="D522" s="83"/>
      <c r="E522" s="10"/>
      <c r="F522" s="12"/>
      <c r="G522" s="12"/>
      <c r="H522" s="17"/>
      <c r="I522" s="48"/>
      <c r="J522" s="48"/>
      <c r="K522" s="12"/>
      <c r="L522" s="80"/>
      <c r="M522" s="80"/>
      <c r="N522" s="80"/>
      <c r="O522" s="80"/>
      <c r="P522" s="80"/>
      <c r="Q522" s="80"/>
      <c r="R522" s="80"/>
      <c r="S522" s="42"/>
    </row>
    <row r="523" hidden="1">
      <c r="A523" s="12"/>
      <c r="B523" s="12"/>
      <c r="C523" s="76"/>
      <c r="D523" s="83"/>
      <c r="E523" s="10"/>
      <c r="F523" s="12"/>
      <c r="G523" s="12"/>
      <c r="H523" s="17"/>
      <c r="I523" s="48"/>
      <c r="J523" s="48"/>
      <c r="K523" s="12"/>
      <c r="L523" s="80"/>
      <c r="M523" s="80"/>
      <c r="N523" s="80"/>
      <c r="O523" s="80"/>
      <c r="P523" s="80"/>
      <c r="Q523" s="80"/>
      <c r="R523" s="80"/>
      <c r="S523" s="42"/>
    </row>
    <row r="524" hidden="1">
      <c r="A524" s="12"/>
      <c r="B524" s="12"/>
      <c r="C524" s="76"/>
      <c r="D524" s="83"/>
      <c r="E524" s="10"/>
      <c r="F524" s="12"/>
      <c r="G524" s="12"/>
      <c r="H524" s="17"/>
      <c r="I524" s="48"/>
      <c r="J524" s="48"/>
      <c r="K524" s="12"/>
      <c r="L524" s="80"/>
      <c r="M524" s="80"/>
      <c r="N524" s="80"/>
      <c r="O524" s="80"/>
      <c r="P524" s="80"/>
      <c r="Q524" s="80"/>
      <c r="R524" s="80"/>
      <c r="S524" s="42"/>
    </row>
    <row r="525" hidden="1">
      <c r="A525" s="12"/>
      <c r="B525" s="12"/>
      <c r="C525" s="76"/>
      <c r="D525" s="83"/>
      <c r="E525" s="10"/>
      <c r="F525" s="12"/>
      <c r="G525" s="12"/>
      <c r="H525" s="17"/>
      <c r="I525" s="48"/>
      <c r="J525" s="48"/>
      <c r="K525" s="12"/>
      <c r="L525" s="80"/>
      <c r="M525" s="80"/>
      <c r="N525" s="80"/>
      <c r="O525" s="80"/>
      <c r="P525" s="80"/>
      <c r="Q525" s="80"/>
      <c r="R525" s="80"/>
      <c r="S525" s="42"/>
    </row>
    <row r="526" hidden="1">
      <c r="A526" s="12"/>
      <c r="B526" s="12"/>
      <c r="C526" s="76"/>
      <c r="D526" s="83"/>
      <c r="E526" s="10"/>
      <c r="F526" s="12"/>
      <c r="G526" s="12"/>
      <c r="H526" s="17"/>
      <c r="I526" s="48"/>
      <c r="J526" s="48"/>
      <c r="K526" s="12"/>
      <c r="L526" s="80"/>
      <c r="M526" s="80"/>
      <c r="N526" s="80"/>
      <c r="O526" s="80"/>
      <c r="P526" s="80"/>
      <c r="Q526" s="80"/>
      <c r="R526" s="80"/>
      <c r="S526" s="42"/>
    </row>
    <row r="527" hidden="1">
      <c r="A527" s="12"/>
      <c r="B527" s="12"/>
      <c r="C527" s="76"/>
      <c r="D527" s="83"/>
      <c r="E527" s="10"/>
      <c r="F527" s="12"/>
      <c r="G527" s="12"/>
      <c r="H527" s="17"/>
      <c r="I527" s="48"/>
      <c r="J527" s="48"/>
      <c r="K527" s="12"/>
      <c r="L527" s="80"/>
      <c r="M527" s="80"/>
      <c r="N527" s="80"/>
      <c r="O527" s="80"/>
      <c r="P527" s="80"/>
      <c r="Q527" s="80"/>
      <c r="R527" s="80"/>
      <c r="S527" s="42"/>
    </row>
    <row r="528" hidden="1">
      <c r="A528" s="12"/>
      <c r="B528" s="12"/>
      <c r="C528" s="76"/>
      <c r="D528" s="83"/>
      <c r="E528" s="10"/>
      <c r="F528" s="12"/>
      <c r="G528" s="12"/>
      <c r="H528" s="17"/>
      <c r="I528" s="48"/>
      <c r="J528" s="48"/>
      <c r="K528" s="12"/>
      <c r="L528" s="80"/>
      <c r="M528" s="80"/>
      <c r="N528" s="80"/>
      <c r="O528" s="80"/>
      <c r="P528" s="80"/>
      <c r="Q528" s="80"/>
      <c r="R528" s="80"/>
      <c r="S528" s="42"/>
    </row>
    <row r="529" hidden="1">
      <c r="A529" s="12"/>
      <c r="B529" s="12"/>
      <c r="C529" s="76"/>
      <c r="D529" s="83"/>
      <c r="E529" s="10"/>
      <c r="F529" s="12"/>
      <c r="G529" s="12"/>
      <c r="H529" s="17"/>
      <c r="I529" s="48"/>
      <c r="J529" s="48"/>
      <c r="K529" s="12"/>
      <c r="L529" s="80"/>
      <c r="M529" s="80"/>
      <c r="N529" s="80"/>
      <c r="O529" s="80"/>
      <c r="P529" s="80"/>
      <c r="Q529" s="80"/>
      <c r="R529" s="80"/>
      <c r="S529" s="42"/>
    </row>
    <row r="530" hidden="1">
      <c r="A530" s="12"/>
      <c r="B530" s="12"/>
      <c r="C530" s="76"/>
      <c r="D530" s="83"/>
      <c r="E530" s="10"/>
      <c r="F530" s="12"/>
      <c r="G530" s="12"/>
      <c r="H530" s="17"/>
      <c r="I530" s="48"/>
      <c r="J530" s="48"/>
      <c r="K530" s="12"/>
      <c r="L530" s="80"/>
      <c r="M530" s="80"/>
      <c r="N530" s="80"/>
      <c r="O530" s="80"/>
      <c r="P530" s="80"/>
      <c r="Q530" s="80"/>
      <c r="R530" s="80"/>
      <c r="S530" s="42"/>
    </row>
    <row r="531" hidden="1">
      <c r="A531" s="12"/>
      <c r="B531" s="12"/>
      <c r="C531" s="76"/>
      <c r="D531" s="83"/>
      <c r="E531" s="10"/>
      <c r="F531" s="12"/>
      <c r="G531" s="12"/>
      <c r="H531" s="17"/>
      <c r="I531" s="48"/>
      <c r="J531" s="48"/>
      <c r="K531" s="12"/>
      <c r="L531" s="80"/>
      <c r="M531" s="80"/>
      <c r="N531" s="80"/>
      <c r="O531" s="80"/>
      <c r="P531" s="80"/>
      <c r="Q531" s="80"/>
      <c r="R531" s="80"/>
      <c r="S531" s="42"/>
    </row>
    <row r="532" hidden="1">
      <c r="A532" s="12"/>
      <c r="B532" s="12"/>
      <c r="C532" s="76"/>
      <c r="D532" s="83"/>
      <c r="E532" s="10"/>
      <c r="F532" s="12"/>
      <c r="G532" s="12"/>
      <c r="H532" s="17"/>
      <c r="I532" s="48"/>
      <c r="J532" s="48"/>
      <c r="K532" s="12"/>
      <c r="L532" s="80"/>
      <c r="M532" s="80"/>
      <c r="N532" s="80"/>
      <c r="O532" s="80"/>
      <c r="P532" s="80"/>
      <c r="Q532" s="80"/>
      <c r="R532" s="80"/>
      <c r="S532" s="42"/>
    </row>
    <row r="533" hidden="1">
      <c r="A533" s="12"/>
      <c r="B533" s="12"/>
      <c r="C533" s="76"/>
      <c r="D533" s="83"/>
      <c r="E533" s="10"/>
      <c r="F533" s="12"/>
      <c r="G533" s="12"/>
      <c r="H533" s="17"/>
      <c r="I533" s="48"/>
      <c r="J533" s="48"/>
      <c r="K533" s="12"/>
      <c r="L533" s="80"/>
      <c r="M533" s="80"/>
      <c r="N533" s="80"/>
      <c r="O533" s="80"/>
      <c r="P533" s="80"/>
      <c r="Q533" s="80"/>
      <c r="R533" s="80"/>
      <c r="S533" s="42"/>
    </row>
    <row r="534" hidden="1">
      <c r="A534" s="12"/>
      <c r="B534" s="12"/>
      <c r="C534" s="76"/>
      <c r="D534" s="83"/>
      <c r="E534" s="10"/>
      <c r="F534" s="12"/>
      <c r="G534" s="12"/>
      <c r="H534" s="17"/>
      <c r="I534" s="48"/>
      <c r="J534" s="48"/>
      <c r="K534" s="12"/>
      <c r="L534" s="80"/>
      <c r="M534" s="80"/>
      <c r="N534" s="80"/>
      <c r="O534" s="80"/>
      <c r="P534" s="80"/>
      <c r="Q534" s="80"/>
      <c r="R534" s="80"/>
      <c r="S534" s="42"/>
    </row>
    <row r="535" hidden="1">
      <c r="A535" s="12"/>
      <c r="B535" s="12"/>
      <c r="C535" s="76"/>
      <c r="D535" s="83"/>
      <c r="E535" s="10"/>
      <c r="F535" s="12"/>
      <c r="G535" s="12"/>
      <c r="H535" s="17"/>
      <c r="I535" s="48"/>
      <c r="J535" s="48"/>
      <c r="K535" s="12"/>
      <c r="L535" s="80"/>
      <c r="M535" s="80"/>
      <c r="N535" s="80"/>
      <c r="O535" s="80"/>
      <c r="P535" s="80"/>
      <c r="Q535" s="80"/>
      <c r="R535" s="80"/>
      <c r="S535" s="42"/>
    </row>
    <row r="536" hidden="1">
      <c r="A536" s="12"/>
      <c r="B536" s="12"/>
      <c r="C536" s="76"/>
      <c r="D536" s="83"/>
      <c r="E536" s="10"/>
      <c r="F536" s="12"/>
      <c r="G536" s="12"/>
      <c r="H536" s="17"/>
      <c r="I536" s="48"/>
      <c r="J536" s="48"/>
      <c r="K536" s="12"/>
      <c r="L536" s="80"/>
      <c r="M536" s="80"/>
      <c r="N536" s="80"/>
      <c r="O536" s="80"/>
      <c r="P536" s="80"/>
      <c r="Q536" s="80"/>
      <c r="R536" s="80"/>
      <c r="S536" s="42"/>
    </row>
    <row r="537" hidden="1">
      <c r="A537" s="12"/>
      <c r="B537" s="12"/>
      <c r="C537" s="76"/>
      <c r="D537" s="83"/>
      <c r="E537" s="10"/>
      <c r="F537" s="12"/>
      <c r="G537" s="12"/>
      <c r="H537" s="17"/>
      <c r="I537" s="48"/>
      <c r="J537" s="48"/>
      <c r="K537" s="12"/>
      <c r="L537" s="80"/>
      <c r="M537" s="80"/>
      <c r="N537" s="80"/>
      <c r="O537" s="80"/>
      <c r="P537" s="80"/>
      <c r="Q537" s="80"/>
      <c r="R537" s="80"/>
      <c r="S537" s="42"/>
    </row>
    <row r="538" hidden="1">
      <c r="A538" s="12"/>
      <c r="B538" s="12"/>
      <c r="C538" s="76"/>
      <c r="D538" s="83"/>
      <c r="E538" s="10"/>
      <c r="F538" s="12"/>
      <c r="G538" s="12"/>
      <c r="H538" s="17"/>
      <c r="I538" s="48"/>
      <c r="J538" s="48"/>
      <c r="K538" s="12"/>
      <c r="L538" s="80"/>
      <c r="M538" s="80"/>
      <c r="N538" s="80"/>
      <c r="O538" s="80"/>
      <c r="P538" s="80"/>
      <c r="Q538" s="80"/>
      <c r="R538" s="80"/>
      <c r="S538" s="42"/>
    </row>
    <row r="539" hidden="1">
      <c r="A539" s="12"/>
      <c r="B539" s="12"/>
      <c r="C539" s="76"/>
      <c r="D539" s="83"/>
      <c r="E539" s="10"/>
      <c r="F539" s="12"/>
      <c r="G539" s="12"/>
      <c r="H539" s="17"/>
      <c r="I539" s="48"/>
      <c r="J539" s="48"/>
      <c r="K539" s="12"/>
      <c r="L539" s="80"/>
      <c r="M539" s="80"/>
      <c r="N539" s="80"/>
      <c r="O539" s="80"/>
      <c r="P539" s="80"/>
      <c r="Q539" s="80"/>
      <c r="R539" s="80"/>
      <c r="S539" s="42"/>
    </row>
    <row r="540" hidden="1">
      <c r="A540" s="12"/>
      <c r="B540" s="12"/>
      <c r="C540" s="76"/>
      <c r="D540" s="83"/>
      <c r="E540" s="10"/>
      <c r="F540" s="12"/>
      <c r="G540" s="12"/>
      <c r="H540" s="17"/>
      <c r="I540" s="48"/>
      <c r="J540" s="48"/>
      <c r="K540" s="12"/>
      <c r="L540" s="80"/>
      <c r="M540" s="80"/>
      <c r="N540" s="80"/>
      <c r="O540" s="80"/>
      <c r="P540" s="80"/>
      <c r="Q540" s="80"/>
      <c r="R540" s="80"/>
      <c r="S540" s="42"/>
    </row>
    <row r="541" hidden="1">
      <c r="A541" s="12"/>
      <c r="B541" s="12"/>
      <c r="C541" s="76"/>
      <c r="D541" s="83"/>
      <c r="E541" s="10"/>
      <c r="F541" s="12"/>
      <c r="G541" s="12"/>
      <c r="H541" s="17"/>
      <c r="I541" s="48"/>
      <c r="J541" s="48"/>
      <c r="K541" s="12"/>
      <c r="L541" s="80"/>
      <c r="M541" s="80"/>
      <c r="N541" s="80"/>
      <c r="O541" s="80"/>
      <c r="P541" s="80"/>
      <c r="Q541" s="80"/>
      <c r="R541" s="80"/>
      <c r="S541" s="42"/>
    </row>
    <row r="542" hidden="1">
      <c r="A542" s="12"/>
      <c r="B542" s="12"/>
      <c r="C542" s="76"/>
      <c r="D542" s="83"/>
      <c r="E542" s="10"/>
      <c r="F542" s="12"/>
      <c r="G542" s="12"/>
      <c r="H542" s="17"/>
      <c r="I542" s="48"/>
      <c r="J542" s="48"/>
      <c r="K542" s="12"/>
      <c r="L542" s="80"/>
      <c r="M542" s="80"/>
      <c r="N542" s="80"/>
      <c r="O542" s="80"/>
      <c r="P542" s="80"/>
      <c r="Q542" s="80"/>
      <c r="R542" s="80"/>
      <c r="S542" s="42"/>
    </row>
    <row r="543" hidden="1">
      <c r="A543" s="12"/>
      <c r="B543" s="12"/>
      <c r="C543" s="76"/>
      <c r="D543" s="83"/>
      <c r="E543" s="10"/>
      <c r="F543" s="12"/>
      <c r="G543" s="12"/>
      <c r="H543" s="17"/>
      <c r="I543" s="48"/>
      <c r="J543" s="48"/>
      <c r="K543" s="12"/>
      <c r="L543" s="80"/>
      <c r="M543" s="80"/>
      <c r="N543" s="80"/>
      <c r="O543" s="80"/>
      <c r="P543" s="80"/>
      <c r="Q543" s="80"/>
      <c r="R543" s="80"/>
      <c r="S543" s="42"/>
    </row>
    <row r="544" hidden="1">
      <c r="A544" s="12"/>
      <c r="B544" s="12"/>
      <c r="C544" s="76"/>
      <c r="D544" s="83"/>
      <c r="E544" s="10"/>
      <c r="F544" s="12"/>
      <c r="G544" s="12"/>
      <c r="H544" s="17"/>
      <c r="I544" s="48"/>
      <c r="J544" s="48"/>
      <c r="K544" s="12"/>
      <c r="L544" s="80"/>
      <c r="M544" s="80"/>
      <c r="N544" s="80"/>
      <c r="O544" s="80"/>
      <c r="P544" s="80"/>
      <c r="Q544" s="80"/>
      <c r="R544" s="80"/>
      <c r="S544" s="42"/>
    </row>
    <row r="545" hidden="1">
      <c r="A545" s="12"/>
      <c r="B545" s="12"/>
      <c r="C545" s="76"/>
      <c r="D545" s="83"/>
      <c r="E545" s="10"/>
      <c r="F545" s="12"/>
      <c r="G545" s="12"/>
      <c r="H545" s="17"/>
      <c r="I545" s="48"/>
      <c r="J545" s="48"/>
      <c r="K545" s="12"/>
      <c r="L545" s="80"/>
      <c r="M545" s="80"/>
      <c r="N545" s="80"/>
      <c r="O545" s="80"/>
      <c r="P545" s="80"/>
      <c r="Q545" s="80"/>
      <c r="R545" s="80"/>
      <c r="S545" s="42"/>
    </row>
    <row r="546" hidden="1">
      <c r="A546" s="12"/>
      <c r="B546" s="12"/>
      <c r="C546" s="76"/>
      <c r="D546" s="83"/>
      <c r="E546" s="10"/>
      <c r="F546" s="12"/>
      <c r="G546" s="12"/>
      <c r="H546" s="17"/>
      <c r="I546" s="48"/>
      <c r="J546" s="48"/>
      <c r="K546" s="12"/>
      <c r="L546" s="80"/>
      <c r="M546" s="80"/>
      <c r="N546" s="80"/>
      <c r="O546" s="80"/>
      <c r="P546" s="80"/>
      <c r="Q546" s="80"/>
      <c r="R546" s="80"/>
      <c r="S546" s="42"/>
    </row>
    <row r="547" hidden="1">
      <c r="A547" s="12"/>
      <c r="B547" s="12"/>
      <c r="C547" s="76"/>
      <c r="D547" s="83"/>
      <c r="E547" s="10"/>
      <c r="F547" s="12"/>
      <c r="G547" s="12"/>
      <c r="H547" s="17"/>
      <c r="I547" s="48"/>
      <c r="J547" s="48"/>
      <c r="K547" s="12"/>
      <c r="L547" s="80"/>
      <c r="M547" s="80"/>
      <c r="N547" s="80"/>
      <c r="O547" s="80"/>
      <c r="P547" s="80"/>
      <c r="Q547" s="80"/>
      <c r="R547" s="80"/>
      <c r="S547" s="42"/>
    </row>
    <row r="548" hidden="1">
      <c r="A548" s="12"/>
      <c r="B548" s="12"/>
      <c r="C548" s="76"/>
      <c r="D548" s="83"/>
      <c r="E548" s="10"/>
      <c r="F548" s="12"/>
      <c r="G548" s="12"/>
      <c r="H548" s="17"/>
      <c r="I548" s="48"/>
      <c r="J548" s="48"/>
      <c r="K548" s="12"/>
      <c r="L548" s="80"/>
      <c r="M548" s="80"/>
      <c r="N548" s="80"/>
      <c r="O548" s="80"/>
      <c r="P548" s="80"/>
      <c r="Q548" s="80"/>
      <c r="R548" s="80"/>
      <c r="S548" s="42"/>
    </row>
    <row r="549" hidden="1">
      <c r="A549" s="12"/>
      <c r="B549" s="12"/>
      <c r="C549" s="76"/>
      <c r="D549" s="83"/>
      <c r="E549" s="10"/>
      <c r="F549" s="12"/>
      <c r="G549" s="12"/>
      <c r="H549" s="17"/>
      <c r="I549" s="48"/>
      <c r="J549" s="48"/>
      <c r="K549" s="12"/>
      <c r="L549" s="80"/>
      <c r="M549" s="80"/>
      <c r="N549" s="80"/>
      <c r="O549" s="80"/>
      <c r="P549" s="80"/>
      <c r="Q549" s="80"/>
      <c r="R549" s="80"/>
      <c r="S549" s="42"/>
    </row>
    <row r="550" hidden="1">
      <c r="A550" s="12"/>
      <c r="B550" s="12"/>
      <c r="C550" s="76"/>
      <c r="D550" s="83"/>
      <c r="E550" s="10"/>
      <c r="F550" s="12"/>
      <c r="G550" s="12"/>
      <c r="H550" s="17"/>
      <c r="I550" s="48"/>
      <c r="J550" s="48"/>
      <c r="K550" s="12"/>
      <c r="L550" s="80"/>
      <c r="M550" s="80"/>
      <c r="N550" s="80"/>
      <c r="O550" s="80"/>
      <c r="P550" s="80"/>
      <c r="Q550" s="80"/>
      <c r="R550" s="80"/>
      <c r="S550" s="42"/>
    </row>
    <row r="551" hidden="1">
      <c r="A551" s="12"/>
      <c r="B551" s="12"/>
      <c r="C551" s="76"/>
      <c r="D551" s="83"/>
      <c r="E551" s="10"/>
      <c r="F551" s="12"/>
      <c r="G551" s="12"/>
      <c r="H551" s="17"/>
      <c r="I551" s="48"/>
      <c r="J551" s="48"/>
      <c r="K551" s="12"/>
      <c r="L551" s="80"/>
      <c r="M551" s="80"/>
      <c r="N551" s="80"/>
      <c r="O551" s="80"/>
      <c r="P551" s="80"/>
      <c r="Q551" s="80"/>
      <c r="R551" s="80"/>
      <c r="S551" s="42"/>
    </row>
    <row r="552" hidden="1">
      <c r="A552" s="12"/>
      <c r="B552" s="12"/>
      <c r="C552" s="76"/>
      <c r="D552" s="83"/>
      <c r="E552" s="10"/>
      <c r="F552" s="12"/>
      <c r="G552" s="12"/>
      <c r="H552" s="17"/>
      <c r="I552" s="48"/>
      <c r="J552" s="48"/>
      <c r="K552" s="12"/>
      <c r="L552" s="80"/>
      <c r="M552" s="80"/>
      <c r="N552" s="80"/>
      <c r="O552" s="80"/>
      <c r="P552" s="80"/>
      <c r="Q552" s="80"/>
      <c r="R552" s="80"/>
      <c r="S552" s="42"/>
    </row>
    <row r="553" hidden="1">
      <c r="A553" s="12"/>
      <c r="B553" s="12"/>
      <c r="C553" s="76"/>
      <c r="D553" s="83"/>
      <c r="E553" s="10"/>
      <c r="F553" s="12"/>
      <c r="G553" s="12"/>
      <c r="H553" s="17"/>
      <c r="I553" s="48"/>
      <c r="J553" s="48"/>
      <c r="K553" s="12"/>
      <c r="L553" s="80"/>
      <c r="M553" s="80"/>
      <c r="N553" s="80"/>
      <c r="O553" s="80"/>
      <c r="P553" s="80"/>
      <c r="Q553" s="80"/>
      <c r="R553" s="80"/>
      <c r="S553" s="42"/>
    </row>
    <row r="554" hidden="1">
      <c r="A554" s="12"/>
      <c r="B554" s="12"/>
      <c r="C554" s="76"/>
      <c r="D554" s="83"/>
      <c r="E554" s="10"/>
      <c r="F554" s="12"/>
      <c r="G554" s="12"/>
      <c r="H554" s="17"/>
      <c r="I554" s="48"/>
      <c r="J554" s="48"/>
      <c r="K554" s="12"/>
      <c r="L554" s="80"/>
      <c r="M554" s="80"/>
      <c r="N554" s="80"/>
      <c r="O554" s="80"/>
      <c r="P554" s="80"/>
      <c r="Q554" s="80"/>
      <c r="R554" s="80"/>
      <c r="S554" s="42"/>
    </row>
    <row r="555" hidden="1">
      <c r="A555" s="12"/>
      <c r="B555" s="12"/>
      <c r="C555" s="76"/>
      <c r="D555" s="83"/>
      <c r="E555" s="10"/>
      <c r="F555" s="12"/>
      <c r="G555" s="12"/>
      <c r="H555" s="17"/>
      <c r="I555" s="48"/>
      <c r="J555" s="48"/>
      <c r="K555" s="12"/>
      <c r="L555" s="80"/>
      <c r="M555" s="80"/>
      <c r="N555" s="80"/>
      <c r="O555" s="80"/>
      <c r="P555" s="80"/>
      <c r="Q555" s="80"/>
      <c r="R555" s="80"/>
      <c r="S555" s="42"/>
    </row>
    <row r="556" hidden="1">
      <c r="A556" s="12"/>
      <c r="B556" s="12"/>
      <c r="C556" s="76"/>
      <c r="D556" s="83"/>
      <c r="E556" s="10"/>
      <c r="F556" s="12"/>
      <c r="G556" s="12"/>
      <c r="H556" s="17"/>
      <c r="I556" s="48"/>
      <c r="J556" s="48"/>
      <c r="K556" s="12"/>
      <c r="L556" s="80"/>
      <c r="M556" s="80"/>
      <c r="N556" s="80"/>
      <c r="O556" s="80"/>
      <c r="P556" s="80"/>
      <c r="Q556" s="80"/>
      <c r="R556" s="80"/>
      <c r="S556" s="42"/>
    </row>
    <row r="557" hidden="1">
      <c r="A557" s="12"/>
      <c r="B557" s="12"/>
      <c r="C557" s="76"/>
      <c r="D557" s="83"/>
      <c r="E557" s="10"/>
      <c r="F557" s="12"/>
      <c r="G557" s="12"/>
      <c r="H557" s="17"/>
      <c r="I557" s="48"/>
      <c r="J557" s="48"/>
      <c r="K557" s="12"/>
      <c r="L557" s="80"/>
      <c r="M557" s="80"/>
      <c r="N557" s="80"/>
      <c r="O557" s="80"/>
      <c r="P557" s="80"/>
      <c r="Q557" s="80"/>
      <c r="R557" s="80"/>
      <c r="S557" s="42"/>
    </row>
    <row r="558" hidden="1">
      <c r="A558" s="12"/>
      <c r="B558" s="12"/>
      <c r="C558" s="76"/>
      <c r="D558" s="83"/>
      <c r="E558" s="10"/>
      <c r="F558" s="12"/>
      <c r="G558" s="12"/>
      <c r="H558" s="17"/>
      <c r="I558" s="48"/>
      <c r="J558" s="48"/>
      <c r="K558" s="12"/>
      <c r="L558" s="80"/>
      <c r="M558" s="80"/>
      <c r="N558" s="80"/>
      <c r="O558" s="80"/>
      <c r="P558" s="80"/>
      <c r="Q558" s="80"/>
      <c r="R558" s="80"/>
      <c r="S558" s="42"/>
    </row>
    <row r="559" hidden="1">
      <c r="A559" s="12"/>
      <c r="B559" s="12"/>
      <c r="C559" s="76"/>
      <c r="D559" s="83"/>
      <c r="E559" s="10"/>
      <c r="F559" s="12"/>
      <c r="G559" s="12"/>
      <c r="H559" s="17"/>
      <c r="I559" s="48"/>
      <c r="J559" s="48"/>
      <c r="K559" s="12"/>
      <c r="L559" s="80"/>
      <c r="M559" s="80"/>
      <c r="N559" s="80"/>
      <c r="O559" s="80"/>
      <c r="P559" s="80"/>
      <c r="Q559" s="80"/>
      <c r="R559" s="80"/>
      <c r="S559" s="42"/>
    </row>
    <row r="560" hidden="1">
      <c r="A560" s="12"/>
      <c r="B560" s="12"/>
      <c r="C560" s="76"/>
      <c r="D560" s="83"/>
      <c r="E560" s="10"/>
      <c r="F560" s="12"/>
      <c r="G560" s="12"/>
      <c r="H560" s="17"/>
      <c r="I560" s="48"/>
      <c r="J560" s="48"/>
      <c r="K560" s="12"/>
      <c r="L560" s="80"/>
      <c r="M560" s="80"/>
      <c r="N560" s="80"/>
      <c r="O560" s="80"/>
      <c r="P560" s="80"/>
      <c r="Q560" s="80"/>
      <c r="R560" s="80"/>
      <c r="S560" s="42"/>
    </row>
    <row r="561" hidden="1">
      <c r="A561" s="12"/>
      <c r="B561" s="12"/>
      <c r="C561" s="76"/>
      <c r="D561" s="83"/>
      <c r="E561" s="10"/>
      <c r="F561" s="12"/>
      <c r="G561" s="12"/>
      <c r="H561" s="17"/>
      <c r="I561" s="48"/>
      <c r="J561" s="48"/>
      <c r="K561" s="12"/>
      <c r="L561" s="80"/>
      <c r="M561" s="80"/>
      <c r="N561" s="80"/>
      <c r="O561" s="80"/>
      <c r="P561" s="80"/>
      <c r="Q561" s="80"/>
      <c r="R561" s="80"/>
      <c r="S561" s="42"/>
    </row>
    <row r="562" hidden="1">
      <c r="A562" s="12"/>
      <c r="B562" s="12"/>
      <c r="C562" s="76"/>
      <c r="D562" s="83"/>
      <c r="E562" s="10"/>
      <c r="F562" s="12"/>
      <c r="G562" s="12"/>
      <c r="H562" s="17"/>
      <c r="I562" s="48"/>
      <c r="J562" s="48"/>
      <c r="K562" s="12"/>
      <c r="L562" s="80"/>
      <c r="M562" s="80"/>
      <c r="N562" s="80"/>
      <c r="O562" s="80"/>
      <c r="P562" s="80"/>
      <c r="Q562" s="80"/>
      <c r="R562" s="80"/>
      <c r="S562" s="42"/>
    </row>
    <row r="563" hidden="1">
      <c r="A563" s="12"/>
      <c r="B563" s="12"/>
      <c r="C563" s="76"/>
      <c r="D563" s="83"/>
      <c r="E563" s="10"/>
      <c r="F563" s="12"/>
      <c r="G563" s="12"/>
      <c r="H563" s="17"/>
      <c r="I563" s="48"/>
      <c r="J563" s="48"/>
      <c r="K563" s="12"/>
      <c r="L563" s="80"/>
      <c r="M563" s="80"/>
      <c r="N563" s="80"/>
      <c r="O563" s="80"/>
      <c r="P563" s="80"/>
      <c r="Q563" s="80"/>
      <c r="R563" s="80"/>
      <c r="S563" s="42"/>
    </row>
    <row r="564" hidden="1">
      <c r="A564" s="12"/>
      <c r="B564" s="12"/>
      <c r="C564" s="76"/>
      <c r="D564" s="83"/>
      <c r="E564" s="10"/>
      <c r="F564" s="12"/>
      <c r="G564" s="12"/>
      <c r="H564" s="17"/>
      <c r="I564" s="48"/>
      <c r="J564" s="48"/>
      <c r="K564" s="12"/>
      <c r="L564" s="80"/>
      <c r="M564" s="80"/>
      <c r="N564" s="80"/>
      <c r="O564" s="80"/>
      <c r="P564" s="80"/>
      <c r="Q564" s="80"/>
      <c r="R564" s="80"/>
      <c r="S564" s="42"/>
    </row>
    <row r="565" hidden="1">
      <c r="A565" s="12"/>
      <c r="B565" s="12"/>
      <c r="C565" s="76"/>
      <c r="D565" s="83"/>
      <c r="E565" s="10"/>
      <c r="F565" s="12"/>
      <c r="G565" s="12"/>
      <c r="H565" s="17"/>
      <c r="I565" s="48"/>
      <c r="J565" s="48"/>
      <c r="K565" s="12"/>
      <c r="L565" s="80"/>
      <c r="M565" s="80"/>
      <c r="N565" s="80"/>
      <c r="O565" s="80"/>
      <c r="P565" s="80"/>
      <c r="Q565" s="80"/>
      <c r="R565" s="80"/>
      <c r="S565" s="42"/>
    </row>
    <row r="566" hidden="1">
      <c r="A566" s="12"/>
      <c r="B566" s="12"/>
      <c r="C566" s="76"/>
      <c r="D566" s="83"/>
      <c r="E566" s="10"/>
      <c r="F566" s="12"/>
      <c r="G566" s="12"/>
      <c r="H566" s="17"/>
      <c r="I566" s="48"/>
      <c r="J566" s="48"/>
      <c r="K566" s="12"/>
      <c r="L566" s="80"/>
      <c r="M566" s="80"/>
      <c r="N566" s="80"/>
      <c r="O566" s="80"/>
      <c r="P566" s="80"/>
      <c r="Q566" s="80"/>
      <c r="R566" s="80"/>
      <c r="S566" s="42"/>
    </row>
    <row r="567" hidden="1">
      <c r="A567" s="12"/>
      <c r="B567" s="12"/>
      <c r="C567" s="76"/>
      <c r="D567" s="83"/>
      <c r="E567" s="10"/>
      <c r="F567" s="12"/>
      <c r="G567" s="12"/>
      <c r="H567" s="17"/>
      <c r="I567" s="48"/>
      <c r="J567" s="48"/>
      <c r="K567" s="12"/>
      <c r="L567" s="80"/>
      <c r="M567" s="80"/>
      <c r="N567" s="80"/>
      <c r="O567" s="80"/>
      <c r="P567" s="80"/>
      <c r="Q567" s="80"/>
      <c r="R567" s="80"/>
      <c r="S567" s="42"/>
    </row>
    <row r="568" hidden="1">
      <c r="A568" s="12"/>
      <c r="B568" s="12"/>
      <c r="C568" s="76"/>
      <c r="D568" s="83"/>
      <c r="E568" s="10"/>
      <c r="F568" s="12"/>
      <c r="G568" s="12"/>
      <c r="H568" s="17"/>
      <c r="I568" s="48"/>
      <c r="J568" s="48"/>
      <c r="K568" s="12"/>
      <c r="L568" s="80"/>
      <c r="M568" s="80"/>
      <c r="N568" s="80"/>
      <c r="O568" s="80"/>
      <c r="P568" s="80"/>
      <c r="Q568" s="80"/>
      <c r="R568" s="80"/>
      <c r="S568" s="42"/>
    </row>
    <row r="569" hidden="1">
      <c r="A569" s="12"/>
      <c r="B569" s="12"/>
      <c r="C569" s="76"/>
      <c r="D569" s="83"/>
      <c r="E569" s="10"/>
      <c r="F569" s="12"/>
      <c r="G569" s="12"/>
      <c r="H569" s="17"/>
      <c r="I569" s="48"/>
      <c r="J569" s="48"/>
      <c r="K569" s="12"/>
      <c r="L569" s="80"/>
      <c r="M569" s="80"/>
      <c r="N569" s="80"/>
      <c r="O569" s="80"/>
      <c r="P569" s="80"/>
      <c r="Q569" s="80"/>
      <c r="R569" s="80"/>
      <c r="S569" s="42"/>
    </row>
    <row r="570" hidden="1">
      <c r="A570" s="12"/>
      <c r="B570" s="12"/>
      <c r="C570" s="76"/>
      <c r="D570" s="83"/>
      <c r="E570" s="10"/>
      <c r="F570" s="12"/>
      <c r="G570" s="12"/>
      <c r="H570" s="17"/>
      <c r="I570" s="48"/>
      <c r="J570" s="48"/>
      <c r="K570" s="12"/>
      <c r="L570" s="80"/>
      <c r="M570" s="80"/>
      <c r="N570" s="80"/>
      <c r="O570" s="80"/>
      <c r="P570" s="80"/>
      <c r="Q570" s="80"/>
      <c r="R570" s="80"/>
      <c r="S570" s="42"/>
    </row>
    <row r="571" hidden="1">
      <c r="A571" s="12"/>
      <c r="B571" s="12"/>
      <c r="C571" s="76"/>
      <c r="D571" s="83"/>
      <c r="E571" s="10"/>
      <c r="F571" s="12"/>
      <c r="G571" s="12"/>
      <c r="H571" s="17"/>
      <c r="I571" s="48"/>
      <c r="J571" s="48"/>
      <c r="K571" s="12"/>
      <c r="L571" s="80"/>
      <c r="M571" s="80"/>
      <c r="N571" s="80"/>
      <c r="O571" s="80"/>
      <c r="P571" s="80"/>
      <c r="Q571" s="80"/>
      <c r="R571" s="80"/>
      <c r="S571" s="42"/>
    </row>
    <row r="572" hidden="1">
      <c r="A572" s="12"/>
      <c r="B572" s="12"/>
      <c r="C572" s="76"/>
      <c r="D572" s="83"/>
      <c r="E572" s="10"/>
      <c r="F572" s="12"/>
      <c r="G572" s="12"/>
      <c r="H572" s="17"/>
      <c r="I572" s="48"/>
      <c r="J572" s="48"/>
      <c r="K572" s="12"/>
      <c r="L572" s="80"/>
      <c r="M572" s="80"/>
      <c r="N572" s="80"/>
      <c r="O572" s="80"/>
      <c r="P572" s="80"/>
      <c r="Q572" s="80"/>
      <c r="R572" s="80"/>
      <c r="S572" s="42"/>
    </row>
    <row r="573" hidden="1">
      <c r="A573" s="12"/>
      <c r="B573" s="12"/>
      <c r="C573" s="76"/>
      <c r="D573" s="83"/>
      <c r="E573" s="10"/>
      <c r="F573" s="12"/>
      <c r="G573" s="12"/>
      <c r="H573" s="17"/>
      <c r="I573" s="48"/>
      <c r="J573" s="48"/>
      <c r="K573" s="12"/>
      <c r="L573" s="80"/>
      <c r="M573" s="80"/>
      <c r="N573" s="80"/>
      <c r="O573" s="80"/>
      <c r="P573" s="80"/>
      <c r="Q573" s="80"/>
      <c r="R573" s="80"/>
      <c r="S573" s="42"/>
    </row>
    <row r="574" hidden="1">
      <c r="A574" s="12"/>
      <c r="B574" s="12"/>
      <c r="C574" s="76"/>
      <c r="D574" s="83"/>
      <c r="E574" s="10"/>
      <c r="F574" s="12"/>
      <c r="G574" s="12"/>
      <c r="H574" s="17"/>
      <c r="I574" s="48"/>
      <c r="J574" s="48"/>
      <c r="K574" s="12"/>
      <c r="L574" s="80"/>
      <c r="M574" s="80"/>
      <c r="N574" s="80"/>
      <c r="O574" s="80"/>
      <c r="P574" s="80"/>
      <c r="Q574" s="80"/>
      <c r="R574" s="80"/>
      <c r="S574" s="42"/>
    </row>
    <row r="575" hidden="1">
      <c r="A575" s="12"/>
      <c r="B575" s="12"/>
      <c r="C575" s="76"/>
      <c r="D575" s="83"/>
      <c r="E575" s="10"/>
      <c r="F575" s="12"/>
      <c r="G575" s="12"/>
      <c r="H575" s="17"/>
      <c r="I575" s="48"/>
      <c r="J575" s="48"/>
      <c r="K575" s="12"/>
      <c r="L575" s="80"/>
      <c r="M575" s="80"/>
      <c r="N575" s="80"/>
      <c r="O575" s="80"/>
      <c r="P575" s="80"/>
      <c r="Q575" s="80"/>
      <c r="R575" s="80"/>
      <c r="S575" s="42"/>
    </row>
    <row r="576" hidden="1">
      <c r="A576" s="12"/>
      <c r="B576" s="12"/>
      <c r="C576" s="76"/>
      <c r="D576" s="83"/>
      <c r="E576" s="10"/>
      <c r="F576" s="12"/>
      <c r="G576" s="12"/>
      <c r="H576" s="17"/>
      <c r="I576" s="48"/>
      <c r="J576" s="48"/>
      <c r="K576" s="12"/>
      <c r="L576" s="80"/>
      <c r="M576" s="80"/>
      <c r="N576" s="80"/>
      <c r="O576" s="80"/>
      <c r="P576" s="80"/>
      <c r="Q576" s="80"/>
      <c r="R576" s="80"/>
      <c r="S576" s="42"/>
    </row>
    <row r="577" hidden="1">
      <c r="A577" s="12"/>
      <c r="B577" s="12"/>
      <c r="C577" s="76"/>
      <c r="D577" s="83"/>
      <c r="E577" s="10"/>
      <c r="F577" s="12"/>
      <c r="G577" s="12"/>
      <c r="H577" s="17"/>
      <c r="I577" s="48"/>
      <c r="J577" s="48"/>
      <c r="K577" s="12"/>
      <c r="L577" s="80"/>
      <c r="M577" s="80"/>
      <c r="N577" s="80"/>
      <c r="O577" s="80"/>
      <c r="P577" s="80"/>
      <c r="Q577" s="80"/>
      <c r="R577" s="80"/>
      <c r="S577" s="42"/>
    </row>
    <row r="578" hidden="1">
      <c r="A578" s="12"/>
      <c r="B578" s="12"/>
      <c r="C578" s="76"/>
      <c r="D578" s="83"/>
      <c r="E578" s="10"/>
      <c r="F578" s="12"/>
      <c r="G578" s="12"/>
      <c r="H578" s="17"/>
      <c r="I578" s="48"/>
      <c r="J578" s="48"/>
      <c r="K578" s="12"/>
      <c r="L578" s="80"/>
      <c r="M578" s="80"/>
      <c r="N578" s="80"/>
      <c r="O578" s="80"/>
      <c r="P578" s="80"/>
      <c r="Q578" s="80"/>
      <c r="R578" s="80"/>
      <c r="S578" s="42"/>
    </row>
    <row r="579" hidden="1">
      <c r="A579" s="12"/>
      <c r="B579" s="12"/>
      <c r="C579" s="76"/>
      <c r="D579" s="83"/>
      <c r="E579" s="10"/>
      <c r="F579" s="12"/>
      <c r="G579" s="12"/>
      <c r="H579" s="17"/>
      <c r="I579" s="48"/>
      <c r="J579" s="48"/>
      <c r="K579" s="12"/>
      <c r="L579" s="80"/>
      <c r="M579" s="80"/>
      <c r="N579" s="80"/>
      <c r="O579" s="80"/>
      <c r="P579" s="80"/>
      <c r="Q579" s="80"/>
      <c r="R579" s="80"/>
      <c r="S579" s="42"/>
    </row>
    <row r="580" hidden="1">
      <c r="A580" s="12"/>
      <c r="B580" s="12"/>
      <c r="C580" s="76"/>
      <c r="D580" s="83"/>
      <c r="E580" s="10"/>
      <c r="F580" s="12"/>
      <c r="G580" s="12"/>
      <c r="H580" s="17"/>
      <c r="I580" s="48"/>
      <c r="J580" s="48"/>
      <c r="K580" s="12"/>
      <c r="L580" s="80"/>
      <c r="M580" s="80"/>
      <c r="N580" s="80"/>
      <c r="O580" s="80"/>
      <c r="P580" s="80"/>
      <c r="Q580" s="80"/>
      <c r="R580" s="80"/>
      <c r="S580" s="42"/>
    </row>
    <row r="581" hidden="1">
      <c r="A581" s="12"/>
      <c r="B581" s="12"/>
      <c r="C581" s="76"/>
      <c r="D581" s="83"/>
      <c r="E581" s="10"/>
      <c r="F581" s="12"/>
      <c r="G581" s="12"/>
      <c r="H581" s="17"/>
      <c r="I581" s="48"/>
      <c r="J581" s="48"/>
      <c r="K581" s="12"/>
      <c r="L581" s="80"/>
      <c r="M581" s="80"/>
      <c r="N581" s="80"/>
      <c r="O581" s="80"/>
      <c r="P581" s="80"/>
      <c r="Q581" s="80"/>
      <c r="R581" s="80"/>
      <c r="S581" s="42"/>
    </row>
    <row r="582" hidden="1">
      <c r="A582" s="12"/>
      <c r="B582" s="12"/>
      <c r="C582" s="76"/>
      <c r="D582" s="83"/>
      <c r="E582" s="10"/>
      <c r="F582" s="12"/>
      <c r="G582" s="12"/>
      <c r="H582" s="17"/>
      <c r="I582" s="48"/>
      <c r="J582" s="48"/>
      <c r="K582" s="12"/>
      <c r="L582" s="80"/>
      <c r="M582" s="80"/>
      <c r="N582" s="80"/>
      <c r="O582" s="80"/>
      <c r="P582" s="80"/>
      <c r="Q582" s="80"/>
      <c r="R582" s="80"/>
      <c r="S582" s="42"/>
    </row>
    <row r="583" hidden="1">
      <c r="A583" s="12"/>
      <c r="B583" s="12"/>
      <c r="C583" s="76"/>
      <c r="D583" s="83"/>
      <c r="E583" s="10"/>
      <c r="F583" s="12"/>
      <c r="G583" s="12"/>
      <c r="H583" s="17"/>
      <c r="I583" s="48"/>
      <c r="J583" s="48"/>
      <c r="K583" s="12"/>
      <c r="L583" s="80"/>
      <c r="M583" s="80"/>
      <c r="N583" s="80"/>
      <c r="O583" s="80"/>
      <c r="P583" s="80"/>
      <c r="Q583" s="80"/>
      <c r="R583" s="80"/>
      <c r="S583" s="42"/>
    </row>
    <row r="584" hidden="1">
      <c r="A584" s="12"/>
      <c r="B584" s="12"/>
      <c r="C584" s="76"/>
      <c r="D584" s="83"/>
      <c r="E584" s="10"/>
      <c r="F584" s="12"/>
      <c r="G584" s="12"/>
      <c r="H584" s="17"/>
      <c r="I584" s="48"/>
      <c r="J584" s="48"/>
      <c r="K584" s="12"/>
      <c r="L584" s="80"/>
      <c r="M584" s="80"/>
      <c r="N584" s="80"/>
      <c r="O584" s="80"/>
      <c r="P584" s="80"/>
      <c r="Q584" s="80"/>
      <c r="R584" s="80"/>
      <c r="S584" s="42"/>
    </row>
    <row r="585" hidden="1">
      <c r="A585" s="12"/>
      <c r="B585" s="12"/>
      <c r="C585" s="76"/>
      <c r="D585" s="83"/>
      <c r="E585" s="10"/>
      <c r="F585" s="12"/>
      <c r="G585" s="12"/>
      <c r="H585" s="17"/>
      <c r="I585" s="48"/>
      <c r="J585" s="48"/>
      <c r="K585" s="12"/>
      <c r="L585" s="80"/>
      <c r="M585" s="80"/>
      <c r="N585" s="80"/>
      <c r="O585" s="80"/>
      <c r="P585" s="80"/>
      <c r="Q585" s="80"/>
      <c r="R585" s="80"/>
      <c r="S585" s="42"/>
    </row>
    <row r="586" hidden="1">
      <c r="A586" s="12"/>
      <c r="B586" s="12"/>
      <c r="C586" s="76"/>
      <c r="D586" s="83"/>
      <c r="E586" s="10"/>
      <c r="F586" s="12"/>
      <c r="G586" s="12"/>
      <c r="H586" s="17"/>
      <c r="I586" s="48"/>
      <c r="J586" s="48"/>
      <c r="K586" s="12"/>
      <c r="L586" s="80"/>
      <c r="M586" s="80"/>
      <c r="N586" s="80"/>
      <c r="O586" s="80"/>
      <c r="P586" s="80"/>
      <c r="Q586" s="80"/>
      <c r="R586" s="80"/>
      <c r="S586" s="42"/>
    </row>
    <row r="587" hidden="1">
      <c r="A587" s="12"/>
      <c r="B587" s="12"/>
      <c r="C587" s="76"/>
      <c r="D587" s="83"/>
      <c r="E587" s="10"/>
      <c r="F587" s="12"/>
      <c r="G587" s="12"/>
      <c r="H587" s="17"/>
      <c r="I587" s="48"/>
      <c r="J587" s="48"/>
      <c r="K587" s="12"/>
      <c r="L587" s="80"/>
      <c r="M587" s="80"/>
      <c r="N587" s="80"/>
      <c r="O587" s="80"/>
      <c r="P587" s="80"/>
      <c r="Q587" s="80"/>
      <c r="R587" s="80"/>
      <c r="S587" s="42"/>
    </row>
    <row r="588" hidden="1">
      <c r="A588" s="12"/>
      <c r="B588" s="12"/>
      <c r="C588" s="76"/>
      <c r="D588" s="83"/>
      <c r="E588" s="10"/>
      <c r="F588" s="12"/>
      <c r="G588" s="12"/>
      <c r="H588" s="17"/>
      <c r="I588" s="48"/>
      <c r="J588" s="48"/>
      <c r="K588" s="12"/>
      <c r="L588" s="80"/>
      <c r="M588" s="80"/>
      <c r="N588" s="80"/>
      <c r="O588" s="80"/>
      <c r="P588" s="80"/>
      <c r="Q588" s="80"/>
      <c r="R588" s="80"/>
      <c r="S588" s="42"/>
    </row>
    <row r="589" hidden="1">
      <c r="A589" s="12"/>
      <c r="B589" s="12"/>
      <c r="C589" s="76"/>
      <c r="D589" s="83"/>
      <c r="E589" s="10"/>
      <c r="F589" s="12"/>
      <c r="G589" s="12"/>
      <c r="H589" s="17"/>
      <c r="I589" s="48"/>
      <c r="J589" s="48"/>
      <c r="K589" s="12"/>
      <c r="L589" s="80"/>
      <c r="M589" s="80"/>
      <c r="N589" s="80"/>
      <c r="O589" s="80"/>
      <c r="P589" s="80"/>
      <c r="Q589" s="80"/>
      <c r="R589" s="80"/>
      <c r="S589" s="42"/>
    </row>
    <row r="590" hidden="1">
      <c r="A590" s="12"/>
      <c r="B590" s="12"/>
      <c r="C590" s="76"/>
      <c r="D590" s="83"/>
      <c r="E590" s="10"/>
      <c r="F590" s="12"/>
      <c r="G590" s="12"/>
      <c r="H590" s="17"/>
      <c r="I590" s="48"/>
      <c r="J590" s="48"/>
      <c r="K590" s="12"/>
      <c r="L590" s="80"/>
      <c r="M590" s="80"/>
      <c r="N590" s="80"/>
      <c r="O590" s="80"/>
      <c r="P590" s="80"/>
      <c r="Q590" s="80"/>
      <c r="R590" s="80"/>
      <c r="S590" s="42"/>
    </row>
    <row r="591" hidden="1">
      <c r="A591" s="12"/>
      <c r="B591" s="12"/>
      <c r="C591" s="76"/>
      <c r="D591" s="83"/>
      <c r="E591" s="10"/>
      <c r="F591" s="12"/>
      <c r="G591" s="12"/>
      <c r="H591" s="17"/>
      <c r="I591" s="48"/>
      <c r="J591" s="48"/>
      <c r="K591" s="12"/>
      <c r="L591" s="80"/>
      <c r="M591" s="80"/>
      <c r="N591" s="80"/>
      <c r="O591" s="80"/>
      <c r="P591" s="80"/>
      <c r="Q591" s="80"/>
      <c r="R591" s="80"/>
      <c r="S591" s="42"/>
    </row>
    <row r="592" hidden="1">
      <c r="A592" s="12"/>
      <c r="B592" s="12"/>
      <c r="C592" s="76"/>
      <c r="D592" s="83"/>
      <c r="E592" s="10"/>
      <c r="F592" s="12"/>
      <c r="G592" s="12"/>
      <c r="H592" s="17"/>
      <c r="I592" s="48"/>
      <c r="J592" s="48"/>
      <c r="K592" s="12"/>
      <c r="L592" s="80"/>
      <c r="M592" s="80"/>
      <c r="N592" s="80"/>
      <c r="O592" s="80"/>
      <c r="P592" s="80"/>
      <c r="Q592" s="80"/>
      <c r="R592" s="80"/>
      <c r="S592" s="42"/>
    </row>
    <row r="593" hidden="1">
      <c r="A593" s="12"/>
      <c r="B593" s="12"/>
      <c r="C593" s="76"/>
      <c r="D593" s="83"/>
      <c r="E593" s="10"/>
      <c r="F593" s="12"/>
      <c r="G593" s="12"/>
      <c r="H593" s="17"/>
      <c r="I593" s="48"/>
      <c r="J593" s="48"/>
      <c r="K593" s="12"/>
      <c r="L593" s="80"/>
      <c r="M593" s="80"/>
      <c r="N593" s="80"/>
      <c r="O593" s="80"/>
      <c r="P593" s="80"/>
      <c r="Q593" s="80"/>
      <c r="R593" s="80"/>
      <c r="S593" s="42"/>
    </row>
    <row r="594" hidden="1">
      <c r="A594" s="12"/>
      <c r="B594" s="12"/>
      <c r="C594" s="76"/>
      <c r="D594" s="83"/>
      <c r="E594" s="10"/>
      <c r="F594" s="12"/>
      <c r="G594" s="12"/>
      <c r="H594" s="17"/>
      <c r="I594" s="48"/>
      <c r="J594" s="48"/>
      <c r="K594" s="12"/>
      <c r="L594" s="80"/>
      <c r="M594" s="80"/>
      <c r="N594" s="80"/>
      <c r="O594" s="80"/>
      <c r="P594" s="80"/>
      <c r="Q594" s="80"/>
      <c r="R594" s="80"/>
      <c r="S594" s="42"/>
    </row>
    <row r="595" hidden="1">
      <c r="A595" s="12"/>
      <c r="B595" s="12"/>
      <c r="C595" s="76"/>
      <c r="D595" s="83"/>
      <c r="E595" s="10"/>
      <c r="F595" s="12"/>
      <c r="G595" s="12"/>
      <c r="H595" s="17"/>
      <c r="I595" s="48"/>
      <c r="J595" s="48"/>
      <c r="K595" s="12"/>
      <c r="L595" s="80"/>
      <c r="M595" s="80"/>
      <c r="N595" s="80"/>
      <c r="O595" s="80"/>
      <c r="P595" s="80"/>
      <c r="Q595" s="80"/>
      <c r="R595" s="80"/>
      <c r="S595" s="42"/>
    </row>
    <row r="596" hidden="1">
      <c r="A596" s="12"/>
      <c r="B596" s="12"/>
      <c r="C596" s="76"/>
      <c r="D596" s="83"/>
      <c r="E596" s="10"/>
      <c r="F596" s="12"/>
      <c r="G596" s="12"/>
      <c r="H596" s="17"/>
      <c r="I596" s="48"/>
      <c r="J596" s="48"/>
      <c r="K596" s="12"/>
      <c r="L596" s="80"/>
      <c r="M596" s="80"/>
      <c r="N596" s="80"/>
      <c r="O596" s="80"/>
      <c r="P596" s="80"/>
      <c r="Q596" s="80"/>
      <c r="R596" s="80"/>
      <c r="S596" s="42"/>
    </row>
    <row r="597" hidden="1">
      <c r="A597" s="12"/>
      <c r="B597" s="12"/>
      <c r="C597" s="76"/>
      <c r="D597" s="83"/>
      <c r="E597" s="10"/>
      <c r="F597" s="12"/>
      <c r="G597" s="12"/>
      <c r="H597" s="17"/>
      <c r="I597" s="48"/>
      <c r="J597" s="48"/>
      <c r="K597" s="12"/>
      <c r="L597" s="80"/>
      <c r="M597" s="80"/>
      <c r="N597" s="80"/>
      <c r="O597" s="80"/>
      <c r="P597" s="80"/>
      <c r="Q597" s="80"/>
      <c r="R597" s="80"/>
      <c r="S597" s="42"/>
    </row>
    <row r="598" hidden="1">
      <c r="A598" s="12"/>
      <c r="B598" s="12"/>
      <c r="C598" s="76"/>
      <c r="D598" s="83"/>
      <c r="E598" s="10"/>
      <c r="F598" s="12"/>
      <c r="G598" s="12"/>
      <c r="H598" s="17"/>
      <c r="I598" s="48"/>
      <c r="J598" s="48"/>
      <c r="K598" s="12"/>
      <c r="L598" s="80"/>
      <c r="M598" s="80"/>
      <c r="N598" s="80"/>
      <c r="O598" s="80"/>
      <c r="P598" s="80"/>
      <c r="Q598" s="80"/>
      <c r="R598" s="80"/>
      <c r="S598" s="42"/>
    </row>
    <row r="599" hidden="1">
      <c r="A599" s="12"/>
      <c r="B599" s="12"/>
      <c r="C599" s="76"/>
      <c r="D599" s="83"/>
      <c r="E599" s="10"/>
      <c r="F599" s="12"/>
      <c r="G599" s="12"/>
      <c r="H599" s="17"/>
      <c r="I599" s="48"/>
      <c r="J599" s="48"/>
      <c r="K599" s="12"/>
      <c r="L599" s="80"/>
      <c r="M599" s="80"/>
      <c r="N599" s="80"/>
      <c r="O599" s="80"/>
      <c r="P599" s="80"/>
      <c r="Q599" s="80"/>
      <c r="R599" s="80"/>
      <c r="S599" s="42"/>
    </row>
    <row r="600" hidden="1">
      <c r="A600" s="12"/>
      <c r="B600" s="12"/>
      <c r="C600" s="76"/>
      <c r="D600" s="83"/>
      <c r="E600" s="10"/>
      <c r="F600" s="12"/>
      <c r="G600" s="12"/>
      <c r="H600" s="17"/>
      <c r="I600" s="48"/>
      <c r="J600" s="48"/>
      <c r="K600" s="12"/>
      <c r="L600" s="80"/>
      <c r="M600" s="80"/>
      <c r="N600" s="80"/>
      <c r="O600" s="80"/>
      <c r="P600" s="80"/>
      <c r="Q600" s="80"/>
      <c r="R600" s="80"/>
      <c r="S600" s="42"/>
    </row>
    <row r="601" hidden="1">
      <c r="A601" s="12"/>
      <c r="B601" s="12"/>
      <c r="C601" s="76"/>
      <c r="D601" s="83"/>
      <c r="E601" s="10"/>
      <c r="F601" s="12"/>
      <c r="G601" s="12"/>
      <c r="H601" s="17"/>
      <c r="I601" s="48"/>
      <c r="J601" s="48"/>
      <c r="K601" s="12"/>
      <c r="L601" s="80"/>
      <c r="M601" s="80"/>
      <c r="N601" s="80"/>
      <c r="O601" s="80"/>
      <c r="P601" s="80"/>
      <c r="Q601" s="80"/>
      <c r="R601" s="80"/>
      <c r="S601" s="42"/>
    </row>
    <row r="602" hidden="1">
      <c r="A602" s="12"/>
      <c r="B602" s="12"/>
      <c r="C602" s="76"/>
      <c r="D602" s="83"/>
      <c r="E602" s="10"/>
      <c r="F602" s="12"/>
      <c r="G602" s="12"/>
      <c r="H602" s="17"/>
      <c r="I602" s="48"/>
      <c r="J602" s="48"/>
      <c r="K602" s="12"/>
      <c r="L602" s="80"/>
      <c r="M602" s="80"/>
      <c r="N602" s="80"/>
      <c r="O602" s="80"/>
      <c r="P602" s="80"/>
      <c r="Q602" s="80"/>
      <c r="R602" s="80"/>
      <c r="S602" s="42"/>
    </row>
    <row r="603" hidden="1">
      <c r="A603" s="12"/>
      <c r="B603" s="12"/>
      <c r="C603" s="76"/>
      <c r="D603" s="83"/>
      <c r="E603" s="10"/>
      <c r="F603" s="12"/>
      <c r="G603" s="12"/>
      <c r="H603" s="17"/>
      <c r="I603" s="48"/>
      <c r="J603" s="48"/>
      <c r="K603" s="12"/>
      <c r="L603" s="80"/>
      <c r="M603" s="80"/>
      <c r="N603" s="80"/>
      <c r="O603" s="80"/>
      <c r="P603" s="80"/>
      <c r="Q603" s="80"/>
      <c r="R603" s="80"/>
      <c r="S603" s="42"/>
    </row>
    <row r="604" hidden="1">
      <c r="A604" s="12"/>
      <c r="B604" s="12"/>
      <c r="C604" s="76"/>
      <c r="D604" s="83"/>
      <c r="E604" s="10"/>
      <c r="F604" s="12"/>
      <c r="G604" s="12"/>
      <c r="H604" s="17"/>
      <c r="I604" s="48"/>
      <c r="J604" s="48"/>
      <c r="K604" s="12"/>
      <c r="L604" s="80"/>
      <c r="M604" s="80"/>
      <c r="N604" s="80"/>
      <c r="O604" s="80"/>
      <c r="P604" s="80"/>
      <c r="Q604" s="80"/>
      <c r="R604" s="80"/>
      <c r="S604" s="42"/>
    </row>
    <row r="605" hidden="1">
      <c r="A605" s="12"/>
      <c r="B605" s="12"/>
      <c r="C605" s="76"/>
      <c r="D605" s="83"/>
      <c r="E605" s="10"/>
      <c r="F605" s="12"/>
      <c r="G605" s="12"/>
      <c r="H605" s="17"/>
      <c r="I605" s="48"/>
      <c r="J605" s="48"/>
      <c r="K605" s="12"/>
      <c r="L605" s="80"/>
      <c r="M605" s="80"/>
      <c r="N605" s="80"/>
      <c r="O605" s="80"/>
      <c r="P605" s="80"/>
      <c r="Q605" s="80"/>
      <c r="R605" s="80"/>
      <c r="S605" s="42"/>
    </row>
    <row r="606" hidden="1">
      <c r="A606" s="12"/>
      <c r="B606" s="12"/>
      <c r="C606" s="76"/>
      <c r="D606" s="83"/>
      <c r="E606" s="10"/>
      <c r="F606" s="12"/>
      <c r="G606" s="12"/>
      <c r="H606" s="17"/>
      <c r="I606" s="48"/>
      <c r="J606" s="48"/>
      <c r="K606" s="12"/>
      <c r="L606" s="80"/>
      <c r="M606" s="80"/>
      <c r="N606" s="80"/>
      <c r="O606" s="80"/>
      <c r="P606" s="80"/>
      <c r="Q606" s="80"/>
      <c r="R606" s="80"/>
      <c r="S606" s="42"/>
    </row>
    <row r="607" hidden="1">
      <c r="A607" s="12"/>
      <c r="B607" s="12"/>
      <c r="C607" s="76"/>
      <c r="D607" s="83"/>
      <c r="E607" s="10"/>
      <c r="F607" s="12"/>
      <c r="G607" s="12"/>
      <c r="H607" s="17"/>
      <c r="I607" s="48"/>
      <c r="J607" s="48"/>
      <c r="K607" s="12"/>
      <c r="L607" s="80"/>
      <c r="M607" s="80"/>
      <c r="N607" s="80"/>
      <c r="O607" s="80"/>
      <c r="P607" s="80"/>
      <c r="Q607" s="80"/>
      <c r="R607" s="80"/>
      <c r="S607" s="42"/>
    </row>
    <row r="608" hidden="1">
      <c r="A608" s="12"/>
      <c r="B608" s="12"/>
      <c r="C608" s="76"/>
      <c r="D608" s="83"/>
      <c r="E608" s="10"/>
      <c r="F608" s="12"/>
      <c r="G608" s="12"/>
      <c r="H608" s="17"/>
      <c r="I608" s="48"/>
      <c r="J608" s="48"/>
      <c r="K608" s="12"/>
      <c r="L608" s="80"/>
      <c r="M608" s="80"/>
      <c r="N608" s="80"/>
      <c r="O608" s="80"/>
      <c r="P608" s="80"/>
      <c r="Q608" s="80"/>
      <c r="R608" s="80"/>
      <c r="S608" s="42"/>
    </row>
    <row r="609" hidden="1">
      <c r="A609" s="12"/>
      <c r="B609" s="12"/>
      <c r="C609" s="76"/>
      <c r="D609" s="83"/>
      <c r="E609" s="10"/>
      <c r="F609" s="12"/>
      <c r="G609" s="12"/>
      <c r="H609" s="17"/>
      <c r="I609" s="48"/>
      <c r="J609" s="48"/>
      <c r="K609" s="12"/>
      <c r="L609" s="80"/>
      <c r="M609" s="80"/>
      <c r="N609" s="80"/>
      <c r="O609" s="80"/>
      <c r="P609" s="80"/>
      <c r="Q609" s="80"/>
      <c r="R609" s="80"/>
      <c r="S609" s="42"/>
    </row>
    <row r="610" hidden="1">
      <c r="A610" s="12"/>
      <c r="B610" s="12"/>
      <c r="C610" s="76"/>
      <c r="D610" s="83"/>
      <c r="E610" s="10"/>
      <c r="F610" s="12"/>
      <c r="G610" s="12"/>
      <c r="H610" s="17"/>
      <c r="I610" s="48"/>
      <c r="J610" s="48"/>
      <c r="K610" s="12"/>
      <c r="L610" s="80"/>
      <c r="M610" s="80"/>
      <c r="N610" s="80"/>
      <c r="O610" s="80"/>
      <c r="P610" s="80"/>
      <c r="Q610" s="80"/>
      <c r="R610" s="80"/>
      <c r="S610" s="42"/>
    </row>
    <row r="611" hidden="1">
      <c r="A611" s="12"/>
      <c r="B611" s="12"/>
      <c r="C611" s="76"/>
      <c r="D611" s="83"/>
      <c r="E611" s="10"/>
      <c r="F611" s="12"/>
      <c r="G611" s="12"/>
      <c r="H611" s="17"/>
      <c r="I611" s="48"/>
      <c r="J611" s="48"/>
      <c r="K611" s="12"/>
      <c r="L611" s="80"/>
      <c r="M611" s="80"/>
      <c r="N611" s="80"/>
      <c r="O611" s="80"/>
      <c r="P611" s="80"/>
      <c r="Q611" s="80"/>
      <c r="R611" s="80"/>
      <c r="S611" s="42"/>
    </row>
    <row r="612" hidden="1">
      <c r="A612" s="12"/>
      <c r="B612" s="12"/>
      <c r="C612" s="76"/>
      <c r="D612" s="83"/>
      <c r="E612" s="10"/>
      <c r="F612" s="12"/>
      <c r="G612" s="12"/>
      <c r="H612" s="17"/>
      <c r="I612" s="48"/>
      <c r="J612" s="48"/>
      <c r="K612" s="12"/>
      <c r="L612" s="80"/>
      <c r="M612" s="80"/>
      <c r="N612" s="80"/>
      <c r="O612" s="80"/>
      <c r="P612" s="80"/>
      <c r="Q612" s="80"/>
      <c r="R612" s="80"/>
      <c r="S612" s="42"/>
    </row>
    <row r="613" hidden="1">
      <c r="A613" s="12"/>
      <c r="B613" s="12"/>
      <c r="C613" s="76"/>
      <c r="D613" s="83"/>
      <c r="E613" s="10"/>
      <c r="F613" s="12"/>
      <c r="G613" s="12"/>
      <c r="H613" s="17"/>
      <c r="I613" s="48"/>
      <c r="J613" s="48"/>
      <c r="K613" s="12"/>
      <c r="L613" s="80"/>
      <c r="M613" s="80"/>
      <c r="N613" s="80"/>
      <c r="O613" s="80"/>
      <c r="P613" s="80"/>
      <c r="Q613" s="80"/>
      <c r="R613" s="80"/>
      <c r="S613" s="42"/>
    </row>
    <row r="614" hidden="1">
      <c r="A614" s="12"/>
      <c r="B614" s="12"/>
      <c r="C614" s="76"/>
      <c r="D614" s="83"/>
      <c r="E614" s="10"/>
      <c r="F614" s="12"/>
      <c r="G614" s="12"/>
      <c r="H614" s="17"/>
      <c r="I614" s="48"/>
      <c r="J614" s="48"/>
      <c r="K614" s="12"/>
      <c r="L614" s="80"/>
      <c r="M614" s="80"/>
      <c r="N614" s="80"/>
      <c r="O614" s="80"/>
      <c r="P614" s="80"/>
      <c r="Q614" s="80"/>
      <c r="R614" s="80"/>
      <c r="S614" s="42"/>
    </row>
    <row r="615" hidden="1">
      <c r="A615" s="12"/>
      <c r="B615" s="12"/>
      <c r="C615" s="76"/>
      <c r="D615" s="83"/>
      <c r="E615" s="10"/>
      <c r="F615" s="12"/>
      <c r="G615" s="12"/>
      <c r="H615" s="17"/>
      <c r="I615" s="48"/>
      <c r="J615" s="48"/>
      <c r="K615" s="12"/>
      <c r="L615" s="80"/>
      <c r="M615" s="80"/>
      <c r="N615" s="80"/>
      <c r="O615" s="80"/>
      <c r="P615" s="80"/>
      <c r="Q615" s="80"/>
      <c r="R615" s="80"/>
      <c r="S615" s="42"/>
    </row>
    <row r="616" hidden="1">
      <c r="A616" s="12"/>
      <c r="B616" s="12"/>
      <c r="C616" s="76"/>
      <c r="D616" s="83"/>
      <c r="E616" s="10"/>
      <c r="F616" s="12"/>
      <c r="G616" s="12"/>
      <c r="H616" s="17"/>
      <c r="I616" s="48"/>
      <c r="J616" s="48"/>
      <c r="K616" s="12"/>
      <c r="L616" s="80"/>
      <c r="M616" s="80"/>
      <c r="N616" s="80"/>
      <c r="O616" s="80"/>
      <c r="P616" s="80"/>
      <c r="Q616" s="80"/>
      <c r="R616" s="80"/>
      <c r="S616" s="42"/>
    </row>
    <row r="617" hidden="1">
      <c r="A617" s="12"/>
      <c r="B617" s="12"/>
      <c r="C617" s="76"/>
      <c r="D617" s="83"/>
      <c r="E617" s="10"/>
      <c r="F617" s="12"/>
      <c r="G617" s="12"/>
      <c r="H617" s="17"/>
      <c r="I617" s="48"/>
      <c r="J617" s="48"/>
      <c r="K617" s="12"/>
      <c r="L617" s="80"/>
      <c r="M617" s="80"/>
      <c r="N617" s="80"/>
      <c r="O617" s="80"/>
      <c r="P617" s="80"/>
      <c r="Q617" s="80"/>
      <c r="R617" s="80"/>
      <c r="S617" s="42"/>
    </row>
    <row r="618" hidden="1">
      <c r="A618" s="12"/>
      <c r="B618" s="12"/>
      <c r="C618" s="76"/>
      <c r="D618" s="83"/>
      <c r="E618" s="10"/>
      <c r="F618" s="12"/>
      <c r="G618" s="12"/>
      <c r="H618" s="17"/>
      <c r="I618" s="48"/>
      <c r="J618" s="48"/>
      <c r="K618" s="12"/>
      <c r="L618" s="80"/>
      <c r="M618" s="80"/>
      <c r="N618" s="80"/>
      <c r="O618" s="80"/>
      <c r="P618" s="80"/>
      <c r="Q618" s="80"/>
      <c r="R618" s="80"/>
      <c r="S618" s="42"/>
    </row>
    <row r="619" hidden="1">
      <c r="A619" s="12"/>
      <c r="B619" s="12"/>
      <c r="C619" s="76"/>
      <c r="D619" s="83"/>
      <c r="E619" s="10"/>
      <c r="F619" s="12"/>
      <c r="G619" s="12"/>
      <c r="H619" s="17"/>
      <c r="I619" s="48"/>
      <c r="J619" s="48"/>
      <c r="K619" s="12"/>
      <c r="L619" s="80"/>
      <c r="M619" s="80"/>
      <c r="N619" s="80"/>
      <c r="O619" s="80"/>
      <c r="P619" s="80"/>
      <c r="Q619" s="80"/>
      <c r="R619" s="80"/>
      <c r="S619" s="42"/>
    </row>
    <row r="620" hidden="1">
      <c r="A620" s="12"/>
      <c r="B620" s="12"/>
      <c r="C620" s="76"/>
      <c r="D620" s="83"/>
      <c r="E620" s="10"/>
      <c r="F620" s="12"/>
      <c r="G620" s="12"/>
      <c r="H620" s="17"/>
      <c r="I620" s="48"/>
      <c r="J620" s="48"/>
      <c r="K620" s="12"/>
      <c r="L620" s="80"/>
      <c r="M620" s="80"/>
      <c r="N620" s="80"/>
      <c r="O620" s="80"/>
      <c r="P620" s="80"/>
      <c r="Q620" s="80"/>
      <c r="R620" s="80"/>
      <c r="S620" s="42"/>
    </row>
    <row r="621" hidden="1">
      <c r="A621" s="12"/>
      <c r="B621" s="12"/>
      <c r="C621" s="76"/>
      <c r="D621" s="83"/>
      <c r="E621" s="10"/>
      <c r="F621" s="12"/>
      <c r="G621" s="12"/>
      <c r="H621" s="17"/>
      <c r="I621" s="48"/>
      <c r="J621" s="48"/>
      <c r="K621" s="12"/>
      <c r="L621" s="80"/>
      <c r="M621" s="80"/>
      <c r="N621" s="80"/>
      <c r="O621" s="80"/>
      <c r="P621" s="80"/>
      <c r="Q621" s="80"/>
      <c r="R621" s="80"/>
      <c r="S621" s="42"/>
    </row>
    <row r="622" hidden="1">
      <c r="A622" s="12"/>
      <c r="B622" s="12"/>
      <c r="C622" s="76"/>
      <c r="D622" s="83"/>
      <c r="E622" s="10"/>
      <c r="F622" s="12"/>
      <c r="G622" s="12"/>
      <c r="H622" s="17"/>
      <c r="I622" s="48"/>
      <c r="J622" s="48"/>
      <c r="K622" s="12"/>
      <c r="L622" s="80"/>
      <c r="M622" s="80"/>
      <c r="N622" s="80"/>
      <c r="O622" s="80"/>
      <c r="P622" s="80"/>
      <c r="Q622" s="80"/>
      <c r="R622" s="80"/>
      <c r="S622" s="42"/>
    </row>
    <row r="623" hidden="1">
      <c r="A623" s="12"/>
      <c r="B623" s="12"/>
      <c r="C623" s="76"/>
      <c r="D623" s="83"/>
      <c r="E623" s="10"/>
      <c r="F623" s="12"/>
      <c r="G623" s="12"/>
      <c r="H623" s="17"/>
      <c r="I623" s="48"/>
      <c r="J623" s="48"/>
      <c r="K623" s="12"/>
      <c r="L623" s="80"/>
      <c r="M623" s="80"/>
      <c r="N623" s="80"/>
      <c r="O623" s="80"/>
      <c r="P623" s="80"/>
      <c r="Q623" s="80"/>
      <c r="R623" s="80"/>
      <c r="S623" s="42"/>
    </row>
    <row r="624" hidden="1">
      <c r="A624" s="12"/>
      <c r="B624" s="12"/>
      <c r="C624" s="76"/>
      <c r="D624" s="83"/>
      <c r="E624" s="10"/>
      <c r="F624" s="12"/>
      <c r="G624" s="12"/>
      <c r="H624" s="17"/>
      <c r="I624" s="48"/>
      <c r="J624" s="48"/>
      <c r="K624" s="12"/>
      <c r="L624" s="80"/>
      <c r="M624" s="80"/>
      <c r="N624" s="80"/>
      <c r="O624" s="80"/>
      <c r="P624" s="80"/>
      <c r="Q624" s="80"/>
      <c r="R624" s="80"/>
      <c r="S624" s="42"/>
    </row>
    <row r="625" hidden="1">
      <c r="A625" s="12"/>
      <c r="B625" s="12"/>
      <c r="C625" s="76"/>
      <c r="D625" s="83"/>
      <c r="E625" s="10"/>
      <c r="F625" s="12"/>
      <c r="G625" s="12"/>
      <c r="H625" s="17"/>
      <c r="I625" s="48"/>
      <c r="J625" s="48"/>
      <c r="K625" s="12"/>
      <c r="L625" s="80"/>
      <c r="M625" s="80"/>
      <c r="N625" s="80"/>
      <c r="O625" s="80"/>
      <c r="P625" s="80"/>
      <c r="Q625" s="80"/>
      <c r="R625" s="80"/>
      <c r="S625" s="42"/>
    </row>
    <row r="626" hidden="1">
      <c r="A626" s="12"/>
      <c r="B626" s="12"/>
      <c r="C626" s="76"/>
      <c r="D626" s="83"/>
      <c r="E626" s="10"/>
      <c r="F626" s="12"/>
      <c r="G626" s="12"/>
      <c r="H626" s="17"/>
      <c r="I626" s="48"/>
      <c r="J626" s="48"/>
      <c r="K626" s="12"/>
      <c r="L626" s="80"/>
      <c r="M626" s="80"/>
      <c r="N626" s="80"/>
      <c r="O626" s="80"/>
      <c r="P626" s="80"/>
      <c r="Q626" s="80"/>
      <c r="R626" s="80"/>
      <c r="S626" s="42"/>
    </row>
    <row r="627" hidden="1">
      <c r="A627" s="12"/>
      <c r="B627" s="12"/>
      <c r="C627" s="76"/>
      <c r="D627" s="83"/>
      <c r="E627" s="10"/>
      <c r="F627" s="12"/>
      <c r="G627" s="12"/>
      <c r="H627" s="17"/>
      <c r="I627" s="48"/>
      <c r="J627" s="48"/>
      <c r="K627" s="12"/>
      <c r="L627" s="80"/>
      <c r="M627" s="80"/>
      <c r="N627" s="80"/>
      <c r="O627" s="80"/>
      <c r="P627" s="80"/>
      <c r="Q627" s="80"/>
      <c r="R627" s="80"/>
      <c r="S627" s="42"/>
    </row>
    <row r="628" hidden="1">
      <c r="A628" s="12"/>
      <c r="B628" s="12"/>
      <c r="C628" s="76"/>
      <c r="D628" s="83"/>
      <c r="E628" s="10"/>
      <c r="F628" s="12"/>
      <c r="G628" s="12"/>
      <c r="H628" s="17"/>
      <c r="I628" s="48"/>
      <c r="J628" s="48"/>
      <c r="K628" s="12"/>
      <c r="L628" s="80"/>
      <c r="M628" s="80"/>
      <c r="N628" s="80"/>
      <c r="O628" s="80"/>
      <c r="P628" s="80"/>
      <c r="Q628" s="80"/>
      <c r="R628" s="80"/>
      <c r="S628" s="42"/>
    </row>
    <row r="629" hidden="1">
      <c r="A629" s="12"/>
      <c r="B629" s="12"/>
      <c r="C629" s="76"/>
      <c r="D629" s="83"/>
      <c r="E629" s="10"/>
      <c r="F629" s="12"/>
      <c r="G629" s="12"/>
      <c r="H629" s="17"/>
      <c r="I629" s="48"/>
      <c r="J629" s="48"/>
      <c r="K629" s="12"/>
      <c r="L629" s="80"/>
      <c r="M629" s="80"/>
      <c r="N629" s="80"/>
      <c r="O629" s="80"/>
      <c r="P629" s="80"/>
      <c r="Q629" s="80"/>
      <c r="R629" s="80"/>
      <c r="S629" s="42"/>
    </row>
    <row r="630" hidden="1">
      <c r="A630" s="12"/>
      <c r="B630" s="12"/>
      <c r="C630" s="76"/>
      <c r="D630" s="83"/>
      <c r="E630" s="10"/>
      <c r="F630" s="12"/>
      <c r="G630" s="12"/>
      <c r="H630" s="17"/>
      <c r="I630" s="48"/>
      <c r="J630" s="48"/>
      <c r="K630" s="12"/>
      <c r="L630" s="80"/>
      <c r="M630" s="80"/>
      <c r="N630" s="80"/>
      <c r="O630" s="80"/>
      <c r="P630" s="80"/>
      <c r="Q630" s="80"/>
      <c r="R630" s="80"/>
      <c r="S630" s="42"/>
    </row>
    <row r="631" hidden="1">
      <c r="A631" s="12"/>
      <c r="B631" s="12"/>
      <c r="C631" s="76"/>
      <c r="D631" s="83"/>
      <c r="E631" s="10"/>
      <c r="F631" s="12"/>
      <c r="G631" s="12"/>
      <c r="H631" s="17"/>
      <c r="I631" s="48"/>
      <c r="J631" s="48"/>
      <c r="K631" s="12"/>
      <c r="L631" s="80"/>
      <c r="M631" s="80"/>
      <c r="N631" s="80"/>
      <c r="O631" s="80"/>
      <c r="P631" s="80"/>
      <c r="Q631" s="80"/>
      <c r="R631" s="80"/>
      <c r="S631" s="42"/>
    </row>
    <row r="632" hidden="1">
      <c r="A632" s="12"/>
      <c r="B632" s="12"/>
      <c r="C632" s="76"/>
      <c r="D632" s="83"/>
      <c r="E632" s="10"/>
      <c r="F632" s="12"/>
      <c r="G632" s="12"/>
      <c r="H632" s="17"/>
      <c r="I632" s="48"/>
      <c r="J632" s="48"/>
      <c r="K632" s="12"/>
      <c r="L632" s="80"/>
      <c r="M632" s="80"/>
      <c r="N632" s="80"/>
      <c r="O632" s="80"/>
      <c r="P632" s="80"/>
      <c r="Q632" s="80"/>
      <c r="R632" s="80"/>
      <c r="S632" s="42"/>
    </row>
    <row r="633" hidden="1">
      <c r="A633" s="12"/>
      <c r="B633" s="12"/>
      <c r="C633" s="76"/>
      <c r="D633" s="83"/>
      <c r="E633" s="10"/>
      <c r="F633" s="12"/>
      <c r="G633" s="12"/>
      <c r="H633" s="17"/>
      <c r="I633" s="48"/>
      <c r="J633" s="48"/>
      <c r="K633" s="12"/>
      <c r="L633" s="80"/>
      <c r="M633" s="80"/>
      <c r="N633" s="80"/>
      <c r="O633" s="80"/>
      <c r="P633" s="80"/>
      <c r="Q633" s="80"/>
      <c r="R633" s="80"/>
      <c r="S633" s="42"/>
    </row>
    <row r="634" hidden="1">
      <c r="A634" s="12"/>
      <c r="B634" s="12"/>
      <c r="C634" s="76"/>
      <c r="D634" s="83"/>
      <c r="E634" s="10"/>
      <c r="F634" s="12"/>
      <c r="G634" s="12"/>
      <c r="H634" s="17"/>
      <c r="I634" s="48"/>
      <c r="J634" s="48"/>
      <c r="K634" s="12"/>
      <c r="L634" s="80"/>
      <c r="M634" s="80"/>
      <c r="N634" s="80"/>
      <c r="O634" s="80"/>
      <c r="P634" s="80"/>
      <c r="Q634" s="80"/>
      <c r="R634" s="80"/>
      <c r="S634" s="42"/>
    </row>
    <row r="635" hidden="1">
      <c r="A635" s="12"/>
      <c r="B635" s="12"/>
      <c r="C635" s="76"/>
      <c r="D635" s="83"/>
      <c r="E635" s="10"/>
      <c r="F635" s="12"/>
      <c r="G635" s="12"/>
      <c r="H635" s="17"/>
      <c r="I635" s="48"/>
      <c r="J635" s="48"/>
      <c r="K635" s="12"/>
      <c r="L635" s="80"/>
      <c r="M635" s="80"/>
      <c r="N635" s="80"/>
      <c r="O635" s="80"/>
      <c r="P635" s="80"/>
      <c r="Q635" s="80"/>
      <c r="R635" s="80"/>
      <c r="S635" s="42"/>
    </row>
    <row r="636" hidden="1">
      <c r="A636" s="12"/>
      <c r="B636" s="12"/>
      <c r="C636" s="76"/>
      <c r="D636" s="83"/>
      <c r="E636" s="10"/>
      <c r="F636" s="12"/>
      <c r="G636" s="12"/>
      <c r="H636" s="17"/>
      <c r="I636" s="48"/>
      <c r="J636" s="48"/>
      <c r="K636" s="12"/>
      <c r="L636" s="80"/>
      <c r="M636" s="80"/>
      <c r="N636" s="80"/>
      <c r="O636" s="80"/>
      <c r="P636" s="80"/>
      <c r="Q636" s="80"/>
      <c r="R636" s="80"/>
      <c r="S636" s="42"/>
    </row>
    <row r="637" hidden="1">
      <c r="A637" s="12"/>
      <c r="B637" s="12"/>
      <c r="C637" s="76"/>
      <c r="D637" s="83"/>
      <c r="E637" s="10"/>
      <c r="F637" s="12"/>
      <c r="G637" s="12"/>
      <c r="H637" s="17"/>
      <c r="I637" s="48"/>
      <c r="J637" s="48"/>
      <c r="K637" s="12"/>
      <c r="L637" s="80"/>
      <c r="M637" s="80"/>
      <c r="N637" s="80"/>
      <c r="O637" s="80"/>
      <c r="P637" s="80"/>
      <c r="Q637" s="80"/>
      <c r="R637" s="80"/>
      <c r="S637" s="42"/>
    </row>
    <row r="638" hidden="1">
      <c r="A638" s="12"/>
      <c r="B638" s="12"/>
      <c r="C638" s="76"/>
      <c r="D638" s="83"/>
      <c r="E638" s="10"/>
      <c r="F638" s="12"/>
      <c r="G638" s="12"/>
      <c r="H638" s="17"/>
      <c r="I638" s="48"/>
      <c r="J638" s="48"/>
      <c r="K638" s="12"/>
      <c r="L638" s="80"/>
      <c r="M638" s="80"/>
      <c r="N638" s="80"/>
      <c r="O638" s="80"/>
      <c r="P638" s="80"/>
      <c r="Q638" s="80"/>
      <c r="R638" s="80"/>
      <c r="S638" s="42"/>
    </row>
    <row r="639" hidden="1">
      <c r="A639" s="12"/>
      <c r="B639" s="12"/>
      <c r="C639" s="76"/>
      <c r="D639" s="83"/>
      <c r="E639" s="10"/>
      <c r="F639" s="12"/>
      <c r="G639" s="12"/>
      <c r="H639" s="17"/>
      <c r="I639" s="48"/>
      <c r="J639" s="48"/>
      <c r="K639" s="12"/>
      <c r="L639" s="80"/>
      <c r="M639" s="80"/>
      <c r="N639" s="80"/>
      <c r="O639" s="80"/>
      <c r="P639" s="80"/>
      <c r="Q639" s="80"/>
      <c r="R639" s="80"/>
      <c r="S639" s="42"/>
    </row>
    <row r="640" hidden="1">
      <c r="A640" s="12"/>
      <c r="B640" s="12"/>
      <c r="C640" s="76"/>
      <c r="D640" s="83"/>
      <c r="E640" s="10"/>
      <c r="F640" s="12"/>
      <c r="G640" s="12"/>
      <c r="H640" s="17"/>
      <c r="I640" s="48"/>
      <c r="J640" s="48"/>
      <c r="K640" s="12"/>
      <c r="L640" s="80"/>
      <c r="M640" s="80"/>
      <c r="N640" s="80"/>
      <c r="O640" s="80"/>
      <c r="P640" s="80"/>
      <c r="Q640" s="80"/>
      <c r="R640" s="80"/>
      <c r="S640" s="42"/>
    </row>
    <row r="641" hidden="1">
      <c r="A641" s="12"/>
      <c r="B641" s="12"/>
      <c r="C641" s="76"/>
      <c r="D641" s="83"/>
      <c r="E641" s="10"/>
      <c r="F641" s="12"/>
      <c r="G641" s="12"/>
      <c r="H641" s="17"/>
      <c r="I641" s="48"/>
      <c r="J641" s="48"/>
      <c r="K641" s="12"/>
      <c r="L641" s="80"/>
      <c r="M641" s="80"/>
      <c r="N641" s="80"/>
      <c r="O641" s="80"/>
      <c r="P641" s="80"/>
      <c r="Q641" s="80"/>
      <c r="R641" s="80"/>
      <c r="S641" s="42"/>
    </row>
    <row r="642" hidden="1">
      <c r="A642" s="12"/>
      <c r="B642" s="12"/>
      <c r="C642" s="76"/>
      <c r="D642" s="83"/>
      <c r="E642" s="10"/>
      <c r="F642" s="12"/>
      <c r="G642" s="12"/>
      <c r="H642" s="17"/>
      <c r="I642" s="48"/>
      <c r="J642" s="48"/>
      <c r="K642" s="12"/>
      <c r="L642" s="80"/>
      <c r="M642" s="80"/>
      <c r="N642" s="80"/>
      <c r="O642" s="80"/>
      <c r="P642" s="80"/>
      <c r="Q642" s="80"/>
      <c r="R642" s="80"/>
      <c r="S642" s="42"/>
    </row>
    <row r="643" hidden="1">
      <c r="A643" s="12"/>
      <c r="B643" s="12"/>
      <c r="C643" s="76"/>
      <c r="D643" s="83"/>
      <c r="E643" s="10"/>
      <c r="F643" s="12"/>
      <c r="G643" s="12"/>
      <c r="H643" s="17"/>
      <c r="I643" s="48"/>
      <c r="J643" s="48"/>
      <c r="K643" s="12"/>
      <c r="L643" s="80"/>
      <c r="M643" s="80"/>
      <c r="N643" s="80"/>
      <c r="O643" s="80"/>
      <c r="P643" s="80"/>
      <c r="Q643" s="80"/>
      <c r="R643" s="80"/>
      <c r="S643" s="42"/>
    </row>
    <row r="644" hidden="1">
      <c r="A644" s="12"/>
      <c r="B644" s="12"/>
      <c r="C644" s="76"/>
      <c r="D644" s="83"/>
      <c r="E644" s="10"/>
      <c r="F644" s="12"/>
      <c r="G644" s="12"/>
      <c r="H644" s="17"/>
      <c r="I644" s="48"/>
      <c r="J644" s="48"/>
      <c r="K644" s="12"/>
      <c r="L644" s="80"/>
      <c r="M644" s="80"/>
      <c r="N644" s="80"/>
      <c r="O644" s="80"/>
      <c r="P644" s="80"/>
      <c r="Q644" s="80"/>
      <c r="R644" s="80"/>
      <c r="S644" s="42"/>
    </row>
    <row r="645" hidden="1">
      <c r="A645" s="12"/>
      <c r="B645" s="12"/>
      <c r="C645" s="76"/>
      <c r="D645" s="83"/>
      <c r="E645" s="10"/>
      <c r="F645" s="12"/>
      <c r="G645" s="12"/>
      <c r="H645" s="17"/>
      <c r="I645" s="48"/>
      <c r="J645" s="48"/>
      <c r="K645" s="12"/>
      <c r="L645" s="80"/>
      <c r="M645" s="80"/>
      <c r="N645" s="80"/>
      <c r="O645" s="80"/>
      <c r="P645" s="80"/>
      <c r="Q645" s="80"/>
      <c r="R645" s="80"/>
      <c r="S645" s="42"/>
    </row>
    <row r="646" hidden="1">
      <c r="A646" s="12"/>
      <c r="B646" s="12"/>
      <c r="C646" s="76"/>
      <c r="D646" s="83"/>
      <c r="E646" s="10"/>
      <c r="F646" s="12"/>
      <c r="G646" s="12"/>
      <c r="H646" s="17"/>
      <c r="I646" s="48"/>
      <c r="J646" s="48"/>
      <c r="K646" s="12"/>
      <c r="L646" s="80"/>
      <c r="M646" s="80"/>
      <c r="N646" s="80"/>
      <c r="O646" s="80"/>
      <c r="P646" s="80"/>
      <c r="Q646" s="80"/>
      <c r="R646" s="80"/>
      <c r="S646" s="42"/>
    </row>
    <row r="647" hidden="1">
      <c r="A647" s="12"/>
      <c r="B647" s="12"/>
      <c r="C647" s="76"/>
      <c r="D647" s="83"/>
      <c r="E647" s="10"/>
      <c r="F647" s="12"/>
      <c r="G647" s="12"/>
      <c r="H647" s="17"/>
      <c r="I647" s="48"/>
      <c r="J647" s="48"/>
      <c r="K647" s="12"/>
      <c r="L647" s="80"/>
      <c r="M647" s="80"/>
      <c r="N647" s="80"/>
      <c r="O647" s="80"/>
      <c r="P647" s="80"/>
      <c r="Q647" s="80"/>
      <c r="R647" s="80"/>
      <c r="S647" s="42"/>
    </row>
    <row r="648" hidden="1">
      <c r="A648" s="12"/>
      <c r="B648" s="12"/>
      <c r="C648" s="76"/>
      <c r="D648" s="83"/>
      <c r="E648" s="10"/>
      <c r="F648" s="12"/>
      <c r="G648" s="12"/>
      <c r="H648" s="17"/>
      <c r="I648" s="48"/>
      <c r="J648" s="48"/>
      <c r="K648" s="12"/>
      <c r="L648" s="80"/>
      <c r="M648" s="80"/>
      <c r="N648" s="80"/>
      <c r="O648" s="80"/>
      <c r="P648" s="80"/>
      <c r="Q648" s="80"/>
      <c r="R648" s="80"/>
      <c r="S648" s="42"/>
    </row>
    <row r="649" hidden="1">
      <c r="A649" s="12"/>
      <c r="B649" s="12"/>
      <c r="C649" s="76"/>
      <c r="D649" s="83"/>
      <c r="E649" s="10"/>
      <c r="F649" s="12"/>
      <c r="G649" s="12"/>
      <c r="H649" s="17"/>
      <c r="I649" s="48"/>
      <c r="J649" s="48"/>
      <c r="K649" s="12"/>
      <c r="L649" s="80"/>
      <c r="M649" s="80"/>
      <c r="N649" s="80"/>
      <c r="O649" s="80"/>
      <c r="P649" s="80"/>
      <c r="Q649" s="80"/>
      <c r="R649" s="80"/>
      <c r="S649" s="42"/>
    </row>
    <row r="650" hidden="1">
      <c r="A650" s="12"/>
      <c r="B650" s="12"/>
      <c r="C650" s="76"/>
      <c r="D650" s="83"/>
      <c r="E650" s="10"/>
      <c r="F650" s="12"/>
      <c r="G650" s="12"/>
      <c r="H650" s="17"/>
      <c r="I650" s="48"/>
      <c r="J650" s="48"/>
      <c r="K650" s="12"/>
      <c r="L650" s="80"/>
      <c r="M650" s="80"/>
      <c r="N650" s="80"/>
      <c r="O650" s="80"/>
      <c r="P650" s="80"/>
      <c r="Q650" s="80"/>
      <c r="R650" s="80"/>
      <c r="S650" s="42"/>
    </row>
    <row r="651" hidden="1">
      <c r="A651" s="12"/>
      <c r="B651" s="12"/>
      <c r="C651" s="76"/>
      <c r="D651" s="83"/>
      <c r="E651" s="10"/>
      <c r="F651" s="12"/>
      <c r="G651" s="12"/>
      <c r="H651" s="17"/>
      <c r="I651" s="48"/>
      <c r="J651" s="48"/>
      <c r="K651" s="12"/>
      <c r="L651" s="80"/>
      <c r="M651" s="80"/>
      <c r="N651" s="80"/>
      <c r="O651" s="80"/>
      <c r="P651" s="80"/>
      <c r="Q651" s="80"/>
      <c r="R651" s="80"/>
      <c r="S651" s="42"/>
    </row>
    <row r="652" hidden="1">
      <c r="A652" s="12"/>
      <c r="B652" s="12"/>
      <c r="C652" s="76"/>
      <c r="D652" s="83"/>
      <c r="E652" s="10"/>
      <c r="F652" s="12"/>
      <c r="G652" s="12"/>
      <c r="H652" s="17"/>
      <c r="I652" s="48"/>
      <c r="J652" s="48"/>
      <c r="K652" s="12"/>
      <c r="L652" s="80"/>
      <c r="M652" s="80"/>
      <c r="N652" s="80"/>
      <c r="O652" s="80"/>
      <c r="P652" s="80"/>
      <c r="Q652" s="80"/>
      <c r="R652" s="80"/>
      <c r="S652" s="42"/>
    </row>
    <row r="653" hidden="1">
      <c r="A653" s="12"/>
      <c r="B653" s="12"/>
      <c r="C653" s="76"/>
      <c r="D653" s="83"/>
      <c r="E653" s="10"/>
      <c r="F653" s="12"/>
      <c r="G653" s="12"/>
      <c r="H653" s="17"/>
      <c r="I653" s="48"/>
      <c r="J653" s="48"/>
      <c r="K653" s="12"/>
      <c r="L653" s="80"/>
      <c r="M653" s="80"/>
      <c r="N653" s="80"/>
      <c r="O653" s="80"/>
      <c r="P653" s="80"/>
      <c r="Q653" s="80"/>
      <c r="R653" s="80"/>
      <c r="S653" s="42"/>
    </row>
    <row r="654" hidden="1">
      <c r="A654" s="12"/>
      <c r="B654" s="12"/>
      <c r="C654" s="76"/>
      <c r="D654" s="83"/>
      <c r="E654" s="10"/>
      <c r="F654" s="12"/>
      <c r="G654" s="12"/>
      <c r="H654" s="17"/>
      <c r="I654" s="48"/>
      <c r="J654" s="48"/>
      <c r="K654" s="12"/>
      <c r="L654" s="80"/>
      <c r="M654" s="80"/>
      <c r="N654" s="80"/>
      <c r="O654" s="80"/>
      <c r="P654" s="80"/>
      <c r="Q654" s="80"/>
      <c r="R654" s="80"/>
      <c r="S654" s="42"/>
    </row>
    <row r="655" hidden="1">
      <c r="A655" s="12"/>
      <c r="B655" s="12"/>
      <c r="C655" s="76"/>
      <c r="D655" s="83"/>
      <c r="E655" s="10"/>
      <c r="F655" s="12"/>
      <c r="G655" s="12"/>
      <c r="H655" s="17"/>
      <c r="I655" s="48"/>
      <c r="J655" s="48"/>
      <c r="K655" s="12"/>
      <c r="L655" s="80"/>
      <c r="M655" s="80"/>
      <c r="N655" s="80"/>
      <c r="O655" s="80"/>
      <c r="P655" s="80"/>
      <c r="Q655" s="80"/>
      <c r="R655" s="80"/>
      <c r="S655" s="42"/>
    </row>
    <row r="656" hidden="1">
      <c r="A656" s="12"/>
      <c r="B656" s="12"/>
      <c r="C656" s="76"/>
      <c r="D656" s="83"/>
      <c r="E656" s="10"/>
      <c r="F656" s="12"/>
      <c r="G656" s="12"/>
      <c r="H656" s="17"/>
      <c r="I656" s="48"/>
      <c r="J656" s="48"/>
      <c r="K656" s="12"/>
      <c r="L656" s="80"/>
      <c r="M656" s="80"/>
      <c r="N656" s="80"/>
      <c r="O656" s="80"/>
      <c r="P656" s="80"/>
      <c r="Q656" s="80"/>
      <c r="R656" s="80"/>
      <c r="S656" s="42"/>
    </row>
    <row r="657" hidden="1">
      <c r="A657" s="12"/>
      <c r="B657" s="12"/>
      <c r="C657" s="76"/>
      <c r="D657" s="83"/>
      <c r="E657" s="10"/>
      <c r="F657" s="12"/>
      <c r="G657" s="12"/>
      <c r="H657" s="17"/>
      <c r="I657" s="48"/>
      <c r="J657" s="48"/>
      <c r="K657" s="12"/>
      <c r="L657" s="80"/>
      <c r="M657" s="80"/>
      <c r="N657" s="80"/>
      <c r="O657" s="80"/>
      <c r="P657" s="80"/>
      <c r="Q657" s="80"/>
      <c r="R657" s="80"/>
      <c r="S657" s="42"/>
    </row>
    <row r="658" hidden="1">
      <c r="A658" s="12"/>
      <c r="B658" s="12"/>
      <c r="C658" s="76"/>
      <c r="D658" s="83"/>
      <c r="E658" s="10"/>
      <c r="F658" s="12"/>
      <c r="G658" s="12"/>
      <c r="H658" s="17"/>
      <c r="I658" s="48"/>
      <c r="J658" s="48"/>
      <c r="K658" s="12"/>
      <c r="L658" s="80"/>
      <c r="M658" s="80"/>
      <c r="N658" s="80"/>
      <c r="O658" s="80"/>
      <c r="P658" s="80"/>
      <c r="Q658" s="80"/>
      <c r="R658" s="80"/>
      <c r="S658" s="42"/>
    </row>
    <row r="659" hidden="1">
      <c r="A659" s="12"/>
      <c r="B659" s="12"/>
      <c r="C659" s="76"/>
      <c r="D659" s="83"/>
      <c r="E659" s="10"/>
      <c r="F659" s="12"/>
      <c r="G659" s="12"/>
      <c r="H659" s="17"/>
      <c r="I659" s="48"/>
      <c r="J659" s="48"/>
      <c r="K659" s="12"/>
      <c r="L659" s="80"/>
      <c r="M659" s="80"/>
      <c r="N659" s="80"/>
      <c r="O659" s="80"/>
      <c r="P659" s="80"/>
      <c r="Q659" s="80"/>
      <c r="R659" s="80"/>
      <c r="S659" s="42"/>
    </row>
    <row r="660" hidden="1">
      <c r="A660" s="12"/>
      <c r="B660" s="12"/>
      <c r="C660" s="76"/>
      <c r="D660" s="83"/>
      <c r="E660" s="10"/>
      <c r="F660" s="12"/>
      <c r="G660" s="12"/>
      <c r="H660" s="17"/>
      <c r="I660" s="48"/>
      <c r="J660" s="48"/>
      <c r="K660" s="12"/>
      <c r="L660" s="80"/>
      <c r="M660" s="80"/>
      <c r="N660" s="80"/>
      <c r="O660" s="80"/>
      <c r="P660" s="80"/>
      <c r="Q660" s="80"/>
      <c r="R660" s="80"/>
      <c r="S660" s="42"/>
    </row>
    <row r="661" hidden="1">
      <c r="A661" s="12"/>
      <c r="B661" s="12"/>
      <c r="C661" s="76"/>
      <c r="D661" s="83"/>
      <c r="E661" s="10"/>
      <c r="F661" s="12"/>
      <c r="G661" s="12"/>
      <c r="H661" s="17"/>
      <c r="I661" s="48"/>
      <c r="J661" s="48"/>
      <c r="K661" s="12"/>
      <c r="L661" s="80"/>
      <c r="M661" s="80"/>
      <c r="N661" s="80"/>
      <c r="O661" s="80"/>
      <c r="P661" s="80"/>
      <c r="Q661" s="80"/>
      <c r="R661" s="80"/>
      <c r="S661" s="42"/>
    </row>
    <row r="662" hidden="1">
      <c r="A662" s="12"/>
      <c r="B662" s="12"/>
      <c r="C662" s="76"/>
      <c r="D662" s="83"/>
      <c r="E662" s="10"/>
      <c r="F662" s="12"/>
      <c r="G662" s="12"/>
      <c r="H662" s="17"/>
      <c r="I662" s="48"/>
      <c r="J662" s="48"/>
      <c r="K662" s="12"/>
      <c r="L662" s="80"/>
      <c r="M662" s="80"/>
      <c r="N662" s="80"/>
      <c r="O662" s="80"/>
      <c r="P662" s="80"/>
      <c r="Q662" s="80"/>
      <c r="R662" s="80"/>
      <c r="S662" s="42"/>
    </row>
    <row r="663" hidden="1">
      <c r="A663" s="12"/>
      <c r="B663" s="12"/>
      <c r="C663" s="76"/>
      <c r="D663" s="83"/>
      <c r="E663" s="10"/>
      <c r="F663" s="12"/>
      <c r="G663" s="12"/>
      <c r="H663" s="17"/>
      <c r="I663" s="48"/>
      <c r="J663" s="48"/>
      <c r="K663" s="12"/>
      <c r="L663" s="80"/>
      <c r="M663" s="80"/>
      <c r="N663" s="80"/>
      <c r="O663" s="80"/>
      <c r="P663" s="80"/>
      <c r="Q663" s="80"/>
      <c r="R663" s="80"/>
      <c r="S663" s="42"/>
    </row>
    <row r="664" hidden="1">
      <c r="A664" s="12"/>
      <c r="B664" s="12"/>
      <c r="C664" s="76"/>
      <c r="D664" s="83"/>
      <c r="E664" s="10"/>
      <c r="F664" s="12"/>
      <c r="G664" s="12"/>
      <c r="H664" s="17"/>
      <c r="I664" s="48"/>
      <c r="J664" s="48"/>
      <c r="K664" s="12"/>
      <c r="L664" s="80"/>
      <c r="M664" s="80"/>
      <c r="N664" s="80"/>
      <c r="O664" s="80"/>
      <c r="P664" s="80"/>
      <c r="Q664" s="80"/>
      <c r="R664" s="80"/>
      <c r="S664" s="42"/>
    </row>
    <row r="665" hidden="1">
      <c r="A665" s="12"/>
      <c r="B665" s="12"/>
      <c r="C665" s="76"/>
      <c r="D665" s="83"/>
      <c r="E665" s="10"/>
      <c r="F665" s="12"/>
      <c r="G665" s="12"/>
      <c r="H665" s="17"/>
      <c r="I665" s="48"/>
      <c r="J665" s="48"/>
      <c r="K665" s="12"/>
      <c r="L665" s="80"/>
      <c r="M665" s="80"/>
      <c r="N665" s="80"/>
      <c r="O665" s="80"/>
      <c r="P665" s="80"/>
      <c r="Q665" s="80"/>
      <c r="R665" s="80"/>
      <c r="S665" s="42"/>
    </row>
    <row r="666" hidden="1">
      <c r="A666" s="12"/>
      <c r="B666" s="12"/>
      <c r="C666" s="76"/>
      <c r="D666" s="83"/>
      <c r="E666" s="10"/>
      <c r="F666" s="12"/>
      <c r="G666" s="12"/>
      <c r="H666" s="17"/>
      <c r="I666" s="48"/>
      <c r="J666" s="48"/>
      <c r="K666" s="12"/>
      <c r="L666" s="80"/>
      <c r="M666" s="80"/>
      <c r="N666" s="80"/>
      <c r="O666" s="80"/>
      <c r="P666" s="80"/>
      <c r="Q666" s="80"/>
      <c r="R666" s="80"/>
      <c r="S666" s="42"/>
    </row>
    <row r="667" hidden="1">
      <c r="A667" s="12"/>
      <c r="B667" s="12"/>
      <c r="C667" s="76"/>
      <c r="D667" s="83"/>
      <c r="E667" s="10"/>
      <c r="F667" s="12"/>
      <c r="G667" s="12"/>
      <c r="H667" s="17"/>
      <c r="I667" s="48"/>
      <c r="J667" s="48"/>
      <c r="K667" s="12"/>
      <c r="L667" s="80"/>
      <c r="M667" s="80"/>
      <c r="N667" s="80"/>
      <c r="O667" s="80"/>
      <c r="P667" s="80"/>
      <c r="Q667" s="80"/>
      <c r="R667" s="80"/>
      <c r="S667" s="42"/>
    </row>
    <row r="668" hidden="1">
      <c r="A668" s="12"/>
      <c r="B668" s="12"/>
      <c r="C668" s="76"/>
      <c r="D668" s="83"/>
      <c r="E668" s="10"/>
      <c r="F668" s="12"/>
      <c r="G668" s="12"/>
      <c r="H668" s="17"/>
      <c r="I668" s="48"/>
      <c r="J668" s="48"/>
      <c r="K668" s="12"/>
      <c r="L668" s="80"/>
      <c r="M668" s="80"/>
      <c r="N668" s="80"/>
      <c r="O668" s="80"/>
      <c r="P668" s="80"/>
      <c r="Q668" s="80"/>
      <c r="R668" s="80"/>
      <c r="S668" s="42"/>
    </row>
    <row r="669" hidden="1">
      <c r="A669" s="12"/>
      <c r="B669" s="12"/>
      <c r="C669" s="76"/>
      <c r="D669" s="83"/>
      <c r="E669" s="10"/>
      <c r="F669" s="12"/>
      <c r="G669" s="12"/>
      <c r="H669" s="17"/>
      <c r="I669" s="48"/>
      <c r="J669" s="48"/>
      <c r="K669" s="12"/>
      <c r="L669" s="80"/>
      <c r="M669" s="80"/>
      <c r="N669" s="80"/>
      <c r="O669" s="80"/>
      <c r="P669" s="80"/>
      <c r="Q669" s="80"/>
      <c r="R669" s="80"/>
      <c r="S669" s="42"/>
    </row>
    <row r="670" hidden="1">
      <c r="A670" s="12"/>
      <c r="B670" s="12"/>
      <c r="C670" s="76"/>
      <c r="D670" s="83"/>
      <c r="E670" s="10"/>
      <c r="F670" s="12"/>
      <c r="G670" s="12"/>
      <c r="H670" s="17"/>
      <c r="I670" s="48"/>
      <c r="J670" s="48"/>
      <c r="K670" s="12"/>
      <c r="L670" s="80"/>
      <c r="M670" s="80"/>
      <c r="N670" s="80"/>
      <c r="O670" s="80"/>
      <c r="P670" s="80"/>
      <c r="Q670" s="80"/>
      <c r="R670" s="80"/>
      <c r="S670" s="42"/>
    </row>
    <row r="671" hidden="1">
      <c r="A671" s="12"/>
      <c r="B671" s="12"/>
      <c r="C671" s="76"/>
      <c r="D671" s="83"/>
      <c r="E671" s="10"/>
      <c r="F671" s="12"/>
      <c r="G671" s="12"/>
      <c r="H671" s="17"/>
      <c r="I671" s="48"/>
      <c r="J671" s="48"/>
      <c r="K671" s="12"/>
      <c r="L671" s="80"/>
      <c r="M671" s="80"/>
      <c r="N671" s="80"/>
      <c r="O671" s="80"/>
      <c r="P671" s="80"/>
      <c r="Q671" s="80"/>
      <c r="R671" s="80"/>
      <c r="S671" s="42"/>
    </row>
    <row r="672" hidden="1">
      <c r="A672" s="12"/>
      <c r="B672" s="12"/>
      <c r="C672" s="76"/>
      <c r="D672" s="83"/>
      <c r="E672" s="10"/>
      <c r="F672" s="12"/>
      <c r="G672" s="12"/>
      <c r="H672" s="17"/>
      <c r="I672" s="48"/>
      <c r="J672" s="48"/>
      <c r="K672" s="12"/>
      <c r="L672" s="80"/>
      <c r="M672" s="80"/>
      <c r="N672" s="80"/>
      <c r="O672" s="80"/>
      <c r="P672" s="80"/>
      <c r="Q672" s="80"/>
      <c r="R672" s="80"/>
      <c r="S672" s="42"/>
    </row>
    <row r="673" hidden="1">
      <c r="A673" s="12"/>
      <c r="B673" s="12"/>
      <c r="C673" s="76"/>
      <c r="D673" s="83"/>
      <c r="E673" s="10"/>
      <c r="F673" s="12"/>
      <c r="G673" s="12"/>
      <c r="H673" s="17"/>
      <c r="I673" s="48"/>
      <c r="J673" s="48"/>
      <c r="K673" s="12"/>
      <c r="L673" s="80"/>
      <c r="M673" s="80"/>
      <c r="N673" s="80"/>
      <c r="O673" s="80"/>
      <c r="P673" s="80"/>
      <c r="Q673" s="80"/>
      <c r="R673" s="80"/>
      <c r="S673" s="42"/>
    </row>
    <row r="674" hidden="1">
      <c r="A674" s="12"/>
      <c r="B674" s="12"/>
      <c r="C674" s="76"/>
      <c r="D674" s="83"/>
      <c r="E674" s="10"/>
      <c r="F674" s="12"/>
      <c r="G674" s="12"/>
      <c r="H674" s="17"/>
      <c r="I674" s="48"/>
      <c r="J674" s="48"/>
      <c r="K674" s="12"/>
      <c r="L674" s="80"/>
      <c r="M674" s="80"/>
      <c r="N674" s="80"/>
      <c r="O674" s="80"/>
      <c r="P674" s="80"/>
      <c r="Q674" s="80"/>
      <c r="R674" s="80"/>
      <c r="S674" s="42"/>
    </row>
    <row r="675" hidden="1">
      <c r="A675" s="12"/>
      <c r="B675" s="12"/>
      <c r="C675" s="76"/>
      <c r="D675" s="83"/>
      <c r="E675" s="10"/>
      <c r="F675" s="12"/>
      <c r="G675" s="12"/>
      <c r="H675" s="17"/>
      <c r="I675" s="48"/>
      <c r="J675" s="48"/>
      <c r="K675" s="12"/>
      <c r="L675" s="80"/>
      <c r="M675" s="80"/>
      <c r="N675" s="80"/>
      <c r="O675" s="80"/>
      <c r="P675" s="80"/>
      <c r="Q675" s="80"/>
      <c r="R675" s="80"/>
      <c r="S675" s="42"/>
    </row>
    <row r="676" hidden="1">
      <c r="A676" s="12"/>
      <c r="B676" s="12"/>
      <c r="C676" s="76"/>
      <c r="D676" s="83"/>
      <c r="E676" s="10"/>
      <c r="F676" s="12"/>
      <c r="G676" s="12"/>
      <c r="H676" s="17"/>
      <c r="I676" s="48"/>
      <c r="J676" s="48"/>
      <c r="K676" s="12"/>
      <c r="L676" s="80"/>
      <c r="M676" s="80"/>
      <c r="N676" s="80"/>
      <c r="O676" s="80"/>
      <c r="P676" s="80"/>
      <c r="Q676" s="80"/>
      <c r="R676" s="80"/>
      <c r="S676" s="42"/>
    </row>
    <row r="677" hidden="1">
      <c r="A677" s="12"/>
      <c r="B677" s="12"/>
      <c r="C677" s="76"/>
      <c r="D677" s="83"/>
      <c r="E677" s="10"/>
      <c r="F677" s="12"/>
      <c r="G677" s="12"/>
      <c r="H677" s="17"/>
      <c r="I677" s="48"/>
      <c r="J677" s="48"/>
      <c r="K677" s="12"/>
      <c r="L677" s="80"/>
      <c r="M677" s="80"/>
      <c r="N677" s="80"/>
      <c r="O677" s="80"/>
      <c r="P677" s="80"/>
      <c r="Q677" s="80"/>
      <c r="R677" s="80"/>
      <c r="S677" s="42"/>
    </row>
    <row r="678" hidden="1">
      <c r="A678" s="12"/>
      <c r="B678" s="12"/>
      <c r="C678" s="76"/>
      <c r="D678" s="83"/>
      <c r="E678" s="10"/>
      <c r="F678" s="12"/>
      <c r="G678" s="12"/>
      <c r="H678" s="17"/>
      <c r="I678" s="48"/>
      <c r="J678" s="48"/>
      <c r="K678" s="12"/>
      <c r="L678" s="80"/>
      <c r="M678" s="80"/>
      <c r="N678" s="80"/>
      <c r="O678" s="80"/>
      <c r="P678" s="80"/>
      <c r="Q678" s="80"/>
      <c r="R678" s="80"/>
      <c r="S678" s="42"/>
    </row>
    <row r="679" hidden="1">
      <c r="A679" s="12"/>
      <c r="B679" s="12"/>
      <c r="C679" s="76"/>
      <c r="D679" s="83"/>
      <c r="E679" s="10"/>
      <c r="F679" s="12"/>
      <c r="G679" s="12"/>
      <c r="H679" s="17"/>
      <c r="I679" s="48"/>
      <c r="J679" s="48"/>
      <c r="K679" s="12"/>
      <c r="L679" s="80"/>
      <c r="M679" s="80"/>
      <c r="N679" s="80"/>
      <c r="O679" s="80"/>
      <c r="P679" s="80"/>
      <c r="Q679" s="80"/>
      <c r="R679" s="80"/>
      <c r="S679" s="42"/>
    </row>
    <row r="680" hidden="1">
      <c r="A680" s="12"/>
      <c r="B680" s="12"/>
      <c r="C680" s="76"/>
      <c r="D680" s="83"/>
      <c r="E680" s="10"/>
      <c r="F680" s="12"/>
      <c r="G680" s="12"/>
      <c r="H680" s="17"/>
      <c r="I680" s="48"/>
      <c r="J680" s="48"/>
      <c r="K680" s="12"/>
      <c r="L680" s="80"/>
      <c r="M680" s="80"/>
      <c r="N680" s="80"/>
      <c r="O680" s="80"/>
      <c r="P680" s="80"/>
      <c r="Q680" s="80"/>
      <c r="R680" s="80"/>
      <c r="S680" s="42"/>
    </row>
    <row r="681" hidden="1">
      <c r="A681" s="12"/>
      <c r="B681" s="12"/>
      <c r="C681" s="76"/>
      <c r="D681" s="83"/>
      <c r="E681" s="10"/>
      <c r="F681" s="12"/>
      <c r="G681" s="12"/>
      <c r="H681" s="17"/>
      <c r="I681" s="48"/>
      <c r="J681" s="48"/>
      <c r="K681" s="12"/>
      <c r="L681" s="80"/>
      <c r="M681" s="80"/>
      <c r="N681" s="80"/>
      <c r="O681" s="80"/>
      <c r="P681" s="80"/>
      <c r="Q681" s="80"/>
      <c r="R681" s="80"/>
      <c r="S681" s="42"/>
    </row>
    <row r="682" hidden="1">
      <c r="A682" s="12"/>
      <c r="B682" s="12"/>
      <c r="C682" s="76"/>
      <c r="D682" s="83"/>
      <c r="E682" s="10"/>
      <c r="F682" s="12"/>
      <c r="G682" s="12"/>
      <c r="H682" s="17"/>
      <c r="I682" s="48"/>
      <c r="J682" s="48"/>
      <c r="K682" s="12"/>
      <c r="L682" s="80"/>
      <c r="M682" s="80"/>
      <c r="N682" s="80"/>
      <c r="O682" s="80"/>
      <c r="P682" s="80"/>
      <c r="Q682" s="80"/>
      <c r="R682" s="80"/>
      <c r="S682" s="42"/>
    </row>
    <row r="683" hidden="1">
      <c r="A683" s="12"/>
      <c r="B683" s="12"/>
      <c r="C683" s="76"/>
      <c r="D683" s="83"/>
      <c r="E683" s="10"/>
      <c r="F683" s="12"/>
      <c r="G683" s="12"/>
      <c r="H683" s="17"/>
      <c r="I683" s="48"/>
      <c r="J683" s="48"/>
      <c r="K683" s="12"/>
      <c r="L683" s="80"/>
      <c r="M683" s="80"/>
      <c r="N683" s="80"/>
      <c r="O683" s="80"/>
      <c r="P683" s="80"/>
      <c r="Q683" s="80"/>
      <c r="R683" s="80"/>
      <c r="S683" s="42"/>
    </row>
    <row r="684" hidden="1">
      <c r="A684" s="12"/>
      <c r="B684" s="12"/>
      <c r="C684" s="76"/>
      <c r="D684" s="83"/>
      <c r="E684" s="10"/>
      <c r="F684" s="12"/>
      <c r="G684" s="12"/>
      <c r="H684" s="17"/>
      <c r="I684" s="48"/>
      <c r="J684" s="48"/>
      <c r="K684" s="12"/>
      <c r="L684" s="80"/>
      <c r="M684" s="80"/>
      <c r="N684" s="80"/>
      <c r="O684" s="80"/>
      <c r="P684" s="80"/>
      <c r="Q684" s="80"/>
      <c r="R684" s="80"/>
      <c r="S684" s="42"/>
    </row>
    <row r="685" hidden="1">
      <c r="A685" s="12"/>
      <c r="B685" s="12"/>
      <c r="C685" s="76"/>
      <c r="D685" s="83"/>
      <c r="E685" s="10"/>
      <c r="F685" s="12"/>
      <c r="G685" s="12"/>
      <c r="H685" s="17"/>
      <c r="I685" s="48"/>
      <c r="J685" s="48"/>
      <c r="K685" s="12"/>
      <c r="L685" s="80"/>
      <c r="M685" s="80"/>
      <c r="N685" s="80"/>
      <c r="O685" s="80"/>
      <c r="P685" s="80"/>
      <c r="Q685" s="80"/>
      <c r="R685" s="80"/>
      <c r="S685" s="42"/>
    </row>
    <row r="686" hidden="1">
      <c r="A686" s="12"/>
      <c r="B686" s="12"/>
      <c r="C686" s="76"/>
      <c r="D686" s="83"/>
      <c r="E686" s="10"/>
      <c r="F686" s="12"/>
      <c r="G686" s="12"/>
      <c r="H686" s="17"/>
      <c r="I686" s="48"/>
      <c r="J686" s="48"/>
      <c r="K686" s="12"/>
      <c r="L686" s="80"/>
      <c r="M686" s="80"/>
      <c r="N686" s="80"/>
      <c r="O686" s="80"/>
      <c r="P686" s="80"/>
      <c r="Q686" s="80"/>
      <c r="R686" s="80"/>
      <c r="S686" s="42"/>
    </row>
    <row r="687" hidden="1">
      <c r="A687" s="12"/>
      <c r="B687" s="12"/>
      <c r="C687" s="76"/>
      <c r="D687" s="83"/>
      <c r="E687" s="10"/>
      <c r="F687" s="12"/>
      <c r="G687" s="12"/>
      <c r="H687" s="17"/>
      <c r="I687" s="48"/>
      <c r="J687" s="48"/>
      <c r="K687" s="12"/>
      <c r="L687" s="80"/>
      <c r="M687" s="80"/>
      <c r="N687" s="80"/>
      <c r="O687" s="80"/>
      <c r="P687" s="80"/>
      <c r="Q687" s="80"/>
      <c r="R687" s="80"/>
      <c r="S687" s="42"/>
    </row>
    <row r="688" hidden="1">
      <c r="A688" s="12"/>
      <c r="B688" s="12"/>
      <c r="C688" s="76"/>
      <c r="D688" s="83"/>
      <c r="E688" s="10"/>
      <c r="F688" s="12"/>
      <c r="G688" s="12"/>
      <c r="H688" s="17"/>
      <c r="I688" s="48"/>
      <c r="J688" s="48"/>
      <c r="K688" s="12"/>
      <c r="L688" s="80"/>
      <c r="M688" s="80"/>
      <c r="N688" s="80"/>
      <c r="O688" s="80"/>
      <c r="P688" s="80"/>
      <c r="Q688" s="80"/>
      <c r="R688" s="80"/>
      <c r="S688" s="42"/>
    </row>
    <row r="689" hidden="1">
      <c r="A689" s="12"/>
      <c r="B689" s="12"/>
      <c r="C689" s="76"/>
      <c r="D689" s="83"/>
      <c r="E689" s="10"/>
      <c r="F689" s="12"/>
      <c r="G689" s="12"/>
      <c r="H689" s="17"/>
      <c r="I689" s="48"/>
      <c r="J689" s="48"/>
      <c r="K689" s="12"/>
      <c r="L689" s="80"/>
      <c r="M689" s="80"/>
      <c r="N689" s="80"/>
      <c r="O689" s="80"/>
      <c r="P689" s="80"/>
      <c r="Q689" s="80"/>
      <c r="R689" s="80"/>
      <c r="S689" s="42"/>
    </row>
    <row r="690" hidden="1">
      <c r="A690" s="12"/>
      <c r="B690" s="12"/>
      <c r="C690" s="76"/>
      <c r="D690" s="83"/>
      <c r="E690" s="10"/>
      <c r="F690" s="12"/>
      <c r="G690" s="12"/>
      <c r="H690" s="17"/>
      <c r="I690" s="48"/>
      <c r="J690" s="48"/>
      <c r="K690" s="12"/>
      <c r="L690" s="80"/>
      <c r="M690" s="80"/>
      <c r="N690" s="80"/>
      <c r="O690" s="80"/>
      <c r="P690" s="80"/>
      <c r="Q690" s="80"/>
      <c r="R690" s="80"/>
      <c r="S690" s="42"/>
    </row>
    <row r="691" hidden="1">
      <c r="A691" s="12"/>
      <c r="B691" s="12"/>
      <c r="C691" s="76"/>
      <c r="D691" s="83"/>
      <c r="E691" s="10"/>
      <c r="F691" s="12"/>
      <c r="G691" s="12"/>
      <c r="H691" s="17"/>
      <c r="I691" s="48"/>
      <c r="J691" s="48"/>
      <c r="K691" s="12"/>
      <c r="L691" s="80"/>
      <c r="M691" s="80"/>
      <c r="N691" s="80"/>
      <c r="O691" s="80"/>
      <c r="P691" s="80"/>
      <c r="Q691" s="80"/>
      <c r="R691" s="80"/>
      <c r="S691" s="42"/>
    </row>
    <row r="692" hidden="1">
      <c r="A692" s="12"/>
      <c r="B692" s="12"/>
      <c r="C692" s="76"/>
      <c r="D692" s="83"/>
      <c r="E692" s="10"/>
      <c r="F692" s="12"/>
      <c r="G692" s="12"/>
      <c r="H692" s="17"/>
      <c r="I692" s="48"/>
      <c r="J692" s="48"/>
      <c r="K692" s="12"/>
      <c r="L692" s="80"/>
      <c r="M692" s="80"/>
      <c r="N692" s="80"/>
      <c r="O692" s="80"/>
      <c r="P692" s="80"/>
      <c r="Q692" s="80"/>
      <c r="R692" s="80"/>
      <c r="S692" s="42"/>
    </row>
    <row r="693" hidden="1">
      <c r="A693" s="12"/>
      <c r="B693" s="12"/>
      <c r="C693" s="76"/>
      <c r="D693" s="83"/>
      <c r="E693" s="10"/>
      <c r="F693" s="12"/>
      <c r="G693" s="12"/>
      <c r="H693" s="17"/>
      <c r="I693" s="48"/>
      <c r="J693" s="48"/>
      <c r="K693" s="12"/>
      <c r="L693" s="80"/>
      <c r="M693" s="80"/>
      <c r="N693" s="80"/>
      <c r="O693" s="80"/>
      <c r="P693" s="80"/>
      <c r="Q693" s="80"/>
      <c r="R693" s="80"/>
      <c r="S693" s="42"/>
    </row>
    <row r="694" hidden="1">
      <c r="A694" s="12"/>
      <c r="B694" s="12"/>
      <c r="C694" s="76"/>
      <c r="D694" s="83"/>
      <c r="E694" s="10"/>
      <c r="F694" s="12"/>
      <c r="G694" s="12"/>
      <c r="H694" s="17"/>
      <c r="I694" s="48"/>
      <c r="J694" s="48"/>
      <c r="K694" s="12"/>
      <c r="L694" s="80"/>
      <c r="M694" s="80"/>
      <c r="N694" s="80"/>
      <c r="O694" s="80"/>
      <c r="P694" s="80"/>
      <c r="Q694" s="80"/>
      <c r="R694" s="80"/>
      <c r="S694" s="42"/>
    </row>
    <row r="695" hidden="1">
      <c r="A695" s="12"/>
      <c r="B695" s="12"/>
      <c r="C695" s="76"/>
      <c r="D695" s="83"/>
      <c r="E695" s="10"/>
      <c r="F695" s="12"/>
      <c r="G695" s="12"/>
      <c r="H695" s="17"/>
      <c r="I695" s="48"/>
      <c r="J695" s="48"/>
      <c r="K695" s="12"/>
      <c r="L695" s="80"/>
      <c r="M695" s="80"/>
      <c r="N695" s="80"/>
      <c r="O695" s="80"/>
      <c r="P695" s="80"/>
      <c r="Q695" s="80"/>
      <c r="R695" s="80"/>
      <c r="S695" s="42"/>
    </row>
    <row r="696" hidden="1">
      <c r="A696" s="12"/>
      <c r="B696" s="12"/>
      <c r="C696" s="76"/>
      <c r="D696" s="83"/>
      <c r="E696" s="10"/>
      <c r="F696" s="12"/>
      <c r="G696" s="12"/>
      <c r="H696" s="17"/>
      <c r="I696" s="48"/>
      <c r="J696" s="48"/>
      <c r="K696" s="12"/>
      <c r="L696" s="80"/>
      <c r="M696" s="80"/>
      <c r="N696" s="80"/>
      <c r="O696" s="80"/>
      <c r="P696" s="80"/>
      <c r="Q696" s="80"/>
      <c r="R696" s="80"/>
      <c r="S696" s="42"/>
    </row>
    <row r="697" hidden="1">
      <c r="A697" s="12"/>
      <c r="B697" s="12"/>
      <c r="C697" s="76"/>
      <c r="D697" s="83"/>
      <c r="E697" s="10"/>
      <c r="F697" s="12"/>
      <c r="G697" s="12"/>
      <c r="H697" s="17"/>
      <c r="I697" s="48"/>
      <c r="J697" s="48"/>
      <c r="K697" s="12"/>
      <c r="L697" s="80"/>
      <c r="M697" s="80"/>
      <c r="N697" s="80"/>
      <c r="O697" s="80"/>
      <c r="P697" s="80"/>
      <c r="Q697" s="80"/>
      <c r="R697" s="80"/>
      <c r="S697" s="42"/>
    </row>
    <row r="698" hidden="1">
      <c r="A698" s="12"/>
      <c r="B698" s="12"/>
      <c r="C698" s="76"/>
      <c r="D698" s="83"/>
      <c r="E698" s="10"/>
      <c r="F698" s="12"/>
      <c r="G698" s="12"/>
      <c r="H698" s="17"/>
      <c r="I698" s="48"/>
      <c r="J698" s="48"/>
      <c r="K698" s="12"/>
      <c r="L698" s="80"/>
      <c r="M698" s="80"/>
      <c r="N698" s="80"/>
      <c r="O698" s="80"/>
      <c r="P698" s="80"/>
      <c r="Q698" s="80"/>
      <c r="R698" s="80"/>
      <c r="S698" s="42"/>
    </row>
    <row r="699" hidden="1">
      <c r="A699" s="12"/>
      <c r="B699" s="12"/>
      <c r="C699" s="76"/>
      <c r="D699" s="83"/>
      <c r="E699" s="10"/>
      <c r="F699" s="12"/>
      <c r="G699" s="12"/>
      <c r="H699" s="17"/>
      <c r="I699" s="48"/>
      <c r="J699" s="48"/>
      <c r="K699" s="12"/>
      <c r="L699" s="80"/>
      <c r="M699" s="80"/>
      <c r="N699" s="80"/>
      <c r="O699" s="80"/>
      <c r="P699" s="80"/>
      <c r="Q699" s="80"/>
      <c r="R699" s="80"/>
      <c r="S699" s="42"/>
    </row>
    <row r="700" hidden="1">
      <c r="A700" s="12"/>
      <c r="B700" s="12"/>
      <c r="C700" s="76"/>
      <c r="D700" s="83"/>
      <c r="E700" s="10"/>
      <c r="F700" s="12"/>
      <c r="G700" s="12"/>
      <c r="H700" s="17"/>
      <c r="I700" s="48"/>
      <c r="J700" s="48"/>
      <c r="K700" s="12"/>
      <c r="L700" s="80"/>
      <c r="M700" s="80"/>
      <c r="N700" s="80"/>
      <c r="O700" s="80"/>
      <c r="P700" s="80"/>
      <c r="Q700" s="80"/>
      <c r="R700" s="80"/>
      <c r="S700" s="42"/>
    </row>
    <row r="701" hidden="1">
      <c r="A701" s="12"/>
      <c r="B701" s="12"/>
      <c r="C701" s="76"/>
      <c r="D701" s="83"/>
      <c r="E701" s="10"/>
      <c r="F701" s="12"/>
      <c r="G701" s="12"/>
      <c r="H701" s="17"/>
      <c r="I701" s="48"/>
      <c r="J701" s="48"/>
      <c r="K701" s="12"/>
      <c r="L701" s="80"/>
      <c r="M701" s="80"/>
      <c r="N701" s="80"/>
      <c r="O701" s="80"/>
      <c r="P701" s="80"/>
      <c r="Q701" s="80"/>
      <c r="R701" s="80"/>
      <c r="S701" s="42"/>
    </row>
    <row r="702" hidden="1">
      <c r="A702" s="12"/>
      <c r="B702" s="12"/>
      <c r="C702" s="76"/>
      <c r="D702" s="83"/>
      <c r="E702" s="10"/>
      <c r="F702" s="12"/>
      <c r="G702" s="12"/>
      <c r="H702" s="17"/>
      <c r="I702" s="48"/>
      <c r="J702" s="48"/>
      <c r="K702" s="12"/>
      <c r="L702" s="80"/>
      <c r="M702" s="80"/>
      <c r="N702" s="80"/>
      <c r="O702" s="80"/>
      <c r="P702" s="80"/>
      <c r="Q702" s="80"/>
      <c r="R702" s="80"/>
      <c r="S702" s="42"/>
    </row>
    <row r="703" hidden="1">
      <c r="A703" s="12"/>
      <c r="B703" s="12"/>
      <c r="C703" s="76"/>
      <c r="D703" s="83"/>
      <c r="E703" s="10"/>
      <c r="F703" s="12"/>
      <c r="G703" s="12"/>
      <c r="H703" s="17"/>
      <c r="I703" s="48"/>
      <c r="J703" s="48"/>
      <c r="K703" s="12"/>
      <c r="L703" s="80"/>
      <c r="M703" s="80"/>
      <c r="N703" s="80"/>
      <c r="O703" s="80"/>
      <c r="P703" s="80"/>
      <c r="Q703" s="80"/>
      <c r="R703" s="80"/>
      <c r="S703" s="42"/>
    </row>
    <row r="704" hidden="1">
      <c r="A704" s="12"/>
      <c r="B704" s="12"/>
      <c r="C704" s="76"/>
      <c r="D704" s="83"/>
      <c r="E704" s="10"/>
      <c r="F704" s="12"/>
      <c r="G704" s="12"/>
      <c r="H704" s="17"/>
      <c r="I704" s="48"/>
      <c r="J704" s="48"/>
      <c r="K704" s="12"/>
      <c r="L704" s="80"/>
      <c r="M704" s="80"/>
      <c r="N704" s="80"/>
      <c r="O704" s="80"/>
      <c r="P704" s="80"/>
      <c r="Q704" s="80"/>
      <c r="R704" s="80"/>
      <c r="S704" s="42"/>
    </row>
    <row r="705" hidden="1">
      <c r="A705" s="12"/>
      <c r="B705" s="12"/>
      <c r="C705" s="76"/>
      <c r="D705" s="83"/>
      <c r="E705" s="10"/>
      <c r="F705" s="12"/>
      <c r="G705" s="12"/>
      <c r="H705" s="17"/>
      <c r="I705" s="48"/>
      <c r="J705" s="48"/>
      <c r="K705" s="12"/>
      <c r="L705" s="80"/>
      <c r="M705" s="80"/>
      <c r="N705" s="80"/>
      <c r="O705" s="80"/>
      <c r="P705" s="80"/>
      <c r="Q705" s="80"/>
      <c r="R705" s="80"/>
      <c r="S705" s="42"/>
    </row>
    <row r="706" hidden="1">
      <c r="A706" s="12"/>
      <c r="B706" s="12"/>
      <c r="C706" s="76"/>
      <c r="D706" s="83"/>
      <c r="E706" s="10"/>
      <c r="F706" s="12"/>
      <c r="G706" s="12"/>
      <c r="H706" s="17"/>
      <c r="I706" s="48"/>
      <c r="J706" s="48"/>
      <c r="K706" s="12"/>
      <c r="L706" s="80"/>
      <c r="M706" s="80"/>
      <c r="N706" s="80"/>
      <c r="O706" s="80"/>
      <c r="P706" s="80"/>
      <c r="Q706" s="80"/>
      <c r="R706" s="80"/>
      <c r="S706" s="42"/>
    </row>
    <row r="707" hidden="1">
      <c r="A707" s="12"/>
      <c r="B707" s="12"/>
      <c r="C707" s="76"/>
      <c r="D707" s="83"/>
      <c r="E707" s="10"/>
      <c r="F707" s="12"/>
      <c r="G707" s="12"/>
      <c r="H707" s="17"/>
      <c r="I707" s="48"/>
      <c r="J707" s="48"/>
      <c r="K707" s="12"/>
      <c r="L707" s="80"/>
      <c r="M707" s="80"/>
      <c r="N707" s="80"/>
      <c r="O707" s="80"/>
      <c r="P707" s="80"/>
      <c r="Q707" s="80"/>
      <c r="R707" s="80"/>
      <c r="S707" s="42"/>
    </row>
    <row r="708" hidden="1">
      <c r="A708" s="12"/>
      <c r="B708" s="12"/>
      <c r="C708" s="76"/>
      <c r="D708" s="83"/>
      <c r="E708" s="10"/>
      <c r="F708" s="12"/>
      <c r="G708" s="12"/>
      <c r="H708" s="17"/>
      <c r="I708" s="48"/>
      <c r="J708" s="48"/>
      <c r="K708" s="12"/>
      <c r="L708" s="80"/>
      <c r="M708" s="80"/>
      <c r="N708" s="80"/>
      <c r="O708" s="80"/>
      <c r="P708" s="80"/>
      <c r="Q708" s="80"/>
      <c r="R708" s="80"/>
      <c r="S708" s="42"/>
    </row>
    <row r="709" hidden="1">
      <c r="A709" s="12"/>
      <c r="B709" s="12"/>
      <c r="C709" s="76"/>
      <c r="D709" s="83"/>
      <c r="E709" s="10"/>
      <c r="F709" s="12"/>
      <c r="G709" s="12"/>
      <c r="H709" s="17"/>
      <c r="I709" s="48"/>
      <c r="J709" s="48"/>
      <c r="K709" s="12"/>
      <c r="L709" s="80"/>
      <c r="M709" s="80"/>
      <c r="N709" s="80"/>
      <c r="O709" s="80"/>
      <c r="P709" s="80"/>
      <c r="Q709" s="80"/>
      <c r="R709" s="80"/>
      <c r="S709" s="42"/>
    </row>
    <row r="710" hidden="1">
      <c r="A710" s="12"/>
      <c r="B710" s="12"/>
      <c r="C710" s="76"/>
      <c r="D710" s="83"/>
      <c r="E710" s="10"/>
      <c r="F710" s="12"/>
      <c r="G710" s="12"/>
      <c r="H710" s="17"/>
      <c r="I710" s="48"/>
      <c r="J710" s="48"/>
      <c r="K710" s="12"/>
      <c r="L710" s="80"/>
      <c r="M710" s="80"/>
      <c r="N710" s="80"/>
      <c r="O710" s="80"/>
      <c r="P710" s="80"/>
      <c r="Q710" s="80"/>
      <c r="R710" s="80"/>
      <c r="S710" s="42"/>
    </row>
    <row r="711" hidden="1">
      <c r="A711" s="12"/>
      <c r="B711" s="12"/>
      <c r="C711" s="76"/>
      <c r="D711" s="83"/>
      <c r="E711" s="10"/>
      <c r="F711" s="12"/>
      <c r="G711" s="12"/>
      <c r="H711" s="17"/>
      <c r="I711" s="48"/>
      <c r="J711" s="48"/>
      <c r="K711" s="12"/>
      <c r="L711" s="80"/>
      <c r="M711" s="80"/>
      <c r="N711" s="80"/>
      <c r="O711" s="80"/>
      <c r="P711" s="80"/>
      <c r="Q711" s="80"/>
      <c r="R711" s="80"/>
      <c r="S711" s="42"/>
    </row>
    <row r="712" hidden="1">
      <c r="A712" s="12"/>
      <c r="B712" s="12"/>
      <c r="C712" s="76"/>
      <c r="D712" s="83"/>
      <c r="E712" s="10"/>
      <c r="F712" s="12"/>
      <c r="G712" s="12"/>
      <c r="H712" s="17"/>
      <c r="I712" s="48"/>
      <c r="J712" s="48"/>
      <c r="K712" s="12"/>
      <c r="L712" s="80"/>
      <c r="M712" s="80"/>
      <c r="N712" s="80"/>
      <c r="O712" s="80"/>
      <c r="P712" s="80"/>
      <c r="Q712" s="80"/>
      <c r="R712" s="80"/>
      <c r="S712" s="42"/>
    </row>
    <row r="713" hidden="1">
      <c r="A713" s="12"/>
      <c r="B713" s="12"/>
      <c r="C713" s="76"/>
      <c r="D713" s="83"/>
      <c r="E713" s="10"/>
      <c r="F713" s="12"/>
      <c r="G713" s="12"/>
      <c r="H713" s="17"/>
      <c r="I713" s="48"/>
      <c r="J713" s="48"/>
      <c r="K713" s="12"/>
      <c r="L713" s="80"/>
      <c r="M713" s="80"/>
      <c r="N713" s="80"/>
      <c r="O713" s="80"/>
      <c r="P713" s="80"/>
      <c r="Q713" s="80"/>
      <c r="R713" s="80"/>
      <c r="S713" s="42"/>
    </row>
    <row r="714" hidden="1">
      <c r="A714" s="12"/>
      <c r="B714" s="12"/>
      <c r="C714" s="76"/>
      <c r="D714" s="83"/>
      <c r="E714" s="10"/>
      <c r="F714" s="12"/>
      <c r="G714" s="12"/>
      <c r="H714" s="17"/>
      <c r="I714" s="48"/>
      <c r="J714" s="48"/>
      <c r="K714" s="12"/>
      <c r="L714" s="80"/>
      <c r="M714" s="80"/>
      <c r="N714" s="80"/>
      <c r="O714" s="80"/>
      <c r="P714" s="80"/>
      <c r="Q714" s="80"/>
      <c r="R714" s="80"/>
      <c r="S714" s="42"/>
    </row>
    <row r="715" hidden="1">
      <c r="A715" s="12"/>
      <c r="B715" s="12"/>
      <c r="C715" s="76"/>
      <c r="D715" s="83"/>
      <c r="E715" s="10"/>
      <c r="F715" s="12"/>
      <c r="G715" s="12"/>
      <c r="H715" s="17"/>
      <c r="I715" s="48"/>
      <c r="J715" s="48"/>
      <c r="K715" s="12"/>
      <c r="L715" s="80"/>
      <c r="M715" s="80"/>
      <c r="N715" s="80"/>
      <c r="O715" s="80"/>
      <c r="P715" s="80"/>
      <c r="Q715" s="80"/>
      <c r="R715" s="80"/>
      <c r="S715" s="42"/>
    </row>
    <row r="716" hidden="1">
      <c r="A716" s="12"/>
      <c r="B716" s="12"/>
      <c r="C716" s="76"/>
      <c r="D716" s="83"/>
      <c r="E716" s="10"/>
      <c r="F716" s="12"/>
      <c r="G716" s="12"/>
      <c r="H716" s="17"/>
      <c r="I716" s="48"/>
      <c r="J716" s="48"/>
      <c r="K716" s="12"/>
      <c r="L716" s="80"/>
      <c r="M716" s="80"/>
      <c r="N716" s="80"/>
      <c r="O716" s="80"/>
      <c r="P716" s="80"/>
      <c r="Q716" s="80"/>
      <c r="R716" s="80"/>
      <c r="S716" s="42"/>
    </row>
    <row r="717" hidden="1">
      <c r="A717" s="12"/>
      <c r="B717" s="12"/>
      <c r="C717" s="76"/>
      <c r="D717" s="83"/>
      <c r="E717" s="10"/>
      <c r="F717" s="12"/>
      <c r="G717" s="12"/>
      <c r="H717" s="17"/>
      <c r="I717" s="48"/>
      <c r="J717" s="48"/>
      <c r="K717" s="12"/>
      <c r="L717" s="80"/>
      <c r="M717" s="80"/>
      <c r="N717" s="80"/>
      <c r="O717" s="80"/>
      <c r="P717" s="80"/>
      <c r="Q717" s="80"/>
      <c r="R717" s="80"/>
      <c r="S717" s="42"/>
    </row>
    <row r="718" hidden="1">
      <c r="A718" s="12"/>
      <c r="B718" s="12"/>
      <c r="C718" s="76"/>
      <c r="D718" s="83"/>
      <c r="E718" s="10"/>
      <c r="F718" s="12"/>
      <c r="G718" s="12"/>
      <c r="H718" s="17"/>
      <c r="I718" s="48"/>
      <c r="J718" s="48"/>
      <c r="K718" s="12"/>
      <c r="L718" s="80"/>
      <c r="M718" s="80"/>
      <c r="N718" s="80"/>
      <c r="O718" s="80"/>
      <c r="P718" s="80"/>
      <c r="Q718" s="80"/>
      <c r="R718" s="80"/>
      <c r="S718" s="42"/>
    </row>
    <row r="719" hidden="1">
      <c r="A719" s="12"/>
      <c r="B719" s="12"/>
      <c r="C719" s="76"/>
      <c r="D719" s="83"/>
      <c r="E719" s="10"/>
      <c r="F719" s="12"/>
      <c r="G719" s="12"/>
      <c r="H719" s="17"/>
      <c r="I719" s="48"/>
      <c r="J719" s="48"/>
      <c r="K719" s="12"/>
      <c r="L719" s="80"/>
      <c r="M719" s="80"/>
      <c r="N719" s="80"/>
      <c r="O719" s="80"/>
      <c r="P719" s="80"/>
      <c r="Q719" s="80"/>
      <c r="R719" s="80"/>
      <c r="S719" s="42"/>
    </row>
    <row r="720" hidden="1">
      <c r="A720" s="12"/>
      <c r="B720" s="12"/>
      <c r="C720" s="76"/>
      <c r="D720" s="83"/>
      <c r="E720" s="10"/>
      <c r="F720" s="12"/>
      <c r="G720" s="12"/>
      <c r="H720" s="17"/>
      <c r="I720" s="48"/>
      <c r="J720" s="48"/>
      <c r="K720" s="12"/>
      <c r="L720" s="80"/>
      <c r="M720" s="80"/>
      <c r="N720" s="80"/>
      <c r="O720" s="80"/>
      <c r="P720" s="80"/>
      <c r="Q720" s="80"/>
      <c r="R720" s="80"/>
      <c r="S720" s="42"/>
    </row>
    <row r="721" hidden="1">
      <c r="A721" s="12"/>
      <c r="B721" s="12"/>
      <c r="C721" s="76"/>
      <c r="D721" s="83"/>
      <c r="E721" s="10"/>
      <c r="F721" s="12"/>
      <c r="G721" s="12"/>
      <c r="H721" s="17"/>
      <c r="I721" s="48"/>
      <c r="J721" s="48"/>
      <c r="K721" s="12"/>
      <c r="L721" s="80"/>
      <c r="M721" s="80"/>
      <c r="N721" s="80"/>
      <c r="O721" s="80"/>
      <c r="P721" s="80"/>
      <c r="Q721" s="80"/>
      <c r="R721" s="80"/>
      <c r="S721" s="42"/>
    </row>
    <row r="722" hidden="1">
      <c r="A722" s="12"/>
      <c r="B722" s="12"/>
      <c r="C722" s="76"/>
      <c r="D722" s="83"/>
      <c r="E722" s="10"/>
      <c r="F722" s="12"/>
      <c r="G722" s="12"/>
      <c r="H722" s="17"/>
      <c r="I722" s="48"/>
      <c r="J722" s="48"/>
      <c r="K722" s="12"/>
      <c r="L722" s="80"/>
      <c r="M722" s="80"/>
      <c r="N722" s="80"/>
      <c r="O722" s="80"/>
      <c r="P722" s="80"/>
      <c r="Q722" s="80"/>
      <c r="R722" s="80"/>
      <c r="S722" s="42"/>
    </row>
    <row r="723" hidden="1">
      <c r="A723" s="12"/>
      <c r="B723" s="12"/>
      <c r="C723" s="76"/>
      <c r="D723" s="83"/>
      <c r="E723" s="10"/>
      <c r="F723" s="12"/>
      <c r="G723" s="12"/>
      <c r="H723" s="17"/>
      <c r="I723" s="48"/>
      <c r="J723" s="48"/>
      <c r="K723" s="12"/>
      <c r="L723" s="80"/>
      <c r="M723" s="80"/>
      <c r="N723" s="80"/>
      <c r="O723" s="80"/>
      <c r="P723" s="80"/>
      <c r="Q723" s="80"/>
      <c r="R723" s="80"/>
      <c r="S723" s="42"/>
    </row>
    <row r="724" hidden="1">
      <c r="A724" s="12"/>
      <c r="B724" s="12"/>
      <c r="C724" s="76"/>
      <c r="D724" s="83"/>
      <c r="E724" s="10"/>
      <c r="F724" s="12"/>
      <c r="G724" s="12"/>
      <c r="H724" s="17"/>
      <c r="I724" s="48"/>
      <c r="J724" s="48"/>
      <c r="K724" s="12"/>
      <c r="L724" s="80"/>
      <c r="M724" s="80"/>
      <c r="N724" s="80"/>
      <c r="O724" s="80"/>
      <c r="P724" s="80"/>
      <c r="Q724" s="80"/>
      <c r="R724" s="80"/>
      <c r="S724" s="42"/>
    </row>
    <row r="725" hidden="1">
      <c r="A725" s="12"/>
      <c r="B725" s="12"/>
      <c r="C725" s="76"/>
      <c r="D725" s="83"/>
      <c r="E725" s="10"/>
      <c r="F725" s="12"/>
      <c r="G725" s="12"/>
      <c r="H725" s="17"/>
      <c r="I725" s="48"/>
      <c r="J725" s="48"/>
      <c r="K725" s="12"/>
      <c r="L725" s="80"/>
      <c r="M725" s="80"/>
      <c r="N725" s="80"/>
      <c r="O725" s="80"/>
      <c r="P725" s="80"/>
      <c r="Q725" s="80"/>
      <c r="R725" s="80"/>
      <c r="S725" s="42"/>
    </row>
    <row r="726" hidden="1">
      <c r="A726" s="12"/>
      <c r="B726" s="12"/>
      <c r="C726" s="76"/>
      <c r="D726" s="83"/>
      <c r="E726" s="10"/>
      <c r="F726" s="12"/>
      <c r="G726" s="12"/>
      <c r="H726" s="17"/>
      <c r="I726" s="48"/>
      <c r="J726" s="48"/>
      <c r="K726" s="12"/>
      <c r="L726" s="80"/>
      <c r="M726" s="80"/>
      <c r="N726" s="80"/>
      <c r="O726" s="80"/>
      <c r="P726" s="80"/>
      <c r="Q726" s="80"/>
      <c r="R726" s="80"/>
      <c r="S726" s="42"/>
    </row>
    <row r="727" hidden="1">
      <c r="A727" s="12"/>
      <c r="B727" s="12"/>
      <c r="C727" s="76"/>
      <c r="D727" s="83"/>
      <c r="E727" s="10"/>
      <c r="F727" s="12"/>
      <c r="G727" s="12"/>
      <c r="H727" s="17"/>
      <c r="I727" s="48"/>
      <c r="J727" s="48"/>
      <c r="K727" s="12"/>
      <c r="L727" s="80"/>
      <c r="M727" s="80"/>
      <c r="N727" s="80"/>
      <c r="O727" s="80"/>
      <c r="P727" s="80"/>
      <c r="Q727" s="80"/>
      <c r="R727" s="80"/>
      <c r="S727" s="42"/>
    </row>
    <row r="728" hidden="1">
      <c r="A728" s="12"/>
      <c r="B728" s="12"/>
      <c r="C728" s="76"/>
      <c r="D728" s="83"/>
      <c r="E728" s="10"/>
      <c r="F728" s="12"/>
      <c r="G728" s="12"/>
      <c r="H728" s="17"/>
      <c r="I728" s="48"/>
      <c r="J728" s="48"/>
      <c r="K728" s="12"/>
      <c r="L728" s="80"/>
      <c r="M728" s="80"/>
      <c r="N728" s="80"/>
      <c r="O728" s="80"/>
      <c r="P728" s="80"/>
      <c r="Q728" s="80"/>
      <c r="R728" s="80"/>
      <c r="S728" s="42"/>
    </row>
    <row r="729" hidden="1">
      <c r="A729" s="12"/>
      <c r="B729" s="12"/>
      <c r="C729" s="76"/>
      <c r="D729" s="83"/>
      <c r="E729" s="10"/>
      <c r="F729" s="12"/>
      <c r="G729" s="12"/>
      <c r="H729" s="17"/>
      <c r="I729" s="48"/>
      <c r="J729" s="48"/>
      <c r="K729" s="12"/>
      <c r="L729" s="80"/>
      <c r="M729" s="80"/>
      <c r="N729" s="80"/>
      <c r="O729" s="80"/>
      <c r="P729" s="80"/>
      <c r="Q729" s="80"/>
      <c r="R729" s="80"/>
      <c r="S729" s="42"/>
    </row>
    <row r="730" hidden="1">
      <c r="A730" s="12"/>
      <c r="B730" s="12"/>
      <c r="C730" s="76"/>
      <c r="D730" s="83"/>
      <c r="E730" s="10"/>
      <c r="F730" s="12"/>
      <c r="G730" s="12"/>
      <c r="H730" s="17"/>
      <c r="I730" s="48"/>
      <c r="J730" s="48"/>
      <c r="K730" s="12"/>
      <c r="L730" s="80"/>
      <c r="M730" s="80"/>
      <c r="N730" s="80"/>
      <c r="O730" s="80"/>
      <c r="P730" s="80"/>
      <c r="Q730" s="80"/>
      <c r="R730" s="80"/>
      <c r="S730" s="42"/>
    </row>
    <row r="731" hidden="1">
      <c r="A731" s="12"/>
      <c r="B731" s="12"/>
      <c r="C731" s="76"/>
      <c r="D731" s="83"/>
      <c r="E731" s="10"/>
      <c r="F731" s="12"/>
      <c r="G731" s="12"/>
      <c r="H731" s="17"/>
      <c r="I731" s="48"/>
      <c r="J731" s="48"/>
      <c r="K731" s="12"/>
      <c r="L731" s="80"/>
      <c r="M731" s="80"/>
      <c r="N731" s="80"/>
      <c r="O731" s="80"/>
      <c r="P731" s="80"/>
      <c r="Q731" s="80"/>
      <c r="R731" s="80"/>
      <c r="S731" s="42"/>
    </row>
    <row r="732" hidden="1">
      <c r="A732" s="12"/>
      <c r="B732" s="12"/>
      <c r="C732" s="76"/>
      <c r="D732" s="83"/>
      <c r="E732" s="10"/>
      <c r="F732" s="12"/>
      <c r="G732" s="12"/>
      <c r="H732" s="17"/>
      <c r="I732" s="48"/>
      <c r="J732" s="48"/>
      <c r="K732" s="12"/>
      <c r="L732" s="80"/>
      <c r="M732" s="80"/>
      <c r="N732" s="80"/>
      <c r="O732" s="80"/>
      <c r="P732" s="80"/>
      <c r="Q732" s="80"/>
      <c r="R732" s="80"/>
      <c r="S732" s="42"/>
    </row>
    <row r="733" hidden="1">
      <c r="A733" s="12"/>
      <c r="B733" s="12"/>
      <c r="C733" s="76"/>
      <c r="D733" s="83"/>
      <c r="E733" s="10"/>
      <c r="F733" s="12"/>
      <c r="G733" s="12"/>
      <c r="H733" s="17"/>
      <c r="I733" s="48"/>
      <c r="J733" s="48"/>
      <c r="K733" s="12"/>
      <c r="L733" s="80"/>
      <c r="M733" s="80"/>
      <c r="N733" s="80"/>
      <c r="O733" s="80"/>
      <c r="P733" s="80"/>
      <c r="Q733" s="80"/>
      <c r="R733" s="80"/>
      <c r="S733" s="42"/>
    </row>
    <row r="734" hidden="1">
      <c r="A734" s="12"/>
      <c r="B734" s="12"/>
      <c r="C734" s="76"/>
      <c r="D734" s="83"/>
      <c r="E734" s="10"/>
      <c r="F734" s="12"/>
      <c r="G734" s="12"/>
      <c r="H734" s="17"/>
      <c r="I734" s="48"/>
      <c r="J734" s="48"/>
      <c r="K734" s="12"/>
      <c r="L734" s="80"/>
      <c r="M734" s="80"/>
      <c r="N734" s="80"/>
      <c r="O734" s="80"/>
      <c r="P734" s="80"/>
      <c r="Q734" s="80"/>
      <c r="R734" s="80"/>
      <c r="S734" s="42"/>
    </row>
    <row r="735" hidden="1">
      <c r="A735" s="12"/>
      <c r="B735" s="12"/>
      <c r="C735" s="76"/>
      <c r="D735" s="83"/>
      <c r="E735" s="10"/>
      <c r="F735" s="12"/>
      <c r="G735" s="12"/>
      <c r="H735" s="17"/>
      <c r="I735" s="48"/>
      <c r="J735" s="48"/>
      <c r="K735" s="12"/>
      <c r="L735" s="80"/>
      <c r="M735" s="80"/>
      <c r="N735" s="80"/>
      <c r="O735" s="80"/>
      <c r="P735" s="80"/>
      <c r="Q735" s="80"/>
      <c r="R735" s="80"/>
      <c r="S735" s="42"/>
    </row>
    <row r="736" hidden="1">
      <c r="A736" s="12"/>
      <c r="B736" s="12"/>
      <c r="C736" s="76"/>
      <c r="D736" s="83"/>
      <c r="E736" s="10"/>
      <c r="F736" s="12"/>
      <c r="G736" s="12"/>
      <c r="H736" s="17"/>
      <c r="I736" s="48"/>
      <c r="J736" s="48"/>
      <c r="K736" s="12"/>
      <c r="L736" s="80"/>
      <c r="M736" s="80"/>
      <c r="N736" s="80"/>
      <c r="O736" s="80"/>
      <c r="P736" s="80"/>
      <c r="Q736" s="80"/>
      <c r="R736" s="80"/>
      <c r="S736" s="42"/>
    </row>
    <row r="737" hidden="1">
      <c r="A737" s="12"/>
      <c r="B737" s="12"/>
      <c r="C737" s="76"/>
      <c r="D737" s="83"/>
      <c r="E737" s="10"/>
      <c r="F737" s="12"/>
      <c r="G737" s="12"/>
      <c r="H737" s="17"/>
      <c r="I737" s="48"/>
      <c r="J737" s="48"/>
      <c r="K737" s="12"/>
      <c r="L737" s="80"/>
      <c r="M737" s="80"/>
      <c r="N737" s="80"/>
      <c r="O737" s="80"/>
      <c r="P737" s="80"/>
      <c r="Q737" s="80"/>
      <c r="R737" s="80"/>
      <c r="S737" s="42"/>
    </row>
    <row r="738" hidden="1">
      <c r="A738" s="12"/>
      <c r="B738" s="12"/>
      <c r="C738" s="76"/>
      <c r="D738" s="83"/>
      <c r="E738" s="10"/>
      <c r="F738" s="12"/>
      <c r="G738" s="12"/>
      <c r="H738" s="17"/>
      <c r="I738" s="48"/>
      <c r="J738" s="48"/>
      <c r="K738" s="12"/>
      <c r="L738" s="80"/>
      <c r="M738" s="80"/>
      <c r="N738" s="80"/>
      <c r="O738" s="80"/>
      <c r="P738" s="80"/>
      <c r="Q738" s="80"/>
      <c r="R738" s="80"/>
      <c r="S738" s="42"/>
    </row>
    <row r="739" hidden="1">
      <c r="A739" s="12"/>
      <c r="B739" s="12"/>
      <c r="C739" s="76"/>
      <c r="D739" s="83"/>
      <c r="E739" s="10"/>
      <c r="F739" s="12"/>
      <c r="G739" s="12"/>
      <c r="H739" s="17"/>
      <c r="I739" s="48"/>
      <c r="J739" s="48"/>
      <c r="K739" s="12"/>
      <c r="L739" s="80"/>
      <c r="M739" s="80"/>
      <c r="N739" s="80"/>
      <c r="O739" s="80"/>
      <c r="P739" s="80"/>
      <c r="Q739" s="80"/>
      <c r="R739" s="80"/>
      <c r="S739" s="42"/>
    </row>
    <row r="740" hidden="1">
      <c r="A740" s="12"/>
      <c r="B740" s="12"/>
      <c r="C740" s="76"/>
      <c r="D740" s="83"/>
      <c r="E740" s="10"/>
      <c r="F740" s="12"/>
      <c r="G740" s="12"/>
      <c r="H740" s="17"/>
      <c r="I740" s="48"/>
      <c r="J740" s="48"/>
      <c r="K740" s="12"/>
      <c r="L740" s="80"/>
      <c r="M740" s="80"/>
      <c r="N740" s="80"/>
      <c r="O740" s="80"/>
      <c r="P740" s="80"/>
      <c r="Q740" s="80"/>
      <c r="R740" s="80"/>
      <c r="S740" s="42"/>
    </row>
    <row r="741" hidden="1">
      <c r="A741" s="12"/>
      <c r="B741" s="12"/>
      <c r="C741" s="76"/>
      <c r="D741" s="83"/>
      <c r="E741" s="10"/>
      <c r="F741" s="12"/>
      <c r="G741" s="12"/>
      <c r="H741" s="17"/>
      <c r="I741" s="48"/>
      <c r="J741" s="48"/>
      <c r="K741" s="12"/>
      <c r="L741" s="80"/>
      <c r="M741" s="80"/>
      <c r="N741" s="80"/>
      <c r="O741" s="80"/>
      <c r="P741" s="80"/>
      <c r="Q741" s="80"/>
      <c r="R741" s="80"/>
      <c r="S741" s="42"/>
    </row>
    <row r="742" hidden="1">
      <c r="A742" s="12"/>
      <c r="B742" s="12"/>
      <c r="C742" s="76"/>
      <c r="D742" s="83"/>
      <c r="E742" s="10"/>
      <c r="F742" s="12"/>
      <c r="G742" s="12"/>
      <c r="H742" s="17"/>
      <c r="I742" s="48"/>
      <c r="J742" s="48"/>
      <c r="K742" s="12"/>
      <c r="L742" s="80"/>
      <c r="M742" s="80"/>
      <c r="N742" s="80"/>
      <c r="O742" s="80"/>
      <c r="P742" s="80"/>
      <c r="Q742" s="80"/>
      <c r="R742" s="80"/>
      <c r="S742" s="42"/>
    </row>
    <row r="743" hidden="1">
      <c r="A743" s="12"/>
      <c r="B743" s="12"/>
      <c r="C743" s="76"/>
      <c r="D743" s="83"/>
      <c r="E743" s="10"/>
      <c r="F743" s="12"/>
      <c r="G743" s="12"/>
      <c r="H743" s="17"/>
      <c r="I743" s="48"/>
      <c r="J743" s="48"/>
      <c r="K743" s="12"/>
      <c r="L743" s="80"/>
      <c r="M743" s="80"/>
      <c r="N743" s="80"/>
      <c r="O743" s="80"/>
      <c r="P743" s="80"/>
      <c r="Q743" s="80"/>
      <c r="R743" s="80"/>
      <c r="S743" s="42"/>
    </row>
    <row r="744" hidden="1">
      <c r="A744" s="12"/>
      <c r="B744" s="12"/>
      <c r="C744" s="76"/>
      <c r="D744" s="83"/>
      <c r="E744" s="10"/>
      <c r="F744" s="12"/>
      <c r="G744" s="12"/>
      <c r="H744" s="17"/>
      <c r="I744" s="48"/>
      <c r="J744" s="48"/>
      <c r="K744" s="12"/>
      <c r="L744" s="80"/>
      <c r="M744" s="80"/>
      <c r="N744" s="80"/>
      <c r="O744" s="80"/>
      <c r="P744" s="80"/>
      <c r="Q744" s="80"/>
      <c r="R744" s="80"/>
      <c r="S744" s="42"/>
    </row>
    <row r="745" hidden="1">
      <c r="A745" s="12"/>
      <c r="B745" s="12"/>
      <c r="C745" s="76"/>
      <c r="D745" s="83"/>
      <c r="E745" s="10"/>
      <c r="F745" s="12"/>
      <c r="G745" s="12"/>
      <c r="H745" s="17"/>
      <c r="I745" s="48"/>
      <c r="J745" s="48"/>
      <c r="K745" s="12"/>
      <c r="L745" s="80"/>
      <c r="M745" s="80"/>
      <c r="N745" s="80"/>
      <c r="O745" s="80"/>
      <c r="P745" s="80"/>
      <c r="Q745" s="80"/>
      <c r="R745" s="80"/>
      <c r="S745" s="42"/>
    </row>
    <row r="746" hidden="1">
      <c r="A746" s="12"/>
      <c r="B746" s="12"/>
      <c r="C746" s="76"/>
      <c r="D746" s="83"/>
      <c r="E746" s="10"/>
      <c r="F746" s="12"/>
      <c r="G746" s="12"/>
      <c r="H746" s="17"/>
      <c r="I746" s="48"/>
      <c r="J746" s="48"/>
      <c r="K746" s="12"/>
      <c r="L746" s="80"/>
      <c r="M746" s="80"/>
      <c r="N746" s="80"/>
      <c r="O746" s="80"/>
      <c r="P746" s="80"/>
      <c r="Q746" s="80"/>
      <c r="R746" s="80"/>
      <c r="S746" s="42"/>
    </row>
    <row r="747" hidden="1">
      <c r="A747" s="12"/>
      <c r="B747" s="12"/>
      <c r="C747" s="76"/>
      <c r="D747" s="83"/>
      <c r="E747" s="10"/>
      <c r="F747" s="12"/>
      <c r="G747" s="12"/>
      <c r="H747" s="17"/>
      <c r="I747" s="48"/>
      <c r="J747" s="48"/>
      <c r="K747" s="12"/>
      <c r="L747" s="80"/>
      <c r="M747" s="80"/>
      <c r="N747" s="80"/>
      <c r="O747" s="80"/>
      <c r="P747" s="80"/>
      <c r="Q747" s="80"/>
      <c r="R747" s="80"/>
      <c r="S747" s="42"/>
    </row>
    <row r="748" hidden="1">
      <c r="A748" s="12"/>
      <c r="B748" s="12"/>
      <c r="C748" s="76"/>
      <c r="D748" s="83"/>
      <c r="E748" s="10"/>
      <c r="F748" s="12"/>
      <c r="G748" s="12"/>
      <c r="H748" s="17"/>
      <c r="I748" s="48"/>
      <c r="J748" s="48"/>
      <c r="K748" s="12"/>
      <c r="L748" s="80"/>
      <c r="M748" s="80"/>
      <c r="N748" s="80"/>
      <c r="O748" s="80"/>
      <c r="P748" s="80"/>
      <c r="Q748" s="80"/>
      <c r="R748" s="80"/>
      <c r="S748" s="42"/>
    </row>
    <row r="749" hidden="1">
      <c r="A749" s="12"/>
      <c r="B749" s="12"/>
      <c r="C749" s="76"/>
      <c r="D749" s="83"/>
      <c r="E749" s="10"/>
      <c r="F749" s="12"/>
      <c r="G749" s="12"/>
      <c r="H749" s="17"/>
      <c r="I749" s="48"/>
      <c r="J749" s="48"/>
      <c r="K749" s="12"/>
      <c r="L749" s="80"/>
      <c r="M749" s="80"/>
      <c r="N749" s="80"/>
      <c r="O749" s="80"/>
      <c r="P749" s="80"/>
      <c r="Q749" s="80"/>
      <c r="R749" s="80"/>
      <c r="S749" s="42"/>
    </row>
    <row r="750" hidden="1">
      <c r="A750" s="12"/>
      <c r="B750" s="12"/>
      <c r="C750" s="76"/>
      <c r="D750" s="83"/>
      <c r="E750" s="10"/>
      <c r="F750" s="12"/>
      <c r="G750" s="12"/>
      <c r="H750" s="17"/>
      <c r="I750" s="48"/>
      <c r="J750" s="48"/>
      <c r="K750" s="12"/>
      <c r="L750" s="80"/>
      <c r="M750" s="80"/>
      <c r="N750" s="80"/>
      <c r="O750" s="80"/>
      <c r="P750" s="80"/>
      <c r="Q750" s="80"/>
      <c r="R750" s="80"/>
      <c r="S750" s="42"/>
    </row>
    <row r="751" hidden="1">
      <c r="A751" s="12"/>
      <c r="B751" s="12"/>
      <c r="C751" s="76"/>
      <c r="D751" s="83"/>
      <c r="E751" s="10"/>
      <c r="F751" s="12"/>
      <c r="G751" s="12"/>
      <c r="H751" s="17"/>
      <c r="I751" s="48"/>
      <c r="J751" s="48"/>
      <c r="K751" s="12"/>
      <c r="L751" s="80"/>
      <c r="M751" s="80"/>
      <c r="N751" s="80"/>
      <c r="O751" s="80"/>
      <c r="P751" s="80"/>
      <c r="Q751" s="80"/>
      <c r="R751" s="80"/>
      <c r="S751" s="42"/>
    </row>
    <row r="752" hidden="1">
      <c r="A752" s="12"/>
      <c r="B752" s="12"/>
      <c r="C752" s="76"/>
      <c r="D752" s="83"/>
      <c r="E752" s="10"/>
      <c r="F752" s="12"/>
      <c r="G752" s="12"/>
      <c r="H752" s="17"/>
      <c r="I752" s="48"/>
      <c r="J752" s="48"/>
      <c r="K752" s="12"/>
      <c r="L752" s="80"/>
      <c r="M752" s="80"/>
      <c r="N752" s="80"/>
      <c r="O752" s="80"/>
      <c r="P752" s="80"/>
      <c r="Q752" s="80"/>
      <c r="R752" s="80"/>
      <c r="S752" s="42"/>
    </row>
    <row r="753" hidden="1">
      <c r="A753" s="12"/>
      <c r="B753" s="12"/>
      <c r="C753" s="76"/>
      <c r="D753" s="83"/>
      <c r="E753" s="10"/>
      <c r="F753" s="12"/>
      <c r="G753" s="12"/>
      <c r="H753" s="17"/>
      <c r="I753" s="48"/>
      <c r="J753" s="48"/>
      <c r="K753" s="12"/>
      <c r="L753" s="80"/>
      <c r="M753" s="80"/>
      <c r="N753" s="80"/>
      <c r="O753" s="80"/>
      <c r="P753" s="80"/>
      <c r="Q753" s="80"/>
      <c r="R753" s="80"/>
      <c r="S753" s="42"/>
    </row>
    <row r="754" hidden="1">
      <c r="A754" s="12"/>
      <c r="B754" s="12"/>
      <c r="C754" s="76"/>
      <c r="D754" s="83"/>
      <c r="E754" s="10"/>
      <c r="F754" s="12"/>
      <c r="G754" s="12"/>
      <c r="H754" s="17"/>
      <c r="I754" s="48"/>
      <c r="J754" s="48"/>
      <c r="K754" s="12"/>
      <c r="L754" s="80"/>
      <c r="M754" s="80"/>
      <c r="N754" s="80"/>
      <c r="O754" s="80"/>
      <c r="P754" s="80"/>
      <c r="Q754" s="80"/>
      <c r="R754" s="80"/>
      <c r="S754" s="42"/>
    </row>
    <row r="755" hidden="1">
      <c r="A755" s="12"/>
      <c r="B755" s="12"/>
      <c r="C755" s="76"/>
      <c r="D755" s="83"/>
      <c r="E755" s="10"/>
      <c r="F755" s="12"/>
      <c r="G755" s="12"/>
      <c r="H755" s="17"/>
      <c r="I755" s="48"/>
      <c r="J755" s="48"/>
      <c r="K755" s="12"/>
      <c r="L755" s="80"/>
      <c r="M755" s="80"/>
      <c r="N755" s="80"/>
      <c r="O755" s="80"/>
      <c r="P755" s="80"/>
      <c r="Q755" s="80"/>
      <c r="R755" s="80"/>
      <c r="S755" s="42"/>
    </row>
    <row r="756" hidden="1">
      <c r="A756" s="12"/>
      <c r="B756" s="12"/>
      <c r="C756" s="76"/>
      <c r="D756" s="83"/>
      <c r="E756" s="10"/>
      <c r="F756" s="12"/>
      <c r="G756" s="12"/>
      <c r="H756" s="17"/>
      <c r="I756" s="48"/>
      <c r="J756" s="48"/>
      <c r="K756" s="12"/>
      <c r="L756" s="80"/>
      <c r="M756" s="80"/>
      <c r="N756" s="80"/>
      <c r="O756" s="80"/>
      <c r="P756" s="80"/>
      <c r="Q756" s="80"/>
      <c r="R756" s="80"/>
      <c r="S756" s="42"/>
    </row>
    <row r="757" hidden="1">
      <c r="A757" s="12"/>
      <c r="B757" s="12"/>
      <c r="C757" s="76"/>
      <c r="D757" s="83"/>
      <c r="E757" s="10"/>
      <c r="F757" s="12"/>
      <c r="G757" s="12"/>
      <c r="H757" s="17"/>
      <c r="I757" s="48"/>
      <c r="J757" s="48"/>
      <c r="K757" s="12"/>
      <c r="L757" s="80"/>
      <c r="M757" s="80"/>
      <c r="N757" s="80"/>
      <c r="O757" s="80"/>
      <c r="P757" s="80"/>
      <c r="Q757" s="80"/>
      <c r="R757" s="80"/>
      <c r="S757" s="42"/>
    </row>
    <row r="758" hidden="1">
      <c r="A758" s="12"/>
      <c r="B758" s="12"/>
      <c r="C758" s="76"/>
      <c r="D758" s="83"/>
      <c r="E758" s="10"/>
      <c r="F758" s="12"/>
      <c r="G758" s="12"/>
      <c r="H758" s="17"/>
      <c r="I758" s="48"/>
      <c r="J758" s="48"/>
      <c r="K758" s="12"/>
      <c r="L758" s="80"/>
      <c r="M758" s="80"/>
      <c r="N758" s="80"/>
      <c r="O758" s="80"/>
      <c r="P758" s="80"/>
      <c r="Q758" s="80"/>
      <c r="R758" s="80"/>
      <c r="S758" s="42"/>
    </row>
    <row r="759" hidden="1">
      <c r="A759" s="12"/>
      <c r="B759" s="12"/>
      <c r="C759" s="76"/>
      <c r="D759" s="83"/>
      <c r="E759" s="10"/>
      <c r="F759" s="12"/>
      <c r="G759" s="12"/>
      <c r="H759" s="17"/>
      <c r="I759" s="48"/>
      <c r="J759" s="48"/>
      <c r="K759" s="12"/>
      <c r="L759" s="80"/>
      <c r="M759" s="80"/>
      <c r="N759" s="80"/>
      <c r="O759" s="80"/>
      <c r="P759" s="80"/>
      <c r="Q759" s="80"/>
      <c r="R759" s="80"/>
      <c r="S759" s="42"/>
    </row>
    <row r="760" hidden="1">
      <c r="A760" s="12"/>
      <c r="B760" s="12"/>
      <c r="C760" s="76"/>
      <c r="D760" s="83"/>
      <c r="E760" s="10"/>
      <c r="F760" s="12"/>
      <c r="G760" s="12"/>
      <c r="H760" s="17"/>
      <c r="I760" s="48"/>
      <c r="J760" s="48"/>
      <c r="K760" s="12"/>
      <c r="L760" s="80"/>
      <c r="M760" s="80"/>
      <c r="N760" s="80"/>
      <c r="O760" s="80"/>
      <c r="P760" s="80"/>
      <c r="Q760" s="80"/>
      <c r="R760" s="80"/>
      <c r="S760" s="42"/>
    </row>
    <row r="761" hidden="1">
      <c r="A761" s="12"/>
      <c r="B761" s="12"/>
      <c r="C761" s="76"/>
      <c r="D761" s="83"/>
      <c r="E761" s="10"/>
      <c r="F761" s="12"/>
      <c r="G761" s="12"/>
      <c r="H761" s="17"/>
      <c r="I761" s="48"/>
      <c r="J761" s="48"/>
      <c r="K761" s="12"/>
      <c r="L761" s="80"/>
      <c r="M761" s="80"/>
      <c r="N761" s="80"/>
      <c r="O761" s="80"/>
      <c r="P761" s="80"/>
      <c r="Q761" s="80"/>
      <c r="R761" s="80"/>
      <c r="S761" s="42"/>
    </row>
    <row r="762" hidden="1">
      <c r="A762" s="12"/>
      <c r="B762" s="12"/>
      <c r="C762" s="76"/>
      <c r="D762" s="83"/>
      <c r="E762" s="10"/>
      <c r="F762" s="12"/>
      <c r="G762" s="12"/>
      <c r="H762" s="17"/>
      <c r="I762" s="48"/>
      <c r="J762" s="48"/>
      <c r="K762" s="12"/>
      <c r="L762" s="80"/>
      <c r="M762" s="80"/>
      <c r="N762" s="80"/>
      <c r="O762" s="80"/>
      <c r="P762" s="80"/>
      <c r="Q762" s="80"/>
      <c r="R762" s="80"/>
      <c r="S762" s="42"/>
    </row>
    <row r="763" hidden="1">
      <c r="A763" s="12"/>
      <c r="B763" s="12"/>
      <c r="C763" s="76"/>
      <c r="D763" s="83"/>
      <c r="E763" s="10"/>
      <c r="F763" s="12"/>
      <c r="G763" s="12"/>
      <c r="H763" s="17"/>
      <c r="I763" s="48"/>
      <c r="J763" s="48"/>
      <c r="K763" s="12"/>
      <c r="L763" s="80"/>
      <c r="M763" s="80"/>
      <c r="N763" s="80"/>
      <c r="O763" s="80"/>
      <c r="P763" s="80"/>
      <c r="Q763" s="80"/>
      <c r="R763" s="80"/>
      <c r="S763" s="42"/>
    </row>
    <row r="764" hidden="1">
      <c r="A764" s="12"/>
      <c r="B764" s="12"/>
      <c r="C764" s="76"/>
      <c r="D764" s="83"/>
      <c r="E764" s="10"/>
      <c r="F764" s="12"/>
      <c r="G764" s="12"/>
      <c r="H764" s="17"/>
      <c r="I764" s="48"/>
      <c r="J764" s="48"/>
      <c r="K764" s="12"/>
      <c r="L764" s="80"/>
      <c r="M764" s="80"/>
      <c r="N764" s="80"/>
      <c r="O764" s="80"/>
      <c r="P764" s="80"/>
      <c r="Q764" s="80"/>
      <c r="R764" s="80"/>
      <c r="S764" s="42"/>
    </row>
    <row r="765" hidden="1">
      <c r="A765" s="12"/>
      <c r="B765" s="12"/>
      <c r="C765" s="76"/>
      <c r="D765" s="83"/>
      <c r="E765" s="10"/>
      <c r="F765" s="12"/>
      <c r="G765" s="12"/>
      <c r="H765" s="17"/>
      <c r="I765" s="48"/>
      <c r="J765" s="48"/>
      <c r="K765" s="12"/>
      <c r="L765" s="80"/>
      <c r="M765" s="80"/>
      <c r="N765" s="80"/>
      <c r="O765" s="80"/>
      <c r="P765" s="80"/>
      <c r="Q765" s="80"/>
      <c r="R765" s="80"/>
      <c r="S765" s="42"/>
    </row>
    <row r="766" hidden="1">
      <c r="A766" s="12"/>
      <c r="B766" s="12"/>
      <c r="C766" s="76"/>
      <c r="D766" s="83"/>
      <c r="E766" s="10"/>
      <c r="F766" s="12"/>
      <c r="G766" s="12"/>
      <c r="H766" s="17"/>
      <c r="I766" s="48"/>
      <c r="J766" s="48"/>
      <c r="K766" s="12"/>
      <c r="L766" s="80"/>
      <c r="M766" s="80"/>
      <c r="N766" s="80"/>
      <c r="O766" s="80"/>
      <c r="P766" s="80"/>
      <c r="Q766" s="80"/>
      <c r="R766" s="80"/>
      <c r="S766" s="42"/>
    </row>
    <row r="767" hidden="1">
      <c r="A767" s="12"/>
      <c r="B767" s="12"/>
      <c r="C767" s="76"/>
      <c r="D767" s="83"/>
      <c r="E767" s="10"/>
      <c r="F767" s="12"/>
      <c r="G767" s="12"/>
      <c r="H767" s="17"/>
      <c r="I767" s="48"/>
      <c r="J767" s="48"/>
      <c r="K767" s="12"/>
      <c r="L767" s="80"/>
      <c r="M767" s="80"/>
      <c r="N767" s="80"/>
      <c r="O767" s="80"/>
      <c r="P767" s="80"/>
      <c r="Q767" s="80"/>
      <c r="R767" s="80"/>
      <c r="S767" s="42"/>
    </row>
    <row r="768" hidden="1">
      <c r="A768" s="12"/>
      <c r="B768" s="12"/>
      <c r="C768" s="76"/>
      <c r="D768" s="83"/>
      <c r="E768" s="10"/>
      <c r="F768" s="12"/>
      <c r="G768" s="12"/>
      <c r="H768" s="17"/>
      <c r="I768" s="48"/>
      <c r="J768" s="48"/>
      <c r="K768" s="12"/>
      <c r="L768" s="80"/>
      <c r="M768" s="80"/>
      <c r="N768" s="80"/>
      <c r="O768" s="80"/>
      <c r="P768" s="80"/>
      <c r="Q768" s="80"/>
      <c r="R768" s="80"/>
      <c r="S768" s="42"/>
    </row>
    <row r="769" hidden="1">
      <c r="A769" s="12"/>
      <c r="B769" s="12"/>
      <c r="C769" s="76"/>
      <c r="D769" s="83"/>
      <c r="E769" s="10"/>
      <c r="F769" s="12"/>
      <c r="G769" s="12"/>
      <c r="H769" s="17"/>
      <c r="I769" s="48"/>
      <c r="J769" s="48"/>
      <c r="K769" s="12"/>
      <c r="L769" s="80"/>
      <c r="M769" s="80"/>
      <c r="N769" s="80"/>
      <c r="O769" s="80"/>
      <c r="P769" s="80"/>
      <c r="Q769" s="80"/>
      <c r="R769" s="80"/>
      <c r="S769" s="42"/>
    </row>
    <row r="770" hidden="1">
      <c r="A770" s="12"/>
      <c r="B770" s="12"/>
      <c r="C770" s="76"/>
      <c r="D770" s="83"/>
      <c r="E770" s="10"/>
      <c r="F770" s="12"/>
      <c r="G770" s="12"/>
      <c r="H770" s="17"/>
      <c r="I770" s="48"/>
      <c r="J770" s="48"/>
      <c r="K770" s="12"/>
      <c r="L770" s="80"/>
      <c r="M770" s="80"/>
      <c r="N770" s="80"/>
      <c r="O770" s="80"/>
      <c r="P770" s="80"/>
      <c r="Q770" s="80"/>
      <c r="R770" s="80"/>
      <c r="S770" s="42"/>
    </row>
    <row r="771" hidden="1">
      <c r="A771" s="12"/>
      <c r="B771" s="12"/>
      <c r="C771" s="76"/>
      <c r="D771" s="83"/>
      <c r="E771" s="10"/>
      <c r="F771" s="12"/>
      <c r="G771" s="12"/>
      <c r="H771" s="17"/>
      <c r="I771" s="48"/>
      <c r="J771" s="48"/>
      <c r="K771" s="12"/>
      <c r="L771" s="80"/>
      <c r="M771" s="80"/>
      <c r="N771" s="80"/>
      <c r="O771" s="80"/>
      <c r="P771" s="80"/>
      <c r="Q771" s="80"/>
      <c r="R771" s="80"/>
      <c r="S771" s="42"/>
    </row>
    <row r="772" hidden="1">
      <c r="A772" s="12"/>
      <c r="B772" s="12"/>
      <c r="C772" s="76"/>
      <c r="D772" s="83"/>
      <c r="E772" s="10"/>
      <c r="F772" s="12"/>
      <c r="G772" s="12"/>
      <c r="H772" s="17"/>
      <c r="I772" s="48"/>
      <c r="J772" s="48"/>
      <c r="K772" s="12"/>
      <c r="L772" s="80"/>
      <c r="M772" s="80"/>
      <c r="N772" s="80"/>
      <c r="O772" s="80"/>
      <c r="P772" s="80"/>
      <c r="Q772" s="80"/>
      <c r="R772" s="80"/>
      <c r="S772" s="42"/>
    </row>
    <row r="773" hidden="1">
      <c r="A773" s="12"/>
      <c r="B773" s="12"/>
      <c r="C773" s="76"/>
      <c r="D773" s="83"/>
      <c r="E773" s="10"/>
      <c r="F773" s="12"/>
      <c r="G773" s="12"/>
      <c r="H773" s="17"/>
      <c r="I773" s="48"/>
      <c r="J773" s="48"/>
      <c r="K773" s="12"/>
      <c r="L773" s="80"/>
      <c r="M773" s="80"/>
      <c r="N773" s="80"/>
      <c r="O773" s="80"/>
      <c r="P773" s="80"/>
      <c r="Q773" s="80"/>
      <c r="R773" s="80"/>
      <c r="S773" s="42"/>
    </row>
    <row r="774" hidden="1">
      <c r="A774" s="12"/>
      <c r="B774" s="12"/>
      <c r="C774" s="76"/>
      <c r="D774" s="83"/>
      <c r="E774" s="10"/>
      <c r="F774" s="12"/>
      <c r="G774" s="12"/>
      <c r="H774" s="17"/>
      <c r="I774" s="48"/>
      <c r="J774" s="48"/>
      <c r="K774" s="12"/>
      <c r="L774" s="80"/>
      <c r="M774" s="80"/>
      <c r="N774" s="80"/>
      <c r="O774" s="80"/>
      <c r="P774" s="80"/>
      <c r="Q774" s="80"/>
      <c r="R774" s="80"/>
      <c r="S774" s="42"/>
    </row>
    <row r="775" hidden="1">
      <c r="A775" s="12"/>
      <c r="B775" s="12"/>
      <c r="C775" s="76"/>
      <c r="D775" s="83"/>
      <c r="E775" s="10"/>
      <c r="F775" s="12"/>
      <c r="G775" s="12"/>
      <c r="H775" s="17"/>
      <c r="I775" s="48"/>
      <c r="J775" s="48"/>
      <c r="K775" s="12"/>
      <c r="L775" s="80"/>
      <c r="M775" s="80"/>
      <c r="N775" s="80"/>
      <c r="O775" s="80"/>
      <c r="P775" s="80"/>
      <c r="Q775" s="80"/>
      <c r="R775" s="80"/>
      <c r="S775" s="42"/>
    </row>
    <row r="776" hidden="1">
      <c r="A776" s="12"/>
      <c r="B776" s="12"/>
      <c r="C776" s="76"/>
      <c r="D776" s="83"/>
      <c r="E776" s="10"/>
      <c r="F776" s="12"/>
      <c r="G776" s="12"/>
      <c r="H776" s="17"/>
      <c r="I776" s="48"/>
      <c r="J776" s="48"/>
      <c r="K776" s="12"/>
      <c r="L776" s="80"/>
      <c r="M776" s="80"/>
      <c r="N776" s="80"/>
      <c r="O776" s="80"/>
      <c r="P776" s="80"/>
      <c r="Q776" s="80"/>
      <c r="R776" s="80"/>
      <c r="S776" s="42"/>
    </row>
    <row r="777" hidden="1">
      <c r="A777" s="12"/>
      <c r="B777" s="12"/>
      <c r="C777" s="76"/>
      <c r="D777" s="83"/>
      <c r="E777" s="10"/>
      <c r="F777" s="12"/>
      <c r="G777" s="12"/>
      <c r="H777" s="17"/>
      <c r="I777" s="48"/>
      <c r="J777" s="48"/>
      <c r="K777" s="12"/>
      <c r="L777" s="80"/>
      <c r="M777" s="80"/>
      <c r="N777" s="80"/>
      <c r="O777" s="80"/>
      <c r="P777" s="80"/>
      <c r="Q777" s="80"/>
      <c r="R777" s="80"/>
      <c r="S777" s="42"/>
    </row>
    <row r="778" hidden="1">
      <c r="A778" s="12"/>
      <c r="B778" s="12"/>
      <c r="C778" s="76"/>
      <c r="D778" s="83"/>
      <c r="E778" s="10"/>
      <c r="F778" s="12"/>
      <c r="G778" s="12"/>
      <c r="H778" s="17"/>
      <c r="I778" s="48"/>
      <c r="J778" s="48"/>
      <c r="K778" s="12"/>
      <c r="L778" s="80"/>
      <c r="M778" s="80"/>
      <c r="N778" s="80"/>
      <c r="O778" s="80"/>
      <c r="P778" s="80"/>
      <c r="Q778" s="80"/>
      <c r="R778" s="80"/>
      <c r="S778" s="42"/>
    </row>
    <row r="779" hidden="1">
      <c r="A779" s="12"/>
      <c r="B779" s="12"/>
      <c r="C779" s="76"/>
      <c r="D779" s="83"/>
      <c r="E779" s="10"/>
      <c r="F779" s="12"/>
      <c r="G779" s="12"/>
      <c r="H779" s="17"/>
      <c r="I779" s="48"/>
      <c r="J779" s="48"/>
      <c r="K779" s="12"/>
      <c r="L779" s="80"/>
      <c r="M779" s="80"/>
      <c r="N779" s="80"/>
      <c r="O779" s="80"/>
      <c r="P779" s="80"/>
      <c r="Q779" s="80"/>
      <c r="R779" s="80"/>
      <c r="S779" s="42"/>
    </row>
    <row r="780" hidden="1">
      <c r="A780" s="12"/>
      <c r="B780" s="12"/>
      <c r="C780" s="76"/>
      <c r="D780" s="83"/>
      <c r="E780" s="10"/>
      <c r="F780" s="12"/>
      <c r="G780" s="12"/>
      <c r="H780" s="17"/>
      <c r="I780" s="48"/>
      <c r="J780" s="48"/>
      <c r="K780" s="12"/>
      <c r="L780" s="80"/>
      <c r="M780" s="80"/>
      <c r="N780" s="80"/>
      <c r="O780" s="80"/>
      <c r="P780" s="80"/>
      <c r="Q780" s="80"/>
      <c r="R780" s="80"/>
      <c r="S780" s="42"/>
    </row>
    <row r="781" hidden="1">
      <c r="A781" s="12"/>
      <c r="B781" s="12"/>
      <c r="C781" s="76"/>
      <c r="D781" s="83"/>
      <c r="E781" s="10"/>
      <c r="F781" s="12"/>
      <c r="G781" s="12"/>
      <c r="H781" s="17"/>
      <c r="I781" s="48"/>
      <c r="J781" s="48"/>
      <c r="K781" s="12"/>
      <c r="L781" s="80"/>
      <c r="M781" s="80"/>
      <c r="N781" s="80"/>
      <c r="O781" s="80"/>
      <c r="P781" s="80"/>
      <c r="Q781" s="80"/>
      <c r="R781" s="80"/>
      <c r="S781" s="42"/>
    </row>
    <row r="782" hidden="1">
      <c r="A782" s="12"/>
      <c r="B782" s="12"/>
      <c r="C782" s="76"/>
      <c r="D782" s="83"/>
      <c r="E782" s="10"/>
      <c r="F782" s="12"/>
      <c r="G782" s="12"/>
      <c r="H782" s="17"/>
      <c r="I782" s="48"/>
      <c r="J782" s="48"/>
      <c r="K782" s="12"/>
      <c r="L782" s="80"/>
      <c r="M782" s="80"/>
      <c r="N782" s="80"/>
      <c r="O782" s="80"/>
      <c r="P782" s="80"/>
      <c r="Q782" s="80"/>
      <c r="R782" s="80"/>
      <c r="S782" s="42"/>
    </row>
    <row r="783" hidden="1">
      <c r="A783" s="12"/>
      <c r="B783" s="12"/>
      <c r="C783" s="76"/>
      <c r="D783" s="83"/>
      <c r="E783" s="10"/>
      <c r="F783" s="12"/>
      <c r="G783" s="12"/>
      <c r="H783" s="17"/>
      <c r="I783" s="48"/>
      <c r="J783" s="48"/>
      <c r="K783" s="12"/>
      <c r="L783" s="80"/>
      <c r="M783" s="80"/>
      <c r="N783" s="80"/>
      <c r="O783" s="80"/>
      <c r="P783" s="80"/>
      <c r="Q783" s="80"/>
      <c r="R783" s="80"/>
      <c r="S783" s="42"/>
    </row>
    <row r="784" hidden="1">
      <c r="A784" s="12"/>
      <c r="B784" s="12"/>
      <c r="C784" s="76"/>
      <c r="D784" s="83"/>
      <c r="E784" s="10"/>
      <c r="F784" s="12"/>
      <c r="G784" s="12"/>
      <c r="H784" s="17"/>
      <c r="I784" s="48"/>
      <c r="J784" s="48"/>
      <c r="K784" s="12"/>
      <c r="L784" s="80"/>
      <c r="M784" s="80"/>
      <c r="N784" s="80"/>
      <c r="O784" s="80"/>
      <c r="P784" s="80"/>
      <c r="Q784" s="80"/>
      <c r="R784" s="80"/>
      <c r="S784" s="42"/>
    </row>
    <row r="785" hidden="1">
      <c r="A785" s="12"/>
      <c r="B785" s="12"/>
      <c r="C785" s="76"/>
      <c r="D785" s="83"/>
      <c r="E785" s="10"/>
      <c r="F785" s="12"/>
      <c r="G785" s="12"/>
      <c r="H785" s="17"/>
      <c r="I785" s="48"/>
      <c r="J785" s="48"/>
      <c r="K785" s="12"/>
      <c r="L785" s="80"/>
      <c r="M785" s="80"/>
      <c r="N785" s="80"/>
      <c r="O785" s="80"/>
      <c r="P785" s="80"/>
      <c r="Q785" s="80"/>
      <c r="R785" s="80"/>
      <c r="S785" s="42"/>
    </row>
    <row r="786" hidden="1">
      <c r="A786" s="12"/>
      <c r="B786" s="12"/>
      <c r="C786" s="76"/>
      <c r="D786" s="83"/>
      <c r="E786" s="10"/>
      <c r="F786" s="12"/>
      <c r="G786" s="12"/>
      <c r="H786" s="17"/>
      <c r="I786" s="48"/>
      <c r="J786" s="48"/>
      <c r="K786" s="12"/>
      <c r="L786" s="80"/>
      <c r="M786" s="80"/>
      <c r="N786" s="80"/>
      <c r="O786" s="80"/>
      <c r="P786" s="80"/>
      <c r="Q786" s="80"/>
      <c r="R786" s="80"/>
      <c r="S786" s="42"/>
    </row>
    <row r="787" hidden="1">
      <c r="A787" s="12"/>
      <c r="B787" s="12"/>
      <c r="C787" s="76"/>
      <c r="D787" s="83"/>
      <c r="E787" s="10"/>
      <c r="F787" s="12"/>
      <c r="G787" s="12"/>
      <c r="H787" s="17"/>
      <c r="I787" s="48"/>
      <c r="J787" s="48"/>
      <c r="K787" s="12"/>
      <c r="L787" s="80"/>
      <c r="M787" s="80"/>
      <c r="N787" s="80"/>
      <c r="O787" s="80"/>
      <c r="P787" s="80"/>
      <c r="Q787" s="80"/>
      <c r="R787" s="80"/>
      <c r="S787" s="42"/>
    </row>
    <row r="788" hidden="1">
      <c r="A788" s="12"/>
      <c r="B788" s="12"/>
      <c r="C788" s="76"/>
      <c r="D788" s="83"/>
      <c r="E788" s="10"/>
      <c r="F788" s="12"/>
      <c r="G788" s="12"/>
      <c r="H788" s="17"/>
      <c r="I788" s="48"/>
      <c r="J788" s="48"/>
      <c r="K788" s="12"/>
      <c r="L788" s="80"/>
      <c r="M788" s="80"/>
      <c r="N788" s="80"/>
      <c r="O788" s="80"/>
      <c r="P788" s="80"/>
      <c r="Q788" s="80"/>
      <c r="R788" s="80"/>
      <c r="S788" s="42"/>
    </row>
    <row r="789" hidden="1">
      <c r="A789" s="12"/>
      <c r="B789" s="12"/>
      <c r="C789" s="76"/>
      <c r="D789" s="83"/>
      <c r="E789" s="10"/>
      <c r="F789" s="12"/>
      <c r="G789" s="12"/>
      <c r="H789" s="17"/>
      <c r="I789" s="48"/>
      <c r="J789" s="48"/>
      <c r="K789" s="12"/>
      <c r="L789" s="80"/>
      <c r="M789" s="80"/>
      <c r="N789" s="80"/>
      <c r="O789" s="80"/>
      <c r="P789" s="80"/>
      <c r="Q789" s="80"/>
      <c r="R789" s="80"/>
      <c r="S789" s="42"/>
    </row>
    <row r="790" hidden="1">
      <c r="A790" s="12"/>
      <c r="B790" s="12"/>
      <c r="C790" s="76"/>
      <c r="D790" s="83"/>
      <c r="E790" s="10"/>
      <c r="F790" s="12"/>
      <c r="G790" s="12"/>
      <c r="H790" s="17"/>
      <c r="I790" s="48"/>
      <c r="J790" s="48"/>
      <c r="K790" s="12"/>
      <c r="L790" s="80"/>
      <c r="M790" s="80"/>
      <c r="N790" s="80"/>
      <c r="O790" s="80"/>
      <c r="P790" s="80"/>
      <c r="Q790" s="80"/>
      <c r="R790" s="80"/>
      <c r="S790" s="42"/>
    </row>
    <row r="791" hidden="1">
      <c r="A791" s="12"/>
      <c r="B791" s="12"/>
      <c r="C791" s="76"/>
      <c r="D791" s="83"/>
      <c r="E791" s="10"/>
      <c r="F791" s="12"/>
      <c r="G791" s="12"/>
      <c r="H791" s="17"/>
      <c r="I791" s="48"/>
      <c r="J791" s="48"/>
      <c r="K791" s="12"/>
      <c r="L791" s="80"/>
      <c r="M791" s="80"/>
      <c r="N791" s="80"/>
      <c r="O791" s="80"/>
      <c r="P791" s="80"/>
      <c r="Q791" s="80"/>
      <c r="R791" s="80"/>
      <c r="S791" s="42"/>
    </row>
    <row r="792" hidden="1">
      <c r="A792" s="12"/>
      <c r="B792" s="12"/>
      <c r="C792" s="76"/>
      <c r="D792" s="83"/>
      <c r="E792" s="10"/>
      <c r="F792" s="12"/>
      <c r="G792" s="12"/>
      <c r="H792" s="17"/>
      <c r="I792" s="48"/>
      <c r="J792" s="48"/>
      <c r="K792" s="12"/>
      <c r="L792" s="80"/>
      <c r="M792" s="80"/>
      <c r="N792" s="80"/>
      <c r="O792" s="80"/>
      <c r="P792" s="80"/>
      <c r="Q792" s="80"/>
      <c r="R792" s="80"/>
      <c r="S792" s="42"/>
    </row>
    <row r="793" hidden="1">
      <c r="A793" s="12"/>
      <c r="B793" s="12"/>
      <c r="C793" s="76"/>
      <c r="D793" s="83"/>
      <c r="E793" s="10"/>
      <c r="F793" s="12"/>
      <c r="G793" s="12"/>
      <c r="H793" s="17"/>
      <c r="I793" s="48"/>
      <c r="J793" s="48"/>
      <c r="K793" s="12"/>
      <c r="L793" s="80"/>
      <c r="M793" s="80"/>
      <c r="N793" s="80"/>
      <c r="O793" s="80"/>
      <c r="P793" s="80"/>
      <c r="Q793" s="80"/>
      <c r="R793" s="80"/>
      <c r="S793" s="42"/>
    </row>
    <row r="794" hidden="1">
      <c r="A794" s="12"/>
      <c r="B794" s="12"/>
      <c r="C794" s="76"/>
      <c r="D794" s="83"/>
      <c r="E794" s="10"/>
      <c r="F794" s="12"/>
      <c r="G794" s="12"/>
      <c r="H794" s="17"/>
      <c r="I794" s="48"/>
      <c r="J794" s="48"/>
      <c r="K794" s="12"/>
      <c r="L794" s="80"/>
      <c r="M794" s="80"/>
      <c r="N794" s="80"/>
      <c r="O794" s="80"/>
      <c r="P794" s="80"/>
      <c r="Q794" s="80"/>
      <c r="R794" s="80"/>
      <c r="S794" s="42"/>
    </row>
    <row r="795" hidden="1">
      <c r="A795" s="12"/>
      <c r="B795" s="12"/>
      <c r="C795" s="76"/>
      <c r="D795" s="83"/>
      <c r="E795" s="10"/>
      <c r="F795" s="12"/>
      <c r="G795" s="12"/>
      <c r="H795" s="17"/>
      <c r="I795" s="48"/>
      <c r="J795" s="48"/>
      <c r="K795" s="12"/>
      <c r="L795" s="80"/>
      <c r="M795" s="80"/>
      <c r="N795" s="80"/>
      <c r="O795" s="80"/>
      <c r="P795" s="80"/>
      <c r="Q795" s="80"/>
      <c r="R795" s="80"/>
      <c r="S795" s="42"/>
    </row>
    <row r="796" hidden="1">
      <c r="A796" s="12"/>
      <c r="B796" s="12"/>
      <c r="C796" s="76"/>
      <c r="D796" s="83"/>
      <c r="E796" s="10"/>
      <c r="F796" s="12"/>
      <c r="G796" s="12"/>
      <c r="H796" s="17"/>
      <c r="I796" s="48"/>
      <c r="J796" s="48"/>
      <c r="K796" s="12"/>
      <c r="L796" s="80"/>
      <c r="M796" s="80"/>
      <c r="N796" s="80"/>
      <c r="O796" s="80"/>
      <c r="P796" s="80"/>
      <c r="Q796" s="80"/>
      <c r="R796" s="80"/>
      <c r="S796" s="42"/>
    </row>
    <row r="797" hidden="1">
      <c r="A797" s="12"/>
      <c r="B797" s="12"/>
      <c r="C797" s="76"/>
      <c r="D797" s="83"/>
      <c r="E797" s="10"/>
      <c r="F797" s="12"/>
      <c r="G797" s="12"/>
      <c r="H797" s="17"/>
      <c r="I797" s="48"/>
      <c r="J797" s="48"/>
      <c r="K797" s="12"/>
      <c r="L797" s="80"/>
      <c r="M797" s="80"/>
      <c r="N797" s="80"/>
      <c r="O797" s="80"/>
      <c r="P797" s="80"/>
      <c r="Q797" s="80"/>
      <c r="R797" s="80"/>
      <c r="S797" s="42"/>
    </row>
    <row r="798" hidden="1">
      <c r="A798" s="12"/>
      <c r="B798" s="12"/>
      <c r="C798" s="76"/>
      <c r="D798" s="83"/>
      <c r="E798" s="10"/>
      <c r="F798" s="12"/>
      <c r="G798" s="12"/>
      <c r="H798" s="17"/>
      <c r="I798" s="48"/>
      <c r="J798" s="48"/>
      <c r="K798" s="12"/>
      <c r="L798" s="80"/>
      <c r="M798" s="80"/>
      <c r="N798" s="80"/>
      <c r="O798" s="80"/>
      <c r="P798" s="80"/>
      <c r="Q798" s="80"/>
      <c r="R798" s="80"/>
      <c r="S798" s="42"/>
    </row>
    <row r="799" hidden="1">
      <c r="A799" s="12"/>
      <c r="B799" s="12"/>
      <c r="C799" s="76"/>
      <c r="D799" s="83"/>
      <c r="E799" s="10"/>
      <c r="F799" s="12"/>
      <c r="G799" s="12"/>
      <c r="H799" s="17"/>
      <c r="I799" s="48"/>
      <c r="J799" s="48"/>
      <c r="K799" s="12"/>
      <c r="L799" s="80"/>
      <c r="M799" s="80"/>
      <c r="N799" s="80"/>
      <c r="O799" s="80"/>
      <c r="P799" s="80"/>
      <c r="Q799" s="80"/>
      <c r="R799" s="80"/>
      <c r="S799" s="42"/>
    </row>
    <row r="800" hidden="1">
      <c r="A800" s="12"/>
      <c r="B800" s="12"/>
      <c r="C800" s="76"/>
      <c r="D800" s="83"/>
      <c r="E800" s="10"/>
      <c r="F800" s="12"/>
      <c r="G800" s="12"/>
      <c r="H800" s="17"/>
      <c r="I800" s="48"/>
      <c r="J800" s="48"/>
      <c r="K800" s="12"/>
      <c r="L800" s="80"/>
      <c r="M800" s="80"/>
      <c r="N800" s="80"/>
      <c r="O800" s="80"/>
      <c r="P800" s="80"/>
      <c r="Q800" s="80"/>
      <c r="R800" s="80"/>
      <c r="S800" s="42"/>
    </row>
    <row r="801" hidden="1">
      <c r="A801" s="12"/>
      <c r="B801" s="12"/>
      <c r="C801" s="76"/>
      <c r="D801" s="83"/>
      <c r="E801" s="10"/>
      <c r="F801" s="12"/>
      <c r="G801" s="12"/>
      <c r="H801" s="17"/>
      <c r="I801" s="48"/>
      <c r="J801" s="48"/>
      <c r="K801" s="12"/>
      <c r="L801" s="80"/>
      <c r="M801" s="80"/>
      <c r="N801" s="80"/>
      <c r="O801" s="80"/>
      <c r="P801" s="80"/>
      <c r="Q801" s="80"/>
      <c r="R801" s="80"/>
      <c r="S801" s="42"/>
    </row>
    <row r="802" hidden="1">
      <c r="A802" s="12"/>
      <c r="B802" s="12"/>
      <c r="C802" s="76"/>
      <c r="D802" s="83"/>
      <c r="E802" s="10"/>
      <c r="F802" s="12"/>
      <c r="G802" s="12"/>
      <c r="H802" s="17"/>
      <c r="I802" s="48"/>
      <c r="J802" s="48"/>
      <c r="K802" s="12"/>
      <c r="L802" s="80"/>
      <c r="M802" s="80"/>
      <c r="N802" s="80"/>
      <c r="O802" s="80"/>
      <c r="P802" s="80"/>
      <c r="Q802" s="80"/>
      <c r="R802" s="80"/>
      <c r="S802" s="42"/>
    </row>
    <row r="803" hidden="1">
      <c r="A803" s="12"/>
      <c r="B803" s="12"/>
      <c r="C803" s="76"/>
      <c r="D803" s="83"/>
      <c r="E803" s="10"/>
      <c r="F803" s="12"/>
      <c r="G803" s="12"/>
      <c r="H803" s="17"/>
      <c r="I803" s="48"/>
      <c r="J803" s="48"/>
      <c r="K803" s="12"/>
      <c r="L803" s="80"/>
      <c r="M803" s="80"/>
      <c r="N803" s="80"/>
      <c r="O803" s="80"/>
      <c r="P803" s="80"/>
      <c r="Q803" s="80"/>
      <c r="R803" s="80"/>
      <c r="S803" s="42"/>
    </row>
    <row r="804" hidden="1">
      <c r="A804" s="12"/>
      <c r="B804" s="12"/>
      <c r="C804" s="76"/>
      <c r="D804" s="83"/>
      <c r="E804" s="10"/>
      <c r="F804" s="12"/>
      <c r="G804" s="12"/>
      <c r="H804" s="17"/>
      <c r="I804" s="48"/>
      <c r="J804" s="48"/>
      <c r="K804" s="12"/>
      <c r="L804" s="80"/>
      <c r="M804" s="80"/>
      <c r="N804" s="80"/>
      <c r="O804" s="80"/>
      <c r="P804" s="80"/>
      <c r="Q804" s="80"/>
      <c r="R804" s="80"/>
      <c r="S804" s="42"/>
    </row>
    <row r="805" hidden="1">
      <c r="A805" s="12"/>
      <c r="B805" s="12"/>
      <c r="C805" s="76"/>
      <c r="D805" s="83"/>
      <c r="E805" s="10"/>
      <c r="F805" s="12"/>
      <c r="G805" s="12"/>
      <c r="H805" s="17"/>
      <c r="I805" s="48"/>
      <c r="J805" s="48"/>
      <c r="K805" s="12"/>
      <c r="L805" s="80"/>
      <c r="M805" s="80"/>
      <c r="N805" s="80"/>
      <c r="O805" s="80"/>
      <c r="P805" s="80"/>
      <c r="Q805" s="80"/>
      <c r="R805" s="80"/>
      <c r="S805" s="42"/>
    </row>
    <row r="806" hidden="1">
      <c r="A806" s="12"/>
      <c r="B806" s="12"/>
      <c r="C806" s="76"/>
      <c r="D806" s="83"/>
      <c r="E806" s="10"/>
      <c r="F806" s="12"/>
      <c r="G806" s="12"/>
      <c r="H806" s="17"/>
      <c r="I806" s="48"/>
      <c r="J806" s="48"/>
      <c r="K806" s="12"/>
      <c r="L806" s="80"/>
      <c r="M806" s="80"/>
      <c r="N806" s="80"/>
      <c r="O806" s="80"/>
      <c r="P806" s="80"/>
      <c r="Q806" s="80"/>
      <c r="R806" s="80"/>
      <c r="S806" s="42"/>
    </row>
    <row r="807" hidden="1">
      <c r="A807" s="12"/>
      <c r="B807" s="12"/>
      <c r="C807" s="76"/>
      <c r="D807" s="83"/>
      <c r="E807" s="10"/>
      <c r="F807" s="12"/>
      <c r="G807" s="12"/>
      <c r="H807" s="17"/>
      <c r="I807" s="48"/>
      <c r="J807" s="48"/>
      <c r="K807" s="12"/>
      <c r="L807" s="80"/>
      <c r="M807" s="80"/>
      <c r="N807" s="80"/>
      <c r="O807" s="80"/>
      <c r="P807" s="80"/>
      <c r="Q807" s="80"/>
      <c r="R807" s="80"/>
      <c r="S807" s="42"/>
    </row>
    <row r="808" hidden="1">
      <c r="A808" s="12"/>
      <c r="B808" s="12"/>
      <c r="C808" s="76"/>
      <c r="D808" s="83"/>
      <c r="E808" s="10"/>
      <c r="F808" s="12"/>
      <c r="G808" s="12"/>
      <c r="H808" s="17"/>
      <c r="I808" s="48"/>
      <c r="J808" s="48"/>
      <c r="K808" s="12"/>
      <c r="L808" s="80"/>
      <c r="M808" s="80"/>
      <c r="N808" s="80"/>
      <c r="O808" s="80"/>
      <c r="P808" s="80"/>
      <c r="Q808" s="80"/>
      <c r="R808" s="80"/>
      <c r="S808" s="42"/>
    </row>
    <row r="809" hidden="1">
      <c r="A809" s="12"/>
      <c r="B809" s="12"/>
      <c r="C809" s="76"/>
      <c r="D809" s="83"/>
      <c r="E809" s="10"/>
      <c r="F809" s="12"/>
      <c r="G809" s="12"/>
      <c r="H809" s="17"/>
      <c r="I809" s="48"/>
      <c r="J809" s="48"/>
      <c r="K809" s="12"/>
      <c r="L809" s="80"/>
      <c r="M809" s="80"/>
      <c r="N809" s="80"/>
      <c r="O809" s="80"/>
      <c r="P809" s="80"/>
      <c r="Q809" s="80"/>
      <c r="R809" s="80"/>
      <c r="S809" s="42"/>
    </row>
    <row r="810" hidden="1">
      <c r="A810" s="12"/>
      <c r="B810" s="12"/>
      <c r="C810" s="76"/>
      <c r="D810" s="83"/>
      <c r="E810" s="10"/>
      <c r="F810" s="12"/>
      <c r="G810" s="12"/>
      <c r="H810" s="17"/>
      <c r="I810" s="48"/>
      <c r="J810" s="48"/>
      <c r="K810" s="12"/>
      <c r="L810" s="80"/>
      <c r="M810" s="80"/>
      <c r="N810" s="80"/>
      <c r="O810" s="80"/>
      <c r="P810" s="80"/>
      <c r="Q810" s="80"/>
      <c r="R810" s="80"/>
      <c r="S810" s="42"/>
    </row>
    <row r="811" hidden="1">
      <c r="A811" s="12"/>
      <c r="B811" s="12"/>
      <c r="C811" s="76"/>
      <c r="D811" s="83"/>
      <c r="E811" s="10"/>
      <c r="F811" s="12"/>
      <c r="G811" s="12"/>
      <c r="H811" s="17"/>
      <c r="I811" s="48"/>
      <c r="J811" s="48"/>
      <c r="K811" s="12"/>
      <c r="L811" s="80"/>
      <c r="M811" s="80"/>
      <c r="N811" s="80"/>
      <c r="O811" s="80"/>
      <c r="P811" s="80"/>
      <c r="Q811" s="80"/>
      <c r="R811" s="80"/>
      <c r="S811" s="42"/>
    </row>
    <row r="812" hidden="1">
      <c r="A812" s="12"/>
      <c r="B812" s="12"/>
      <c r="C812" s="76"/>
      <c r="D812" s="83"/>
      <c r="E812" s="10"/>
      <c r="F812" s="12"/>
      <c r="G812" s="12"/>
      <c r="H812" s="17"/>
      <c r="I812" s="48"/>
      <c r="J812" s="48"/>
      <c r="K812" s="12"/>
      <c r="L812" s="80"/>
      <c r="M812" s="80"/>
      <c r="N812" s="80"/>
      <c r="O812" s="80"/>
      <c r="P812" s="80"/>
      <c r="Q812" s="80"/>
      <c r="R812" s="80"/>
      <c r="S812" s="42"/>
    </row>
    <row r="813" hidden="1">
      <c r="A813" s="12"/>
      <c r="B813" s="12"/>
      <c r="C813" s="76"/>
      <c r="D813" s="83"/>
      <c r="E813" s="10"/>
      <c r="F813" s="12"/>
      <c r="G813" s="12"/>
      <c r="H813" s="17"/>
      <c r="I813" s="48"/>
      <c r="J813" s="48"/>
      <c r="K813" s="12"/>
      <c r="L813" s="80"/>
      <c r="M813" s="80"/>
      <c r="N813" s="80"/>
      <c r="O813" s="80"/>
      <c r="P813" s="80"/>
      <c r="Q813" s="80"/>
      <c r="R813" s="80"/>
      <c r="S813" s="42"/>
    </row>
    <row r="814" hidden="1">
      <c r="A814" s="12"/>
      <c r="B814" s="12"/>
      <c r="C814" s="76"/>
      <c r="D814" s="83"/>
      <c r="E814" s="10"/>
      <c r="F814" s="12"/>
      <c r="G814" s="12"/>
      <c r="H814" s="17"/>
      <c r="I814" s="48"/>
      <c r="J814" s="48"/>
      <c r="K814" s="12"/>
      <c r="L814" s="80"/>
      <c r="M814" s="80"/>
      <c r="N814" s="80"/>
      <c r="O814" s="80"/>
      <c r="P814" s="80"/>
      <c r="Q814" s="80"/>
      <c r="R814" s="80"/>
      <c r="S814" s="42"/>
    </row>
    <row r="815" hidden="1">
      <c r="A815" s="12"/>
      <c r="B815" s="12"/>
      <c r="C815" s="76"/>
      <c r="D815" s="83"/>
      <c r="E815" s="10"/>
      <c r="F815" s="12"/>
      <c r="G815" s="12"/>
      <c r="H815" s="17"/>
      <c r="I815" s="48"/>
      <c r="J815" s="48"/>
      <c r="K815" s="12"/>
      <c r="L815" s="80"/>
      <c r="M815" s="80"/>
      <c r="N815" s="80"/>
      <c r="O815" s="80"/>
      <c r="P815" s="80"/>
      <c r="Q815" s="80"/>
      <c r="R815" s="80"/>
      <c r="S815" s="42"/>
    </row>
    <row r="816" hidden="1">
      <c r="A816" s="12"/>
      <c r="B816" s="12"/>
      <c r="C816" s="76"/>
      <c r="D816" s="83"/>
      <c r="E816" s="10"/>
      <c r="F816" s="12"/>
      <c r="G816" s="12"/>
      <c r="H816" s="17"/>
      <c r="I816" s="48"/>
      <c r="J816" s="48"/>
      <c r="K816" s="12"/>
      <c r="L816" s="80"/>
      <c r="M816" s="80"/>
      <c r="N816" s="80"/>
      <c r="O816" s="80"/>
      <c r="P816" s="80"/>
      <c r="Q816" s="80"/>
      <c r="R816" s="80"/>
      <c r="S816" s="42"/>
    </row>
    <row r="817" hidden="1">
      <c r="A817" s="12"/>
      <c r="B817" s="12"/>
      <c r="C817" s="76"/>
      <c r="D817" s="83"/>
      <c r="E817" s="10"/>
      <c r="F817" s="12"/>
      <c r="G817" s="12"/>
      <c r="H817" s="17"/>
      <c r="I817" s="48"/>
      <c r="J817" s="48"/>
      <c r="K817" s="12"/>
      <c r="L817" s="80"/>
      <c r="M817" s="80"/>
      <c r="N817" s="80"/>
      <c r="O817" s="80"/>
      <c r="P817" s="80"/>
      <c r="Q817" s="80"/>
      <c r="R817" s="80"/>
      <c r="S817" s="42"/>
    </row>
    <row r="818" hidden="1">
      <c r="A818" s="12"/>
      <c r="B818" s="12"/>
      <c r="C818" s="76"/>
      <c r="D818" s="83"/>
      <c r="E818" s="10"/>
      <c r="F818" s="12"/>
      <c r="G818" s="12"/>
      <c r="H818" s="17"/>
      <c r="I818" s="48"/>
      <c r="J818" s="48"/>
      <c r="K818" s="12"/>
      <c r="L818" s="80"/>
      <c r="M818" s="80"/>
      <c r="N818" s="80"/>
      <c r="O818" s="80"/>
      <c r="P818" s="80"/>
      <c r="Q818" s="80"/>
      <c r="R818" s="80"/>
      <c r="S818" s="42"/>
    </row>
    <row r="819" hidden="1">
      <c r="A819" s="12"/>
      <c r="B819" s="12"/>
      <c r="C819" s="76"/>
      <c r="D819" s="83"/>
      <c r="E819" s="10"/>
      <c r="F819" s="12"/>
      <c r="G819" s="12"/>
      <c r="H819" s="17"/>
      <c r="I819" s="48"/>
      <c r="J819" s="48"/>
      <c r="K819" s="12"/>
      <c r="L819" s="80"/>
      <c r="M819" s="80"/>
      <c r="N819" s="80"/>
      <c r="O819" s="80"/>
      <c r="P819" s="80"/>
      <c r="Q819" s="80"/>
      <c r="R819" s="80"/>
      <c r="S819" s="42"/>
    </row>
    <row r="820" hidden="1">
      <c r="A820" s="12"/>
      <c r="B820" s="12"/>
      <c r="C820" s="76"/>
      <c r="D820" s="83"/>
      <c r="E820" s="10"/>
      <c r="F820" s="12"/>
      <c r="G820" s="12"/>
      <c r="H820" s="17"/>
      <c r="I820" s="48"/>
      <c r="J820" s="48"/>
      <c r="K820" s="12"/>
      <c r="L820" s="80"/>
      <c r="M820" s="80"/>
      <c r="N820" s="80"/>
      <c r="O820" s="80"/>
      <c r="P820" s="80"/>
      <c r="Q820" s="80"/>
      <c r="R820" s="80"/>
      <c r="S820" s="42"/>
    </row>
    <row r="821" hidden="1">
      <c r="A821" s="12"/>
      <c r="B821" s="12"/>
      <c r="C821" s="76"/>
      <c r="D821" s="83"/>
      <c r="E821" s="10"/>
      <c r="F821" s="12"/>
      <c r="G821" s="12"/>
      <c r="H821" s="17"/>
      <c r="I821" s="48"/>
      <c r="J821" s="48"/>
      <c r="K821" s="12"/>
      <c r="L821" s="80"/>
      <c r="M821" s="80"/>
      <c r="N821" s="80"/>
      <c r="O821" s="80"/>
      <c r="P821" s="80"/>
      <c r="Q821" s="80"/>
      <c r="R821" s="80"/>
      <c r="S821" s="42"/>
    </row>
    <row r="822" hidden="1">
      <c r="A822" s="12"/>
      <c r="B822" s="12"/>
      <c r="C822" s="76"/>
      <c r="D822" s="83"/>
      <c r="E822" s="10"/>
      <c r="F822" s="12"/>
      <c r="G822" s="12"/>
      <c r="H822" s="17"/>
      <c r="I822" s="48"/>
      <c r="J822" s="48"/>
      <c r="K822" s="12"/>
      <c r="L822" s="80"/>
      <c r="M822" s="80"/>
      <c r="N822" s="80"/>
      <c r="O822" s="80"/>
      <c r="P822" s="80"/>
      <c r="Q822" s="80"/>
      <c r="R822" s="80"/>
      <c r="S822" s="42"/>
    </row>
    <row r="823" hidden="1">
      <c r="A823" s="12"/>
      <c r="B823" s="12"/>
      <c r="C823" s="76"/>
      <c r="D823" s="83"/>
      <c r="E823" s="10"/>
      <c r="F823" s="12"/>
      <c r="G823" s="12"/>
      <c r="H823" s="17"/>
      <c r="I823" s="48"/>
      <c r="J823" s="48"/>
      <c r="K823" s="12"/>
      <c r="L823" s="80"/>
      <c r="M823" s="80"/>
      <c r="N823" s="80"/>
      <c r="O823" s="80"/>
      <c r="P823" s="80"/>
      <c r="Q823" s="80"/>
      <c r="R823" s="80"/>
      <c r="S823" s="42"/>
    </row>
    <row r="824" hidden="1">
      <c r="A824" s="12"/>
      <c r="B824" s="12"/>
      <c r="C824" s="76"/>
      <c r="D824" s="83"/>
      <c r="E824" s="10"/>
      <c r="F824" s="12"/>
      <c r="G824" s="12"/>
      <c r="H824" s="17"/>
      <c r="I824" s="48"/>
      <c r="J824" s="48"/>
      <c r="K824" s="12"/>
      <c r="L824" s="80"/>
      <c r="M824" s="80"/>
      <c r="N824" s="80"/>
      <c r="O824" s="80"/>
      <c r="P824" s="80"/>
      <c r="Q824" s="80"/>
      <c r="R824" s="80"/>
      <c r="S824" s="42"/>
    </row>
    <row r="825" hidden="1">
      <c r="A825" s="12"/>
      <c r="B825" s="12"/>
      <c r="C825" s="76"/>
      <c r="D825" s="83"/>
      <c r="E825" s="10"/>
      <c r="F825" s="12"/>
      <c r="G825" s="12"/>
      <c r="H825" s="17"/>
      <c r="I825" s="48"/>
      <c r="J825" s="48"/>
      <c r="K825" s="12"/>
      <c r="L825" s="80"/>
      <c r="M825" s="80"/>
      <c r="N825" s="80"/>
      <c r="O825" s="80"/>
      <c r="P825" s="80"/>
      <c r="Q825" s="80"/>
      <c r="R825" s="80"/>
      <c r="S825" s="42"/>
    </row>
    <row r="826" hidden="1">
      <c r="A826" s="12"/>
      <c r="B826" s="12"/>
      <c r="C826" s="76"/>
      <c r="D826" s="83"/>
      <c r="E826" s="10"/>
      <c r="F826" s="12"/>
      <c r="G826" s="12"/>
      <c r="H826" s="17"/>
      <c r="I826" s="48"/>
      <c r="J826" s="48"/>
      <c r="K826" s="12"/>
      <c r="L826" s="80"/>
      <c r="M826" s="80"/>
      <c r="N826" s="80"/>
      <c r="O826" s="80"/>
      <c r="P826" s="80"/>
      <c r="Q826" s="80"/>
      <c r="R826" s="80"/>
      <c r="S826" s="42"/>
    </row>
    <row r="827" hidden="1">
      <c r="A827" s="12"/>
      <c r="B827" s="12"/>
      <c r="C827" s="76"/>
      <c r="D827" s="83"/>
      <c r="E827" s="10"/>
      <c r="F827" s="12"/>
      <c r="G827" s="12"/>
      <c r="H827" s="17"/>
      <c r="I827" s="48"/>
      <c r="J827" s="48"/>
      <c r="K827" s="12"/>
      <c r="L827" s="80"/>
      <c r="M827" s="80"/>
      <c r="N827" s="80"/>
      <c r="O827" s="80"/>
      <c r="P827" s="80"/>
      <c r="Q827" s="80"/>
      <c r="R827" s="80"/>
      <c r="S827" s="42"/>
    </row>
    <row r="828" hidden="1">
      <c r="A828" s="12"/>
      <c r="B828" s="12"/>
      <c r="C828" s="76"/>
      <c r="D828" s="83"/>
      <c r="E828" s="10"/>
      <c r="F828" s="12"/>
      <c r="G828" s="12"/>
      <c r="H828" s="17"/>
      <c r="I828" s="48"/>
      <c r="J828" s="48"/>
      <c r="K828" s="12"/>
      <c r="L828" s="80"/>
      <c r="M828" s="80"/>
      <c r="N828" s="80"/>
      <c r="O828" s="80"/>
      <c r="P828" s="80"/>
      <c r="Q828" s="80"/>
      <c r="R828" s="80"/>
      <c r="S828" s="42"/>
    </row>
    <row r="829" hidden="1">
      <c r="A829" s="12"/>
      <c r="B829" s="12"/>
      <c r="C829" s="76"/>
      <c r="D829" s="83"/>
      <c r="E829" s="10"/>
      <c r="F829" s="12"/>
      <c r="G829" s="12"/>
      <c r="H829" s="17"/>
      <c r="I829" s="48"/>
      <c r="J829" s="48"/>
      <c r="K829" s="12"/>
      <c r="L829" s="80"/>
      <c r="M829" s="80"/>
      <c r="N829" s="80"/>
      <c r="O829" s="80"/>
      <c r="P829" s="80"/>
      <c r="Q829" s="80"/>
      <c r="R829" s="80"/>
      <c r="S829" s="42"/>
    </row>
    <row r="830" hidden="1">
      <c r="A830" s="12"/>
      <c r="B830" s="12"/>
      <c r="C830" s="76"/>
      <c r="D830" s="83"/>
      <c r="E830" s="10"/>
      <c r="F830" s="12"/>
      <c r="G830" s="12"/>
      <c r="H830" s="17"/>
      <c r="I830" s="48"/>
      <c r="J830" s="48"/>
      <c r="K830" s="12"/>
      <c r="L830" s="80"/>
      <c r="M830" s="80"/>
      <c r="N830" s="80"/>
      <c r="O830" s="80"/>
      <c r="P830" s="80"/>
      <c r="Q830" s="80"/>
      <c r="R830" s="80"/>
      <c r="S830" s="42"/>
    </row>
    <row r="831" hidden="1">
      <c r="A831" s="12"/>
      <c r="B831" s="12"/>
      <c r="C831" s="76"/>
      <c r="D831" s="83"/>
      <c r="E831" s="10"/>
      <c r="F831" s="12"/>
      <c r="G831" s="12"/>
      <c r="H831" s="17"/>
      <c r="I831" s="48"/>
      <c r="J831" s="48"/>
      <c r="K831" s="12"/>
      <c r="L831" s="80"/>
      <c r="M831" s="80"/>
      <c r="N831" s="80"/>
      <c r="O831" s="80"/>
      <c r="P831" s="80"/>
      <c r="Q831" s="80"/>
      <c r="R831" s="80"/>
      <c r="S831" s="42"/>
    </row>
    <row r="832" hidden="1">
      <c r="A832" s="12"/>
      <c r="B832" s="12"/>
      <c r="C832" s="76"/>
      <c r="D832" s="83"/>
      <c r="E832" s="10"/>
      <c r="F832" s="12"/>
      <c r="G832" s="12"/>
      <c r="H832" s="17"/>
      <c r="I832" s="48"/>
      <c r="J832" s="48"/>
      <c r="K832" s="12"/>
      <c r="L832" s="80"/>
      <c r="M832" s="80"/>
      <c r="N832" s="80"/>
      <c r="O832" s="80"/>
      <c r="P832" s="80"/>
      <c r="Q832" s="80"/>
      <c r="R832" s="80"/>
      <c r="S832" s="42"/>
    </row>
    <row r="833" hidden="1">
      <c r="A833" s="12"/>
      <c r="B833" s="12"/>
      <c r="C833" s="76"/>
      <c r="D833" s="83"/>
      <c r="E833" s="10"/>
      <c r="F833" s="12"/>
      <c r="G833" s="12"/>
      <c r="H833" s="17"/>
      <c r="I833" s="48"/>
      <c r="J833" s="48"/>
      <c r="K833" s="12"/>
      <c r="L833" s="80"/>
      <c r="M833" s="80"/>
      <c r="N833" s="80"/>
      <c r="O833" s="80"/>
      <c r="P833" s="80"/>
      <c r="Q833" s="80"/>
      <c r="R833" s="80"/>
      <c r="S833" s="42"/>
    </row>
    <row r="834" hidden="1">
      <c r="A834" s="12"/>
      <c r="B834" s="12"/>
      <c r="C834" s="76"/>
      <c r="D834" s="83"/>
      <c r="E834" s="10"/>
      <c r="F834" s="12"/>
      <c r="G834" s="12"/>
      <c r="H834" s="17"/>
      <c r="I834" s="48"/>
      <c r="J834" s="48"/>
      <c r="K834" s="12"/>
      <c r="L834" s="80"/>
      <c r="M834" s="80"/>
      <c r="N834" s="80"/>
      <c r="O834" s="80"/>
      <c r="P834" s="80"/>
      <c r="Q834" s="80"/>
      <c r="R834" s="80"/>
      <c r="S834" s="42"/>
    </row>
    <row r="835" hidden="1">
      <c r="A835" s="12"/>
      <c r="B835" s="12"/>
      <c r="C835" s="76"/>
      <c r="D835" s="83"/>
      <c r="E835" s="10"/>
      <c r="F835" s="12"/>
      <c r="G835" s="12"/>
      <c r="H835" s="17"/>
      <c r="I835" s="48"/>
      <c r="J835" s="48"/>
      <c r="K835" s="12"/>
      <c r="L835" s="80"/>
      <c r="M835" s="80"/>
      <c r="N835" s="80"/>
      <c r="O835" s="80"/>
      <c r="P835" s="80"/>
      <c r="Q835" s="80"/>
      <c r="R835" s="80"/>
      <c r="S835" s="42"/>
    </row>
    <row r="836" hidden="1">
      <c r="A836" s="12"/>
      <c r="B836" s="12"/>
      <c r="C836" s="76"/>
      <c r="D836" s="83"/>
      <c r="E836" s="10"/>
      <c r="F836" s="12"/>
      <c r="G836" s="12"/>
      <c r="H836" s="17"/>
      <c r="I836" s="48"/>
      <c r="J836" s="48"/>
      <c r="K836" s="12"/>
      <c r="L836" s="80"/>
      <c r="M836" s="80"/>
      <c r="N836" s="80"/>
      <c r="O836" s="80"/>
      <c r="P836" s="80"/>
      <c r="Q836" s="80"/>
      <c r="R836" s="80"/>
      <c r="S836" s="42"/>
    </row>
    <row r="837" hidden="1">
      <c r="A837" s="12"/>
      <c r="B837" s="12"/>
      <c r="C837" s="76"/>
      <c r="D837" s="83"/>
      <c r="E837" s="10"/>
      <c r="F837" s="12"/>
      <c r="G837" s="12"/>
      <c r="H837" s="17"/>
      <c r="I837" s="48"/>
      <c r="J837" s="48"/>
      <c r="K837" s="12"/>
      <c r="L837" s="80"/>
      <c r="M837" s="80"/>
      <c r="N837" s="80"/>
      <c r="O837" s="80"/>
      <c r="P837" s="80"/>
      <c r="Q837" s="80"/>
      <c r="R837" s="80"/>
      <c r="S837" s="42"/>
    </row>
    <row r="838" hidden="1">
      <c r="A838" s="12"/>
      <c r="B838" s="12"/>
      <c r="C838" s="76"/>
      <c r="D838" s="83"/>
      <c r="E838" s="10"/>
      <c r="F838" s="12"/>
      <c r="G838" s="12"/>
      <c r="H838" s="17"/>
      <c r="I838" s="48"/>
      <c r="J838" s="48"/>
      <c r="K838" s="12"/>
      <c r="L838" s="80"/>
      <c r="M838" s="80"/>
      <c r="N838" s="80"/>
      <c r="O838" s="80"/>
      <c r="P838" s="80"/>
      <c r="Q838" s="80"/>
      <c r="R838" s="80"/>
      <c r="S838" s="42"/>
    </row>
    <row r="839" hidden="1">
      <c r="A839" s="12"/>
      <c r="B839" s="12"/>
      <c r="C839" s="76"/>
      <c r="D839" s="83"/>
      <c r="E839" s="10"/>
      <c r="F839" s="12"/>
      <c r="G839" s="12"/>
      <c r="H839" s="17"/>
      <c r="I839" s="48"/>
      <c r="J839" s="48"/>
      <c r="K839" s="12"/>
      <c r="L839" s="80"/>
      <c r="M839" s="80"/>
      <c r="N839" s="80"/>
      <c r="O839" s="80"/>
      <c r="P839" s="80"/>
      <c r="Q839" s="80"/>
      <c r="R839" s="80"/>
      <c r="S839" s="42"/>
    </row>
    <row r="840" hidden="1">
      <c r="A840" s="12"/>
      <c r="B840" s="12"/>
      <c r="C840" s="76"/>
      <c r="D840" s="83"/>
      <c r="E840" s="10"/>
      <c r="F840" s="12"/>
      <c r="G840" s="12"/>
      <c r="H840" s="17"/>
      <c r="I840" s="48"/>
      <c r="J840" s="48"/>
      <c r="K840" s="12"/>
      <c r="L840" s="80"/>
      <c r="M840" s="80"/>
      <c r="N840" s="80"/>
      <c r="O840" s="80"/>
      <c r="P840" s="80"/>
      <c r="Q840" s="80"/>
      <c r="R840" s="80"/>
      <c r="S840" s="42"/>
    </row>
    <row r="841" hidden="1">
      <c r="A841" s="12"/>
      <c r="B841" s="12"/>
      <c r="C841" s="76"/>
      <c r="D841" s="83"/>
      <c r="E841" s="10"/>
      <c r="F841" s="12"/>
      <c r="G841" s="12"/>
      <c r="H841" s="17"/>
      <c r="I841" s="48"/>
      <c r="J841" s="48"/>
      <c r="K841" s="12"/>
      <c r="L841" s="80"/>
      <c r="M841" s="80"/>
      <c r="N841" s="80"/>
      <c r="O841" s="80"/>
      <c r="P841" s="80"/>
      <c r="Q841" s="80"/>
      <c r="R841" s="80"/>
      <c r="S841" s="42"/>
    </row>
    <row r="842" hidden="1">
      <c r="A842" s="12"/>
      <c r="B842" s="12"/>
      <c r="C842" s="76"/>
      <c r="D842" s="83"/>
      <c r="E842" s="10"/>
      <c r="F842" s="12"/>
      <c r="G842" s="12"/>
      <c r="H842" s="17"/>
      <c r="I842" s="48"/>
      <c r="J842" s="48"/>
      <c r="K842" s="12"/>
      <c r="L842" s="80"/>
      <c r="M842" s="80"/>
      <c r="N842" s="80"/>
      <c r="O842" s="80"/>
      <c r="P842" s="80"/>
      <c r="Q842" s="80"/>
      <c r="R842" s="80"/>
      <c r="S842" s="42"/>
    </row>
    <row r="843" hidden="1">
      <c r="A843" s="12"/>
      <c r="B843" s="12"/>
      <c r="C843" s="76"/>
      <c r="D843" s="83"/>
      <c r="E843" s="10"/>
      <c r="F843" s="12"/>
      <c r="G843" s="12"/>
      <c r="H843" s="17"/>
      <c r="I843" s="48"/>
      <c r="J843" s="48"/>
      <c r="K843" s="12"/>
      <c r="L843" s="80"/>
      <c r="M843" s="80"/>
      <c r="N843" s="80"/>
      <c r="O843" s="80"/>
      <c r="P843" s="80"/>
      <c r="Q843" s="80"/>
      <c r="R843" s="80"/>
      <c r="S843" s="42"/>
    </row>
    <row r="844" hidden="1">
      <c r="A844" s="12"/>
      <c r="B844" s="12"/>
      <c r="C844" s="76"/>
      <c r="D844" s="83"/>
      <c r="E844" s="10"/>
      <c r="F844" s="12"/>
      <c r="G844" s="12"/>
      <c r="H844" s="17"/>
      <c r="I844" s="48"/>
      <c r="J844" s="48"/>
      <c r="K844" s="12"/>
      <c r="L844" s="80"/>
      <c r="M844" s="80"/>
      <c r="N844" s="80"/>
      <c r="O844" s="80"/>
      <c r="P844" s="80"/>
      <c r="Q844" s="80"/>
      <c r="R844" s="80"/>
      <c r="S844" s="42"/>
    </row>
    <row r="845" hidden="1">
      <c r="A845" s="12"/>
      <c r="B845" s="12"/>
      <c r="C845" s="76"/>
      <c r="D845" s="83"/>
      <c r="E845" s="10"/>
      <c r="F845" s="12"/>
      <c r="G845" s="12"/>
      <c r="H845" s="17"/>
      <c r="I845" s="48"/>
      <c r="J845" s="48"/>
      <c r="K845" s="12"/>
      <c r="L845" s="80"/>
      <c r="M845" s="80"/>
      <c r="N845" s="80"/>
      <c r="O845" s="80"/>
      <c r="P845" s="80"/>
      <c r="Q845" s="80"/>
      <c r="R845" s="80"/>
      <c r="S845" s="42"/>
    </row>
    <row r="846" hidden="1">
      <c r="A846" s="12"/>
      <c r="B846" s="12"/>
      <c r="C846" s="76"/>
      <c r="D846" s="83"/>
      <c r="E846" s="10"/>
      <c r="F846" s="12"/>
      <c r="G846" s="12"/>
      <c r="H846" s="17"/>
      <c r="I846" s="48"/>
      <c r="J846" s="48"/>
      <c r="K846" s="12"/>
      <c r="L846" s="80"/>
      <c r="M846" s="80"/>
      <c r="N846" s="80"/>
      <c r="O846" s="80"/>
      <c r="P846" s="80"/>
      <c r="Q846" s="80"/>
      <c r="R846" s="80"/>
      <c r="S846" s="42"/>
    </row>
    <row r="847" hidden="1">
      <c r="A847" s="12"/>
      <c r="B847" s="12"/>
      <c r="C847" s="76"/>
      <c r="D847" s="83"/>
      <c r="E847" s="10"/>
      <c r="F847" s="12"/>
      <c r="G847" s="12"/>
      <c r="H847" s="17"/>
      <c r="I847" s="48"/>
      <c r="J847" s="48"/>
      <c r="K847" s="12"/>
      <c r="L847" s="80"/>
      <c r="M847" s="80"/>
      <c r="N847" s="80"/>
      <c r="O847" s="80"/>
      <c r="P847" s="80"/>
      <c r="Q847" s="80"/>
      <c r="R847" s="80"/>
      <c r="S847" s="42"/>
    </row>
    <row r="848" hidden="1">
      <c r="A848" s="12"/>
      <c r="B848" s="12"/>
      <c r="C848" s="76"/>
      <c r="D848" s="83"/>
      <c r="E848" s="10"/>
      <c r="F848" s="12"/>
      <c r="G848" s="12"/>
      <c r="H848" s="17"/>
      <c r="I848" s="48"/>
      <c r="J848" s="48"/>
      <c r="K848" s="12"/>
      <c r="L848" s="80"/>
      <c r="M848" s="80"/>
      <c r="N848" s="80"/>
      <c r="O848" s="80"/>
      <c r="P848" s="80"/>
      <c r="Q848" s="80"/>
      <c r="R848" s="80"/>
      <c r="S848" s="42"/>
    </row>
    <row r="849" hidden="1">
      <c r="A849" s="12"/>
      <c r="B849" s="12"/>
      <c r="C849" s="76"/>
      <c r="D849" s="83"/>
      <c r="E849" s="10"/>
      <c r="F849" s="12"/>
      <c r="G849" s="12"/>
      <c r="H849" s="17"/>
      <c r="I849" s="48"/>
      <c r="J849" s="48"/>
      <c r="K849" s="12"/>
      <c r="L849" s="80"/>
      <c r="M849" s="80"/>
      <c r="N849" s="80"/>
      <c r="O849" s="80"/>
      <c r="P849" s="80"/>
      <c r="Q849" s="80"/>
      <c r="R849" s="80"/>
      <c r="S849" s="42"/>
    </row>
    <row r="850" hidden="1">
      <c r="A850" s="12"/>
      <c r="B850" s="12"/>
      <c r="C850" s="76"/>
      <c r="D850" s="83"/>
      <c r="E850" s="10"/>
      <c r="F850" s="12"/>
      <c r="G850" s="12"/>
      <c r="H850" s="17"/>
      <c r="I850" s="48"/>
      <c r="J850" s="48"/>
      <c r="K850" s="12"/>
      <c r="L850" s="80"/>
      <c r="M850" s="80"/>
      <c r="N850" s="80"/>
      <c r="O850" s="80"/>
      <c r="P850" s="80"/>
      <c r="Q850" s="80"/>
      <c r="R850" s="80"/>
      <c r="S850" s="42"/>
    </row>
    <row r="851" hidden="1">
      <c r="A851" s="12"/>
      <c r="B851" s="12"/>
      <c r="C851" s="76"/>
      <c r="D851" s="83"/>
      <c r="E851" s="10"/>
      <c r="F851" s="12"/>
      <c r="G851" s="12"/>
      <c r="H851" s="17"/>
      <c r="I851" s="48"/>
      <c r="J851" s="48"/>
      <c r="K851" s="12"/>
      <c r="L851" s="80"/>
      <c r="M851" s="80"/>
      <c r="N851" s="80"/>
      <c r="O851" s="80"/>
      <c r="P851" s="80"/>
      <c r="Q851" s="80"/>
      <c r="R851" s="80"/>
      <c r="S851" s="42"/>
    </row>
    <row r="852" hidden="1">
      <c r="A852" s="12"/>
      <c r="B852" s="12"/>
      <c r="C852" s="76"/>
      <c r="D852" s="83"/>
      <c r="E852" s="10"/>
      <c r="F852" s="12"/>
      <c r="G852" s="12"/>
      <c r="H852" s="17"/>
      <c r="I852" s="48"/>
      <c r="J852" s="48"/>
      <c r="K852" s="12"/>
      <c r="L852" s="80"/>
      <c r="M852" s="80"/>
      <c r="N852" s="80"/>
      <c r="O852" s="80"/>
      <c r="P852" s="80"/>
      <c r="Q852" s="80"/>
      <c r="R852" s="80"/>
      <c r="S852" s="42"/>
    </row>
    <row r="853" hidden="1">
      <c r="A853" s="12"/>
      <c r="B853" s="12"/>
      <c r="C853" s="76"/>
      <c r="D853" s="83"/>
      <c r="E853" s="10"/>
      <c r="F853" s="12"/>
      <c r="G853" s="12"/>
      <c r="H853" s="17"/>
      <c r="I853" s="48"/>
      <c r="J853" s="48"/>
      <c r="K853" s="12"/>
      <c r="L853" s="80"/>
      <c r="M853" s="80"/>
      <c r="N853" s="80"/>
      <c r="O853" s="80"/>
      <c r="P853" s="80"/>
      <c r="Q853" s="80"/>
      <c r="R853" s="80"/>
      <c r="S853" s="42"/>
    </row>
    <row r="854" hidden="1">
      <c r="A854" s="12"/>
      <c r="B854" s="12"/>
      <c r="C854" s="76"/>
      <c r="D854" s="83"/>
      <c r="E854" s="10"/>
      <c r="F854" s="12"/>
      <c r="G854" s="12"/>
      <c r="H854" s="17"/>
      <c r="I854" s="48"/>
      <c r="J854" s="48"/>
      <c r="K854" s="12"/>
      <c r="L854" s="80"/>
      <c r="M854" s="80"/>
      <c r="N854" s="80"/>
      <c r="O854" s="80"/>
      <c r="P854" s="80"/>
      <c r="Q854" s="80"/>
      <c r="R854" s="80"/>
      <c r="S854" s="42"/>
    </row>
    <row r="855" hidden="1">
      <c r="A855" s="12"/>
      <c r="B855" s="12"/>
      <c r="C855" s="76"/>
      <c r="D855" s="83"/>
      <c r="E855" s="10"/>
      <c r="F855" s="12"/>
      <c r="G855" s="12"/>
      <c r="H855" s="17"/>
      <c r="I855" s="48"/>
      <c r="J855" s="48"/>
      <c r="K855" s="12"/>
      <c r="L855" s="80"/>
      <c r="M855" s="80"/>
      <c r="N855" s="80"/>
      <c r="O855" s="80"/>
      <c r="P855" s="80"/>
      <c r="Q855" s="80"/>
      <c r="R855" s="80"/>
      <c r="S855" s="42"/>
    </row>
    <row r="856" hidden="1">
      <c r="A856" s="12"/>
      <c r="B856" s="12"/>
      <c r="C856" s="76"/>
      <c r="D856" s="83"/>
      <c r="E856" s="10"/>
      <c r="F856" s="12"/>
      <c r="G856" s="12"/>
      <c r="H856" s="17"/>
      <c r="I856" s="48"/>
      <c r="J856" s="48"/>
      <c r="K856" s="12"/>
      <c r="L856" s="80"/>
      <c r="M856" s="80"/>
      <c r="N856" s="80"/>
      <c r="O856" s="80"/>
      <c r="P856" s="80"/>
      <c r="Q856" s="80"/>
      <c r="R856" s="80"/>
      <c r="S856" s="42"/>
    </row>
    <row r="857" hidden="1">
      <c r="A857" s="12"/>
      <c r="B857" s="12"/>
      <c r="C857" s="76"/>
      <c r="D857" s="83"/>
      <c r="E857" s="10"/>
      <c r="F857" s="12"/>
      <c r="G857" s="12"/>
      <c r="H857" s="17"/>
      <c r="I857" s="48"/>
      <c r="J857" s="48"/>
      <c r="K857" s="12"/>
      <c r="L857" s="80"/>
      <c r="M857" s="80"/>
      <c r="N857" s="80"/>
      <c r="O857" s="80"/>
      <c r="P857" s="80"/>
      <c r="Q857" s="80"/>
      <c r="R857" s="80"/>
      <c r="S857" s="42"/>
    </row>
    <row r="858" hidden="1">
      <c r="A858" s="12"/>
      <c r="B858" s="12"/>
      <c r="C858" s="76"/>
      <c r="D858" s="83"/>
      <c r="E858" s="10"/>
      <c r="F858" s="12"/>
      <c r="G858" s="12"/>
      <c r="H858" s="17"/>
      <c r="I858" s="48"/>
      <c r="J858" s="48"/>
      <c r="K858" s="12"/>
      <c r="L858" s="80"/>
      <c r="M858" s="80"/>
      <c r="N858" s="80"/>
      <c r="O858" s="80"/>
      <c r="P858" s="80"/>
      <c r="Q858" s="80"/>
      <c r="R858" s="80"/>
      <c r="S858" s="42"/>
    </row>
    <row r="859" hidden="1">
      <c r="A859" s="12"/>
      <c r="B859" s="12"/>
      <c r="C859" s="76"/>
      <c r="D859" s="83"/>
      <c r="E859" s="10"/>
      <c r="F859" s="12"/>
      <c r="G859" s="12"/>
      <c r="H859" s="17"/>
      <c r="I859" s="48"/>
      <c r="J859" s="48"/>
      <c r="K859" s="12"/>
      <c r="L859" s="80"/>
      <c r="M859" s="80"/>
      <c r="N859" s="80"/>
      <c r="O859" s="80"/>
      <c r="P859" s="80"/>
      <c r="Q859" s="80"/>
      <c r="R859" s="80"/>
      <c r="S859" s="42"/>
    </row>
    <row r="860" hidden="1">
      <c r="A860" s="12"/>
      <c r="B860" s="12"/>
      <c r="C860" s="76"/>
      <c r="D860" s="83"/>
      <c r="E860" s="10"/>
      <c r="F860" s="12"/>
      <c r="G860" s="12"/>
      <c r="H860" s="17"/>
      <c r="I860" s="48"/>
      <c r="J860" s="48"/>
      <c r="K860" s="12"/>
      <c r="L860" s="80"/>
      <c r="M860" s="80"/>
      <c r="N860" s="80"/>
      <c r="O860" s="80"/>
      <c r="P860" s="80"/>
      <c r="Q860" s="80"/>
      <c r="R860" s="80"/>
      <c r="S860" s="42"/>
    </row>
    <row r="861" hidden="1">
      <c r="A861" s="12"/>
      <c r="B861" s="12"/>
      <c r="C861" s="76"/>
      <c r="D861" s="83"/>
      <c r="E861" s="10"/>
      <c r="F861" s="12"/>
      <c r="G861" s="12"/>
      <c r="H861" s="17"/>
      <c r="I861" s="48"/>
      <c r="J861" s="48"/>
      <c r="K861" s="12"/>
      <c r="L861" s="80"/>
      <c r="M861" s="80"/>
      <c r="N861" s="80"/>
      <c r="O861" s="80"/>
      <c r="P861" s="80"/>
      <c r="Q861" s="80"/>
      <c r="R861" s="80"/>
      <c r="S861" s="42"/>
    </row>
    <row r="862" hidden="1">
      <c r="A862" s="12"/>
      <c r="B862" s="12"/>
      <c r="C862" s="76"/>
      <c r="D862" s="83"/>
      <c r="E862" s="10"/>
      <c r="F862" s="12"/>
      <c r="G862" s="12"/>
      <c r="H862" s="17"/>
      <c r="I862" s="48"/>
      <c r="J862" s="48"/>
      <c r="K862" s="12"/>
      <c r="L862" s="80"/>
      <c r="M862" s="80"/>
      <c r="N862" s="80"/>
      <c r="O862" s="80"/>
      <c r="P862" s="80"/>
      <c r="Q862" s="80"/>
      <c r="R862" s="80"/>
      <c r="S862" s="42"/>
    </row>
    <row r="863" hidden="1">
      <c r="A863" s="12"/>
      <c r="B863" s="12"/>
      <c r="C863" s="76"/>
      <c r="D863" s="83"/>
      <c r="E863" s="10"/>
      <c r="F863" s="12"/>
      <c r="G863" s="12"/>
      <c r="H863" s="17"/>
      <c r="I863" s="48"/>
      <c r="J863" s="48"/>
      <c r="K863" s="12"/>
      <c r="L863" s="80"/>
      <c r="M863" s="80"/>
      <c r="N863" s="80"/>
      <c r="O863" s="80"/>
      <c r="P863" s="80"/>
      <c r="Q863" s="80"/>
      <c r="R863" s="80"/>
      <c r="S863" s="42"/>
    </row>
    <row r="864" hidden="1">
      <c r="A864" s="12"/>
      <c r="B864" s="12"/>
      <c r="C864" s="76"/>
      <c r="D864" s="83"/>
      <c r="E864" s="10"/>
      <c r="F864" s="12"/>
      <c r="G864" s="12"/>
      <c r="H864" s="17"/>
      <c r="I864" s="48"/>
      <c r="J864" s="48"/>
      <c r="K864" s="12"/>
      <c r="L864" s="80"/>
      <c r="M864" s="80"/>
      <c r="N864" s="80"/>
      <c r="O864" s="80"/>
      <c r="P864" s="80"/>
      <c r="Q864" s="80"/>
      <c r="R864" s="80"/>
      <c r="S864" s="42"/>
    </row>
    <row r="865" hidden="1">
      <c r="A865" s="12"/>
      <c r="B865" s="12"/>
      <c r="C865" s="76"/>
      <c r="D865" s="83"/>
      <c r="E865" s="10"/>
      <c r="F865" s="12"/>
      <c r="G865" s="12"/>
      <c r="H865" s="17"/>
      <c r="I865" s="48"/>
      <c r="J865" s="48"/>
      <c r="K865" s="12"/>
      <c r="L865" s="80"/>
      <c r="M865" s="80"/>
      <c r="N865" s="80"/>
      <c r="O865" s="80"/>
      <c r="P865" s="80"/>
      <c r="Q865" s="80"/>
      <c r="R865" s="80"/>
      <c r="S865" s="42"/>
    </row>
    <row r="866" hidden="1">
      <c r="A866" s="12"/>
      <c r="B866" s="12"/>
      <c r="C866" s="76"/>
      <c r="D866" s="83"/>
      <c r="E866" s="10"/>
      <c r="F866" s="12"/>
      <c r="G866" s="12"/>
      <c r="H866" s="17"/>
      <c r="I866" s="48"/>
      <c r="J866" s="48"/>
      <c r="K866" s="12"/>
      <c r="L866" s="80"/>
      <c r="M866" s="80"/>
      <c r="N866" s="80"/>
      <c r="O866" s="80"/>
      <c r="P866" s="80"/>
      <c r="Q866" s="80"/>
      <c r="R866" s="80"/>
      <c r="S866" s="42"/>
    </row>
    <row r="867" hidden="1">
      <c r="A867" s="12"/>
      <c r="B867" s="12"/>
      <c r="C867" s="76"/>
      <c r="D867" s="83"/>
      <c r="E867" s="10"/>
      <c r="F867" s="12"/>
      <c r="G867" s="12"/>
      <c r="H867" s="17"/>
      <c r="I867" s="48"/>
      <c r="J867" s="48"/>
      <c r="K867" s="12"/>
      <c r="L867" s="80"/>
      <c r="M867" s="80"/>
      <c r="N867" s="80"/>
      <c r="O867" s="80"/>
      <c r="P867" s="80"/>
      <c r="Q867" s="80"/>
      <c r="R867" s="80"/>
      <c r="S867" s="42"/>
    </row>
    <row r="868" hidden="1">
      <c r="A868" s="12"/>
      <c r="B868" s="12"/>
      <c r="C868" s="76"/>
      <c r="D868" s="83"/>
      <c r="E868" s="10"/>
      <c r="F868" s="12"/>
      <c r="G868" s="12"/>
      <c r="H868" s="17"/>
      <c r="I868" s="48"/>
      <c r="J868" s="48"/>
      <c r="K868" s="12"/>
      <c r="L868" s="80"/>
      <c r="M868" s="80"/>
      <c r="N868" s="80"/>
      <c r="O868" s="80"/>
      <c r="P868" s="80"/>
      <c r="Q868" s="80"/>
      <c r="R868" s="80"/>
      <c r="S868" s="42"/>
    </row>
    <row r="869" hidden="1">
      <c r="A869" s="12"/>
      <c r="B869" s="12"/>
      <c r="C869" s="76"/>
      <c r="D869" s="83"/>
      <c r="E869" s="10"/>
      <c r="F869" s="12"/>
      <c r="G869" s="12"/>
      <c r="H869" s="17"/>
      <c r="I869" s="48"/>
      <c r="J869" s="48"/>
      <c r="K869" s="12"/>
      <c r="L869" s="80"/>
      <c r="M869" s="80"/>
      <c r="N869" s="80"/>
      <c r="O869" s="80"/>
      <c r="P869" s="80"/>
      <c r="Q869" s="80"/>
      <c r="R869" s="80"/>
      <c r="S869" s="42"/>
    </row>
    <row r="870" hidden="1">
      <c r="A870" s="12"/>
      <c r="B870" s="12"/>
      <c r="C870" s="76"/>
      <c r="D870" s="83"/>
      <c r="E870" s="10"/>
      <c r="F870" s="12"/>
      <c r="G870" s="12"/>
      <c r="H870" s="17"/>
      <c r="I870" s="48"/>
      <c r="J870" s="48"/>
      <c r="K870" s="12"/>
      <c r="L870" s="80"/>
      <c r="M870" s="80"/>
      <c r="N870" s="80"/>
      <c r="O870" s="80"/>
      <c r="P870" s="80"/>
      <c r="Q870" s="80"/>
      <c r="R870" s="80"/>
      <c r="S870" s="42"/>
    </row>
    <row r="871" hidden="1">
      <c r="A871" s="12"/>
      <c r="B871" s="12"/>
      <c r="C871" s="76"/>
      <c r="D871" s="83"/>
      <c r="E871" s="10"/>
      <c r="F871" s="12"/>
      <c r="G871" s="12"/>
      <c r="H871" s="17"/>
      <c r="I871" s="48"/>
      <c r="J871" s="48"/>
      <c r="K871" s="12"/>
      <c r="L871" s="80"/>
      <c r="M871" s="80"/>
      <c r="N871" s="80"/>
      <c r="O871" s="80"/>
      <c r="P871" s="80"/>
      <c r="Q871" s="80"/>
      <c r="R871" s="80"/>
      <c r="S871" s="42"/>
    </row>
    <row r="872" hidden="1">
      <c r="A872" s="12"/>
      <c r="B872" s="12"/>
      <c r="C872" s="76"/>
      <c r="D872" s="83"/>
      <c r="E872" s="10"/>
      <c r="F872" s="12"/>
      <c r="G872" s="12"/>
      <c r="H872" s="17"/>
      <c r="I872" s="48"/>
      <c r="J872" s="48"/>
      <c r="K872" s="12"/>
      <c r="L872" s="80"/>
      <c r="M872" s="80"/>
      <c r="N872" s="80"/>
      <c r="O872" s="80"/>
      <c r="P872" s="80"/>
      <c r="Q872" s="80"/>
      <c r="R872" s="80"/>
      <c r="S872" s="42"/>
    </row>
    <row r="873" hidden="1">
      <c r="A873" s="12"/>
      <c r="B873" s="12"/>
      <c r="C873" s="76"/>
      <c r="D873" s="83"/>
      <c r="E873" s="10"/>
      <c r="F873" s="12"/>
      <c r="G873" s="12"/>
      <c r="H873" s="17"/>
      <c r="I873" s="48"/>
      <c r="J873" s="48"/>
      <c r="K873" s="12"/>
      <c r="L873" s="80"/>
      <c r="M873" s="80"/>
      <c r="N873" s="80"/>
      <c r="O873" s="80"/>
      <c r="P873" s="80"/>
      <c r="Q873" s="80"/>
      <c r="R873" s="80"/>
      <c r="S873" s="42"/>
    </row>
    <row r="874" hidden="1">
      <c r="A874" s="12"/>
      <c r="B874" s="12"/>
      <c r="C874" s="76"/>
      <c r="D874" s="83"/>
      <c r="E874" s="10"/>
      <c r="F874" s="12"/>
      <c r="G874" s="12"/>
      <c r="H874" s="17"/>
      <c r="I874" s="48"/>
      <c r="J874" s="48"/>
      <c r="K874" s="12"/>
      <c r="L874" s="80"/>
      <c r="M874" s="80"/>
      <c r="N874" s="80"/>
      <c r="O874" s="80"/>
      <c r="P874" s="80"/>
      <c r="Q874" s="80"/>
      <c r="R874" s="80"/>
      <c r="S874" s="42"/>
    </row>
    <row r="875" hidden="1">
      <c r="A875" s="12"/>
      <c r="B875" s="12"/>
      <c r="C875" s="76"/>
      <c r="D875" s="83"/>
      <c r="E875" s="10"/>
      <c r="F875" s="12"/>
      <c r="G875" s="12"/>
      <c r="H875" s="17"/>
      <c r="I875" s="48"/>
      <c r="J875" s="48"/>
      <c r="K875" s="12"/>
      <c r="L875" s="80"/>
      <c r="M875" s="80"/>
      <c r="N875" s="80"/>
      <c r="O875" s="80"/>
      <c r="P875" s="80"/>
      <c r="Q875" s="80"/>
      <c r="R875" s="80"/>
      <c r="S875" s="42"/>
    </row>
    <row r="876" hidden="1">
      <c r="A876" s="12"/>
      <c r="B876" s="12"/>
      <c r="C876" s="76"/>
      <c r="D876" s="83"/>
      <c r="E876" s="10"/>
      <c r="F876" s="12"/>
      <c r="G876" s="12"/>
      <c r="H876" s="17"/>
      <c r="I876" s="48"/>
      <c r="J876" s="48"/>
      <c r="K876" s="12"/>
      <c r="L876" s="80"/>
      <c r="M876" s="80"/>
      <c r="N876" s="80"/>
      <c r="O876" s="80"/>
      <c r="P876" s="80"/>
      <c r="Q876" s="80"/>
      <c r="R876" s="80"/>
      <c r="S876" s="42"/>
    </row>
    <row r="877" hidden="1">
      <c r="A877" s="12"/>
      <c r="B877" s="12"/>
      <c r="C877" s="76"/>
      <c r="D877" s="83"/>
      <c r="E877" s="10"/>
      <c r="F877" s="12"/>
      <c r="G877" s="12"/>
      <c r="H877" s="17"/>
      <c r="I877" s="48"/>
      <c r="J877" s="48"/>
      <c r="K877" s="12"/>
      <c r="L877" s="80"/>
      <c r="M877" s="80"/>
      <c r="N877" s="80"/>
      <c r="O877" s="80"/>
      <c r="P877" s="80"/>
      <c r="Q877" s="80"/>
      <c r="R877" s="80"/>
      <c r="S877" s="42"/>
    </row>
    <row r="878" hidden="1">
      <c r="A878" s="12"/>
      <c r="B878" s="12"/>
      <c r="C878" s="76"/>
      <c r="D878" s="83"/>
      <c r="E878" s="10"/>
      <c r="F878" s="12"/>
      <c r="G878" s="12"/>
      <c r="H878" s="17"/>
      <c r="I878" s="48"/>
      <c r="J878" s="48"/>
      <c r="K878" s="12"/>
      <c r="L878" s="80"/>
      <c r="M878" s="80"/>
      <c r="N878" s="80"/>
      <c r="O878" s="80"/>
      <c r="P878" s="80"/>
      <c r="Q878" s="80"/>
      <c r="R878" s="80"/>
      <c r="S878" s="42"/>
    </row>
    <row r="879" hidden="1">
      <c r="A879" s="12"/>
      <c r="B879" s="12"/>
      <c r="C879" s="76"/>
      <c r="D879" s="83"/>
      <c r="E879" s="10"/>
      <c r="F879" s="12"/>
      <c r="G879" s="12"/>
      <c r="H879" s="17"/>
      <c r="I879" s="48"/>
      <c r="J879" s="48"/>
      <c r="K879" s="12"/>
      <c r="L879" s="80"/>
      <c r="M879" s="80"/>
      <c r="N879" s="80"/>
      <c r="O879" s="80"/>
      <c r="P879" s="80"/>
      <c r="Q879" s="80"/>
      <c r="R879" s="80"/>
      <c r="S879" s="42"/>
    </row>
    <row r="880" hidden="1">
      <c r="A880" s="12"/>
      <c r="B880" s="12"/>
      <c r="C880" s="76"/>
      <c r="D880" s="83"/>
      <c r="E880" s="10"/>
      <c r="F880" s="12"/>
      <c r="G880" s="12"/>
      <c r="H880" s="17"/>
      <c r="I880" s="48"/>
      <c r="J880" s="48"/>
      <c r="K880" s="12"/>
      <c r="L880" s="80"/>
      <c r="M880" s="80"/>
      <c r="N880" s="80"/>
      <c r="O880" s="80"/>
      <c r="P880" s="80"/>
      <c r="Q880" s="80"/>
      <c r="R880" s="80"/>
      <c r="S880" s="42"/>
    </row>
    <row r="881" hidden="1">
      <c r="A881" s="12"/>
      <c r="B881" s="12"/>
      <c r="C881" s="76"/>
      <c r="D881" s="83"/>
      <c r="E881" s="10"/>
      <c r="F881" s="12"/>
      <c r="G881" s="12"/>
      <c r="H881" s="17"/>
      <c r="I881" s="48"/>
      <c r="J881" s="48"/>
      <c r="K881" s="12"/>
      <c r="L881" s="80"/>
      <c r="M881" s="80"/>
      <c r="N881" s="80"/>
      <c r="O881" s="80"/>
      <c r="P881" s="80"/>
      <c r="Q881" s="80"/>
      <c r="R881" s="80"/>
      <c r="S881" s="42"/>
    </row>
    <row r="882" hidden="1">
      <c r="A882" s="12"/>
      <c r="B882" s="12"/>
      <c r="C882" s="76"/>
      <c r="D882" s="83"/>
      <c r="E882" s="10"/>
      <c r="F882" s="12"/>
      <c r="G882" s="12"/>
      <c r="H882" s="17"/>
      <c r="I882" s="48"/>
      <c r="J882" s="48"/>
      <c r="K882" s="12"/>
      <c r="L882" s="80"/>
      <c r="M882" s="80"/>
      <c r="N882" s="80"/>
      <c r="O882" s="80"/>
      <c r="P882" s="80"/>
      <c r="Q882" s="80"/>
      <c r="R882" s="80"/>
      <c r="S882" s="42"/>
    </row>
    <row r="883" hidden="1">
      <c r="A883" s="12"/>
      <c r="B883" s="12"/>
      <c r="C883" s="76"/>
      <c r="D883" s="83"/>
      <c r="E883" s="10"/>
      <c r="F883" s="12"/>
      <c r="G883" s="12"/>
      <c r="H883" s="17"/>
      <c r="I883" s="48"/>
      <c r="J883" s="48"/>
      <c r="K883" s="12"/>
      <c r="L883" s="80"/>
      <c r="M883" s="80"/>
      <c r="N883" s="80"/>
      <c r="O883" s="80"/>
      <c r="P883" s="80"/>
      <c r="Q883" s="80"/>
      <c r="R883" s="80"/>
      <c r="S883" s="42"/>
    </row>
    <row r="884" hidden="1">
      <c r="A884" s="12"/>
      <c r="B884" s="12"/>
      <c r="C884" s="76"/>
      <c r="D884" s="83"/>
      <c r="E884" s="10"/>
      <c r="F884" s="12"/>
      <c r="G884" s="12"/>
      <c r="H884" s="17"/>
      <c r="I884" s="48"/>
      <c r="J884" s="48"/>
      <c r="K884" s="12"/>
      <c r="L884" s="80"/>
      <c r="M884" s="80"/>
      <c r="N884" s="80"/>
      <c r="O884" s="80"/>
      <c r="P884" s="80"/>
      <c r="Q884" s="80"/>
      <c r="R884" s="80"/>
      <c r="S884" s="42"/>
    </row>
    <row r="885" hidden="1">
      <c r="A885" s="12"/>
      <c r="B885" s="12"/>
      <c r="C885" s="76"/>
      <c r="D885" s="83"/>
      <c r="E885" s="10"/>
      <c r="F885" s="12"/>
      <c r="G885" s="12"/>
      <c r="H885" s="17"/>
      <c r="I885" s="48"/>
      <c r="J885" s="48"/>
      <c r="K885" s="12"/>
      <c r="L885" s="80"/>
      <c r="M885" s="80"/>
      <c r="N885" s="80"/>
      <c r="O885" s="80"/>
      <c r="P885" s="80"/>
      <c r="Q885" s="80"/>
      <c r="R885" s="80"/>
      <c r="S885" s="42"/>
    </row>
    <row r="886" hidden="1">
      <c r="A886" s="12"/>
      <c r="B886" s="12"/>
      <c r="C886" s="76"/>
      <c r="D886" s="83"/>
      <c r="E886" s="10"/>
      <c r="F886" s="12"/>
      <c r="G886" s="12"/>
      <c r="H886" s="17"/>
      <c r="I886" s="48"/>
      <c r="J886" s="48"/>
      <c r="K886" s="12"/>
      <c r="L886" s="80"/>
      <c r="M886" s="80"/>
      <c r="N886" s="80"/>
      <c r="O886" s="80"/>
      <c r="P886" s="80"/>
      <c r="Q886" s="80"/>
      <c r="R886" s="80"/>
      <c r="S886" s="42"/>
    </row>
    <row r="887" hidden="1">
      <c r="A887" s="12"/>
      <c r="B887" s="12"/>
      <c r="C887" s="76"/>
      <c r="D887" s="83"/>
      <c r="E887" s="10"/>
      <c r="F887" s="12"/>
      <c r="G887" s="12"/>
      <c r="H887" s="17"/>
      <c r="I887" s="48"/>
      <c r="J887" s="48"/>
      <c r="K887" s="12"/>
      <c r="L887" s="80"/>
      <c r="M887" s="80"/>
      <c r="N887" s="80"/>
      <c r="O887" s="80"/>
      <c r="P887" s="80"/>
      <c r="Q887" s="80"/>
      <c r="R887" s="80"/>
      <c r="S887" s="42"/>
    </row>
    <row r="888" hidden="1">
      <c r="A888" s="12"/>
      <c r="B888" s="12"/>
      <c r="C888" s="76"/>
      <c r="D888" s="83"/>
      <c r="E888" s="10"/>
      <c r="F888" s="12"/>
      <c r="G888" s="12"/>
      <c r="H888" s="17"/>
      <c r="I888" s="48"/>
      <c r="J888" s="48"/>
      <c r="K888" s="12"/>
      <c r="L888" s="80"/>
      <c r="M888" s="80"/>
      <c r="N888" s="80"/>
      <c r="O888" s="80"/>
      <c r="P888" s="80"/>
      <c r="Q888" s="80"/>
      <c r="R888" s="80"/>
      <c r="S888" s="42"/>
    </row>
    <row r="889" hidden="1">
      <c r="A889" s="12"/>
      <c r="B889" s="12"/>
      <c r="C889" s="76"/>
      <c r="D889" s="83"/>
      <c r="E889" s="10"/>
      <c r="F889" s="12"/>
      <c r="G889" s="12"/>
      <c r="H889" s="17"/>
      <c r="I889" s="48"/>
      <c r="J889" s="48"/>
      <c r="K889" s="12"/>
      <c r="L889" s="80"/>
      <c r="M889" s="80"/>
      <c r="N889" s="80"/>
      <c r="O889" s="80"/>
      <c r="P889" s="80"/>
      <c r="Q889" s="80"/>
      <c r="R889" s="80"/>
      <c r="S889" s="42"/>
    </row>
    <row r="890" hidden="1">
      <c r="A890" s="12"/>
      <c r="B890" s="12"/>
      <c r="C890" s="76"/>
      <c r="D890" s="83"/>
      <c r="E890" s="10"/>
      <c r="F890" s="12"/>
      <c r="G890" s="12"/>
      <c r="H890" s="17"/>
      <c r="I890" s="48"/>
      <c r="J890" s="48"/>
      <c r="K890" s="12"/>
      <c r="L890" s="80"/>
      <c r="M890" s="80"/>
      <c r="N890" s="80"/>
      <c r="O890" s="80"/>
      <c r="P890" s="80"/>
      <c r="Q890" s="80"/>
      <c r="R890" s="80"/>
      <c r="S890" s="42"/>
    </row>
    <row r="891" hidden="1">
      <c r="A891" s="12"/>
      <c r="B891" s="12"/>
      <c r="C891" s="76"/>
      <c r="D891" s="83"/>
      <c r="E891" s="10"/>
      <c r="F891" s="12"/>
      <c r="G891" s="12"/>
      <c r="H891" s="17"/>
      <c r="I891" s="48"/>
      <c r="J891" s="48"/>
      <c r="K891" s="12"/>
      <c r="L891" s="80"/>
      <c r="M891" s="80"/>
      <c r="N891" s="80"/>
      <c r="O891" s="80"/>
      <c r="P891" s="80"/>
      <c r="Q891" s="80"/>
      <c r="R891" s="80"/>
      <c r="S891" s="42"/>
    </row>
    <row r="892" hidden="1">
      <c r="A892" s="12"/>
      <c r="B892" s="12"/>
      <c r="C892" s="76"/>
      <c r="D892" s="83"/>
      <c r="E892" s="10"/>
      <c r="F892" s="12"/>
      <c r="G892" s="12"/>
      <c r="H892" s="17"/>
      <c r="I892" s="48"/>
      <c r="J892" s="48"/>
      <c r="K892" s="12"/>
      <c r="L892" s="80"/>
      <c r="M892" s="80"/>
      <c r="N892" s="80"/>
      <c r="O892" s="80"/>
      <c r="P892" s="80"/>
      <c r="Q892" s="80"/>
      <c r="R892" s="80"/>
      <c r="S892" s="42"/>
    </row>
    <row r="893" hidden="1">
      <c r="A893" s="12"/>
      <c r="B893" s="12"/>
      <c r="C893" s="76"/>
      <c r="D893" s="83"/>
      <c r="E893" s="10"/>
      <c r="F893" s="12"/>
      <c r="G893" s="12"/>
      <c r="H893" s="17"/>
      <c r="I893" s="48"/>
      <c r="J893" s="48"/>
      <c r="K893" s="12"/>
      <c r="L893" s="80"/>
      <c r="M893" s="80"/>
      <c r="N893" s="80"/>
      <c r="O893" s="80"/>
      <c r="P893" s="80"/>
      <c r="Q893" s="80"/>
      <c r="R893" s="80"/>
      <c r="S893" s="42"/>
    </row>
    <row r="894" hidden="1">
      <c r="A894" s="12"/>
      <c r="B894" s="12"/>
      <c r="C894" s="76"/>
      <c r="D894" s="83"/>
      <c r="E894" s="10"/>
      <c r="F894" s="12"/>
      <c r="G894" s="12"/>
      <c r="H894" s="17"/>
      <c r="I894" s="48"/>
      <c r="J894" s="48"/>
      <c r="K894" s="12"/>
      <c r="L894" s="80"/>
      <c r="M894" s="80"/>
      <c r="N894" s="80"/>
      <c r="O894" s="80"/>
      <c r="P894" s="80"/>
      <c r="Q894" s="80"/>
      <c r="R894" s="80"/>
      <c r="S894" s="42"/>
    </row>
    <row r="895" hidden="1">
      <c r="A895" s="12"/>
      <c r="B895" s="12"/>
      <c r="C895" s="76"/>
      <c r="D895" s="83"/>
      <c r="E895" s="10"/>
      <c r="F895" s="12"/>
      <c r="G895" s="12"/>
      <c r="H895" s="17"/>
      <c r="I895" s="48"/>
      <c r="J895" s="48"/>
      <c r="K895" s="12"/>
      <c r="L895" s="80"/>
      <c r="M895" s="80"/>
      <c r="N895" s="80"/>
      <c r="O895" s="80"/>
      <c r="P895" s="80"/>
      <c r="Q895" s="80"/>
      <c r="R895" s="80"/>
      <c r="S895" s="42"/>
    </row>
    <row r="896" hidden="1">
      <c r="A896" s="12"/>
      <c r="B896" s="12"/>
      <c r="C896" s="76"/>
      <c r="D896" s="83"/>
      <c r="E896" s="10"/>
      <c r="F896" s="12"/>
      <c r="G896" s="12"/>
      <c r="H896" s="17"/>
      <c r="I896" s="48"/>
      <c r="J896" s="48"/>
      <c r="K896" s="12"/>
      <c r="L896" s="80"/>
      <c r="M896" s="80"/>
      <c r="N896" s="80"/>
      <c r="O896" s="80"/>
      <c r="P896" s="80"/>
      <c r="Q896" s="80"/>
      <c r="R896" s="80"/>
      <c r="S896" s="42"/>
    </row>
    <row r="897" hidden="1">
      <c r="A897" s="12"/>
      <c r="B897" s="12"/>
      <c r="C897" s="76"/>
      <c r="D897" s="83"/>
      <c r="E897" s="10"/>
      <c r="F897" s="12"/>
      <c r="G897" s="12"/>
      <c r="H897" s="17"/>
      <c r="I897" s="48"/>
      <c r="J897" s="48"/>
      <c r="K897" s="12"/>
      <c r="L897" s="80"/>
      <c r="M897" s="80"/>
      <c r="N897" s="80"/>
      <c r="O897" s="80"/>
      <c r="P897" s="80"/>
      <c r="Q897" s="80"/>
      <c r="R897" s="80"/>
      <c r="S897" s="42"/>
    </row>
    <row r="898" hidden="1">
      <c r="A898" s="12"/>
      <c r="B898" s="12"/>
      <c r="C898" s="76"/>
      <c r="D898" s="83"/>
      <c r="E898" s="10"/>
      <c r="F898" s="12"/>
      <c r="G898" s="12"/>
      <c r="H898" s="17"/>
      <c r="I898" s="48"/>
      <c r="J898" s="48"/>
      <c r="K898" s="12"/>
      <c r="L898" s="80"/>
      <c r="M898" s="80"/>
      <c r="N898" s="80"/>
      <c r="O898" s="80"/>
      <c r="P898" s="80"/>
      <c r="Q898" s="80"/>
      <c r="R898" s="80"/>
      <c r="S898" s="42"/>
    </row>
    <row r="899" hidden="1">
      <c r="A899" s="12"/>
      <c r="B899" s="12"/>
      <c r="C899" s="76"/>
      <c r="D899" s="83"/>
      <c r="E899" s="10"/>
      <c r="F899" s="12"/>
      <c r="G899" s="12"/>
      <c r="H899" s="17"/>
      <c r="I899" s="48"/>
      <c r="J899" s="48"/>
      <c r="K899" s="12"/>
      <c r="L899" s="80"/>
      <c r="M899" s="80"/>
      <c r="N899" s="80"/>
      <c r="O899" s="80"/>
      <c r="P899" s="80"/>
      <c r="Q899" s="80"/>
      <c r="R899" s="80"/>
      <c r="S899" s="42"/>
    </row>
    <row r="900" hidden="1">
      <c r="A900" s="12"/>
      <c r="B900" s="12"/>
      <c r="C900" s="76"/>
      <c r="D900" s="83"/>
      <c r="E900" s="10"/>
      <c r="F900" s="12"/>
      <c r="G900" s="12"/>
      <c r="H900" s="17"/>
      <c r="I900" s="48"/>
      <c r="J900" s="48"/>
      <c r="K900" s="12"/>
      <c r="L900" s="80"/>
      <c r="M900" s="80"/>
      <c r="N900" s="80"/>
      <c r="O900" s="80"/>
      <c r="P900" s="80"/>
      <c r="Q900" s="80"/>
      <c r="R900" s="80"/>
      <c r="S900" s="42"/>
    </row>
    <row r="901" hidden="1">
      <c r="A901" s="12"/>
      <c r="B901" s="12"/>
      <c r="C901" s="76"/>
      <c r="D901" s="83"/>
      <c r="E901" s="10"/>
      <c r="F901" s="12"/>
      <c r="G901" s="12"/>
      <c r="H901" s="17"/>
      <c r="I901" s="48"/>
      <c r="J901" s="48"/>
      <c r="K901" s="12"/>
      <c r="L901" s="80"/>
      <c r="M901" s="80"/>
      <c r="N901" s="80"/>
      <c r="O901" s="80"/>
      <c r="P901" s="80"/>
      <c r="Q901" s="80"/>
      <c r="R901" s="80"/>
      <c r="S901" s="42"/>
    </row>
    <row r="902" hidden="1">
      <c r="A902" s="12"/>
      <c r="B902" s="12"/>
      <c r="C902" s="76"/>
      <c r="D902" s="83"/>
      <c r="E902" s="10"/>
      <c r="F902" s="12"/>
      <c r="G902" s="12"/>
      <c r="H902" s="17"/>
      <c r="I902" s="48"/>
      <c r="J902" s="48"/>
      <c r="K902" s="12"/>
      <c r="L902" s="80"/>
      <c r="M902" s="80"/>
      <c r="N902" s="80"/>
      <c r="O902" s="80"/>
      <c r="P902" s="80"/>
      <c r="Q902" s="80"/>
      <c r="R902" s="80"/>
      <c r="S902" s="42"/>
    </row>
    <row r="903" hidden="1">
      <c r="A903" s="12"/>
      <c r="B903" s="12"/>
      <c r="C903" s="76"/>
      <c r="D903" s="83"/>
      <c r="E903" s="10"/>
      <c r="F903" s="12"/>
      <c r="G903" s="12"/>
      <c r="H903" s="17"/>
      <c r="I903" s="48"/>
      <c r="J903" s="48"/>
      <c r="K903" s="12"/>
      <c r="L903" s="80"/>
      <c r="M903" s="80"/>
      <c r="N903" s="80"/>
      <c r="O903" s="80"/>
      <c r="P903" s="80"/>
      <c r="Q903" s="80"/>
      <c r="R903" s="80"/>
      <c r="S903" s="42"/>
    </row>
    <row r="904" hidden="1">
      <c r="A904" s="12"/>
      <c r="B904" s="12"/>
      <c r="C904" s="76"/>
      <c r="D904" s="83"/>
      <c r="E904" s="10"/>
      <c r="F904" s="12"/>
      <c r="G904" s="12"/>
      <c r="H904" s="17"/>
      <c r="I904" s="48"/>
      <c r="J904" s="48"/>
      <c r="K904" s="12"/>
      <c r="L904" s="80"/>
      <c r="M904" s="80"/>
      <c r="N904" s="80"/>
      <c r="O904" s="80"/>
      <c r="P904" s="80"/>
      <c r="Q904" s="80"/>
      <c r="R904" s="80"/>
      <c r="S904" s="42"/>
    </row>
    <row r="905" hidden="1">
      <c r="A905" s="12"/>
      <c r="B905" s="12"/>
      <c r="C905" s="76"/>
      <c r="D905" s="83"/>
      <c r="E905" s="10"/>
      <c r="F905" s="12"/>
      <c r="G905" s="12"/>
      <c r="H905" s="17"/>
      <c r="I905" s="48"/>
      <c r="J905" s="48"/>
      <c r="K905" s="12"/>
      <c r="L905" s="80"/>
      <c r="M905" s="80"/>
      <c r="N905" s="80"/>
      <c r="O905" s="80"/>
      <c r="P905" s="80"/>
      <c r="Q905" s="80"/>
      <c r="R905" s="80"/>
      <c r="S905" s="42"/>
    </row>
    <row r="906" hidden="1">
      <c r="A906" s="12"/>
      <c r="B906" s="12"/>
      <c r="C906" s="76"/>
      <c r="D906" s="83"/>
      <c r="E906" s="10"/>
      <c r="F906" s="12"/>
      <c r="G906" s="12"/>
      <c r="H906" s="17"/>
      <c r="I906" s="48"/>
      <c r="J906" s="48"/>
      <c r="K906" s="12"/>
      <c r="L906" s="80"/>
      <c r="M906" s="80"/>
      <c r="N906" s="80"/>
      <c r="O906" s="80"/>
      <c r="P906" s="80"/>
      <c r="Q906" s="80"/>
      <c r="R906" s="80"/>
      <c r="S906" s="42"/>
    </row>
    <row r="907" hidden="1">
      <c r="A907" s="12"/>
      <c r="B907" s="12"/>
      <c r="C907" s="76"/>
      <c r="D907" s="83"/>
      <c r="E907" s="10"/>
      <c r="F907" s="12"/>
      <c r="G907" s="12"/>
      <c r="H907" s="17"/>
      <c r="I907" s="48"/>
      <c r="J907" s="48"/>
      <c r="K907" s="12"/>
      <c r="L907" s="80"/>
      <c r="M907" s="80"/>
      <c r="N907" s="80"/>
      <c r="O907" s="80"/>
      <c r="P907" s="80"/>
      <c r="Q907" s="80"/>
      <c r="R907" s="80"/>
      <c r="S907" s="42"/>
    </row>
    <row r="908" hidden="1">
      <c r="A908" s="12"/>
      <c r="B908" s="12"/>
      <c r="C908" s="76"/>
      <c r="D908" s="83"/>
      <c r="E908" s="10"/>
      <c r="F908" s="12"/>
      <c r="G908" s="12"/>
      <c r="H908" s="17"/>
      <c r="I908" s="48"/>
      <c r="J908" s="48"/>
      <c r="K908" s="12"/>
      <c r="L908" s="80"/>
      <c r="M908" s="80"/>
      <c r="N908" s="80"/>
      <c r="O908" s="80"/>
      <c r="P908" s="80"/>
      <c r="Q908" s="80"/>
      <c r="R908" s="80"/>
      <c r="S908" s="42"/>
    </row>
    <row r="909" hidden="1">
      <c r="A909" s="12"/>
      <c r="B909" s="12"/>
      <c r="C909" s="76"/>
      <c r="D909" s="83"/>
      <c r="E909" s="10"/>
      <c r="F909" s="12"/>
      <c r="G909" s="12"/>
      <c r="H909" s="17"/>
      <c r="I909" s="48"/>
      <c r="J909" s="48"/>
      <c r="K909" s="12"/>
      <c r="L909" s="80"/>
      <c r="M909" s="80"/>
      <c r="N909" s="80"/>
      <c r="O909" s="80"/>
      <c r="P909" s="80"/>
      <c r="Q909" s="80"/>
      <c r="R909" s="80"/>
      <c r="S909" s="42"/>
    </row>
    <row r="910" hidden="1">
      <c r="A910" s="12"/>
      <c r="B910" s="12"/>
      <c r="C910" s="76"/>
      <c r="D910" s="83"/>
      <c r="E910" s="10"/>
      <c r="F910" s="12"/>
      <c r="G910" s="12"/>
      <c r="H910" s="17"/>
      <c r="I910" s="48"/>
      <c r="J910" s="48"/>
      <c r="K910" s="12"/>
      <c r="L910" s="80"/>
      <c r="M910" s="80"/>
      <c r="N910" s="80"/>
      <c r="O910" s="80"/>
      <c r="P910" s="80"/>
      <c r="Q910" s="80"/>
      <c r="R910" s="80"/>
      <c r="S910" s="42"/>
    </row>
    <row r="911" hidden="1">
      <c r="A911" s="12"/>
      <c r="B911" s="12"/>
      <c r="C911" s="76"/>
      <c r="D911" s="83"/>
      <c r="E911" s="10"/>
      <c r="F911" s="12"/>
      <c r="G911" s="12"/>
      <c r="H911" s="17"/>
      <c r="I911" s="48"/>
      <c r="J911" s="48"/>
      <c r="K911" s="12"/>
      <c r="L911" s="80"/>
      <c r="M911" s="80"/>
      <c r="N911" s="80"/>
      <c r="O911" s="80"/>
      <c r="P911" s="80"/>
      <c r="Q911" s="80"/>
      <c r="R911" s="80"/>
      <c r="S911" s="42"/>
    </row>
    <row r="912" hidden="1">
      <c r="A912" s="12"/>
      <c r="B912" s="12"/>
      <c r="C912" s="76"/>
      <c r="D912" s="83"/>
      <c r="E912" s="10"/>
      <c r="F912" s="12"/>
      <c r="G912" s="12"/>
      <c r="H912" s="17"/>
      <c r="I912" s="48"/>
      <c r="J912" s="48"/>
      <c r="K912" s="12"/>
      <c r="L912" s="80"/>
      <c r="M912" s="80"/>
      <c r="N912" s="80"/>
      <c r="O912" s="80"/>
      <c r="P912" s="80"/>
      <c r="Q912" s="80"/>
      <c r="R912" s="80"/>
      <c r="S912" s="42"/>
    </row>
    <row r="913" hidden="1">
      <c r="A913" s="12"/>
      <c r="B913" s="12"/>
      <c r="C913" s="76"/>
      <c r="D913" s="83"/>
      <c r="E913" s="10"/>
      <c r="F913" s="12"/>
      <c r="G913" s="12"/>
      <c r="H913" s="17"/>
      <c r="I913" s="48"/>
      <c r="J913" s="48"/>
      <c r="K913" s="12"/>
      <c r="L913" s="80"/>
      <c r="M913" s="80"/>
      <c r="N913" s="80"/>
      <c r="O913" s="80"/>
      <c r="P913" s="80"/>
      <c r="Q913" s="80"/>
      <c r="R913" s="80"/>
      <c r="S913" s="42"/>
    </row>
    <row r="914" hidden="1">
      <c r="A914" s="12"/>
      <c r="B914" s="12"/>
      <c r="C914" s="76"/>
      <c r="D914" s="83"/>
      <c r="E914" s="10"/>
      <c r="F914" s="12"/>
      <c r="G914" s="12"/>
      <c r="H914" s="17"/>
      <c r="I914" s="48"/>
      <c r="J914" s="48"/>
      <c r="K914" s="12"/>
      <c r="L914" s="80"/>
      <c r="M914" s="80"/>
      <c r="N914" s="80"/>
      <c r="O914" s="80"/>
      <c r="P914" s="80"/>
      <c r="Q914" s="80"/>
      <c r="R914" s="80"/>
      <c r="S914" s="42"/>
    </row>
    <row r="915" hidden="1">
      <c r="A915" s="12"/>
      <c r="B915" s="12"/>
      <c r="C915" s="76"/>
      <c r="D915" s="83"/>
      <c r="E915" s="10"/>
      <c r="F915" s="12"/>
      <c r="G915" s="12"/>
      <c r="H915" s="17"/>
      <c r="I915" s="48"/>
      <c r="J915" s="48"/>
      <c r="K915" s="12"/>
      <c r="L915" s="80"/>
      <c r="M915" s="80"/>
      <c r="N915" s="80"/>
      <c r="O915" s="80"/>
      <c r="P915" s="80"/>
      <c r="Q915" s="80"/>
      <c r="R915" s="80"/>
      <c r="S915" s="42"/>
    </row>
    <row r="916" hidden="1">
      <c r="A916" s="12"/>
      <c r="B916" s="12"/>
      <c r="C916" s="76"/>
      <c r="D916" s="83"/>
      <c r="E916" s="10"/>
      <c r="F916" s="12"/>
      <c r="G916" s="12"/>
      <c r="H916" s="17"/>
      <c r="I916" s="48"/>
      <c r="J916" s="48"/>
      <c r="K916" s="12"/>
      <c r="L916" s="80"/>
      <c r="M916" s="80"/>
      <c r="N916" s="80"/>
      <c r="O916" s="80"/>
      <c r="P916" s="80"/>
      <c r="Q916" s="80"/>
      <c r="R916" s="80"/>
      <c r="S916" s="42"/>
    </row>
    <row r="917" hidden="1">
      <c r="A917" s="12"/>
      <c r="B917" s="12"/>
      <c r="C917" s="76"/>
      <c r="D917" s="83"/>
      <c r="E917" s="10"/>
      <c r="F917" s="12"/>
      <c r="G917" s="12"/>
      <c r="H917" s="17"/>
      <c r="I917" s="48"/>
      <c r="J917" s="48"/>
      <c r="K917" s="12"/>
      <c r="L917" s="80"/>
      <c r="M917" s="80"/>
      <c r="N917" s="80"/>
      <c r="O917" s="80"/>
      <c r="P917" s="80"/>
      <c r="Q917" s="80"/>
      <c r="R917" s="80"/>
      <c r="S917" s="42"/>
    </row>
    <row r="918" hidden="1">
      <c r="A918" s="12"/>
      <c r="B918" s="12"/>
      <c r="C918" s="76"/>
      <c r="D918" s="83"/>
      <c r="E918" s="10"/>
      <c r="F918" s="12"/>
      <c r="G918" s="12"/>
      <c r="H918" s="17"/>
      <c r="I918" s="48"/>
      <c r="J918" s="48"/>
      <c r="K918" s="12"/>
      <c r="L918" s="80"/>
      <c r="M918" s="80"/>
      <c r="N918" s="80"/>
      <c r="O918" s="80"/>
      <c r="P918" s="80"/>
      <c r="Q918" s="80"/>
      <c r="R918" s="80"/>
      <c r="S918" s="42"/>
    </row>
    <row r="919" hidden="1">
      <c r="A919" s="12"/>
      <c r="B919" s="12"/>
      <c r="C919" s="76"/>
      <c r="D919" s="83"/>
      <c r="E919" s="10"/>
      <c r="F919" s="12"/>
      <c r="G919" s="12"/>
      <c r="H919" s="17"/>
      <c r="I919" s="48"/>
      <c r="J919" s="48"/>
      <c r="K919" s="12"/>
      <c r="L919" s="80"/>
      <c r="M919" s="80"/>
      <c r="N919" s="80"/>
      <c r="O919" s="80"/>
      <c r="P919" s="80"/>
      <c r="Q919" s="80"/>
      <c r="R919" s="80"/>
      <c r="S919" s="42"/>
    </row>
    <row r="920" hidden="1">
      <c r="A920" s="12"/>
      <c r="B920" s="12"/>
      <c r="C920" s="76"/>
      <c r="D920" s="83"/>
      <c r="E920" s="10"/>
      <c r="F920" s="12"/>
      <c r="G920" s="12"/>
      <c r="H920" s="17"/>
      <c r="I920" s="48"/>
      <c r="J920" s="48"/>
      <c r="K920" s="12"/>
      <c r="L920" s="80"/>
      <c r="M920" s="80"/>
      <c r="N920" s="80"/>
      <c r="O920" s="80"/>
      <c r="P920" s="80"/>
      <c r="Q920" s="80"/>
      <c r="R920" s="80"/>
      <c r="S920" s="42"/>
    </row>
    <row r="921" hidden="1">
      <c r="A921" s="12"/>
      <c r="B921" s="12"/>
      <c r="C921" s="76"/>
      <c r="D921" s="83"/>
      <c r="E921" s="10"/>
      <c r="F921" s="12"/>
      <c r="G921" s="12"/>
      <c r="H921" s="17"/>
      <c r="I921" s="48"/>
      <c r="J921" s="48"/>
      <c r="K921" s="12"/>
      <c r="L921" s="80"/>
      <c r="M921" s="80"/>
      <c r="N921" s="80"/>
      <c r="O921" s="80"/>
      <c r="P921" s="80"/>
      <c r="Q921" s="80"/>
      <c r="R921" s="80"/>
      <c r="S921" s="42"/>
    </row>
    <row r="922" hidden="1">
      <c r="A922" s="12"/>
      <c r="B922" s="12"/>
      <c r="C922" s="76"/>
      <c r="D922" s="83"/>
      <c r="E922" s="10"/>
      <c r="F922" s="12"/>
      <c r="G922" s="12"/>
      <c r="H922" s="17"/>
      <c r="I922" s="48"/>
      <c r="J922" s="48"/>
      <c r="K922" s="12"/>
      <c r="L922" s="80"/>
      <c r="M922" s="80"/>
      <c r="N922" s="80"/>
      <c r="O922" s="80"/>
      <c r="P922" s="80"/>
      <c r="Q922" s="80"/>
      <c r="R922" s="80"/>
      <c r="S922" s="42"/>
    </row>
    <row r="923" hidden="1">
      <c r="A923" s="12"/>
      <c r="B923" s="12"/>
      <c r="C923" s="76"/>
      <c r="D923" s="83"/>
      <c r="E923" s="10"/>
      <c r="F923" s="12"/>
      <c r="G923" s="12"/>
      <c r="H923" s="17"/>
      <c r="I923" s="48"/>
      <c r="J923" s="48"/>
      <c r="K923" s="12"/>
      <c r="L923" s="80"/>
      <c r="M923" s="80"/>
      <c r="N923" s="80"/>
      <c r="O923" s="80"/>
      <c r="P923" s="80"/>
      <c r="Q923" s="80"/>
      <c r="R923" s="80"/>
      <c r="S923" s="42"/>
    </row>
    <row r="924" hidden="1">
      <c r="A924" s="12"/>
      <c r="B924" s="12"/>
      <c r="C924" s="76"/>
      <c r="D924" s="83"/>
      <c r="E924" s="10"/>
      <c r="F924" s="12"/>
      <c r="G924" s="12"/>
      <c r="H924" s="17"/>
      <c r="I924" s="48"/>
      <c r="J924" s="48"/>
      <c r="K924" s="12"/>
      <c r="L924" s="80"/>
      <c r="M924" s="80"/>
      <c r="N924" s="80"/>
      <c r="O924" s="80"/>
      <c r="P924" s="80"/>
      <c r="Q924" s="80"/>
      <c r="R924" s="80"/>
      <c r="S924" s="42"/>
    </row>
    <row r="925" hidden="1">
      <c r="A925" s="12"/>
      <c r="B925" s="12"/>
      <c r="C925" s="76"/>
      <c r="D925" s="83"/>
      <c r="E925" s="10"/>
      <c r="F925" s="12"/>
      <c r="G925" s="12"/>
      <c r="H925" s="17"/>
      <c r="I925" s="48"/>
      <c r="J925" s="48"/>
      <c r="K925" s="12"/>
      <c r="L925" s="80"/>
      <c r="M925" s="80"/>
      <c r="N925" s="80"/>
      <c r="O925" s="80"/>
      <c r="P925" s="80"/>
      <c r="Q925" s="80"/>
      <c r="R925" s="80"/>
      <c r="S925" s="42"/>
    </row>
    <row r="926" hidden="1">
      <c r="A926" s="12"/>
      <c r="B926" s="12"/>
      <c r="C926" s="76"/>
      <c r="D926" s="83"/>
      <c r="E926" s="10"/>
      <c r="F926" s="12"/>
      <c r="G926" s="12"/>
      <c r="H926" s="17"/>
      <c r="I926" s="48"/>
      <c r="J926" s="48"/>
      <c r="K926" s="12"/>
      <c r="L926" s="80"/>
      <c r="M926" s="80"/>
      <c r="N926" s="80"/>
      <c r="O926" s="80"/>
      <c r="P926" s="80"/>
      <c r="Q926" s="80"/>
      <c r="R926" s="80"/>
      <c r="S926" s="42"/>
    </row>
    <row r="927" hidden="1">
      <c r="A927" s="12"/>
      <c r="B927" s="12"/>
      <c r="C927" s="76"/>
      <c r="D927" s="83"/>
      <c r="E927" s="10"/>
      <c r="F927" s="12"/>
      <c r="G927" s="12"/>
      <c r="H927" s="17"/>
      <c r="I927" s="48"/>
      <c r="J927" s="48"/>
      <c r="K927" s="12"/>
      <c r="L927" s="80"/>
      <c r="M927" s="80"/>
      <c r="N927" s="80"/>
      <c r="O927" s="80"/>
      <c r="P927" s="80"/>
      <c r="Q927" s="80"/>
      <c r="R927" s="80"/>
      <c r="S927" s="42"/>
    </row>
    <row r="928" hidden="1">
      <c r="A928" s="12"/>
      <c r="B928" s="12"/>
      <c r="C928" s="76"/>
      <c r="D928" s="83"/>
      <c r="E928" s="10"/>
      <c r="F928" s="12"/>
      <c r="G928" s="12"/>
      <c r="H928" s="17"/>
      <c r="I928" s="48"/>
      <c r="J928" s="48"/>
      <c r="K928" s="12"/>
      <c r="L928" s="80"/>
      <c r="M928" s="80"/>
      <c r="N928" s="80"/>
      <c r="O928" s="80"/>
      <c r="P928" s="80"/>
      <c r="Q928" s="80"/>
      <c r="R928" s="80"/>
      <c r="S928" s="42"/>
    </row>
    <row r="929" hidden="1">
      <c r="A929" s="12"/>
      <c r="B929" s="12"/>
      <c r="C929" s="76"/>
      <c r="D929" s="83"/>
      <c r="E929" s="10"/>
      <c r="F929" s="12"/>
      <c r="G929" s="12"/>
      <c r="H929" s="17"/>
      <c r="I929" s="48"/>
      <c r="J929" s="48"/>
      <c r="K929" s="12"/>
      <c r="L929" s="80"/>
      <c r="M929" s="80"/>
      <c r="N929" s="80"/>
      <c r="O929" s="80"/>
      <c r="P929" s="80"/>
      <c r="Q929" s="80"/>
      <c r="R929" s="80"/>
      <c r="S929" s="42"/>
    </row>
    <row r="930" hidden="1">
      <c r="A930" s="12"/>
      <c r="B930" s="12"/>
      <c r="C930" s="76"/>
      <c r="D930" s="83"/>
      <c r="E930" s="10"/>
      <c r="F930" s="12"/>
      <c r="G930" s="12"/>
      <c r="H930" s="17"/>
      <c r="I930" s="48"/>
      <c r="J930" s="48"/>
      <c r="K930" s="12"/>
      <c r="L930" s="80"/>
      <c r="M930" s="80"/>
      <c r="N930" s="80"/>
      <c r="O930" s="80"/>
      <c r="P930" s="80"/>
      <c r="Q930" s="80"/>
      <c r="R930" s="80"/>
      <c r="S930" s="42"/>
    </row>
    <row r="931" hidden="1">
      <c r="A931" s="12"/>
      <c r="B931" s="12"/>
      <c r="C931" s="76"/>
      <c r="D931" s="83"/>
      <c r="E931" s="10"/>
      <c r="F931" s="12"/>
      <c r="G931" s="12"/>
      <c r="H931" s="17"/>
      <c r="I931" s="48"/>
      <c r="J931" s="48"/>
      <c r="K931" s="12"/>
      <c r="L931" s="80"/>
      <c r="M931" s="80"/>
      <c r="N931" s="80"/>
      <c r="O931" s="80"/>
      <c r="P931" s="80"/>
      <c r="Q931" s="80"/>
      <c r="R931" s="80"/>
      <c r="S931" s="42"/>
    </row>
    <row r="932" hidden="1">
      <c r="A932" s="12"/>
      <c r="B932" s="12"/>
      <c r="C932" s="76"/>
      <c r="D932" s="83"/>
      <c r="E932" s="10"/>
      <c r="F932" s="12"/>
      <c r="G932" s="12"/>
      <c r="H932" s="17"/>
      <c r="I932" s="48"/>
      <c r="J932" s="48"/>
      <c r="K932" s="12"/>
      <c r="L932" s="80"/>
      <c r="M932" s="80"/>
      <c r="N932" s="80"/>
      <c r="O932" s="80"/>
      <c r="P932" s="80"/>
      <c r="Q932" s="80"/>
      <c r="R932" s="80"/>
      <c r="S932" s="42"/>
    </row>
    <row r="933" hidden="1">
      <c r="A933" s="12"/>
      <c r="B933" s="12"/>
      <c r="C933" s="76"/>
      <c r="D933" s="83"/>
      <c r="E933" s="10"/>
      <c r="F933" s="12"/>
      <c r="G933" s="12"/>
      <c r="H933" s="17"/>
      <c r="I933" s="48"/>
      <c r="J933" s="48"/>
      <c r="K933" s="12"/>
      <c r="L933" s="80"/>
      <c r="M933" s="80"/>
      <c r="N933" s="80"/>
      <c r="O933" s="80"/>
      <c r="P933" s="80"/>
      <c r="Q933" s="80"/>
      <c r="R933" s="80"/>
      <c r="S933" s="42"/>
    </row>
    <row r="934" hidden="1">
      <c r="A934" s="12"/>
      <c r="B934" s="12"/>
      <c r="C934" s="76"/>
      <c r="D934" s="83"/>
      <c r="E934" s="10"/>
      <c r="F934" s="12"/>
      <c r="G934" s="12"/>
      <c r="H934" s="17"/>
      <c r="I934" s="48"/>
      <c r="J934" s="48"/>
      <c r="K934" s="12"/>
      <c r="L934" s="80"/>
      <c r="M934" s="80"/>
      <c r="N934" s="80"/>
      <c r="O934" s="80"/>
      <c r="P934" s="80"/>
      <c r="Q934" s="80"/>
      <c r="R934" s="80"/>
      <c r="S934" s="42"/>
    </row>
    <row r="935" hidden="1">
      <c r="A935" s="12"/>
      <c r="B935" s="12"/>
      <c r="C935" s="76"/>
      <c r="D935" s="83"/>
      <c r="E935" s="10"/>
      <c r="F935" s="12"/>
      <c r="G935" s="12"/>
      <c r="H935" s="17"/>
      <c r="I935" s="48"/>
      <c r="J935" s="48"/>
      <c r="K935" s="12"/>
      <c r="L935" s="80"/>
      <c r="M935" s="80"/>
      <c r="N935" s="80"/>
      <c r="O935" s="80"/>
      <c r="P935" s="80"/>
      <c r="Q935" s="80"/>
      <c r="R935" s="80"/>
      <c r="S935" s="42"/>
    </row>
    <row r="936" hidden="1">
      <c r="A936" s="12"/>
      <c r="B936" s="12"/>
      <c r="C936" s="76"/>
      <c r="D936" s="83"/>
      <c r="E936" s="10"/>
      <c r="F936" s="12"/>
      <c r="G936" s="12"/>
      <c r="H936" s="17"/>
      <c r="I936" s="48"/>
      <c r="J936" s="48"/>
      <c r="K936" s="12"/>
      <c r="L936" s="80"/>
      <c r="M936" s="80"/>
      <c r="N936" s="80"/>
      <c r="O936" s="80"/>
      <c r="P936" s="80"/>
      <c r="Q936" s="80"/>
      <c r="R936" s="80"/>
      <c r="S936" s="42"/>
    </row>
    <row r="937" hidden="1">
      <c r="A937" s="12"/>
      <c r="B937" s="12"/>
      <c r="C937" s="76"/>
      <c r="D937" s="83"/>
      <c r="E937" s="10"/>
      <c r="F937" s="12"/>
      <c r="G937" s="12"/>
      <c r="H937" s="17"/>
      <c r="I937" s="48"/>
      <c r="J937" s="48"/>
      <c r="K937" s="12"/>
      <c r="L937" s="80"/>
      <c r="M937" s="80"/>
      <c r="N937" s="80"/>
      <c r="O937" s="80"/>
      <c r="P937" s="80"/>
      <c r="Q937" s="80"/>
      <c r="R937" s="80"/>
      <c r="S937" s="42"/>
    </row>
    <row r="938" hidden="1">
      <c r="A938" s="12"/>
      <c r="B938" s="12"/>
      <c r="C938" s="76"/>
      <c r="D938" s="83"/>
      <c r="E938" s="10"/>
      <c r="F938" s="12"/>
      <c r="G938" s="12"/>
      <c r="H938" s="17"/>
      <c r="I938" s="48"/>
      <c r="J938" s="48"/>
      <c r="K938" s="12"/>
      <c r="L938" s="80"/>
      <c r="M938" s="80"/>
      <c r="N938" s="80"/>
      <c r="O938" s="80"/>
      <c r="P938" s="80"/>
      <c r="Q938" s="80"/>
      <c r="R938" s="80"/>
      <c r="S938" s="42"/>
    </row>
    <row r="939" hidden="1">
      <c r="A939" s="12"/>
      <c r="B939" s="12"/>
      <c r="C939" s="76"/>
      <c r="D939" s="83"/>
      <c r="E939" s="10"/>
      <c r="F939" s="12"/>
      <c r="G939" s="12"/>
      <c r="H939" s="17"/>
      <c r="I939" s="48"/>
      <c r="J939" s="48"/>
      <c r="K939" s="12"/>
      <c r="L939" s="80"/>
      <c r="M939" s="80"/>
      <c r="N939" s="80"/>
      <c r="O939" s="80"/>
      <c r="P939" s="80"/>
      <c r="Q939" s="80"/>
      <c r="R939" s="80"/>
      <c r="S939" s="42"/>
    </row>
    <row r="940" hidden="1">
      <c r="A940" s="12"/>
      <c r="B940" s="12"/>
      <c r="C940" s="76"/>
      <c r="D940" s="83"/>
      <c r="E940" s="10"/>
      <c r="F940" s="12"/>
      <c r="G940" s="12"/>
      <c r="H940" s="17"/>
      <c r="I940" s="48"/>
      <c r="J940" s="48"/>
      <c r="K940" s="12"/>
      <c r="L940" s="80"/>
      <c r="M940" s="80"/>
      <c r="N940" s="80"/>
      <c r="O940" s="80"/>
      <c r="P940" s="80"/>
      <c r="Q940" s="80"/>
      <c r="R940" s="80"/>
      <c r="S940" s="42"/>
    </row>
    <row r="941" hidden="1">
      <c r="A941" s="12"/>
      <c r="B941" s="12"/>
      <c r="C941" s="76"/>
      <c r="D941" s="83"/>
      <c r="E941" s="10"/>
      <c r="F941" s="12"/>
      <c r="G941" s="12"/>
      <c r="H941" s="17"/>
      <c r="I941" s="48"/>
      <c r="J941" s="48"/>
      <c r="K941" s="12"/>
      <c r="L941" s="80"/>
      <c r="M941" s="80"/>
      <c r="N941" s="80"/>
      <c r="O941" s="80"/>
      <c r="P941" s="80"/>
      <c r="Q941" s="80"/>
      <c r="R941" s="80"/>
      <c r="S941" s="42"/>
    </row>
    <row r="942" hidden="1">
      <c r="A942" s="12"/>
      <c r="B942" s="12"/>
      <c r="C942" s="76"/>
      <c r="D942" s="83"/>
      <c r="E942" s="10"/>
      <c r="F942" s="12"/>
      <c r="G942" s="12"/>
      <c r="H942" s="17"/>
      <c r="I942" s="48"/>
      <c r="J942" s="48"/>
      <c r="K942" s="12"/>
      <c r="L942" s="80"/>
      <c r="M942" s="80"/>
      <c r="N942" s="80"/>
      <c r="O942" s="80"/>
      <c r="P942" s="80"/>
      <c r="Q942" s="80"/>
      <c r="R942" s="80"/>
      <c r="S942" s="42"/>
    </row>
    <row r="943" hidden="1">
      <c r="A943" s="12"/>
      <c r="B943" s="12"/>
      <c r="C943" s="76"/>
      <c r="D943" s="83"/>
      <c r="E943" s="10"/>
      <c r="F943" s="12"/>
      <c r="G943" s="12"/>
      <c r="H943" s="17"/>
      <c r="I943" s="48"/>
      <c r="J943" s="48"/>
      <c r="K943" s="12"/>
      <c r="L943" s="80"/>
      <c r="M943" s="80"/>
      <c r="N943" s="80"/>
      <c r="O943" s="80"/>
      <c r="P943" s="80"/>
      <c r="Q943" s="80"/>
      <c r="R943" s="80"/>
      <c r="S943" s="42"/>
    </row>
    <row r="944" hidden="1">
      <c r="A944" s="12"/>
      <c r="B944" s="12"/>
      <c r="C944" s="76"/>
      <c r="D944" s="83"/>
      <c r="E944" s="10"/>
      <c r="F944" s="12"/>
      <c r="G944" s="12"/>
      <c r="H944" s="17"/>
      <c r="I944" s="48"/>
      <c r="J944" s="48"/>
      <c r="K944" s="12"/>
      <c r="L944" s="80"/>
      <c r="M944" s="80"/>
      <c r="N944" s="80"/>
      <c r="O944" s="80"/>
      <c r="P944" s="80"/>
      <c r="Q944" s="80"/>
      <c r="R944" s="80"/>
      <c r="S944" s="42"/>
    </row>
    <row r="945" hidden="1">
      <c r="A945" s="12"/>
      <c r="B945" s="12"/>
      <c r="C945" s="76"/>
      <c r="D945" s="83"/>
      <c r="E945" s="10"/>
      <c r="F945" s="12"/>
      <c r="G945" s="12"/>
      <c r="H945" s="17"/>
      <c r="I945" s="48"/>
      <c r="J945" s="48"/>
      <c r="K945" s="12"/>
      <c r="L945" s="80"/>
      <c r="M945" s="80"/>
      <c r="N945" s="80"/>
      <c r="O945" s="80"/>
      <c r="P945" s="80"/>
      <c r="Q945" s="80"/>
      <c r="R945" s="80"/>
      <c r="S945" s="42"/>
    </row>
    <row r="946" hidden="1">
      <c r="A946" s="12"/>
      <c r="B946" s="12"/>
      <c r="C946" s="76"/>
      <c r="D946" s="83"/>
      <c r="E946" s="10"/>
      <c r="F946" s="12"/>
      <c r="G946" s="12"/>
      <c r="H946" s="17"/>
      <c r="I946" s="48"/>
      <c r="J946" s="48"/>
      <c r="K946" s="12"/>
      <c r="L946" s="80"/>
      <c r="M946" s="80"/>
      <c r="N946" s="80"/>
      <c r="O946" s="80"/>
      <c r="P946" s="80"/>
      <c r="Q946" s="80"/>
      <c r="R946" s="80"/>
      <c r="S946" s="42"/>
    </row>
    <row r="947" hidden="1">
      <c r="A947" s="12"/>
      <c r="B947" s="12"/>
      <c r="C947" s="76"/>
      <c r="D947" s="83"/>
      <c r="E947" s="10"/>
      <c r="F947" s="12"/>
      <c r="G947" s="12"/>
      <c r="H947" s="17"/>
      <c r="I947" s="48"/>
      <c r="J947" s="48"/>
      <c r="K947" s="12"/>
      <c r="L947" s="80"/>
      <c r="M947" s="80"/>
      <c r="N947" s="80"/>
      <c r="O947" s="80"/>
      <c r="P947" s="80"/>
      <c r="Q947" s="80"/>
      <c r="R947" s="80"/>
      <c r="S947" s="42"/>
    </row>
    <row r="948" hidden="1">
      <c r="A948" s="12"/>
      <c r="B948" s="12"/>
      <c r="C948" s="76"/>
      <c r="D948" s="83"/>
      <c r="E948" s="10"/>
      <c r="F948" s="12"/>
      <c r="G948" s="12"/>
      <c r="H948" s="17"/>
      <c r="I948" s="48"/>
      <c r="J948" s="48"/>
      <c r="K948" s="12"/>
      <c r="L948" s="80"/>
      <c r="M948" s="80"/>
      <c r="N948" s="80"/>
      <c r="O948" s="80"/>
      <c r="P948" s="80"/>
      <c r="Q948" s="80"/>
      <c r="R948" s="80"/>
      <c r="S948" s="42"/>
    </row>
    <row r="949" hidden="1">
      <c r="A949" s="12"/>
      <c r="B949" s="12"/>
      <c r="C949" s="76"/>
      <c r="D949" s="83"/>
      <c r="E949" s="10"/>
      <c r="F949" s="12"/>
      <c r="G949" s="12"/>
      <c r="H949" s="17"/>
      <c r="I949" s="48"/>
      <c r="J949" s="48"/>
      <c r="K949" s="12"/>
      <c r="L949" s="80"/>
      <c r="M949" s="80"/>
      <c r="N949" s="80"/>
      <c r="O949" s="80"/>
      <c r="P949" s="80"/>
      <c r="Q949" s="80"/>
      <c r="R949" s="80"/>
      <c r="S949" s="42"/>
    </row>
    <row r="950" hidden="1">
      <c r="A950" s="12"/>
      <c r="B950" s="12"/>
      <c r="C950" s="76"/>
      <c r="D950" s="83"/>
      <c r="E950" s="10"/>
      <c r="F950" s="12"/>
      <c r="G950" s="12"/>
      <c r="H950" s="17"/>
      <c r="I950" s="48"/>
      <c r="J950" s="48"/>
      <c r="K950" s="12"/>
      <c r="L950" s="80"/>
      <c r="M950" s="80"/>
      <c r="N950" s="80"/>
      <c r="O950" s="80"/>
      <c r="P950" s="80"/>
      <c r="Q950" s="80"/>
      <c r="R950" s="80"/>
      <c r="S950" s="42"/>
    </row>
    <row r="951" hidden="1">
      <c r="A951" s="12"/>
      <c r="B951" s="12"/>
      <c r="C951" s="76"/>
      <c r="D951" s="83"/>
      <c r="E951" s="10"/>
      <c r="F951" s="12"/>
      <c r="G951" s="12"/>
      <c r="H951" s="17"/>
      <c r="I951" s="48"/>
      <c r="J951" s="48"/>
      <c r="K951" s="12"/>
      <c r="L951" s="80"/>
      <c r="M951" s="80"/>
      <c r="N951" s="80"/>
      <c r="O951" s="80"/>
      <c r="P951" s="80"/>
      <c r="Q951" s="80"/>
      <c r="R951" s="80"/>
      <c r="S951" s="42"/>
    </row>
    <row r="952" hidden="1">
      <c r="A952" s="12"/>
      <c r="B952" s="12"/>
      <c r="C952" s="76"/>
      <c r="D952" s="83"/>
      <c r="E952" s="10"/>
      <c r="F952" s="12"/>
      <c r="G952" s="12"/>
      <c r="H952" s="17"/>
      <c r="I952" s="48"/>
      <c r="J952" s="48"/>
      <c r="K952" s="12"/>
      <c r="L952" s="80"/>
      <c r="M952" s="80"/>
      <c r="N952" s="80"/>
      <c r="O952" s="80"/>
      <c r="P952" s="80"/>
      <c r="Q952" s="80"/>
      <c r="R952" s="80"/>
      <c r="S952" s="42"/>
    </row>
    <row r="953" hidden="1">
      <c r="A953" s="12"/>
      <c r="B953" s="12"/>
      <c r="C953" s="76"/>
      <c r="D953" s="83"/>
      <c r="E953" s="10"/>
      <c r="F953" s="12"/>
      <c r="G953" s="12"/>
      <c r="H953" s="17"/>
      <c r="I953" s="48"/>
      <c r="J953" s="48"/>
      <c r="K953" s="12"/>
      <c r="L953" s="80"/>
      <c r="M953" s="80"/>
      <c r="N953" s="80"/>
      <c r="O953" s="80"/>
      <c r="P953" s="80"/>
      <c r="Q953" s="80"/>
      <c r="R953" s="80"/>
      <c r="S953" s="42"/>
    </row>
    <row r="954" hidden="1">
      <c r="A954" s="12"/>
      <c r="B954" s="12"/>
      <c r="C954" s="76"/>
      <c r="D954" s="83"/>
      <c r="E954" s="10"/>
      <c r="F954" s="12"/>
      <c r="G954" s="12"/>
      <c r="H954" s="17"/>
      <c r="I954" s="48"/>
      <c r="J954" s="48"/>
      <c r="K954" s="12"/>
      <c r="L954" s="80"/>
      <c r="M954" s="80"/>
      <c r="N954" s="80"/>
      <c r="O954" s="80"/>
      <c r="P954" s="80"/>
      <c r="Q954" s="80"/>
      <c r="R954" s="80"/>
      <c r="S954" s="42"/>
    </row>
    <row r="955" hidden="1">
      <c r="A955" s="12"/>
      <c r="B955" s="12"/>
      <c r="C955" s="76"/>
      <c r="D955" s="83"/>
      <c r="E955" s="10"/>
      <c r="F955" s="12"/>
      <c r="G955" s="12"/>
      <c r="H955" s="17"/>
      <c r="I955" s="48"/>
      <c r="J955" s="48"/>
      <c r="K955" s="12"/>
      <c r="L955" s="80"/>
      <c r="M955" s="80"/>
      <c r="N955" s="80"/>
      <c r="O955" s="80"/>
      <c r="P955" s="80"/>
      <c r="Q955" s="80"/>
      <c r="R955" s="80"/>
      <c r="S955" s="42"/>
    </row>
    <row r="956" hidden="1">
      <c r="A956" s="12"/>
      <c r="B956" s="12"/>
      <c r="C956" s="76"/>
      <c r="D956" s="83"/>
      <c r="E956" s="10"/>
      <c r="F956" s="12"/>
      <c r="G956" s="12"/>
      <c r="H956" s="17"/>
      <c r="I956" s="48"/>
      <c r="J956" s="48"/>
      <c r="K956" s="12"/>
      <c r="L956" s="80"/>
      <c r="M956" s="80"/>
      <c r="N956" s="80"/>
      <c r="O956" s="80"/>
      <c r="P956" s="80"/>
      <c r="Q956" s="80"/>
      <c r="R956" s="80"/>
      <c r="S956" s="42"/>
    </row>
    <row r="957" hidden="1">
      <c r="A957" s="12"/>
      <c r="B957" s="12"/>
      <c r="C957" s="76"/>
      <c r="D957" s="83"/>
      <c r="E957" s="10"/>
      <c r="F957" s="12"/>
      <c r="G957" s="12"/>
      <c r="H957" s="17"/>
      <c r="I957" s="48"/>
      <c r="J957" s="48"/>
      <c r="K957" s="12"/>
      <c r="L957" s="80"/>
      <c r="M957" s="80"/>
      <c r="N957" s="80"/>
      <c r="O957" s="80"/>
      <c r="P957" s="80"/>
      <c r="Q957" s="80"/>
      <c r="R957" s="80"/>
      <c r="S957" s="42"/>
    </row>
    <row r="958" hidden="1">
      <c r="A958" s="12"/>
      <c r="B958" s="12"/>
      <c r="C958" s="76"/>
      <c r="D958" s="83"/>
      <c r="E958" s="10"/>
      <c r="F958" s="12"/>
      <c r="G958" s="12"/>
      <c r="H958" s="17"/>
      <c r="I958" s="48"/>
      <c r="J958" s="48"/>
      <c r="K958" s="12"/>
      <c r="L958" s="80"/>
      <c r="M958" s="80"/>
      <c r="N958" s="80"/>
      <c r="O958" s="80"/>
      <c r="P958" s="80"/>
      <c r="Q958" s="80"/>
      <c r="R958" s="80"/>
      <c r="S958" s="42"/>
    </row>
    <row r="959" hidden="1">
      <c r="A959" s="12"/>
      <c r="B959" s="12"/>
      <c r="C959" s="76"/>
      <c r="D959" s="83"/>
      <c r="E959" s="10"/>
      <c r="F959" s="12"/>
      <c r="G959" s="12"/>
      <c r="H959" s="17"/>
      <c r="I959" s="48"/>
      <c r="J959" s="48"/>
      <c r="K959" s="12"/>
      <c r="L959" s="80"/>
      <c r="M959" s="80"/>
      <c r="N959" s="80"/>
      <c r="O959" s="80"/>
      <c r="P959" s="80"/>
      <c r="Q959" s="80"/>
      <c r="R959" s="80"/>
      <c r="S959" s="42"/>
    </row>
    <row r="960" hidden="1">
      <c r="A960" s="12"/>
      <c r="B960" s="12"/>
      <c r="C960" s="76"/>
      <c r="D960" s="83"/>
      <c r="E960" s="10"/>
      <c r="F960" s="12"/>
      <c r="G960" s="12"/>
      <c r="H960" s="17"/>
      <c r="I960" s="48"/>
      <c r="J960" s="48"/>
      <c r="K960" s="12"/>
      <c r="L960" s="80"/>
      <c r="M960" s="80"/>
      <c r="N960" s="80"/>
      <c r="O960" s="80"/>
      <c r="P960" s="80"/>
      <c r="Q960" s="80"/>
      <c r="R960" s="80"/>
      <c r="S960" s="42"/>
    </row>
    <row r="961" hidden="1">
      <c r="A961" s="12"/>
      <c r="B961" s="12"/>
      <c r="C961" s="76"/>
      <c r="D961" s="83"/>
      <c r="E961" s="10"/>
      <c r="F961" s="12"/>
      <c r="G961" s="12"/>
      <c r="H961" s="17"/>
      <c r="I961" s="48"/>
      <c r="J961" s="48"/>
      <c r="K961" s="12"/>
      <c r="L961" s="80"/>
      <c r="M961" s="80"/>
      <c r="N961" s="80"/>
      <c r="O961" s="80"/>
      <c r="P961" s="80"/>
      <c r="Q961" s="80"/>
      <c r="R961" s="80"/>
      <c r="S961" s="42"/>
    </row>
    <row r="962" hidden="1">
      <c r="A962" s="12"/>
      <c r="B962" s="12"/>
      <c r="C962" s="76"/>
      <c r="D962" s="83"/>
      <c r="E962" s="10"/>
      <c r="F962" s="12"/>
      <c r="G962" s="12"/>
      <c r="H962" s="17"/>
      <c r="I962" s="48"/>
      <c r="J962" s="48"/>
      <c r="K962" s="12"/>
      <c r="L962" s="80"/>
      <c r="M962" s="80"/>
      <c r="N962" s="80"/>
      <c r="O962" s="80"/>
      <c r="P962" s="80"/>
      <c r="Q962" s="80"/>
      <c r="R962" s="80"/>
      <c r="S962" s="42"/>
    </row>
    <row r="963" hidden="1">
      <c r="A963" s="12"/>
      <c r="B963" s="12"/>
      <c r="C963" s="76"/>
      <c r="D963" s="83"/>
      <c r="E963" s="10"/>
      <c r="F963" s="12"/>
      <c r="G963" s="12"/>
      <c r="H963" s="17"/>
      <c r="I963" s="48"/>
      <c r="J963" s="48"/>
      <c r="K963" s="12"/>
      <c r="L963" s="80"/>
      <c r="M963" s="80"/>
      <c r="N963" s="80"/>
      <c r="O963" s="80"/>
      <c r="P963" s="80"/>
      <c r="Q963" s="80"/>
      <c r="R963" s="80"/>
      <c r="S963" s="42"/>
    </row>
    <row r="964" hidden="1">
      <c r="A964" s="12"/>
      <c r="B964" s="12"/>
      <c r="C964" s="76"/>
      <c r="D964" s="83"/>
      <c r="E964" s="10"/>
      <c r="F964" s="12"/>
      <c r="G964" s="12"/>
      <c r="H964" s="17"/>
      <c r="I964" s="48"/>
      <c r="J964" s="48"/>
      <c r="K964" s="12"/>
      <c r="L964" s="80"/>
      <c r="M964" s="80"/>
      <c r="N964" s="80"/>
      <c r="O964" s="80"/>
      <c r="P964" s="80"/>
      <c r="Q964" s="80"/>
      <c r="R964" s="80"/>
      <c r="S964" s="42"/>
    </row>
    <row r="965" hidden="1">
      <c r="A965" s="12"/>
      <c r="B965" s="12"/>
      <c r="C965" s="76"/>
      <c r="D965" s="83"/>
      <c r="E965" s="10"/>
      <c r="F965" s="12"/>
      <c r="G965" s="12"/>
      <c r="H965" s="17"/>
      <c r="I965" s="48"/>
      <c r="J965" s="48"/>
      <c r="K965" s="12"/>
      <c r="L965" s="80"/>
      <c r="M965" s="80"/>
      <c r="N965" s="80"/>
      <c r="O965" s="80"/>
      <c r="P965" s="80"/>
      <c r="Q965" s="80"/>
      <c r="R965" s="80"/>
      <c r="S965" s="42"/>
    </row>
    <row r="966" hidden="1">
      <c r="A966" s="12"/>
      <c r="B966" s="12"/>
      <c r="C966" s="76"/>
      <c r="D966" s="83"/>
      <c r="E966" s="10"/>
      <c r="F966" s="12"/>
      <c r="G966" s="12"/>
      <c r="H966" s="17"/>
      <c r="I966" s="48"/>
      <c r="J966" s="48"/>
      <c r="K966" s="12"/>
      <c r="L966" s="80"/>
      <c r="M966" s="80"/>
      <c r="N966" s="80"/>
      <c r="O966" s="80"/>
      <c r="P966" s="80"/>
      <c r="Q966" s="80"/>
      <c r="R966" s="80"/>
      <c r="S966" s="42"/>
    </row>
    <row r="967" hidden="1">
      <c r="A967" s="12"/>
      <c r="B967" s="12"/>
      <c r="C967" s="76"/>
      <c r="D967" s="83"/>
      <c r="E967" s="10"/>
      <c r="F967" s="12"/>
      <c r="G967" s="12"/>
      <c r="H967" s="17"/>
      <c r="I967" s="48"/>
      <c r="J967" s="48"/>
      <c r="K967" s="12"/>
      <c r="L967" s="80"/>
      <c r="M967" s="80"/>
      <c r="N967" s="80"/>
      <c r="O967" s="80"/>
      <c r="P967" s="80"/>
      <c r="Q967" s="80"/>
      <c r="R967" s="80"/>
      <c r="S967" s="42"/>
    </row>
    <row r="968" hidden="1">
      <c r="A968" s="12"/>
      <c r="B968" s="12"/>
      <c r="C968" s="76"/>
      <c r="D968" s="83"/>
      <c r="E968" s="10"/>
      <c r="F968" s="12"/>
      <c r="G968" s="12"/>
      <c r="H968" s="17"/>
      <c r="I968" s="48"/>
      <c r="J968" s="48"/>
      <c r="K968" s="12"/>
      <c r="L968" s="80"/>
      <c r="M968" s="80"/>
      <c r="N968" s="80"/>
      <c r="O968" s="80"/>
      <c r="P968" s="80"/>
      <c r="Q968" s="80"/>
      <c r="R968" s="80"/>
      <c r="S968" s="42"/>
    </row>
    <row r="969" hidden="1">
      <c r="A969" s="12"/>
      <c r="B969" s="12"/>
      <c r="C969" s="76"/>
      <c r="D969" s="83"/>
      <c r="E969" s="10"/>
      <c r="F969" s="12"/>
      <c r="G969" s="12"/>
      <c r="H969" s="17"/>
      <c r="I969" s="48"/>
      <c r="J969" s="48"/>
      <c r="K969" s="12"/>
      <c r="L969" s="80"/>
      <c r="M969" s="80"/>
      <c r="N969" s="80"/>
      <c r="O969" s="80"/>
      <c r="P969" s="80"/>
      <c r="Q969" s="80"/>
      <c r="R969" s="80"/>
      <c r="S969" s="42"/>
    </row>
    <row r="970" hidden="1">
      <c r="A970" s="12"/>
      <c r="B970" s="12"/>
      <c r="C970" s="76"/>
      <c r="D970" s="83"/>
      <c r="E970" s="10"/>
      <c r="F970" s="12"/>
      <c r="G970" s="12"/>
      <c r="H970" s="17"/>
      <c r="I970" s="48"/>
      <c r="J970" s="48"/>
      <c r="K970" s="12"/>
      <c r="L970" s="80"/>
      <c r="M970" s="80"/>
      <c r="N970" s="80"/>
      <c r="O970" s="80"/>
      <c r="P970" s="80"/>
      <c r="Q970" s="80"/>
      <c r="R970" s="80"/>
      <c r="S970" s="42"/>
    </row>
    <row r="971" hidden="1">
      <c r="A971" s="12"/>
      <c r="B971" s="12"/>
      <c r="C971" s="76"/>
      <c r="D971" s="83"/>
      <c r="E971" s="10"/>
      <c r="F971" s="12"/>
      <c r="G971" s="12"/>
      <c r="H971" s="17"/>
      <c r="I971" s="48"/>
      <c r="J971" s="48"/>
      <c r="K971" s="12"/>
      <c r="L971" s="80"/>
      <c r="M971" s="80"/>
      <c r="N971" s="80"/>
      <c r="O971" s="80"/>
      <c r="P971" s="80"/>
      <c r="Q971" s="80"/>
      <c r="R971" s="80"/>
      <c r="S971" s="42"/>
    </row>
    <row r="972" hidden="1">
      <c r="A972" s="12"/>
      <c r="B972" s="12"/>
      <c r="C972" s="76"/>
      <c r="D972" s="83"/>
      <c r="E972" s="10"/>
      <c r="F972" s="12"/>
      <c r="G972" s="12"/>
      <c r="H972" s="17"/>
      <c r="I972" s="48"/>
      <c r="J972" s="48"/>
      <c r="K972" s="12"/>
      <c r="L972" s="80"/>
      <c r="M972" s="80"/>
      <c r="N972" s="80"/>
      <c r="O972" s="80"/>
      <c r="P972" s="80"/>
      <c r="Q972" s="80"/>
      <c r="R972" s="80"/>
      <c r="S972" s="42"/>
    </row>
    <row r="973" hidden="1">
      <c r="A973" s="12"/>
      <c r="B973" s="12"/>
      <c r="C973" s="76"/>
      <c r="D973" s="83"/>
      <c r="E973" s="10"/>
      <c r="F973" s="12"/>
      <c r="G973" s="12"/>
      <c r="H973" s="17"/>
      <c r="I973" s="48"/>
      <c r="J973" s="48"/>
      <c r="K973" s="12"/>
      <c r="L973" s="80"/>
      <c r="M973" s="80"/>
      <c r="N973" s="80"/>
      <c r="O973" s="80"/>
      <c r="P973" s="80"/>
      <c r="Q973" s="80"/>
      <c r="R973" s="80"/>
      <c r="S973" s="42"/>
    </row>
    <row r="974" hidden="1">
      <c r="A974" s="12"/>
      <c r="B974" s="12"/>
      <c r="C974" s="76"/>
      <c r="D974" s="83"/>
      <c r="E974" s="10"/>
      <c r="F974" s="12"/>
      <c r="G974" s="12"/>
      <c r="H974" s="17"/>
      <c r="I974" s="48"/>
      <c r="J974" s="48"/>
      <c r="K974" s="12"/>
      <c r="L974" s="80"/>
      <c r="M974" s="80"/>
      <c r="N974" s="80"/>
      <c r="O974" s="80"/>
      <c r="P974" s="80"/>
      <c r="Q974" s="80"/>
      <c r="R974" s="80"/>
      <c r="S974" s="42"/>
    </row>
    <row r="975" hidden="1">
      <c r="A975" s="12"/>
      <c r="B975" s="12"/>
      <c r="C975" s="76"/>
      <c r="D975" s="83"/>
      <c r="E975" s="10"/>
      <c r="F975" s="12"/>
      <c r="G975" s="12"/>
      <c r="H975" s="17"/>
      <c r="I975" s="48"/>
      <c r="J975" s="48"/>
      <c r="K975" s="12"/>
      <c r="L975" s="80"/>
      <c r="M975" s="80"/>
      <c r="N975" s="80"/>
      <c r="O975" s="80"/>
      <c r="P975" s="80"/>
      <c r="Q975" s="80"/>
      <c r="R975" s="80"/>
      <c r="S975" s="42"/>
    </row>
    <row r="976" hidden="1">
      <c r="A976" s="12"/>
      <c r="B976" s="12"/>
      <c r="C976" s="76"/>
      <c r="D976" s="83"/>
      <c r="E976" s="10"/>
      <c r="F976" s="12"/>
      <c r="G976" s="12"/>
      <c r="H976" s="17"/>
      <c r="I976" s="48"/>
      <c r="J976" s="48"/>
      <c r="K976" s="12"/>
      <c r="L976" s="80"/>
      <c r="M976" s="80"/>
      <c r="N976" s="80"/>
      <c r="O976" s="80"/>
      <c r="P976" s="80"/>
      <c r="Q976" s="80"/>
      <c r="R976" s="80"/>
      <c r="S976" s="42"/>
    </row>
    <row r="977" hidden="1">
      <c r="A977" s="12"/>
      <c r="B977" s="12"/>
      <c r="C977" s="76"/>
      <c r="D977" s="83"/>
      <c r="E977" s="10"/>
      <c r="F977" s="12"/>
      <c r="G977" s="12"/>
      <c r="H977" s="17"/>
      <c r="I977" s="48"/>
      <c r="J977" s="48"/>
      <c r="K977" s="12"/>
      <c r="L977" s="80"/>
      <c r="M977" s="80"/>
      <c r="N977" s="80"/>
      <c r="O977" s="80"/>
      <c r="P977" s="80"/>
      <c r="Q977" s="80"/>
      <c r="R977" s="80"/>
      <c r="S977" s="42"/>
    </row>
    <row r="978" hidden="1">
      <c r="A978" s="12"/>
      <c r="B978" s="12"/>
      <c r="C978" s="76"/>
      <c r="D978" s="83"/>
      <c r="E978" s="10"/>
      <c r="F978" s="12"/>
      <c r="G978" s="12"/>
      <c r="H978" s="17"/>
      <c r="I978" s="48"/>
      <c r="J978" s="48"/>
      <c r="K978" s="12"/>
      <c r="L978" s="80"/>
      <c r="M978" s="80"/>
      <c r="N978" s="80"/>
      <c r="O978" s="80"/>
      <c r="P978" s="80"/>
      <c r="Q978" s="80"/>
      <c r="R978" s="80"/>
      <c r="S978" s="42"/>
    </row>
    <row r="979" hidden="1">
      <c r="A979" s="12"/>
      <c r="B979" s="12"/>
      <c r="C979" s="76"/>
      <c r="D979" s="83"/>
      <c r="E979" s="10"/>
      <c r="F979" s="12"/>
      <c r="G979" s="12"/>
      <c r="H979" s="17"/>
      <c r="I979" s="48"/>
      <c r="J979" s="48"/>
      <c r="K979" s="12"/>
      <c r="L979" s="80"/>
      <c r="M979" s="80"/>
      <c r="N979" s="80"/>
      <c r="O979" s="80"/>
      <c r="P979" s="80"/>
      <c r="Q979" s="80"/>
      <c r="R979" s="80"/>
      <c r="S979" s="42"/>
    </row>
    <row r="980" hidden="1">
      <c r="A980" s="12"/>
      <c r="B980" s="12"/>
      <c r="C980" s="76"/>
      <c r="D980" s="83"/>
      <c r="E980" s="10"/>
      <c r="F980" s="12"/>
      <c r="G980" s="12"/>
      <c r="H980" s="17"/>
      <c r="I980" s="48"/>
      <c r="J980" s="48"/>
      <c r="K980" s="12"/>
      <c r="L980" s="80"/>
      <c r="M980" s="80"/>
      <c r="N980" s="80"/>
      <c r="O980" s="80"/>
      <c r="P980" s="80"/>
      <c r="Q980" s="80"/>
      <c r="R980" s="80"/>
      <c r="S980" s="42"/>
    </row>
    <row r="981" hidden="1">
      <c r="A981" s="12"/>
      <c r="B981" s="12"/>
      <c r="C981" s="76"/>
      <c r="D981" s="83"/>
      <c r="E981" s="10"/>
      <c r="F981" s="12"/>
      <c r="G981" s="12"/>
      <c r="H981" s="17"/>
      <c r="I981" s="48"/>
      <c r="J981" s="48"/>
      <c r="K981" s="12"/>
      <c r="L981" s="80"/>
      <c r="M981" s="80"/>
      <c r="N981" s="80"/>
      <c r="O981" s="80"/>
      <c r="P981" s="80"/>
      <c r="Q981" s="80"/>
      <c r="R981" s="80"/>
      <c r="S981" s="42"/>
    </row>
    <row r="982" hidden="1">
      <c r="A982" s="12"/>
      <c r="B982" s="12"/>
      <c r="C982" s="76"/>
      <c r="D982" s="83"/>
      <c r="E982" s="10"/>
      <c r="F982" s="12"/>
      <c r="G982" s="12"/>
      <c r="H982" s="17"/>
      <c r="I982" s="48"/>
      <c r="J982" s="48"/>
      <c r="K982" s="12"/>
      <c r="L982" s="80"/>
      <c r="M982" s="80"/>
      <c r="N982" s="80"/>
      <c r="O982" s="80"/>
      <c r="P982" s="80"/>
      <c r="Q982" s="80"/>
      <c r="R982" s="80"/>
      <c r="S982" s="42"/>
    </row>
    <row r="983" hidden="1">
      <c r="A983" s="12"/>
      <c r="B983" s="12"/>
      <c r="C983" s="76"/>
      <c r="D983" s="83"/>
      <c r="E983" s="10"/>
      <c r="F983" s="12"/>
      <c r="G983" s="12"/>
      <c r="H983" s="17"/>
      <c r="I983" s="48"/>
      <c r="J983" s="48"/>
      <c r="K983" s="12"/>
      <c r="L983" s="80"/>
      <c r="M983" s="80"/>
      <c r="N983" s="80"/>
      <c r="O983" s="80"/>
      <c r="P983" s="80"/>
      <c r="Q983" s="80"/>
      <c r="R983" s="80"/>
      <c r="S983" s="42"/>
    </row>
    <row r="984" hidden="1">
      <c r="A984" s="12"/>
      <c r="B984" s="12"/>
      <c r="C984" s="76"/>
      <c r="D984" s="83"/>
      <c r="E984" s="10"/>
      <c r="F984" s="12"/>
      <c r="G984" s="12"/>
      <c r="H984" s="17"/>
      <c r="I984" s="48"/>
      <c r="J984" s="48"/>
      <c r="K984" s="12"/>
      <c r="L984" s="80"/>
      <c r="M984" s="80"/>
      <c r="N984" s="80"/>
      <c r="O984" s="80"/>
      <c r="P984" s="80"/>
      <c r="Q984" s="80"/>
      <c r="R984" s="80"/>
      <c r="S984" s="42"/>
    </row>
    <row r="985" hidden="1">
      <c r="A985" s="12"/>
      <c r="B985" s="12"/>
      <c r="C985" s="76"/>
      <c r="D985" s="83"/>
      <c r="E985" s="10"/>
      <c r="F985" s="12"/>
      <c r="G985" s="12"/>
      <c r="H985" s="17"/>
      <c r="I985" s="48"/>
      <c r="J985" s="48"/>
      <c r="K985" s="12"/>
      <c r="L985" s="80"/>
      <c r="M985" s="80"/>
      <c r="N985" s="80"/>
      <c r="O985" s="80"/>
      <c r="P985" s="80"/>
      <c r="Q985" s="80"/>
      <c r="R985" s="80"/>
      <c r="S985" s="42"/>
    </row>
    <row r="986" hidden="1">
      <c r="A986" s="12"/>
      <c r="B986" s="12"/>
      <c r="C986" s="76"/>
      <c r="D986" s="83"/>
      <c r="E986" s="10"/>
      <c r="F986" s="12"/>
      <c r="G986" s="12"/>
      <c r="H986" s="17"/>
      <c r="I986" s="48"/>
      <c r="J986" s="48"/>
      <c r="K986" s="12"/>
      <c r="L986" s="80"/>
      <c r="M986" s="80"/>
      <c r="N986" s="80"/>
      <c r="O986" s="80"/>
      <c r="P986" s="80"/>
      <c r="Q986" s="80"/>
      <c r="R986" s="80"/>
      <c r="S986" s="42"/>
    </row>
    <row r="987" hidden="1">
      <c r="A987" s="12"/>
      <c r="B987" s="12"/>
      <c r="C987" s="76"/>
      <c r="D987" s="83"/>
      <c r="E987" s="10"/>
      <c r="F987" s="12"/>
      <c r="G987" s="12"/>
      <c r="H987" s="17"/>
      <c r="I987" s="48"/>
      <c r="J987" s="48"/>
      <c r="K987" s="12"/>
      <c r="L987" s="80"/>
      <c r="M987" s="80"/>
      <c r="N987" s="80"/>
      <c r="O987" s="80"/>
      <c r="P987" s="80"/>
      <c r="Q987" s="80"/>
      <c r="R987" s="80"/>
      <c r="S987" s="42"/>
    </row>
    <row r="988" hidden="1">
      <c r="A988" s="12"/>
      <c r="B988" s="12"/>
      <c r="C988" s="76"/>
      <c r="D988" s="83"/>
      <c r="E988" s="10"/>
      <c r="F988" s="12"/>
      <c r="G988" s="12"/>
      <c r="H988" s="17"/>
      <c r="I988" s="48"/>
      <c r="J988" s="48"/>
      <c r="K988" s="12"/>
      <c r="L988" s="80"/>
      <c r="M988" s="80"/>
      <c r="N988" s="80"/>
      <c r="O988" s="80"/>
      <c r="P988" s="80"/>
      <c r="Q988" s="80"/>
      <c r="R988" s="80"/>
      <c r="S988" s="42"/>
    </row>
    <row r="989" hidden="1">
      <c r="A989" s="12"/>
      <c r="B989" s="12"/>
      <c r="C989" s="76"/>
      <c r="D989" s="83"/>
      <c r="E989" s="10"/>
      <c r="F989" s="12"/>
      <c r="G989" s="12"/>
      <c r="H989" s="17"/>
      <c r="I989" s="48"/>
      <c r="J989" s="48"/>
      <c r="K989" s="12"/>
      <c r="L989" s="80"/>
      <c r="M989" s="80"/>
      <c r="N989" s="80"/>
      <c r="O989" s="80"/>
      <c r="P989" s="80"/>
      <c r="Q989" s="80"/>
      <c r="R989" s="80"/>
      <c r="S989" s="42"/>
    </row>
    <row r="990" hidden="1">
      <c r="A990" s="12"/>
      <c r="B990" s="12"/>
      <c r="C990" s="76"/>
      <c r="D990" s="83"/>
      <c r="E990" s="10"/>
      <c r="F990" s="12"/>
      <c r="G990" s="12"/>
      <c r="H990" s="17"/>
      <c r="I990" s="48"/>
      <c r="J990" s="48"/>
      <c r="K990" s="12"/>
      <c r="L990" s="80"/>
      <c r="M990" s="80"/>
      <c r="N990" s="80"/>
      <c r="O990" s="80"/>
      <c r="P990" s="80"/>
      <c r="Q990" s="80"/>
      <c r="R990" s="80"/>
      <c r="S990" s="42"/>
    </row>
    <row r="991" hidden="1">
      <c r="A991" s="12"/>
      <c r="B991" s="12"/>
      <c r="C991" s="76"/>
      <c r="D991" s="83"/>
      <c r="E991" s="10"/>
      <c r="F991" s="12"/>
      <c r="G991" s="12"/>
      <c r="H991" s="17"/>
      <c r="I991" s="48"/>
      <c r="J991" s="48"/>
      <c r="K991" s="12"/>
      <c r="L991" s="80"/>
      <c r="M991" s="80"/>
      <c r="N991" s="80"/>
      <c r="O991" s="80"/>
      <c r="P991" s="80"/>
      <c r="Q991" s="80"/>
      <c r="R991" s="80"/>
      <c r="S991" s="42"/>
    </row>
    <row r="992" hidden="1">
      <c r="A992" s="12"/>
      <c r="B992" s="12"/>
      <c r="C992" s="76"/>
      <c r="D992" s="83"/>
      <c r="E992" s="10"/>
      <c r="F992" s="12"/>
      <c r="G992" s="12"/>
      <c r="H992" s="17"/>
      <c r="I992" s="48"/>
      <c r="J992" s="48"/>
      <c r="K992" s="12"/>
      <c r="L992" s="80"/>
      <c r="M992" s="80"/>
      <c r="N992" s="80"/>
      <c r="O992" s="80"/>
      <c r="P992" s="80"/>
      <c r="Q992" s="80"/>
      <c r="R992" s="80"/>
      <c r="S992" s="42"/>
    </row>
    <row r="993" hidden="1">
      <c r="A993" s="12"/>
      <c r="B993" s="12"/>
      <c r="C993" s="76"/>
      <c r="D993" s="83"/>
      <c r="E993" s="10"/>
      <c r="F993" s="12"/>
      <c r="G993" s="12"/>
      <c r="H993" s="17"/>
      <c r="I993" s="48"/>
      <c r="J993" s="48"/>
      <c r="K993" s="12"/>
      <c r="L993" s="80"/>
      <c r="M993" s="80"/>
      <c r="N993" s="80"/>
      <c r="O993" s="80"/>
      <c r="P993" s="80"/>
      <c r="Q993" s="80"/>
      <c r="R993" s="80"/>
      <c r="S993" s="42"/>
    </row>
    <row r="994" hidden="1">
      <c r="A994" s="12"/>
      <c r="B994" s="12"/>
      <c r="C994" s="76"/>
      <c r="D994" s="83"/>
      <c r="E994" s="10"/>
      <c r="F994" s="12"/>
      <c r="G994" s="12"/>
      <c r="H994" s="17"/>
      <c r="I994" s="48"/>
      <c r="J994" s="48"/>
      <c r="K994" s="12"/>
      <c r="L994" s="80"/>
      <c r="M994" s="80"/>
      <c r="N994" s="80"/>
      <c r="O994" s="80"/>
      <c r="P994" s="80"/>
      <c r="Q994" s="80"/>
      <c r="R994" s="80"/>
      <c r="S994" s="42"/>
    </row>
    <row r="995" hidden="1">
      <c r="A995" s="12"/>
      <c r="B995" s="12"/>
      <c r="C995" s="76"/>
      <c r="D995" s="83"/>
      <c r="E995" s="10"/>
      <c r="F995" s="12"/>
      <c r="G995" s="12"/>
      <c r="H995" s="17"/>
      <c r="I995" s="48"/>
      <c r="J995" s="48"/>
      <c r="K995" s="12"/>
      <c r="L995" s="80"/>
      <c r="M995" s="80"/>
      <c r="N995" s="80"/>
      <c r="O995" s="80"/>
      <c r="P995" s="80"/>
      <c r="Q995" s="80"/>
      <c r="R995" s="80"/>
      <c r="S995" s="42"/>
    </row>
    <row r="996" hidden="1">
      <c r="A996" s="12"/>
      <c r="B996" s="12"/>
      <c r="C996" s="76"/>
      <c r="D996" s="83"/>
      <c r="E996" s="10"/>
      <c r="F996" s="12"/>
      <c r="G996" s="12"/>
      <c r="H996" s="17"/>
      <c r="I996" s="48"/>
      <c r="J996" s="48"/>
      <c r="K996" s="12"/>
      <c r="L996" s="80"/>
      <c r="M996" s="80"/>
      <c r="N996" s="80"/>
      <c r="O996" s="80"/>
      <c r="P996" s="80"/>
      <c r="Q996" s="80"/>
      <c r="R996" s="80"/>
      <c r="S996" s="42"/>
    </row>
    <row r="997" hidden="1">
      <c r="A997" s="12"/>
      <c r="B997" s="12"/>
      <c r="C997" s="76"/>
      <c r="D997" s="83"/>
      <c r="E997" s="10"/>
      <c r="F997" s="12"/>
      <c r="G997" s="12"/>
      <c r="H997" s="17"/>
      <c r="I997" s="48"/>
      <c r="J997" s="48"/>
      <c r="K997" s="12"/>
      <c r="L997" s="80"/>
      <c r="M997" s="80"/>
      <c r="N997" s="80"/>
      <c r="O997" s="80"/>
      <c r="P997" s="80"/>
      <c r="Q997" s="80"/>
      <c r="R997" s="80"/>
      <c r="S997" s="42"/>
    </row>
    <row r="998" hidden="1">
      <c r="A998" s="12"/>
      <c r="B998" s="12"/>
      <c r="C998" s="76"/>
      <c r="D998" s="83"/>
      <c r="E998" s="10"/>
      <c r="F998" s="12"/>
      <c r="G998" s="12"/>
      <c r="H998" s="17"/>
      <c r="I998" s="48"/>
      <c r="J998" s="48"/>
      <c r="K998" s="12"/>
      <c r="L998" s="80"/>
      <c r="M998" s="80"/>
      <c r="N998" s="80"/>
      <c r="O998" s="80"/>
      <c r="P998" s="80"/>
      <c r="Q998" s="80"/>
      <c r="R998" s="80"/>
      <c r="S998" s="42"/>
    </row>
    <row r="999" hidden="1">
      <c r="A999" s="12"/>
      <c r="B999" s="12"/>
      <c r="C999" s="76"/>
      <c r="D999" s="83"/>
      <c r="E999" s="10"/>
      <c r="F999" s="12"/>
      <c r="G999" s="12"/>
      <c r="H999" s="17"/>
      <c r="I999" s="48"/>
      <c r="J999" s="48"/>
      <c r="K999" s="12"/>
      <c r="L999" s="80"/>
      <c r="M999" s="80"/>
      <c r="N999" s="80"/>
      <c r="O999" s="80"/>
      <c r="P999" s="80"/>
      <c r="Q999" s="80"/>
      <c r="R999" s="80"/>
      <c r="S999" s="42"/>
    </row>
    <row r="1000" hidden="1">
      <c r="A1000" s="12"/>
      <c r="B1000" s="12"/>
      <c r="C1000" s="76"/>
      <c r="D1000" s="83"/>
      <c r="E1000" s="10"/>
      <c r="F1000" s="12"/>
      <c r="G1000" s="12"/>
      <c r="H1000" s="17"/>
      <c r="I1000" s="48"/>
      <c r="J1000" s="48"/>
      <c r="K1000" s="12"/>
      <c r="L1000" s="80"/>
      <c r="M1000" s="80"/>
      <c r="N1000" s="80"/>
      <c r="O1000" s="80"/>
      <c r="P1000" s="80"/>
      <c r="Q1000" s="80"/>
      <c r="R1000" s="80"/>
      <c r="S1000" s="42"/>
    </row>
    <row r="1001" hidden="1">
      <c r="A1001" s="12"/>
      <c r="B1001" s="12"/>
      <c r="C1001" s="76"/>
      <c r="D1001" s="83"/>
      <c r="E1001" s="10"/>
      <c r="F1001" s="12"/>
      <c r="G1001" s="12"/>
      <c r="H1001" s="17"/>
      <c r="I1001" s="48"/>
      <c r="J1001" s="48"/>
      <c r="K1001" s="12"/>
      <c r="L1001" s="80"/>
      <c r="M1001" s="80"/>
      <c r="N1001" s="80"/>
      <c r="O1001" s="80"/>
      <c r="P1001" s="80"/>
      <c r="Q1001" s="80"/>
      <c r="R1001" s="80"/>
      <c r="S1001" s="42"/>
    </row>
    <row r="1002" hidden="1">
      <c r="A1002" s="12"/>
      <c r="B1002" s="12"/>
      <c r="C1002" s="76"/>
      <c r="D1002" s="83"/>
      <c r="E1002" s="10"/>
      <c r="F1002" s="12"/>
      <c r="G1002" s="12"/>
      <c r="H1002" s="17"/>
      <c r="I1002" s="48"/>
      <c r="J1002" s="48"/>
      <c r="K1002" s="12"/>
      <c r="L1002" s="80"/>
      <c r="M1002" s="80"/>
      <c r="N1002" s="80"/>
      <c r="O1002" s="80"/>
      <c r="P1002" s="80"/>
      <c r="Q1002" s="80"/>
      <c r="R1002" s="80"/>
      <c r="S1002" s="42"/>
    </row>
    <row r="1003" hidden="1">
      <c r="A1003" s="12"/>
      <c r="B1003" s="12"/>
      <c r="C1003" s="76"/>
      <c r="D1003" s="83"/>
      <c r="E1003" s="10"/>
      <c r="F1003" s="12"/>
      <c r="G1003" s="12"/>
      <c r="H1003" s="17"/>
      <c r="I1003" s="48"/>
      <c r="J1003" s="48"/>
      <c r="K1003" s="12"/>
      <c r="L1003" s="80"/>
      <c r="M1003" s="80"/>
      <c r="N1003" s="80"/>
      <c r="O1003" s="80"/>
      <c r="P1003" s="80"/>
      <c r="Q1003" s="80"/>
      <c r="R1003" s="80"/>
      <c r="S1003" s="42"/>
    </row>
    <row r="1004" hidden="1">
      <c r="A1004" s="12"/>
      <c r="B1004" s="12"/>
      <c r="C1004" s="76"/>
      <c r="D1004" s="83"/>
      <c r="E1004" s="10"/>
      <c r="F1004" s="12"/>
      <c r="G1004" s="12"/>
      <c r="H1004" s="17"/>
      <c r="I1004" s="48"/>
      <c r="J1004" s="48"/>
      <c r="K1004" s="12"/>
      <c r="L1004" s="80"/>
      <c r="M1004" s="80"/>
      <c r="N1004" s="80"/>
      <c r="O1004" s="80"/>
      <c r="P1004" s="80"/>
      <c r="Q1004" s="80"/>
      <c r="R1004" s="80"/>
      <c r="S1004" s="42"/>
    </row>
    <row r="1005" hidden="1">
      <c r="A1005" s="12"/>
      <c r="B1005" s="12"/>
      <c r="C1005" s="76"/>
      <c r="D1005" s="83"/>
      <c r="E1005" s="10"/>
      <c r="F1005" s="12"/>
      <c r="G1005" s="12"/>
      <c r="H1005" s="17"/>
      <c r="I1005" s="48"/>
      <c r="J1005" s="48"/>
      <c r="K1005" s="12"/>
      <c r="L1005" s="80"/>
      <c r="M1005" s="80"/>
      <c r="N1005" s="80"/>
      <c r="O1005" s="80"/>
      <c r="P1005" s="80"/>
      <c r="Q1005" s="80"/>
      <c r="R1005" s="80"/>
      <c r="S1005" s="42"/>
    </row>
    <row r="1006" hidden="1">
      <c r="A1006" s="12"/>
      <c r="B1006" s="12"/>
      <c r="C1006" s="76"/>
      <c r="D1006" s="83"/>
      <c r="E1006" s="10"/>
      <c r="F1006" s="12"/>
      <c r="G1006" s="12"/>
      <c r="H1006" s="17"/>
      <c r="I1006" s="48"/>
      <c r="J1006" s="48"/>
      <c r="K1006" s="12"/>
      <c r="L1006" s="80"/>
      <c r="M1006" s="80"/>
      <c r="N1006" s="80"/>
      <c r="O1006" s="80"/>
      <c r="P1006" s="80"/>
      <c r="Q1006" s="80"/>
      <c r="R1006" s="80"/>
      <c r="S1006" s="42"/>
    </row>
    <row r="1007" hidden="1">
      <c r="A1007" s="12"/>
      <c r="B1007" s="12"/>
      <c r="C1007" s="76"/>
      <c r="D1007" s="83"/>
      <c r="E1007" s="10"/>
      <c r="F1007" s="12"/>
      <c r="G1007" s="12"/>
      <c r="H1007" s="17"/>
      <c r="I1007" s="48"/>
      <c r="J1007" s="48"/>
      <c r="K1007" s="12"/>
      <c r="L1007" s="80"/>
      <c r="M1007" s="80"/>
      <c r="N1007" s="80"/>
      <c r="O1007" s="80"/>
      <c r="P1007" s="80"/>
      <c r="Q1007" s="80"/>
      <c r="R1007" s="80"/>
      <c r="S1007" s="42"/>
    </row>
    <row r="1008" hidden="1">
      <c r="A1008" s="12"/>
      <c r="B1008" s="12"/>
      <c r="C1008" s="76"/>
      <c r="D1008" s="83"/>
      <c r="E1008" s="10"/>
      <c r="F1008" s="12"/>
      <c r="G1008" s="12"/>
      <c r="H1008" s="17"/>
      <c r="I1008" s="48"/>
      <c r="J1008" s="48"/>
      <c r="K1008" s="12"/>
      <c r="L1008" s="80"/>
      <c r="M1008" s="80"/>
      <c r="N1008" s="80"/>
      <c r="O1008" s="80"/>
      <c r="P1008" s="80"/>
      <c r="Q1008" s="80"/>
      <c r="R1008" s="80"/>
      <c r="S1008" s="42"/>
    </row>
    <row r="1009" hidden="1">
      <c r="A1009" s="12"/>
      <c r="B1009" s="12"/>
      <c r="C1009" s="76"/>
      <c r="D1009" s="83"/>
      <c r="E1009" s="10"/>
      <c r="F1009" s="12"/>
      <c r="G1009" s="12"/>
      <c r="H1009" s="17"/>
      <c r="I1009" s="48"/>
      <c r="J1009" s="48"/>
      <c r="K1009" s="12"/>
      <c r="L1009" s="80"/>
      <c r="M1009" s="80"/>
      <c r="N1009" s="80"/>
      <c r="O1009" s="80"/>
      <c r="P1009" s="80"/>
      <c r="Q1009" s="80"/>
      <c r="R1009" s="80"/>
      <c r="S1009" s="42"/>
    </row>
    <row r="1010" hidden="1">
      <c r="A1010" s="12"/>
      <c r="B1010" s="12"/>
      <c r="C1010" s="76"/>
      <c r="D1010" s="83"/>
      <c r="E1010" s="10"/>
      <c r="F1010" s="12"/>
      <c r="G1010" s="12"/>
      <c r="H1010" s="17"/>
      <c r="I1010" s="48"/>
      <c r="J1010" s="48"/>
      <c r="K1010" s="12"/>
      <c r="L1010" s="80"/>
      <c r="M1010" s="80"/>
      <c r="N1010" s="80"/>
      <c r="O1010" s="80"/>
      <c r="P1010" s="80"/>
      <c r="Q1010" s="80"/>
      <c r="R1010" s="80"/>
      <c r="S1010" s="42"/>
    </row>
    <row r="1011" hidden="1">
      <c r="A1011" s="12"/>
      <c r="B1011" s="12"/>
      <c r="C1011" s="76"/>
      <c r="D1011" s="83"/>
      <c r="E1011" s="10"/>
      <c r="F1011" s="12"/>
      <c r="G1011" s="12"/>
      <c r="H1011" s="17"/>
      <c r="I1011" s="48"/>
      <c r="J1011" s="48"/>
      <c r="K1011" s="12"/>
      <c r="L1011" s="80"/>
      <c r="M1011" s="80"/>
      <c r="N1011" s="80"/>
      <c r="O1011" s="80"/>
      <c r="P1011" s="80"/>
      <c r="Q1011" s="80"/>
      <c r="R1011" s="80"/>
      <c r="S1011" s="42"/>
    </row>
    <row r="1012" hidden="1">
      <c r="A1012" s="12"/>
      <c r="B1012" s="12"/>
      <c r="C1012" s="76"/>
      <c r="D1012" s="83"/>
      <c r="E1012" s="10"/>
      <c r="F1012" s="12"/>
      <c r="G1012" s="12"/>
      <c r="H1012" s="17"/>
      <c r="I1012" s="48"/>
      <c r="J1012" s="48"/>
      <c r="K1012" s="12"/>
      <c r="L1012" s="80"/>
      <c r="M1012" s="80"/>
      <c r="N1012" s="80"/>
      <c r="O1012" s="80"/>
      <c r="P1012" s="80"/>
      <c r="Q1012" s="80"/>
      <c r="R1012" s="80"/>
      <c r="S1012" s="42"/>
    </row>
    <row r="1013" hidden="1">
      <c r="A1013" s="12"/>
      <c r="B1013" s="12"/>
      <c r="C1013" s="76"/>
      <c r="D1013" s="83"/>
      <c r="E1013" s="10"/>
      <c r="F1013" s="12"/>
      <c r="G1013" s="12"/>
      <c r="H1013" s="17"/>
      <c r="I1013" s="48"/>
      <c r="J1013" s="48"/>
      <c r="K1013" s="12"/>
      <c r="L1013" s="80"/>
      <c r="M1013" s="80"/>
      <c r="N1013" s="80"/>
      <c r="O1013" s="80"/>
      <c r="P1013" s="80"/>
      <c r="Q1013" s="80"/>
      <c r="R1013" s="80"/>
      <c r="S1013" s="42"/>
    </row>
    <row r="1014" hidden="1">
      <c r="A1014" s="12"/>
      <c r="B1014" s="12"/>
      <c r="C1014" s="76"/>
      <c r="D1014" s="83"/>
      <c r="E1014" s="10"/>
      <c r="F1014" s="12"/>
      <c r="G1014" s="12"/>
      <c r="H1014" s="17"/>
      <c r="I1014" s="48"/>
      <c r="J1014" s="48"/>
      <c r="K1014" s="12"/>
      <c r="L1014" s="80"/>
      <c r="M1014" s="80"/>
      <c r="N1014" s="80"/>
      <c r="O1014" s="80"/>
      <c r="P1014" s="80"/>
      <c r="Q1014" s="80"/>
      <c r="R1014" s="80"/>
      <c r="S1014" s="42"/>
    </row>
    <row r="1015" hidden="1">
      <c r="A1015" s="12"/>
      <c r="B1015" s="12"/>
      <c r="C1015" s="76"/>
      <c r="D1015" s="83"/>
      <c r="E1015" s="10"/>
      <c r="F1015" s="12"/>
      <c r="G1015" s="12"/>
      <c r="H1015" s="17"/>
      <c r="I1015" s="48"/>
      <c r="J1015" s="48"/>
      <c r="K1015" s="12"/>
      <c r="L1015" s="80"/>
      <c r="M1015" s="80"/>
      <c r="N1015" s="80"/>
      <c r="O1015" s="80"/>
      <c r="P1015" s="80"/>
      <c r="Q1015" s="80"/>
      <c r="R1015" s="80"/>
      <c r="S1015" s="42"/>
    </row>
    <row r="1016" hidden="1">
      <c r="A1016" s="12"/>
      <c r="B1016" s="12"/>
      <c r="C1016" s="76"/>
      <c r="D1016" s="83"/>
      <c r="E1016" s="10"/>
      <c r="F1016" s="12"/>
      <c r="G1016" s="12"/>
      <c r="H1016" s="17"/>
      <c r="I1016" s="48"/>
      <c r="J1016" s="48"/>
      <c r="K1016" s="12"/>
      <c r="L1016" s="80"/>
      <c r="M1016" s="80"/>
      <c r="N1016" s="80"/>
      <c r="O1016" s="80"/>
      <c r="P1016" s="80"/>
      <c r="Q1016" s="80"/>
      <c r="R1016" s="80"/>
      <c r="S1016" s="42"/>
    </row>
    <row r="1017" hidden="1">
      <c r="A1017" s="12"/>
      <c r="B1017" s="12"/>
      <c r="C1017" s="76"/>
      <c r="D1017" s="83"/>
      <c r="E1017" s="10"/>
      <c r="F1017" s="12"/>
      <c r="G1017" s="12"/>
      <c r="H1017" s="17"/>
      <c r="I1017" s="48"/>
      <c r="J1017" s="48"/>
      <c r="K1017" s="12"/>
      <c r="L1017" s="80"/>
      <c r="M1017" s="80"/>
      <c r="N1017" s="80"/>
      <c r="O1017" s="80"/>
      <c r="P1017" s="80"/>
      <c r="Q1017" s="80"/>
      <c r="R1017" s="80"/>
      <c r="S1017" s="42"/>
    </row>
    <row r="1018" hidden="1">
      <c r="A1018" s="12"/>
      <c r="B1018" s="12"/>
      <c r="C1018" s="76"/>
      <c r="D1018" s="83"/>
      <c r="E1018" s="10"/>
      <c r="F1018" s="12"/>
      <c r="G1018" s="12"/>
      <c r="H1018" s="17"/>
      <c r="I1018" s="48"/>
      <c r="J1018" s="48"/>
      <c r="K1018" s="12"/>
      <c r="L1018" s="80"/>
      <c r="M1018" s="80"/>
      <c r="N1018" s="80"/>
      <c r="O1018" s="80"/>
      <c r="P1018" s="80"/>
      <c r="Q1018" s="80"/>
      <c r="R1018" s="80"/>
      <c r="S1018" s="42"/>
    </row>
    <row r="1019" hidden="1">
      <c r="A1019" s="12"/>
      <c r="B1019" s="12"/>
      <c r="C1019" s="76"/>
      <c r="D1019" s="83"/>
      <c r="E1019" s="10"/>
      <c r="F1019" s="12"/>
      <c r="G1019" s="12"/>
      <c r="H1019" s="17"/>
      <c r="I1019" s="48"/>
      <c r="J1019" s="48"/>
      <c r="K1019" s="12"/>
      <c r="L1019" s="80"/>
      <c r="M1019" s="80"/>
      <c r="N1019" s="80"/>
      <c r="O1019" s="80"/>
      <c r="P1019" s="80"/>
      <c r="Q1019" s="80"/>
      <c r="R1019" s="80"/>
      <c r="S1019" s="42"/>
    </row>
    <row r="1020" hidden="1">
      <c r="A1020" s="12"/>
      <c r="B1020" s="12"/>
      <c r="C1020" s="76"/>
      <c r="D1020" s="83"/>
      <c r="E1020" s="10"/>
      <c r="F1020" s="12"/>
      <c r="G1020" s="12"/>
      <c r="H1020" s="17"/>
      <c r="I1020" s="48"/>
      <c r="J1020" s="48"/>
      <c r="K1020" s="12"/>
      <c r="L1020" s="80"/>
      <c r="M1020" s="80"/>
      <c r="N1020" s="80"/>
      <c r="O1020" s="80"/>
      <c r="P1020" s="80"/>
      <c r="Q1020" s="80"/>
      <c r="R1020" s="80"/>
      <c r="S1020" s="42"/>
    </row>
    <row r="1021" hidden="1">
      <c r="A1021" s="12"/>
      <c r="B1021" s="12"/>
      <c r="C1021" s="76"/>
      <c r="D1021" s="83"/>
      <c r="E1021" s="10"/>
      <c r="F1021" s="12"/>
      <c r="G1021" s="12"/>
      <c r="H1021" s="17"/>
      <c r="I1021" s="48"/>
      <c r="J1021" s="48"/>
      <c r="K1021" s="12"/>
      <c r="L1021" s="80"/>
      <c r="M1021" s="80"/>
      <c r="N1021" s="80"/>
      <c r="O1021" s="80"/>
      <c r="P1021" s="80"/>
      <c r="Q1021" s="80"/>
      <c r="R1021" s="80"/>
      <c r="S1021" s="42"/>
    </row>
    <row r="1022" hidden="1">
      <c r="A1022" s="12"/>
      <c r="B1022" s="12"/>
      <c r="C1022" s="76"/>
      <c r="D1022" s="83"/>
      <c r="E1022" s="10"/>
      <c r="F1022" s="12"/>
      <c r="G1022" s="12"/>
      <c r="H1022" s="17"/>
      <c r="I1022" s="48"/>
      <c r="J1022" s="48"/>
      <c r="K1022" s="12"/>
      <c r="L1022" s="80"/>
      <c r="M1022" s="80"/>
      <c r="N1022" s="80"/>
      <c r="O1022" s="80"/>
      <c r="P1022" s="80"/>
      <c r="Q1022" s="80"/>
      <c r="R1022" s="80"/>
      <c r="S1022" s="42"/>
    </row>
    <row r="1023" hidden="1">
      <c r="A1023" s="12"/>
      <c r="B1023" s="12"/>
      <c r="C1023" s="76"/>
      <c r="D1023" s="83"/>
      <c r="E1023" s="10"/>
      <c r="F1023" s="12"/>
      <c r="G1023" s="12"/>
      <c r="H1023" s="17"/>
      <c r="I1023" s="48"/>
      <c r="J1023" s="48"/>
      <c r="K1023" s="12"/>
      <c r="L1023" s="80"/>
      <c r="M1023" s="80"/>
      <c r="N1023" s="80"/>
      <c r="O1023" s="80"/>
      <c r="P1023" s="80"/>
      <c r="Q1023" s="80"/>
      <c r="R1023" s="80"/>
      <c r="S1023" s="42"/>
    </row>
    <row r="1024" hidden="1">
      <c r="A1024" s="12"/>
      <c r="B1024" s="12"/>
      <c r="C1024" s="76"/>
      <c r="D1024" s="83"/>
      <c r="E1024" s="10"/>
      <c r="F1024" s="12"/>
      <c r="G1024" s="12"/>
      <c r="H1024" s="17"/>
      <c r="I1024" s="48"/>
      <c r="J1024" s="48"/>
      <c r="K1024" s="12"/>
      <c r="L1024" s="80"/>
      <c r="M1024" s="80"/>
      <c r="N1024" s="80"/>
      <c r="O1024" s="80"/>
      <c r="P1024" s="80"/>
      <c r="Q1024" s="80"/>
      <c r="R1024" s="80"/>
      <c r="S1024" s="42"/>
    </row>
    <row r="1025" hidden="1">
      <c r="A1025" s="12"/>
      <c r="B1025" s="12"/>
      <c r="C1025" s="76"/>
      <c r="D1025" s="83"/>
      <c r="E1025" s="10"/>
      <c r="F1025" s="12"/>
      <c r="G1025" s="12"/>
      <c r="H1025" s="17"/>
      <c r="I1025" s="48"/>
      <c r="J1025" s="48"/>
      <c r="K1025" s="12"/>
      <c r="L1025" s="80"/>
      <c r="M1025" s="80"/>
      <c r="N1025" s="80"/>
      <c r="O1025" s="80"/>
      <c r="P1025" s="80"/>
      <c r="Q1025" s="80"/>
      <c r="R1025" s="80"/>
      <c r="S1025" s="42"/>
    </row>
    <row r="1026" hidden="1">
      <c r="A1026" s="12"/>
      <c r="B1026" s="12"/>
      <c r="C1026" s="76"/>
      <c r="D1026" s="83"/>
      <c r="E1026" s="10"/>
      <c r="F1026" s="12"/>
      <c r="G1026" s="12"/>
      <c r="H1026" s="17"/>
      <c r="I1026" s="48"/>
      <c r="J1026" s="48"/>
      <c r="K1026" s="12"/>
      <c r="L1026" s="80"/>
      <c r="M1026" s="80"/>
      <c r="N1026" s="80"/>
      <c r="O1026" s="80"/>
      <c r="P1026" s="80"/>
      <c r="Q1026" s="80"/>
      <c r="R1026" s="80"/>
      <c r="S1026" s="42"/>
    </row>
    <row r="1027" hidden="1">
      <c r="A1027" s="12"/>
      <c r="B1027" s="12"/>
      <c r="C1027" s="76"/>
      <c r="D1027" s="83"/>
      <c r="E1027" s="10"/>
      <c r="F1027" s="12"/>
      <c r="G1027" s="12"/>
      <c r="H1027" s="17"/>
      <c r="I1027" s="48"/>
      <c r="J1027" s="48"/>
      <c r="K1027" s="12"/>
      <c r="L1027" s="80"/>
      <c r="M1027" s="80"/>
      <c r="N1027" s="80"/>
      <c r="O1027" s="80"/>
      <c r="P1027" s="80"/>
      <c r="Q1027" s="80"/>
      <c r="R1027" s="80"/>
      <c r="S1027" s="42"/>
    </row>
    <row r="1028" hidden="1">
      <c r="A1028" s="12"/>
      <c r="B1028" s="12"/>
      <c r="C1028" s="76"/>
      <c r="D1028" s="83"/>
      <c r="E1028" s="10"/>
      <c r="F1028" s="12"/>
      <c r="G1028" s="12"/>
      <c r="H1028" s="17"/>
      <c r="I1028" s="48"/>
      <c r="J1028" s="48"/>
      <c r="K1028" s="12"/>
      <c r="L1028" s="80"/>
      <c r="M1028" s="80"/>
      <c r="N1028" s="80"/>
      <c r="O1028" s="80"/>
      <c r="P1028" s="80"/>
      <c r="Q1028" s="80"/>
      <c r="R1028" s="80"/>
      <c r="S1028" s="42"/>
    </row>
    <row r="1029" hidden="1">
      <c r="A1029" s="12"/>
      <c r="B1029" s="12"/>
      <c r="C1029" s="76"/>
      <c r="D1029" s="83"/>
      <c r="E1029" s="10"/>
      <c r="F1029" s="12"/>
      <c r="G1029" s="12"/>
      <c r="H1029" s="17"/>
      <c r="I1029" s="48"/>
      <c r="J1029" s="48"/>
      <c r="K1029" s="12"/>
      <c r="L1029" s="80"/>
      <c r="M1029" s="80"/>
      <c r="N1029" s="80"/>
      <c r="O1029" s="80"/>
      <c r="P1029" s="80"/>
      <c r="Q1029" s="80"/>
      <c r="R1029" s="80"/>
      <c r="S1029" s="42"/>
    </row>
    <row r="1030" hidden="1">
      <c r="A1030" s="12"/>
      <c r="B1030" s="12"/>
      <c r="C1030" s="76"/>
      <c r="D1030" s="83"/>
      <c r="E1030" s="10"/>
      <c r="F1030" s="12"/>
      <c r="G1030" s="12"/>
      <c r="H1030" s="17"/>
      <c r="I1030" s="48"/>
      <c r="J1030" s="48"/>
      <c r="K1030" s="12"/>
      <c r="L1030" s="80"/>
      <c r="M1030" s="80"/>
      <c r="N1030" s="80"/>
      <c r="O1030" s="80"/>
      <c r="P1030" s="80"/>
      <c r="Q1030" s="80"/>
      <c r="R1030" s="80"/>
      <c r="S1030" s="42"/>
    </row>
    <row r="1031" hidden="1">
      <c r="A1031" s="12"/>
      <c r="B1031" s="12"/>
      <c r="C1031" s="76"/>
      <c r="D1031" s="83"/>
      <c r="E1031" s="10"/>
      <c r="F1031" s="12"/>
      <c r="G1031" s="12"/>
      <c r="H1031" s="17"/>
      <c r="I1031" s="48"/>
      <c r="J1031" s="48"/>
      <c r="K1031" s="12"/>
      <c r="L1031" s="80"/>
      <c r="M1031" s="80"/>
      <c r="N1031" s="80"/>
      <c r="O1031" s="80"/>
      <c r="P1031" s="80"/>
      <c r="Q1031" s="80"/>
      <c r="R1031" s="80"/>
      <c r="S1031" s="42"/>
    </row>
    <row r="1032" hidden="1">
      <c r="A1032" s="12"/>
      <c r="B1032" s="12"/>
      <c r="C1032" s="76"/>
      <c r="D1032" s="83"/>
      <c r="E1032" s="10"/>
      <c r="F1032" s="12"/>
      <c r="G1032" s="12"/>
      <c r="H1032" s="17"/>
      <c r="I1032" s="48"/>
      <c r="J1032" s="48"/>
      <c r="K1032" s="12"/>
      <c r="L1032" s="80"/>
      <c r="M1032" s="80"/>
      <c r="N1032" s="80"/>
      <c r="O1032" s="80"/>
      <c r="P1032" s="80"/>
      <c r="Q1032" s="80"/>
      <c r="R1032" s="80"/>
      <c r="S1032" s="42"/>
    </row>
    <row r="1033" hidden="1">
      <c r="A1033" s="12"/>
      <c r="B1033" s="12"/>
      <c r="C1033" s="76"/>
      <c r="D1033" s="83"/>
      <c r="E1033" s="10"/>
      <c r="F1033" s="12"/>
      <c r="G1033" s="12"/>
      <c r="H1033" s="17"/>
      <c r="I1033" s="48"/>
      <c r="J1033" s="48"/>
      <c r="K1033" s="12"/>
      <c r="L1033" s="80"/>
      <c r="M1033" s="80"/>
      <c r="N1033" s="80"/>
      <c r="O1033" s="80"/>
      <c r="P1033" s="80"/>
      <c r="Q1033" s="80"/>
      <c r="R1033" s="80"/>
      <c r="S1033" s="42"/>
    </row>
    <row r="1034" hidden="1">
      <c r="A1034" s="12"/>
      <c r="B1034" s="12"/>
      <c r="C1034" s="76"/>
      <c r="D1034" s="83"/>
      <c r="E1034" s="10"/>
      <c r="F1034" s="12"/>
      <c r="G1034" s="12"/>
      <c r="H1034" s="17"/>
      <c r="I1034" s="48"/>
      <c r="J1034" s="48"/>
      <c r="K1034" s="12"/>
      <c r="L1034" s="80"/>
      <c r="M1034" s="80"/>
      <c r="N1034" s="80"/>
      <c r="O1034" s="80"/>
      <c r="P1034" s="80"/>
      <c r="Q1034" s="80"/>
      <c r="R1034" s="80"/>
      <c r="S1034" s="42"/>
    </row>
    <row r="1035" hidden="1">
      <c r="A1035" s="12"/>
      <c r="B1035" s="12"/>
      <c r="C1035" s="76"/>
      <c r="D1035" s="83"/>
      <c r="E1035" s="10"/>
      <c r="F1035" s="12"/>
      <c r="G1035" s="12"/>
      <c r="H1035" s="17"/>
      <c r="I1035" s="48"/>
      <c r="J1035" s="48"/>
      <c r="K1035" s="12"/>
      <c r="L1035" s="80"/>
      <c r="M1035" s="80"/>
      <c r="N1035" s="80"/>
      <c r="O1035" s="80"/>
      <c r="P1035" s="80"/>
      <c r="Q1035" s="80"/>
      <c r="R1035" s="80"/>
      <c r="S1035" s="42"/>
    </row>
    <row r="1036" hidden="1">
      <c r="A1036" s="12"/>
      <c r="B1036" s="12"/>
      <c r="C1036" s="76"/>
      <c r="D1036" s="83"/>
      <c r="E1036" s="10"/>
      <c r="F1036" s="12"/>
      <c r="G1036" s="12"/>
      <c r="H1036" s="17"/>
      <c r="I1036" s="48"/>
      <c r="J1036" s="48"/>
      <c r="K1036" s="12"/>
      <c r="L1036" s="80"/>
      <c r="M1036" s="80"/>
      <c r="N1036" s="80"/>
      <c r="O1036" s="80"/>
      <c r="P1036" s="80"/>
      <c r="Q1036" s="80"/>
      <c r="R1036" s="80"/>
      <c r="S1036" s="42"/>
    </row>
    <row r="1037" hidden="1">
      <c r="A1037" s="12"/>
      <c r="B1037" s="12"/>
      <c r="C1037" s="76"/>
      <c r="D1037" s="83"/>
      <c r="E1037" s="10"/>
      <c r="F1037" s="12"/>
      <c r="G1037" s="12"/>
      <c r="H1037" s="17"/>
      <c r="I1037" s="48"/>
      <c r="J1037" s="48"/>
      <c r="K1037" s="12"/>
      <c r="L1037" s="80"/>
      <c r="M1037" s="80"/>
      <c r="N1037" s="80"/>
      <c r="O1037" s="80"/>
      <c r="P1037" s="80"/>
      <c r="Q1037" s="80"/>
      <c r="R1037" s="80"/>
      <c r="S1037" s="42"/>
    </row>
    <row r="1038" hidden="1">
      <c r="A1038" s="12"/>
      <c r="B1038" s="12"/>
      <c r="C1038" s="76"/>
      <c r="D1038" s="83"/>
      <c r="E1038" s="10"/>
      <c r="F1038" s="12"/>
      <c r="G1038" s="12"/>
      <c r="H1038" s="17"/>
      <c r="I1038" s="48"/>
      <c r="J1038" s="48"/>
      <c r="K1038" s="12"/>
      <c r="L1038" s="80"/>
      <c r="M1038" s="80"/>
      <c r="N1038" s="80"/>
      <c r="O1038" s="80"/>
      <c r="P1038" s="80"/>
      <c r="Q1038" s="80"/>
      <c r="R1038" s="80"/>
      <c r="S1038" s="42"/>
    </row>
    <row r="1039" hidden="1">
      <c r="A1039" s="12"/>
      <c r="B1039" s="12"/>
      <c r="C1039" s="76"/>
      <c r="D1039" s="83"/>
      <c r="E1039" s="10"/>
      <c r="F1039" s="12"/>
      <c r="G1039" s="12"/>
      <c r="H1039" s="17"/>
      <c r="I1039" s="48"/>
      <c r="J1039" s="48"/>
      <c r="K1039" s="12"/>
      <c r="L1039" s="80"/>
      <c r="M1039" s="80"/>
      <c r="N1039" s="80"/>
      <c r="O1039" s="80"/>
      <c r="P1039" s="80"/>
      <c r="Q1039" s="80"/>
      <c r="R1039" s="80"/>
      <c r="S1039" s="42"/>
    </row>
    <row r="1040" hidden="1">
      <c r="A1040" s="12"/>
      <c r="B1040" s="12"/>
      <c r="C1040" s="76"/>
      <c r="D1040" s="83"/>
      <c r="E1040" s="10"/>
      <c r="F1040" s="12"/>
      <c r="G1040" s="12"/>
      <c r="H1040" s="17"/>
      <c r="I1040" s="48"/>
      <c r="J1040" s="48"/>
      <c r="K1040" s="12"/>
      <c r="L1040" s="80"/>
      <c r="M1040" s="80"/>
      <c r="N1040" s="80"/>
      <c r="O1040" s="80"/>
      <c r="P1040" s="80"/>
      <c r="Q1040" s="80"/>
      <c r="R1040" s="80"/>
      <c r="S1040" s="42"/>
    </row>
    <row r="1041" hidden="1">
      <c r="A1041" s="12"/>
      <c r="B1041" s="12"/>
      <c r="C1041" s="76"/>
      <c r="D1041" s="83"/>
      <c r="E1041" s="10"/>
      <c r="F1041" s="12"/>
      <c r="G1041" s="12"/>
      <c r="H1041" s="17"/>
      <c r="I1041" s="48"/>
      <c r="J1041" s="48"/>
      <c r="K1041" s="12"/>
      <c r="L1041" s="80"/>
      <c r="M1041" s="80"/>
      <c r="N1041" s="80"/>
      <c r="O1041" s="80"/>
      <c r="P1041" s="80"/>
      <c r="Q1041" s="80"/>
      <c r="R1041" s="80"/>
      <c r="S1041" s="42"/>
    </row>
    <row r="1042" hidden="1">
      <c r="A1042" s="12"/>
      <c r="B1042" s="12"/>
      <c r="C1042" s="76"/>
      <c r="D1042" s="83"/>
      <c r="E1042" s="10"/>
      <c r="F1042" s="12"/>
      <c r="G1042" s="12"/>
      <c r="H1042" s="17"/>
      <c r="I1042" s="48"/>
      <c r="J1042" s="48"/>
      <c r="K1042" s="12"/>
      <c r="L1042" s="80"/>
      <c r="M1042" s="80"/>
      <c r="N1042" s="80"/>
      <c r="O1042" s="80"/>
      <c r="P1042" s="80"/>
      <c r="Q1042" s="80"/>
      <c r="R1042" s="80"/>
      <c r="S1042" s="42"/>
    </row>
    <row r="1043" hidden="1">
      <c r="A1043" s="12"/>
      <c r="B1043" s="12"/>
      <c r="C1043" s="76"/>
      <c r="D1043" s="83"/>
      <c r="E1043" s="10"/>
      <c r="F1043" s="12"/>
      <c r="G1043" s="12"/>
      <c r="H1043" s="17"/>
      <c r="I1043" s="48"/>
      <c r="J1043" s="48"/>
      <c r="K1043" s="12"/>
      <c r="L1043" s="80"/>
      <c r="M1043" s="80"/>
      <c r="N1043" s="80"/>
      <c r="O1043" s="80"/>
      <c r="P1043" s="80"/>
      <c r="Q1043" s="80"/>
      <c r="R1043" s="80"/>
      <c r="S1043" s="42"/>
    </row>
    <row r="1044" hidden="1">
      <c r="A1044" s="12"/>
      <c r="B1044" s="12"/>
      <c r="C1044" s="76"/>
      <c r="D1044" s="83"/>
      <c r="E1044" s="10"/>
      <c r="F1044" s="12"/>
      <c r="G1044" s="12"/>
      <c r="H1044" s="17"/>
      <c r="I1044" s="48"/>
      <c r="J1044" s="48"/>
      <c r="K1044" s="12"/>
      <c r="L1044" s="80"/>
      <c r="M1044" s="80"/>
      <c r="N1044" s="80"/>
      <c r="O1044" s="80"/>
      <c r="P1044" s="80"/>
      <c r="Q1044" s="80"/>
      <c r="R1044" s="80"/>
      <c r="S1044" s="42"/>
    </row>
    <row r="1045" hidden="1">
      <c r="A1045" s="12"/>
      <c r="B1045" s="12"/>
      <c r="C1045" s="76"/>
      <c r="D1045" s="83"/>
      <c r="E1045" s="10"/>
      <c r="F1045" s="12"/>
      <c r="G1045" s="12"/>
      <c r="H1045" s="17"/>
      <c r="I1045" s="48"/>
      <c r="J1045" s="48"/>
      <c r="K1045" s="12"/>
      <c r="L1045" s="80"/>
      <c r="M1045" s="80"/>
      <c r="N1045" s="80"/>
      <c r="O1045" s="80"/>
      <c r="P1045" s="80"/>
      <c r="Q1045" s="80"/>
      <c r="R1045" s="80"/>
      <c r="S1045" s="42"/>
    </row>
    <row r="1046" hidden="1">
      <c r="A1046" s="12"/>
      <c r="B1046" s="12"/>
      <c r="C1046" s="76"/>
      <c r="D1046" s="83"/>
      <c r="E1046" s="10"/>
      <c r="F1046" s="12"/>
      <c r="G1046" s="12"/>
      <c r="H1046" s="17"/>
      <c r="I1046" s="48"/>
      <c r="J1046" s="48"/>
      <c r="K1046" s="12"/>
      <c r="L1046" s="80"/>
      <c r="M1046" s="80"/>
      <c r="N1046" s="80"/>
      <c r="O1046" s="80"/>
      <c r="P1046" s="80"/>
      <c r="Q1046" s="80"/>
      <c r="R1046" s="80"/>
      <c r="S1046" s="42"/>
    </row>
    <row r="1047" hidden="1">
      <c r="A1047" s="12"/>
      <c r="B1047" s="12"/>
      <c r="C1047" s="76"/>
      <c r="D1047" s="83"/>
      <c r="E1047" s="10"/>
      <c r="F1047" s="12"/>
      <c r="G1047" s="12"/>
      <c r="H1047" s="17"/>
      <c r="I1047" s="48"/>
      <c r="J1047" s="48"/>
      <c r="K1047" s="12"/>
      <c r="L1047" s="80"/>
      <c r="M1047" s="80"/>
      <c r="N1047" s="80"/>
      <c r="O1047" s="80"/>
      <c r="P1047" s="80"/>
      <c r="Q1047" s="80"/>
      <c r="R1047" s="80"/>
      <c r="S1047" s="42"/>
    </row>
    <row r="1048" hidden="1">
      <c r="A1048" s="12"/>
      <c r="B1048" s="12"/>
      <c r="C1048" s="76"/>
      <c r="D1048" s="83"/>
      <c r="E1048" s="10"/>
      <c r="F1048" s="12"/>
      <c r="G1048" s="12"/>
      <c r="H1048" s="17"/>
      <c r="I1048" s="48"/>
      <c r="J1048" s="48"/>
      <c r="K1048" s="12"/>
      <c r="L1048" s="80"/>
      <c r="M1048" s="80"/>
      <c r="N1048" s="80"/>
      <c r="O1048" s="80"/>
      <c r="P1048" s="80"/>
      <c r="Q1048" s="80"/>
      <c r="R1048" s="80"/>
      <c r="S1048" s="42"/>
    </row>
    <row r="1049" hidden="1">
      <c r="A1049" s="12"/>
      <c r="B1049" s="12"/>
      <c r="C1049" s="76"/>
      <c r="D1049" s="83"/>
      <c r="E1049" s="10"/>
      <c r="F1049" s="12"/>
      <c r="G1049" s="12"/>
      <c r="H1049" s="17"/>
      <c r="I1049" s="48"/>
      <c r="J1049" s="48"/>
      <c r="K1049" s="12"/>
      <c r="L1049" s="80"/>
      <c r="M1049" s="80"/>
      <c r="N1049" s="80"/>
      <c r="O1049" s="80"/>
      <c r="P1049" s="80"/>
      <c r="Q1049" s="80"/>
      <c r="R1049" s="80"/>
      <c r="S1049" s="42"/>
    </row>
    <row r="1050" hidden="1">
      <c r="A1050" s="12"/>
      <c r="B1050" s="12"/>
      <c r="C1050" s="76"/>
      <c r="D1050" s="83"/>
      <c r="E1050" s="10"/>
      <c r="F1050" s="12"/>
      <c r="G1050" s="12"/>
      <c r="H1050" s="17"/>
      <c r="I1050" s="48"/>
      <c r="J1050" s="48"/>
      <c r="K1050" s="12"/>
      <c r="L1050" s="80"/>
      <c r="M1050" s="80"/>
      <c r="N1050" s="80"/>
      <c r="O1050" s="80"/>
      <c r="P1050" s="80"/>
      <c r="Q1050" s="80"/>
      <c r="R1050" s="80"/>
      <c r="S1050" s="42"/>
    </row>
    <row r="1051" hidden="1">
      <c r="A1051" s="12"/>
      <c r="B1051" s="12"/>
      <c r="C1051" s="76"/>
      <c r="D1051" s="83"/>
      <c r="E1051" s="10"/>
      <c r="F1051" s="12"/>
      <c r="G1051" s="12"/>
      <c r="H1051" s="17"/>
      <c r="I1051" s="48"/>
      <c r="J1051" s="48"/>
      <c r="K1051" s="12"/>
      <c r="L1051" s="80"/>
      <c r="M1051" s="80"/>
      <c r="N1051" s="80"/>
      <c r="O1051" s="80"/>
      <c r="P1051" s="80"/>
      <c r="Q1051" s="80"/>
      <c r="R1051" s="80"/>
      <c r="S1051" s="42"/>
    </row>
    <row r="1052" hidden="1">
      <c r="A1052" s="12"/>
      <c r="B1052" s="12"/>
      <c r="C1052" s="76"/>
      <c r="D1052" s="83"/>
      <c r="E1052" s="10"/>
      <c r="F1052" s="12"/>
      <c r="G1052" s="12"/>
      <c r="H1052" s="17"/>
      <c r="I1052" s="48"/>
      <c r="J1052" s="48"/>
      <c r="K1052" s="12"/>
      <c r="L1052" s="80"/>
      <c r="M1052" s="80"/>
      <c r="N1052" s="80"/>
      <c r="O1052" s="80"/>
      <c r="P1052" s="80"/>
      <c r="Q1052" s="80"/>
      <c r="R1052" s="80"/>
      <c r="S1052" s="42"/>
    </row>
    <row r="1053" hidden="1">
      <c r="A1053" s="12"/>
      <c r="B1053" s="12"/>
      <c r="C1053" s="76"/>
      <c r="D1053" s="83"/>
      <c r="E1053" s="10"/>
      <c r="F1053" s="12"/>
      <c r="G1053" s="12"/>
      <c r="H1053" s="17"/>
      <c r="I1053" s="48"/>
      <c r="J1053" s="48"/>
      <c r="K1053" s="12"/>
      <c r="L1053" s="80"/>
      <c r="M1053" s="80"/>
      <c r="N1053" s="80"/>
      <c r="O1053" s="80"/>
      <c r="P1053" s="80"/>
      <c r="Q1053" s="80"/>
      <c r="R1053" s="80"/>
      <c r="S1053" s="42"/>
    </row>
    <row r="1054" hidden="1">
      <c r="A1054" s="12"/>
      <c r="B1054" s="12"/>
      <c r="C1054" s="76"/>
      <c r="D1054" s="83"/>
      <c r="E1054" s="10"/>
      <c r="F1054" s="12"/>
      <c r="G1054" s="12"/>
      <c r="H1054" s="17"/>
      <c r="I1054" s="48"/>
      <c r="J1054" s="48"/>
      <c r="K1054" s="12"/>
      <c r="L1054" s="80"/>
      <c r="M1054" s="80"/>
      <c r="N1054" s="80"/>
      <c r="O1054" s="80"/>
      <c r="P1054" s="80"/>
      <c r="Q1054" s="80"/>
      <c r="R1054" s="80"/>
      <c r="S1054" s="42"/>
    </row>
    <row r="1055" hidden="1">
      <c r="A1055" s="12"/>
      <c r="B1055" s="12"/>
      <c r="C1055" s="76"/>
      <c r="D1055" s="83"/>
      <c r="E1055" s="10"/>
      <c r="F1055" s="12"/>
      <c r="G1055" s="12"/>
      <c r="H1055" s="17"/>
      <c r="I1055" s="48"/>
      <c r="J1055" s="48"/>
      <c r="K1055" s="12"/>
      <c r="L1055" s="80"/>
      <c r="M1055" s="80"/>
      <c r="N1055" s="80"/>
      <c r="O1055" s="80"/>
      <c r="P1055" s="80"/>
      <c r="Q1055" s="80"/>
      <c r="R1055" s="80"/>
      <c r="S1055" s="42"/>
    </row>
    <row r="1056" hidden="1">
      <c r="A1056" s="12"/>
      <c r="B1056" s="12"/>
      <c r="C1056" s="76"/>
      <c r="D1056" s="83"/>
      <c r="E1056" s="10"/>
      <c r="F1056" s="12"/>
      <c r="G1056" s="12"/>
      <c r="H1056" s="17"/>
      <c r="I1056" s="48"/>
      <c r="J1056" s="48"/>
      <c r="K1056" s="12"/>
      <c r="L1056" s="80"/>
      <c r="M1056" s="80"/>
      <c r="N1056" s="80"/>
      <c r="O1056" s="80"/>
      <c r="P1056" s="80"/>
      <c r="Q1056" s="80"/>
      <c r="R1056" s="80"/>
      <c r="S1056" s="42"/>
    </row>
    <row r="1057" hidden="1">
      <c r="A1057" s="12"/>
      <c r="B1057" s="12"/>
      <c r="C1057" s="76"/>
      <c r="D1057" s="83"/>
      <c r="E1057" s="10"/>
      <c r="F1057" s="12"/>
      <c r="G1057" s="12"/>
      <c r="H1057" s="17"/>
      <c r="I1057" s="48"/>
      <c r="J1057" s="48"/>
      <c r="K1057" s="12"/>
      <c r="L1057" s="80"/>
      <c r="M1057" s="80"/>
      <c r="N1057" s="80"/>
      <c r="O1057" s="80"/>
      <c r="P1057" s="80"/>
      <c r="Q1057" s="80"/>
      <c r="R1057" s="80"/>
      <c r="S1057" s="42"/>
    </row>
    <row r="1058" hidden="1">
      <c r="A1058" s="12"/>
      <c r="B1058" s="12"/>
      <c r="C1058" s="76"/>
      <c r="D1058" s="83"/>
      <c r="E1058" s="10"/>
      <c r="F1058" s="12"/>
      <c r="G1058" s="12"/>
      <c r="H1058" s="17"/>
      <c r="I1058" s="48"/>
      <c r="J1058" s="48"/>
      <c r="K1058" s="12"/>
      <c r="L1058" s="80"/>
      <c r="M1058" s="80"/>
      <c r="N1058" s="80"/>
      <c r="O1058" s="80"/>
      <c r="P1058" s="80"/>
      <c r="Q1058" s="80"/>
      <c r="R1058" s="80"/>
      <c r="S1058" s="42"/>
    </row>
    <row r="1059" hidden="1">
      <c r="A1059" s="12"/>
      <c r="B1059" s="12"/>
      <c r="C1059" s="76"/>
      <c r="D1059" s="83"/>
      <c r="E1059" s="10"/>
      <c r="F1059" s="12"/>
      <c r="G1059" s="12"/>
      <c r="H1059" s="17"/>
      <c r="I1059" s="48"/>
      <c r="J1059" s="48"/>
      <c r="K1059" s="12"/>
      <c r="L1059" s="80"/>
      <c r="M1059" s="80"/>
      <c r="N1059" s="80"/>
      <c r="O1059" s="80"/>
      <c r="P1059" s="80"/>
      <c r="Q1059" s="80"/>
      <c r="R1059" s="80"/>
      <c r="S1059" s="42"/>
    </row>
    <row r="1060" hidden="1">
      <c r="A1060" s="12"/>
      <c r="B1060" s="12"/>
      <c r="C1060" s="76"/>
      <c r="D1060" s="83"/>
      <c r="E1060" s="10"/>
      <c r="F1060" s="12"/>
      <c r="G1060" s="12"/>
      <c r="H1060" s="17"/>
      <c r="I1060" s="48"/>
      <c r="J1060" s="48"/>
      <c r="K1060" s="12"/>
      <c r="L1060" s="80"/>
      <c r="M1060" s="80"/>
      <c r="N1060" s="80"/>
      <c r="O1060" s="80"/>
      <c r="P1060" s="80"/>
      <c r="Q1060" s="80"/>
      <c r="R1060" s="80"/>
      <c r="S1060" s="42"/>
    </row>
    <row r="1061" hidden="1">
      <c r="A1061" s="12"/>
      <c r="B1061" s="12"/>
      <c r="C1061" s="76"/>
      <c r="D1061" s="83"/>
      <c r="E1061" s="10"/>
      <c r="F1061" s="12"/>
      <c r="G1061" s="12"/>
      <c r="H1061" s="17"/>
      <c r="I1061" s="48"/>
      <c r="J1061" s="48"/>
      <c r="K1061" s="12"/>
      <c r="L1061" s="80"/>
      <c r="M1061" s="80"/>
      <c r="N1061" s="80"/>
      <c r="O1061" s="80"/>
      <c r="P1061" s="80"/>
      <c r="Q1061" s="80"/>
      <c r="R1061" s="80"/>
      <c r="S1061" s="42"/>
    </row>
    <row r="1062" hidden="1">
      <c r="A1062" s="12"/>
      <c r="B1062" s="12"/>
      <c r="C1062" s="76"/>
      <c r="D1062" s="83"/>
      <c r="E1062" s="10"/>
      <c r="F1062" s="12"/>
      <c r="G1062" s="12"/>
      <c r="H1062" s="17"/>
      <c r="I1062" s="48"/>
      <c r="J1062" s="48"/>
      <c r="K1062" s="12"/>
      <c r="L1062" s="80"/>
      <c r="M1062" s="80"/>
      <c r="N1062" s="80"/>
      <c r="O1062" s="80"/>
      <c r="P1062" s="80"/>
      <c r="Q1062" s="80"/>
      <c r="R1062" s="80"/>
      <c r="S1062" s="42"/>
    </row>
    <row r="1063" hidden="1">
      <c r="A1063" s="12"/>
      <c r="B1063" s="12"/>
      <c r="C1063" s="76"/>
      <c r="D1063" s="83"/>
      <c r="E1063" s="10"/>
      <c r="F1063" s="12"/>
      <c r="G1063" s="12"/>
      <c r="H1063" s="17"/>
      <c r="I1063" s="48"/>
      <c r="J1063" s="48"/>
      <c r="K1063" s="12"/>
      <c r="L1063" s="80"/>
      <c r="M1063" s="80"/>
      <c r="N1063" s="80"/>
      <c r="O1063" s="80"/>
      <c r="P1063" s="80"/>
      <c r="Q1063" s="80"/>
      <c r="R1063" s="80"/>
      <c r="S1063" s="42"/>
    </row>
    <row r="1064" hidden="1">
      <c r="A1064" s="12"/>
      <c r="B1064" s="12"/>
      <c r="C1064" s="76"/>
      <c r="D1064" s="83"/>
      <c r="E1064" s="10"/>
      <c r="F1064" s="12"/>
      <c r="G1064" s="12"/>
      <c r="H1064" s="17"/>
      <c r="I1064" s="48"/>
      <c r="J1064" s="48"/>
      <c r="K1064" s="12"/>
      <c r="L1064" s="80"/>
      <c r="M1064" s="80"/>
      <c r="N1064" s="80"/>
      <c r="O1064" s="80"/>
      <c r="P1064" s="80"/>
      <c r="Q1064" s="80"/>
      <c r="R1064" s="80"/>
      <c r="S1064" s="42"/>
    </row>
    <row r="1065" hidden="1">
      <c r="A1065" s="12"/>
      <c r="B1065" s="12"/>
      <c r="C1065" s="76"/>
      <c r="D1065" s="83"/>
      <c r="E1065" s="10"/>
      <c r="F1065" s="12"/>
      <c r="G1065" s="12"/>
      <c r="H1065" s="17"/>
      <c r="I1065" s="48"/>
      <c r="J1065" s="48"/>
      <c r="K1065" s="12"/>
      <c r="L1065" s="80"/>
      <c r="M1065" s="80"/>
      <c r="N1065" s="80"/>
      <c r="O1065" s="80"/>
      <c r="P1065" s="80"/>
      <c r="Q1065" s="80"/>
      <c r="R1065" s="80"/>
      <c r="S1065" s="42"/>
    </row>
    <row r="1066" hidden="1">
      <c r="A1066" s="12"/>
      <c r="B1066" s="12"/>
      <c r="C1066" s="76"/>
      <c r="D1066" s="83"/>
      <c r="E1066" s="10"/>
      <c r="F1066" s="12"/>
      <c r="G1066" s="12"/>
      <c r="H1066" s="17"/>
      <c r="I1066" s="48"/>
      <c r="J1066" s="48"/>
      <c r="K1066" s="12"/>
      <c r="L1066" s="80"/>
      <c r="M1066" s="80"/>
      <c r="N1066" s="80"/>
      <c r="O1066" s="80"/>
      <c r="P1066" s="80"/>
      <c r="Q1066" s="80"/>
      <c r="R1066" s="80"/>
      <c r="S1066" s="42"/>
    </row>
    <row r="1067" hidden="1">
      <c r="A1067" s="12"/>
      <c r="B1067" s="12"/>
      <c r="C1067" s="76"/>
      <c r="D1067" s="83"/>
      <c r="E1067" s="10"/>
      <c r="F1067" s="12"/>
      <c r="G1067" s="12"/>
      <c r="H1067" s="17"/>
      <c r="I1067" s="48"/>
      <c r="J1067" s="48"/>
      <c r="K1067" s="12"/>
      <c r="L1067" s="80"/>
      <c r="M1067" s="80"/>
      <c r="N1067" s="80"/>
      <c r="O1067" s="80"/>
      <c r="P1067" s="80"/>
      <c r="Q1067" s="80"/>
      <c r="R1067" s="80"/>
      <c r="S1067" s="42"/>
    </row>
    <row r="1068" hidden="1">
      <c r="A1068" s="12"/>
      <c r="B1068" s="12"/>
      <c r="C1068" s="76"/>
      <c r="D1068" s="83"/>
      <c r="E1068" s="10"/>
      <c r="F1068" s="12"/>
      <c r="G1068" s="12"/>
      <c r="H1068" s="17"/>
      <c r="I1068" s="48"/>
      <c r="J1068" s="48"/>
      <c r="K1068" s="12"/>
      <c r="L1068" s="80"/>
      <c r="M1068" s="80"/>
      <c r="N1068" s="80"/>
      <c r="O1068" s="80"/>
      <c r="P1068" s="80"/>
      <c r="Q1068" s="80"/>
      <c r="R1068" s="80"/>
      <c r="S1068" s="42"/>
    </row>
    <row r="1069" hidden="1">
      <c r="A1069" s="12"/>
      <c r="B1069" s="12"/>
      <c r="C1069" s="76"/>
      <c r="D1069" s="83"/>
      <c r="E1069" s="10"/>
      <c r="F1069" s="12"/>
      <c r="G1069" s="12"/>
      <c r="H1069" s="17"/>
      <c r="I1069" s="48"/>
      <c r="J1069" s="48"/>
      <c r="K1069" s="12"/>
      <c r="L1069" s="80"/>
      <c r="M1069" s="80"/>
      <c r="N1069" s="80"/>
      <c r="O1069" s="80"/>
      <c r="P1069" s="80"/>
      <c r="Q1069" s="80"/>
      <c r="R1069" s="80"/>
      <c r="S1069" s="42"/>
    </row>
    <row r="1070" hidden="1">
      <c r="A1070" s="12"/>
      <c r="B1070" s="12"/>
      <c r="C1070" s="76"/>
      <c r="D1070" s="83"/>
      <c r="E1070" s="10"/>
      <c r="F1070" s="12"/>
      <c r="G1070" s="12"/>
      <c r="H1070" s="17"/>
      <c r="I1070" s="48"/>
      <c r="J1070" s="48"/>
      <c r="K1070" s="12"/>
      <c r="L1070" s="80"/>
      <c r="M1070" s="80"/>
      <c r="N1070" s="80"/>
      <c r="O1070" s="80"/>
      <c r="P1070" s="80"/>
      <c r="Q1070" s="80"/>
      <c r="R1070" s="80"/>
      <c r="S1070" s="42"/>
    </row>
    <row r="1071" hidden="1">
      <c r="A1071" s="12"/>
      <c r="B1071" s="12"/>
      <c r="C1071" s="76"/>
      <c r="D1071" s="83"/>
      <c r="E1071" s="10"/>
      <c r="F1071" s="12"/>
      <c r="G1071" s="12"/>
      <c r="H1071" s="17"/>
      <c r="I1071" s="48"/>
      <c r="J1071" s="48"/>
      <c r="K1071" s="12"/>
      <c r="L1071" s="80"/>
      <c r="M1071" s="80"/>
      <c r="N1071" s="80"/>
      <c r="O1071" s="80"/>
      <c r="P1071" s="80"/>
      <c r="Q1071" s="80"/>
      <c r="R1071" s="80"/>
      <c r="S1071" s="42"/>
    </row>
    <row r="1072" hidden="1">
      <c r="A1072" s="12"/>
      <c r="B1072" s="12"/>
      <c r="C1072" s="76"/>
      <c r="D1072" s="83"/>
      <c r="E1072" s="10"/>
      <c r="F1072" s="12"/>
      <c r="G1072" s="12"/>
      <c r="H1072" s="17"/>
      <c r="I1072" s="48"/>
      <c r="J1072" s="48"/>
      <c r="K1072" s="12"/>
      <c r="L1072" s="80"/>
      <c r="M1072" s="80"/>
      <c r="N1072" s="80"/>
      <c r="O1072" s="80"/>
      <c r="P1072" s="80"/>
      <c r="Q1072" s="80"/>
      <c r="R1072" s="80"/>
      <c r="S1072" s="42"/>
    </row>
    <row r="1073" hidden="1">
      <c r="A1073" s="12"/>
      <c r="B1073" s="12"/>
      <c r="C1073" s="76"/>
      <c r="D1073" s="83"/>
      <c r="E1073" s="10"/>
      <c r="F1073" s="12"/>
      <c r="G1073" s="12"/>
      <c r="H1073" s="17"/>
      <c r="I1073" s="48"/>
      <c r="J1073" s="48"/>
      <c r="K1073" s="12"/>
      <c r="L1073" s="80"/>
      <c r="M1073" s="80"/>
      <c r="N1073" s="80"/>
      <c r="O1073" s="80"/>
      <c r="P1073" s="80"/>
      <c r="Q1073" s="80"/>
      <c r="R1073" s="80"/>
      <c r="S1073" s="42"/>
    </row>
    <row r="1074" hidden="1">
      <c r="A1074" s="12"/>
      <c r="B1074" s="12"/>
      <c r="C1074" s="76"/>
      <c r="D1074" s="83"/>
      <c r="E1074" s="10"/>
      <c r="F1074" s="12"/>
      <c r="G1074" s="12"/>
      <c r="H1074" s="17"/>
      <c r="I1074" s="48"/>
      <c r="J1074" s="48"/>
      <c r="K1074" s="12"/>
      <c r="L1074" s="80"/>
      <c r="M1074" s="80"/>
      <c r="N1074" s="80"/>
      <c r="O1074" s="80"/>
      <c r="P1074" s="80"/>
      <c r="Q1074" s="80"/>
      <c r="R1074" s="80"/>
      <c r="S1074" s="42"/>
    </row>
    <row r="1075" hidden="1">
      <c r="A1075" s="12"/>
      <c r="B1075" s="12"/>
      <c r="C1075" s="76"/>
      <c r="D1075" s="83"/>
      <c r="E1075" s="10"/>
      <c r="F1075" s="12"/>
      <c r="G1075" s="12"/>
      <c r="H1075" s="17"/>
      <c r="I1075" s="48"/>
      <c r="J1075" s="48"/>
      <c r="K1075" s="12"/>
      <c r="L1075" s="80"/>
      <c r="M1075" s="80"/>
      <c r="N1075" s="80"/>
      <c r="O1075" s="80"/>
      <c r="P1075" s="80"/>
      <c r="Q1075" s="80"/>
      <c r="R1075" s="80"/>
      <c r="S1075" s="42"/>
    </row>
    <row r="1076" hidden="1">
      <c r="A1076" s="12"/>
      <c r="B1076" s="12"/>
      <c r="C1076" s="76"/>
      <c r="D1076" s="83"/>
      <c r="E1076" s="10"/>
      <c r="F1076" s="12"/>
      <c r="G1076" s="12"/>
      <c r="H1076" s="17"/>
      <c r="I1076" s="48"/>
      <c r="J1076" s="48"/>
      <c r="K1076" s="12"/>
      <c r="L1076" s="80"/>
      <c r="M1076" s="80"/>
      <c r="N1076" s="80"/>
      <c r="O1076" s="80"/>
      <c r="P1076" s="80"/>
      <c r="Q1076" s="80"/>
      <c r="R1076" s="80"/>
      <c r="S1076" s="42"/>
    </row>
    <row r="1077" hidden="1">
      <c r="A1077" s="12"/>
      <c r="B1077" s="12"/>
      <c r="C1077" s="76"/>
      <c r="D1077" s="83"/>
      <c r="E1077" s="10"/>
      <c r="F1077" s="12"/>
      <c r="G1077" s="12"/>
      <c r="H1077" s="17"/>
      <c r="I1077" s="48"/>
      <c r="J1077" s="48"/>
      <c r="K1077" s="12"/>
      <c r="L1077" s="80"/>
      <c r="M1077" s="80"/>
      <c r="N1077" s="80"/>
      <c r="O1077" s="80"/>
      <c r="P1077" s="80"/>
      <c r="Q1077" s="80"/>
      <c r="R1077" s="80"/>
      <c r="S1077" s="42"/>
    </row>
    <row r="1078" hidden="1">
      <c r="A1078" s="12"/>
      <c r="B1078" s="12"/>
      <c r="C1078" s="76"/>
      <c r="D1078" s="83"/>
      <c r="E1078" s="10"/>
      <c r="F1078" s="12"/>
      <c r="G1078" s="12"/>
      <c r="H1078" s="17"/>
      <c r="I1078" s="48"/>
      <c r="J1078" s="48"/>
      <c r="K1078" s="12"/>
      <c r="L1078" s="80"/>
      <c r="M1078" s="80"/>
      <c r="N1078" s="80"/>
      <c r="O1078" s="80"/>
      <c r="P1078" s="80"/>
      <c r="Q1078" s="80"/>
      <c r="R1078" s="80"/>
      <c r="S1078" s="42"/>
    </row>
    <row r="1079" hidden="1">
      <c r="A1079" s="12"/>
      <c r="B1079" s="12"/>
      <c r="C1079" s="76"/>
      <c r="D1079" s="83"/>
      <c r="E1079" s="10"/>
      <c r="F1079" s="12"/>
      <c r="G1079" s="12"/>
      <c r="H1079" s="17"/>
      <c r="I1079" s="48"/>
      <c r="J1079" s="48"/>
      <c r="K1079" s="12"/>
      <c r="L1079" s="80"/>
      <c r="M1079" s="80"/>
      <c r="N1079" s="80"/>
      <c r="O1079" s="80"/>
      <c r="P1079" s="80"/>
      <c r="Q1079" s="80"/>
      <c r="R1079" s="80"/>
      <c r="S1079" s="42"/>
    </row>
    <row r="1080" hidden="1">
      <c r="A1080" s="12"/>
      <c r="B1080" s="12"/>
      <c r="C1080" s="76"/>
      <c r="D1080" s="83"/>
      <c r="E1080" s="10"/>
      <c r="F1080" s="12"/>
      <c r="G1080" s="12"/>
      <c r="H1080" s="17"/>
      <c r="I1080" s="48"/>
      <c r="J1080" s="48"/>
      <c r="K1080" s="12"/>
      <c r="L1080" s="80"/>
      <c r="M1080" s="80"/>
      <c r="N1080" s="80"/>
      <c r="O1080" s="80"/>
      <c r="P1080" s="80"/>
      <c r="Q1080" s="80"/>
      <c r="R1080" s="80"/>
      <c r="S1080" s="42"/>
    </row>
    <row r="1081" hidden="1">
      <c r="A1081" s="12"/>
      <c r="B1081" s="12"/>
      <c r="C1081" s="76"/>
      <c r="D1081" s="83"/>
      <c r="E1081" s="10"/>
      <c r="F1081" s="12"/>
      <c r="G1081" s="12"/>
      <c r="H1081" s="17"/>
      <c r="I1081" s="48"/>
      <c r="J1081" s="48"/>
      <c r="K1081" s="12"/>
      <c r="L1081" s="80"/>
      <c r="M1081" s="80"/>
      <c r="N1081" s="80"/>
      <c r="O1081" s="80"/>
      <c r="P1081" s="80"/>
      <c r="Q1081" s="80"/>
      <c r="R1081" s="80"/>
      <c r="S1081" s="42"/>
    </row>
    <row r="1082" hidden="1">
      <c r="A1082" s="12"/>
      <c r="B1082" s="12"/>
      <c r="C1082" s="76"/>
      <c r="D1082" s="83"/>
      <c r="E1082" s="10"/>
      <c r="F1082" s="12"/>
      <c r="G1082" s="12"/>
      <c r="H1082" s="17"/>
      <c r="I1082" s="48"/>
      <c r="J1082" s="48"/>
      <c r="K1082" s="12"/>
      <c r="L1082" s="80"/>
      <c r="M1082" s="80"/>
      <c r="N1082" s="80"/>
      <c r="O1082" s="80"/>
      <c r="P1082" s="80"/>
      <c r="Q1082" s="80"/>
      <c r="R1082" s="80"/>
      <c r="S1082" s="42"/>
    </row>
    <row r="1083" hidden="1">
      <c r="A1083" s="12"/>
      <c r="B1083" s="12"/>
      <c r="C1083" s="76"/>
      <c r="D1083" s="83"/>
      <c r="E1083" s="10"/>
      <c r="F1083" s="12"/>
      <c r="G1083" s="12"/>
      <c r="H1083" s="17"/>
      <c r="I1083" s="48"/>
      <c r="J1083" s="48"/>
      <c r="K1083" s="12"/>
      <c r="L1083" s="80"/>
      <c r="M1083" s="80"/>
      <c r="N1083" s="80"/>
      <c r="O1083" s="80"/>
      <c r="P1083" s="80"/>
      <c r="Q1083" s="80"/>
      <c r="R1083" s="80"/>
      <c r="S1083" s="42"/>
    </row>
    <row r="1084" hidden="1">
      <c r="A1084" s="12"/>
      <c r="B1084" s="12"/>
      <c r="C1084" s="76"/>
      <c r="D1084" s="83"/>
      <c r="E1084" s="10"/>
      <c r="F1084" s="12"/>
      <c r="G1084" s="12"/>
      <c r="H1084" s="17"/>
      <c r="I1084" s="48"/>
      <c r="J1084" s="48"/>
      <c r="K1084" s="12"/>
      <c r="L1084" s="80"/>
      <c r="M1084" s="80"/>
      <c r="N1084" s="80"/>
      <c r="O1084" s="80"/>
      <c r="P1084" s="80"/>
      <c r="Q1084" s="80"/>
      <c r="R1084" s="80"/>
      <c r="S1084" s="42"/>
    </row>
    <row r="1085" hidden="1">
      <c r="A1085" s="12"/>
      <c r="B1085" s="12"/>
      <c r="C1085" s="76"/>
      <c r="D1085" s="83"/>
      <c r="E1085" s="10"/>
      <c r="F1085" s="12"/>
      <c r="G1085" s="12"/>
      <c r="H1085" s="17"/>
      <c r="I1085" s="48"/>
      <c r="J1085" s="48"/>
      <c r="K1085" s="12"/>
      <c r="L1085" s="80"/>
      <c r="M1085" s="80"/>
      <c r="N1085" s="80"/>
      <c r="O1085" s="80"/>
      <c r="P1085" s="80"/>
      <c r="Q1085" s="80"/>
      <c r="R1085" s="80"/>
      <c r="S1085" s="42"/>
    </row>
    <row r="1086" hidden="1">
      <c r="A1086" s="12"/>
      <c r="B1086" s="12"/>
      <c r="C1086" s="76"/>
      <c r="D1086" s="83"/>
      <c r="E1086" s="10"/>
      <c r="F1086" s="12"/>
      <c r="G1086" s="12"/>
      <c r="H1086" s="17"/>
      <c r="I1086" s="48"/>
      <c r="J1086" s="48"/>
      <c r="K1086" s="12"/>
      <c r="L1086" s="80"/>
      <c r="M1086" s="80"/>
      <c r="N1086" s="80"/>
      <c r="O1086" s="80"/>
      <c r="P1086" s="80"/>
      <c r="Q1086" s="80"/>
      <c r="R1086" s="80"/>
      <c r="S1086" s="42"/>
    </row>
    <row r="1087" hidden="1">
      <c r="A1087" s="12"/>
      <c r="B1087" s="12"/>
      <c r="C1087" s="76"/>
      <c r="D1087" s="83"/>
      <c r="E1087" s="10"/>
      <c r="F1087" s="12"/>
      <c r="G1087" s="12"/>
      <c r="H1087" s="17"/>
      <c r="I1087" s="48"/>
      <c r="J1087" s="48"/>
      <c r="K1087" s="12"/>
      <c r="L1087" s="80"/>
      <c r="M1087" s="80"/>
      <c r="N1087" s="80"/>
      <c r="O1087" s="80"/>
      <c r="P1087" s="80"/>
      <c r="Q1087" s="80"/>
      <c r="R1087" s="80"/>
      <c r="S1087" s="42"/>
    </row>
    <row r="1088" hidden="1">
      <c r="A1088" s="12"/>
      <c r="B1088" s="12"/>
      <c r="C1088" s="76"/>
      <c r="D1088" s="83"/>
      <c r="E1088" s="10"/>
      <c r="F1088" s="12"/>
      <c r="G1088" s="12"/>
      <c r="H1088" s="17"/>
      <c r="I1088" s="48"/>
      <c r="J1088" s="48"/>
      <c r="K1088" s="12"/>
      <c r="L1088" s="80"/>
      <c r="M1088" s="80"/>
      <c r="N1088" s="80"/>
      <c r="O1088" s="80"/>
      <c r="P1088" s="80"/>
      <c r="Q1088" s="80"/>
      <c r="R1088" s="80"/>
      <c r="S1088" s="42"/>
    </row>
    <row r="1089" hidden="1">
      <c r="A1089" s="12"/>
      <c r="B1089" s="12"/>
      <c r="C1089" s="76"/>
      <c r="D1089" s="83"/>
      <c r="E1089" s="10"/>
      <c r="F1089" s="12"/>
      <c r="G1089" s="12"/>
      <c r="H1089" s="17"/>
      <c r="I1089" s="48"/>
      <c r="J1089" s="48"/>
      <c r="K1089" s="12"/>
      <c r="L1089" s="80"/>
      <c r="M1089" s="80"/>
      <c r="N1089" s="80"/>
      <c r="O1089" s="80"/>
      <c r="P1089" s="80"/>
      <c r="Q1089" s="80"/>
      <c r="R1089" s="80"/>
      <c r="S1089" s="42"/>
    </row>
    <row r="1090" hidden="1">
      <c r="A1090" s="12"/>
      <c r="B1090" s="12"/>
      <c r="C1090" s="76"/>
      <c r="D1090" s="83"/>
      <c r="E1090" s="10"/>
      <c r="F1090" s="12"/>
      <c r="G1090" s="12"/>
      <c r="H1090" s="17"/>
      <c r="I1090" s="48"/>
      <c r="J1090" s="48"/>
      <c r="K1090" s="12"/>
      <c r="L1090" s="80"/>
      <c r="M1090" s="80"/>
      <c r="N1090" s="80"/>
      <c r="O1090" s="80"/>
      <c r="P1090" s="80"/>
      <c r="Q1090" s="80"/>
      <c r="R1090" s="80"/>
      <c r="S1090" s="42"/>
    </row>
    <row r="1091" hidden="1">
      <c r="A1091" s="12"/>
      <c r="B1091" s="12"/>
      <c r="C1091" s="76"/>
      <c r="D1091" s="83"/>
      <c r="E1091" s="10"/>
      <c r="F1091" s="12"/>
      <c r="G1091" s="12"/>
      <c r="H1091" s="17"/>
      <c r="I1091" s="48"/>
      <c r="J1091" s="48"/>
      <c r="K1091" s="12"/>
      <c r="L1091" s="80"/>
      <c r="M1091" s="80"/>
      <c r="N1091" s="80"/>
      <c r="O1091" s="80"/>
      <c r="P1091" s="80"/>
      <c r="Q1091" s="80"/>
      <c r="R1091" s="80"/>
      <c r="S1091" s="42"/>
    </row>
    <row r="1092" hidden="1">
      <c r="A1092" s="12"/>
      <c r="B1092" s="12"/>
      <c r="C1092" s="76"/>
      <c r="D1092" s="83"/>
      <c r="E1092" s="10"/>
      <c r="F1092" s="12"/>
      <c r="G1092" s="12"/>
      <c r="H1092" s="17"/>
      <c r="I1092" s="48"/>
      <c r="J1092" s="48"/>
      <c r="K1092" s="12"/>
      <c r="L1092" s="80"/>
      <c r="M1092" s="80"/>
      <c r="N1092" s="80"/>
      <c r="O1092" s="80"/>
      <c r="P1092" s="80"/>
      <c r="Q1092" s="80"/>
      <c r="R1092" s="80"/>
      <c r="S1092" s="42"/>
    </row>
    <row r="1093" hidden="1">
      <c r="A1093" s="12"/>
      <c r="B1093" s="12"/>
      <c r="C1093" s="76"/>
      <c r="D1093" s="83"/>
      <c r="E1093" s="10"/>
      <c r="F1093" s="12"/>
      <c r="G1093" s="12"/>
      <c r="H1093" s="17"/>
      <c r="I1093" s="48"/>
      <c r="J1093" s="48"/>
      <c r="K1093" s="12"/>
      <c r="L1093" s="80"/>
      <c r="M1093" s="80"/>
      <c r="N1093" s="80"/>
      <c r="O1093" s="80"/>
      <c r="P1093" s="80"/>
      <c r="Q1093" s="80"/>
      <c r="R1093" s="80"/>
      <c r="S1093" s="42"/>
    </row>
    <row r="1094" hidden="1">
      <c r="A1094" s="12"/>
      <c r="B1094" s="12"/>
      <c r="C1094" s="76"/>
      <c r="D1094" s="83"/>
      <c r="E1094" s="10"/>
      <c r="F1094" s="12"/>
      <c r="G1094" s="12"/>
      <c r="H1094" s="17"/>
      <c r="I1094" s="48"/>
      <c r="J1094" s="48"/>
      <c r="K1094" s="12"/>
      <c r="L1094" s="80"/>
      <c r="M1094" s="80"/>
      <c r="N1094" s="80"/>
      <c r="O1094" s="80"/>
      <c r="P1094" s="80"/>
      <c r="Q1094" s="80"/>
      <c r="R1094" s="80"/>
      <c r="S1094" s="42"/>
    </row>
    <row r="1095" hidden="1">
      <c r="A1095" s="12"/>
      <c r="B1095" s="12"/>
      <c r="C1095" s="76"/>
      <c r="D1095" s="83"/>
      <c r="E1095" s="10"/>
      <c r="F1095" s="12"/>
      <c r="G1095" s="12"/>
      <c r="H1095" s="17"/>
      <c r="I1095" s="48"/>
      <c r="J1095" s="48"/>
      <c r="K1095" s="12"/>
      <c r="L1095" s="80"/>
      <c r="M1095" s="80"/>
      <c r="N1095" s="80"/>
      <c r="O1095" s="80"/>
      <c r="P1095" s="80"/>
      <c r="Q1095" s="80"/>
      <c r="R1095" s="80"/>
      <c r="S1095" s="42"/>
    </row>
    <row r="1096" hidden="1">
      <c r="A1096" s="12"/>
      <c r="B1096" s="12"/>
      <c r="C1096" s="76"/>
      <c r="D1096" s="83"/>
      <c r="E1096" s="10"/>
      <c r="F1096" s="12"/>
      <c r="G1096" s="12"/>
      <c r="H1096" s="17"/>
      <c r="I1096" s="48"/>
      <c r="J1096" s="48"/>
      <c r="K1096" s="12"/>
      <c r="L1096" s="80"/>
      <c r="M1096" s="80"/>
      <c r="N1096" s="80"/>
      <c r="O1096" s="80"/>
      <c r="P1096" s="80"/>
      <c r="Q1096" s="80"/>
      <c r="R1096" s="80"/>
      <c r="S1096" s="42"/>
    </row>
    <row r="1097" hidden="1">
      <c r="A1097" s="12"/>
      <c r="B1097" s="12"/>
      <c r="C1097" s="76"/>
      <c r="D1097" s="83"/>
      <c r="E1097" s="10"/>
      <c r="F1097" s="12"/>
      <c r="G1097" s="12"/>
      <c r="H1097" s="17"/>
      <c r="I1097" s="48"/>
      <c r="J1097" s="48"/>
      <c r="K1097" s="12"/>
      <c r="L1097" s="80"/>
      <c r="M1097" s="80"/>
      <c r="N1097" s="80"/>
      <c r="O1097" s="80"/>
      <c r="P1097" s="80"/>
      <c r="Q1097" s="80"/>
      <c r="R1097" s="80"/>
      <c r="S1097" s="42"/>
    </row>
    <row r="1098" hidden="1">
      <c r="A1098" s="12"/>
      <c r="B1098" s="12"/>
      <c r="C1098" s="76"/>
      <c r="D1098" s="83"/>
      <c r="E1098" s="10"/>
      <c r="F1098" s="12"/>
      <c r="G1098" s="12"/>
      <c r="H1098" s="17"/>
      <c r="I1098" s="48"/>
      <c r="J1098" s="48"/>
      <c r="K1098" s="12"/>
      <c r="L1098" s="80"/>
      <c r="M1098" s="80"/>
      <c r="N1098" s="80"/>
      <c r="O1098" s="80"/>
      <c r="P1098" s="80"/>
      <c r="Q1098" s="80"/>
      <c r="R1098" s="80"/>
      <c r="S1098" s="42"/>
    </row>
    <row r="1099" hidden="1">
      <c r="A1099" s="12"/>
      <c r="B1099" s="12"/>
      <c r="C1099" s="76"/>
      <c r="D1099" s="83"/>
      <c r="E1099" s="10"/>
      <c r="F1099" s="12"/>
      <c r="G1099" s="12"/>
      <c r="H1099" s="17"/>
      <c r="I1099" s="48"/>
      <c r="J1099" s="48"/>
      <c r="K1099" s="12"/>
      <c r="L1099" s="80"/>
      <c r="M1099" s="80"/>
      <c r="N1099" s="80"/>
      <c r="O1099" s="80"/>
      <c r="P1099" s="80"/>
      <c r="Q1099" s="80"/>
      <c r="R1099" s="80"/>
      <c r="S1099" s="42"/>
    </row>
    <row r="1100" hidden="1">
      <c r="A1100" s="12"/>
      <c r="B1100" s="12"/>
      <c r="C1100" s="76"/>
      <c r="D1100" s="83"/>
      <c r="E1100" s="10"/>
      <c r="F1100" s="12"/>
      <c r="G1100" s="12"/>
      <c r="H1100" s="17"/>
      <c r="I1100" s="48"/>
      <c r="J1100" s="48"/>
      <c r="K1100" s="12"/>
      <c r="L1100" s="80"/>
      <c r="M1100" s="80"/>
      <c r="N1100" s="80"/>
      <c r="O1100" s="80"/>
      <c r="P1100" s="80"/>
      <c r="Q1100" s="80"/>
      <c r="R1100" s="80"/>
      <c r="S1100" s="42"/>
    </row>
    <row r="1101" hidden="1">
      <c r="A1101" s="12"/>
      <c r="B1101" s="12"/>
      <c r="C1101" s="76"/>
      <c r="D1101" s="83"/>
      <c r="E1101" s="10"/>
      <c r="F1101" s="12"/>
      <c r="G1101" s="12"/>
      <c r="H1101" s="17"/>
      <c r="I1101" s="48"/>
      <c r="J1101" s="48"/>
      <c r="K1101" s="12"/>
      <c r="L1101" s="80"/>
      <c r="M1101" s="80"/>
      <c r="N1101" s="80"/>
      <c r="O1101" s="80"/>
      <c r="P1101" s="80"/>
      <c r="Q1101" s="80"/>
      <c r="R1101" s="80"/>
      <c r="S1101" s="42"/>
    </row>
    <row r="1102" hidden="1">
      <c r="A1102" s="12"/>
      <c r="B1102" s="12"/>
      <c r="C1102" s="76"/>
      <c r="D1102" s="83"/>
      <c r="E1102" s="10"/>
      <c r="F1102" s="12"/>
      <c r="G1102" s="12"/>
      <c r="H1102" s="17"/>
      <c r="I1102" s="48"/>
      <c r="J1102" s="48"/>
      <c r="K1102" s="12"/>
      <c r="L1102" s="80"/>
      <c r="M1102" s="80"/>
      <c r="N1102" s="80"/>
      <c r="O1102" s="80"/>
      <c r="P1102" s="80"/>
      <c r="Q1102" s="80"/>
      <c r="R1102" s="80"/>
      <c r="S1102" s="42"/>
    </row>
    <row r="1103" hidden="1">
      <c r="A1103" s="12"/>
      <c r="B1103" s="12"/>
      <c r="C1103" s="76"/>
      <c r="D1103" s="83"/>
      <c r="E1103" s="10"/>
      <c r="F1103" s="12"/>
      <c r="G1103" s="12"/>
      <c r="H1103" s="17"/>
      <c r="I1103" s="48"/>
      <c r="J1103" s="48"/>
      <c r="K1103" s="12"/>
      <c r="L1103" s="80"/>
      <c r="M1103" s="80"/>
      <c r="N1103" s="80"/>
      <c r="O1103" s="80"/>
      <c r="P1103" s="80"/>
      <c r="Q1103" s="80"/>
      <c r="R1103" s="80"/>
      <c r="S1103" s="42"/>
    </row>
    <row r="1104" hidden="1">
      <c r="A1104" s="12"/>
      <c r="B1104" s="12"/>
      <c r="C1104" s="76"/>
      <c r="D1104" s="83"/>
      <c r="E1104" s="10"/>
      <c r="F1104" s="12"/>
      <c r="G1104" s="12"/>
      <c r="H1104" s="17"/>
      <c r="I1104" s="48"/>
      <c r="J1104" s="48"/>
      <c r="K1104" s="12"/>
      <c r="L1104" s="80"/>
      <c r="M1104" s="80"/>
      <c r="N1104" s="80"/>
      <c r="O1104" s="80"/>
      <c r="P1104" s="80"/>
      <c r="Q1104" s="80"/>
      <c r="R1104" s="80"/>
      <c r="S1104" s="42"/>
    </row>
    <row r="1105" hidden="1">
      <c r="A1105" s="12"/>
      <c r="B1105" s="12"/>
      <c r="C1105" s="76"/>
      <c r="D1105" s="83"/>
      <c r="E1105" s="10"/>
      <c r="F1105" s="12"/>
      <c r="G1105" s="12"/>
      <c r="H1105" s="17"/>
      <c r="I1105" s="48"/>
      <c r="J1105" s="48"/>
      <c r="K1105" s="12"/>
      <c r="L1105" s="80"/>
      <c r="M1105" s="80"/>
      <c r="N1105" s="80"/>
      <c r="O1105" s="80"/>
      <c r="P1105" s="80"/>
      <c r="Q1105" s="80"/>
      <c r="R1105" s="80"/>
      <c r="S1105" s="42"/>
    </row>
    <row r="1106" hidden="1">
      <c r="A1106" s="12"/>
      <c r="B1106" s="12"/>
      <c r="C1106" s="76"/>
      <c r="D1106" s="83"/>
      <c r="E1106" s="10"/>
      <c r="F1106" s="12"/>
      <c r="G1106" s="12"/>
      <c r="H1106" s="17"/>
      <c r="I1106" s="48"/>
      <c r="J1106" s="48"/>
      <c r="K1106" s="12"/>
      <c r="L1106" s="80"/>
      <c r="M1106" s="80"/>
      <c r="N1106" s="80"/>
      <c r="O1106" s="80"/>
      <c r="P1106" s="80"/>
      <c r="Q1106" s="80"/>
      <c r="R1106" s="80"/>
      <c r="S1106" s="42"/>
    </row>
    <row r="1107" hidden="1">
      <c r="A1107" s="12"/>
      <c r="B1107" s="12"/>
      <c r="C1107" s="76"/>
      <c r="D1107" s="83"/>
      <c r="E1107" s="10"/>
      <c r="F1107" s="12"/>
      <c r="G1107" s="12"/>
      <c r="H1107" s="17"/>
      <c r="I1107" s="48"/>
      <c r="J1107" s="48"/>
      <c r="K1107" s="12"/>
      <c r="L1107" s="80"/>
      <c r="M1107" s="80"/>
      <c r="N1107" s="80"/>
      <c r="O1107" s="80"/>
      <c r="P1107" s="80"/>
      <c r="Q1107" s="80"/>
      <c r="R1107" s="80"/>
      <c r="S1107" s="42"/>
    </row>
    <row r="1108" hidden="1">
      <c r="A1108" s="12"/>
      <c r="B1108" s="12"/>
      <c r="C1108" s="76"/>
      <c r="D1108" s="83"/>
      <c r="E1108" s="10"/>
      <c r="F1108" s="12"/>
      <c r="G1108" s="12"/>
      <c r="H1108" s="17"/>
      <c r="I1108" s="48"/>
      <c r="J1108" s="48"/>
      <c r="K1108" s="12"/>
      <c r="L1108" s="80"/>
      <c r="M1108" s="80"/>
      <c r="N1108" s="80"/>
      <c r="O1108" s="80"/>
      <c r="P1108" s="80"/>
      <c r="Q1108" s="80"/>
      <c r="R1108" s="80"/>
      <c r="S1108" s="42"/>
    </row>
    <row r="1109" hidden="1">
      <c r="A1109" s="12"/>
      <c r="B1109" s="12"/>
      <c r="C1109" s="76"/>
      <c r="D1109" s="83"/>
      <c r="E1109" s="10"/>
      <c r="F1109" s="12"/>
      <c r="G1109" s="12"/>
      <c r="H1109" s="17"/>
      <c r="I1109" s="48"/>
      <c r="J1109" s="48"/>
      <c r="K1109" s="12"/>
      <c r="L1109" s="80"/>
      <c r="M1109" s="80"/>
      <c r="N1109" s="80"/>
      <c r="O1109" s="80"/>
      <c r="P1109" s="80"/>
      <c r="Q1109" s="80"/>
      <c r="R1109" s="80"/>
      <c r="S1109" s="42"/>
    </row>
    <row r="1110" hidden="1">
      <c r="A1110" s="12"/>
      <c r="B1110" s="12"/>
      <c r="C1110" s="76"/>
      <c r="D1110" s="83"/>
      <c r="E1110" s="10"/>
      <c r="F1110" s="12"/>
      <c r="G1110" s="12"/>
      <c r="H1110" s="17"/>
      <c r="I1110" s="48"/>
      <c r="J1110" s="48"/>
      <c r="K1110" s="12"/>
      <c r="L1110" s="80"/>
      <c r="M1110" s="80"/>
      <c r="N1110" s="80"/>
      <c r="O1110" s="80"/>
      <c r="P1110" s="80"/>
      <c r="Q1110" s="80"/>
      <c r="R1110" s="80"/>
      <c r="S1110" s="42"/>
    </row>
    <row r="1111" hidden="1">
      <c r="A1111" s="12"/>
      <c r="B1111" s="12"/>
      <c r="C1111" s="76"/>
      <c r="D1111" s="83"/>
      <c r="E1111" s="10"/>
      <c r="F1111" s="12"/>
      <c r="G1111" s="12"/>
      <c r="H1111" s="17"/>
      <c r="I1111" s="48"/>
      <c r="J1111" s="48"/>
      <c r="K1111" s="12"/>
      <c r="L1111" s="80"/>
      <c r="M1111" s="80"/>
      <c r="N1111" s="80"/>
      <c r="O1111" s="80"/>
      <c r="P1111" s="80"/>
      <c r="Q1111" s="80"/>
      <c r="R1111" s="80"/>
      <c r="S1111" s="42"/>
    </row>
    <row r="1112" hidden="1">
      <c r="A1112" s="12"/>
      <c r="B1112" s="12"/>
      <c r="C1112" s="76"/>
      <c r="D1112" s="83"/>
      <c r="E1112" s="10"/>
      <c r="F1112" s="12"/>
      <c r="G1112" s="12"/>
      <c r="H1112" s="17"/>
      <c r="I1112" s="48"/>
      <c r="J1112" s="48"/>
      <c r="K1112" s="12"/>
      <c r="L1112" s="80"/>
      <c r="M1112" s="80"/>
      <c r="N1112" s="80"/>
      <c r="O1112" s="80"/>
      <c r="P1112" s="80"/>
      <c r="Q1112" s="80"/>
      <c r="R1112" s="80"/>
      <c r="S1112" s="42"/>
    </row>
    <row r="1113" hidden="1">
      <c r="A1113" s="12"/>
      <c r="B1113" s="12"/>
      <c r="C1113" s="76"/>
      <c r="D1113" s="83"/>
      <c r="E1113" s="10"/>
      <c r="F1113" s="12"/>
      <c r="G1113" s="12"/>
      <c r="H1113" s="17"/>
      <c r="I1113" s="48"/>
      <c r="J1113" s="48"/>
      <c r="K1113" s="12"/>
      <c r="L1113" s="80"/>
      <c r="M1113" s="80"/>
      <c r="N1113" s="80"/>
      <c r="O1113" s="80"/>
      <c r="P1113" s="80"/>
      <c r="Q1113" s="80"/>
      <c r="R1113" s="80"/>
      <c r="S1113" s="42"/>
    </row>
    <row r="1114" hidden="1">
      <c r="A1114" s="12"/>
      <c r="B1114" s="12"/>
      <c r="C1114" s="76"/>
      <c r="D1114" s="83"/>
      <c r="E1114" s="10"/>
      <c r="F1114" s="12"/>
      <c r="G1114" s="12"/>
      <c r="H1114" s="17"/>
      <c r="I1114" s="48"/>
      <c r="J1114" s="48"/>
      <c r="K1114" s="12"/>
      <c r="L1114" s="80"/>
      <c r="M1114" s="80"/>
      <c r="N1114" s="80"/>
      <c r="O1114" s="80"/>
      <c r="P1114" s="80"/>
      <c r="Q1114" s="80"/>
      <c r="R1114" s="80"/>
      <c r="S1114" s="42"/>
    </row>
    <row r="1115" hidden="1">
      <c r="A1115" s="12"/>
      <c r="B1115" s="12"/>
      <c r="C1115" s="76"/>
      <c r="D1115" s="83"/>
      <c r="E1115" s="10"/>
      <c r="F1115" s="12"/>
      <c r="G1115" s="12"/>
      <c r="H1115" s="17"/>
      <c r="I1115" s="48"/>
      <c r="J1115" s="48"/>
      <c r="K1115" s="12"/>
      <c r="L1115" s="80"/>
      <c r="M1115" s="80"/>
      <c r="N1115" s="80"/>
      <c r="O1115" s="80"/>
      <c r="P1115" s="80"/>
      <c r="Q1115" s="80"/>
      <c r="R1115" s="80"/>
      <c r="S1115" s="42"/>
    </row>
    <row r="1116" hidden="1">
      <c r="A1116" s="12"/>
      <c r="B1116" s="12"/>
      <c r="C1116" s="76"/>
      <c r="D1116" s="83"/>
      <c r="E1116" s="10"/>
      <c r="F1116" s="12"/>
      <c r="G1116" s="12"/>
      <c r="H1116" s="17"/>
      <c r="I1116" s="48"/>
      <c r="J1116" s="48"/>
      <c r="K1116" s="12"/>
      <c r="L1116" s="80"/>
      <c r="M1116" s="80"/>
      <c r="N1116" s="80"/>
      <c r="O1116" s="80"/>
      <c r="P1116" s="80"/>
      <c r="Q1116" s="80"/>
      <c r="R1116" s="80"/>
      <c r="S1116" s="42"/>
    </row>
    <row r="1117" hidden="1">
      <c r="A1117" s="12"/>
      <c r="B1117" s="12"/>
      <c r="C1117" s="76"/>
      <c r="D1117" s="83"/>
      <c r="E1117" s="10"/>
      <c r="F1117" s="12"/>
      <c r="G1117" s="12"/>
      <c r="H1117" s="17"/>
      <c r="I1117" s="48"/>
      <c r="J1117" s="48"/>
      <c r="K1117" s="12"/>
      <c r="L1117" s="80"/>
      <c r="M1117" s="80"/>
      <c r="N1117" s="80"/>
      <c r="O1117" s="80"/>
      <c r="P1117" s="80"/>
      <c r="Q1117" s="80"/>
      <c r="R1117" s="80"/>
      <c r="S1117" s="42"/>
    </row>
    <row r="1118" hidden="1">
      <c r="A1118" s="12"/>
      <c r="B1118" s="12"/>
      <c r="C1118" s="76"/>
      <c r="D1118" s="83"/>
      <c r="E1118" s="10"/>
      <c r="F1118" s="12"/>
      <c r="G1118" s="12"/>
      <c r="H1118" s="17"/>
      <c r="I1118" s="48"/>
      <c r="J1118" s="48"/>
      <c r="K1118" s="12"/>
      <c r="L1118" s="80"/>
      <c r="M1118" s="80"/>
      <c r="N1118" s="80"/>
      <c r="O1118" s="80"/>
      <c r="P1118" s="80"/>
      <c r="Q1118" s="80"/>
      <c r="R1118" s="80"/>
      <c r="S1118" s="42"/>
    </row>
    <row r="1119" hidden="1">
      <c r="A1119" s="12"/>
      <c r="B1119" s="12"/>
      <c r="C1119" s="76"/>
      <c r="D1119" s="83"/>
      <c r="E1119" s="10"/>
      <c r="F1119" s="12"/>
      <c r="G1119" s="12"/>
      <c r="H1119" s="17"/>
      <c r="I1119" s="48"/>
      <c r="J1119" s="48"/>
      <c r="K1119" s="12"/>
      <c r="L1119" s="80"/>
      <c r="M1119" s="80"/>
      <c r="N1119" s="80"/>
      <c r="O1119" s="80"/>
      <c r="P1119" s="80"/>
      <c r="Q1119" s="80"/>
      <c r="R1119" s="80"/>
      <c r="S1119" s="42"/>
    </row>
    <row r="1120" hidden="1">
      <c r="A1120" s="12"/>
      <c r="B1120" s="12"/>
      <c r="C1120" s="76"/>
      <c r="D1120" s="83"/>
      <c r="E1120" s="10"/>
      <c r="F1120" s="12"/>
      <c r="G1120" s="12"/>
      <c r="H1120" s="17"/>
      <c r="I1120" s="48"/>
      <c r="J1120" s="48"/>
      <c r="K1120" s="12"/>
      <c r="L1120" s="80"/>
      <c r="M1120" s="80"/>
      <c r="N1120" s="80"/>
      <c r="O1120" s="80"/>
      <c r="P1120" s="80"/>
      <c r="Q1120" s="80"/>
      <c r="R1120" s="80"/>
      <c r="S1120" s="42"/>
    </row>
    <row r="1121" hidden="1">
      <c r="A1121" s="12"/>
      <c r="B1121" s="12"/>
      <c r="C1121" s="76"/>
      <c r="D1121" s="83"/>
      <c r="E1121" s="10"/>
      <c r="F1121" s="12"/>
      <c r="G1121" s="12"/>
      <c r="H1121" s="17"/>
      <c r="I1121" s="48"/>
      <c r="J1121" s="48"/>
      <c r="K1121" s="12"/>
      <c r="L1121" s="80"/>
      <c r="M1121" s="80"/>
      <c r="N1121" s="80"/>
      <c r="O1121" s="80"/>
      <c r="P1121" s="80"/>
      <c r="Q1121" s="80"/>
      <c r="R1121" s="80"/>
      <c r="S1121" s="42"/>
    </row>
    <row r="1122" hidden="1">
      <c r="A1122" s="12"/>
      <c r="B1122" s="12"/>
      <c r="C1122" s="76"/>
      <c r="D1122" s="83"/>
      <c r="E1122" s="10"/>
      <c r="F1122" s="12"/>
      <c r="G1122" s="12"/>
      <c r="H1122" s="17"/>
      <c r="I1122" s="48"/>
      <c r="J1122" s="48"/>
      <c r="K1122" s="12"/>
      <c r="L1122" s="80"/>
      <c r="M1122" s="80"/>
      <c r="N1122" s="80"/>
      <c r="O1122" s="80"/>
      <c r="P1122" s="80"/>
      <c r="Q1122" s="80"/>
      <c r="R1122" s="80"/>
      <c r="S1122" s="42"/>
    </row>
    <row r="1123" hidden="1">
      <c r="A1123" s="12"/>
      <c r="B1123" s="12"/>
      <c r="C1123" s="76"/>
      <c r="D1123" s="83"/>
      <c r="E1123" s="10"/>
      <c r="F1123" s="12"/>
      <c r="G1123" s="12"/>
      <c r="H1123" s="17"/>
      <c r="I1123" s="48"/>
      <c r="J1123" s="48"/>
      <c r="K1123" s="12"/>
      <c r="L1123" s="80"/>
      <c r="M1123" s="80"/>
      <c r="N1123" s="80"/>
      <c r="O1123" s="80"/>
      <c r="P1123" s="80"/>
      <c r="Q1123" s="80"/>
      <c r="R1123" s="80"/>
      <c r="S1123" s="42"/>
    </row>
    <row r="1124" hidden="1">
      <c r="A1124" s="12"/>
      <c r="B1124" s="12"/>
      <c r="C1124" s="76"/>
      <c r="D1124" s="83"/>
      <c r="E1124" s="10"/>
      <c r="F1124" s="12"/>
      <c r="G1124" s="12"/>
      <c r="H1124" s="17"/>
      <c r="I1124" s="48"/>
      <c r="J1124" s="48"/>
      <c r="K1124" s="12"/>
      <c r="L1124" s="80"/>
      <c r="M1124" s="80"/>
      <c r="N1124" s="80"/>
      <c r="O1124" s="80"/>
      <c r="P1124" s="80"/>
      <c r="Q1124" s="80"/>
      <c r="R1124" s="80"/>
      <c r="S1124" s="42"/>
    </row>
    <row r="1125" hidden="1">
      <c r="A1125" s="12"/>
      <c r="B1125" s="12"/>
      <c r="C1125" s="76"/>
      <c r="D1125" s="83"/>
      <c r="E1125" s="10"/>
      <c r="F1125" s="12"/>
      <c r="G1125" s="12"/>
      <c r="H1125" s="17"/>
      <c r="I1125" s="48"/>
      <c r="J1125" s="48"/>
      <c r="K1125" s="12"/>
      <c r="L1125" s="80"/>
      <c r="M1125" s="80"/>
      <c r="N1125" s="80"/>
      <c r="O1125" s="80"/>
      <c r="P1125" s="80"/>
      <c r="Q1125" s="80"/>
      <c r="R1125" s="80"/>
      <c r="S1125" s="42"/>
    </row>
    <row r="1126" hidden="1">
      <c r="A1126" s="12"/>
      <c r="B1126" s="12"/>
      <c r="C1126" s="76"/>
      <c r="D1126" s="83"/>
      <c r="E1126" s="10"/>
      <c r="F1126" s="12"/>
      <c r="G1126" s="12"/>
      <c r="H1126" s="17"/>
      <c r="I1126" s="48"/>
      <c r="J1126" s="48"/>
      <c r="K1126" s="12"/>
      <c r="L1126" s="80"/>
      <c r="M1126" s="80"/>
      <c r="N1126" s="80"/>
      <c r="O1126" s="80"/>
      <c r="P1126" s="80"/>
      <c r="Q1126" s="80"/>
      <c r="R1126" s="80"/>
      <c r="S1126" s="42"/>
    </row>
    <row r="1127" hidden="1">
      <c r="A1127" s="12"/>
      <c r="B1127" s="12"/>
      <c r="C1127" s="76"/>
      <c r="D1127" s="83"/>
      <c r="E1127" s="10"/>
      <c r="F1127" s="12"/>
      <c r="G1127" s="12"/>
      <c r="H1127" s="17"/>
      <c r="I1127" s="48"/>
      <c r="J1127" s="48"/>
      <c r="K1127" s="12"/>
      <c r="L1127" s="80"/>
      <c r="M1127" s="80"/>
      <c r="N1127" s="80"/>
      <c r="O1127" s="80"/>
      <c r="P1127" s="80"/>
      <c r="Q1127" s="80"/>
      <c r="R1127" s="80"/>
      <c r="S1127" s="42"/>
    </row>
    <row r="1128" hidden="1">
      <c r="A1128" s="12"/>
      <c r="B1128" s="12"/>
      <c r="C1128" s="76"/>
      <c r="D1128" s="83"/>
      <c r="E1128" s="10"/>
      <c r="F1128" s="12"/>
      <c r="G1128" s="12"/>
      <c r="H1128" s="17"/>
      <c r="I1128" s="48"/>
      <c r="J1128" s="48"/>
      <c r="K1128" s="12"/>
      <c r="L1128" s="80"/>
      <c r="M1128" s="80"/>
      <c r="N1128" s="80"/>
      <c r="O1128" s="80"/>
      <c r="P1128" s="80"/>
      <c r="Q1128" s="80"/>
      <c r="R1128" s="80"/>
      <c r="S1128" s="42"/>
    </row>
    <row r="1129" hidden="1">
      <c r="A1129" s="12"/>
      <c r="B1129" s="12"/>
      <c r="C1129" s="76"/>
      <c r="D1129" s="83"/>
      <c r="E1129" s="10"/>
      <c r="F1129" s="12"/>
      <c r="G1129" s="12"/>
      <c r="H1129" s="17"/>
      <c r="I1129" s="48"/>
      <c r="J1129" s="48"/>
      <c r="K1129" s="12"/>
      <c r="L1129" s="80"/>
      <c r="M1129" s="80"/>
      <c r="N1129" s="80"/>
      <c r="O1129" s="80"/>
      <c r="P1129" s="80"/>
      <c r="Q1129" s="80"/>
      <c r="R1129" s="80"/>
      <c r="S1129" s="42"/>
    </row>
    <row r="1130" hidden="1">
      <c r="A1130" s="12"/>
      <c r="B1130" s="12"/>
      <c r="C1130" s="76"/>
      <c r="D1130" s="83"/>
      <c r="E1130" s="10"/>
      <c r="F1130" s="12"/>
      <c r="G1130" s="12"/>
      <c r="H1130" s="17"/>
      <c r="I1130" s="48"/>
      <c r="J1130" s="48"/>
      <c r="K1130" s="12"/>
      <c r="L1130" s="80"/>
      <c r="M1130" s="80"/>
      <c r="N1130" s="80"/>
      <c r="O1130" s="80"/>
      <c r="P1130" s="80"/>
      <c r="Q1130" s="80"/>
      <c r="R1130" s="80"/>
      <c r="S1130" s="42"/>
    </row>
    <row r="1131" hidden="1">
      <c r="A1131" s="12"/>
      <c r="B1131" s="12"/>
      <c r="C1131" s="76"/>
      <c r="D1131" s="83"/>
      <c r="E1131" s="10"/>
      <c r="F1131" s="12"/>
      <c r="G1131" s="12"/>
      <c r="H1131" s="17"/>
      <c r="I1131" s="48"/>
      <c r="J1131" s="48"/>
      <c r="K1131" s="12"/>
      <c r="L1131" s="80"/>
      <c r="M1131" s="80"/>
      <c r="N1131" s="80"/>
      <c r="O1131" s="80"/>
      <c r="P1131" s="80"/>
      <c r="Q1131" s="80"/>
      <c r="R1131" s="80"/>
      <c r="S1131" s="42"/>
    </row>
    <row r="1132" hidden="1">
      <c r="A1132" s="12"/>
      <c r="B1132" s="12"/>
      <c r="C1132" s="76"/>
      <c r="D1132" s="83"/>
      <c r="E1132" s="10"/>
      <c r="F1132" s="12"/>
      <c r="G1132" s="12"/>
      <c r="H1132" s="17"/>
      <c r="I1132" s="48"/>
      <c r="J1132" s="48"/>
      <c r="K1132" s="12"/>
      <c r="L1132" s="80"/>
      <c r="M1132" s="80"/>
      <c r="N1132" s="80"/>
      <c r="O1132" s="80"/>
      <c r="P1132" s="80"/>
      <c r="Q1132" s="80"/>
      <c r="R1132" s="80"/>
      <c r="S1132" s="42"/>
    </row>
    <row r="1133" hidden="1">
      <c r="A1133" s="12"/>
      <c r="B1133" s="12"/>
      <c r="C1133" s="76"/>
      <c r="D1133" s="83"/>
      <c r="E1133" s="10"/>
      <c r="F1133" s="12"/>
      <c r="G1133" s="12"/>
      <c r="H1133" s="17"/>
      <c r="I1133" s="48"/>
      <c r="J1133" s="48"/>
      <c r="K1133" s="12"/>
      <c r="L1133" s="80"/>
      <c r="M1133" s="80"/>
      <c r="N1133" s="80"/>
      <c r="O1133" s="80"/>
      <c r="P1133" s="80"/>
      <c r="Q1133" s="80"/>
      <c r="R1133" s="80"/>
      <c r="S1133" s="42"/>
    </row>
    <row r="1134" hidden="1">
      <c r="A1134" s="12"/>
      <c r="B1134" s="12"/>
      <c r="C1134" s="76"/>
      <c r="D1134" s="83"/>
      <c r="E1134" s="10"/>
      <c r="F1134" s="12"/>
      <c r="G1134" s="12"/>
      <c r="H1134" s="17"/>
      <c r="I1134" s="48"/>
      <c r="J1134" s="48"/>
      <c r="K1134" s="12"/>
      <c r="L1134" s="80"/>
      <c r="M1134" s="80"/>
      <c r="N1134" s="80"/>
      <c r="O1134" s="80"/>
      <c r="P1134" s="80"/>
      <c r="Q1134" s="80"/>
      <c r="R1134" s="80"/>
      <c r="S1134" s="42"/>
    </row>
    <row r="1135" hidden="1">
      <c r="A1135" s="12"/>
      <c r="B1135" s="12"/>
      <c r="C1135" s="76"/>
      <c r="D1135" s="83"/>
      <c r="E1135" s="10"/>
      <c r="F1135" s="12"/>
      <c r="G1135" s="12"/>
      <c r="H1135" s="17"/>
      <c r="I1135" s="48"/>
      <c r="J1135" s="48"/>
      <c r="K1135" s="12"/>
      <c r="L1135" s="80"/>
      <c r="M1135" s="80"/>
      <c r="N1135" s="80"/>
      <c r="O1135" s="80"/>
      <c r="P1135" s="80"/>
      <c r="Q1135" s="80"/>
      <c r="R1135" s="80"/>
      <c r="S1135" s="42"/>
    </row>
    <row r="1136" hidden="1">
      <c r="A1136" s="12"/>
      <c r="B1136" s="12"/>
      <c r="C1136" s="76"/>
      <c r="D1136" s="83"/>
      <c r="E1136" s="10"/>
      <c r="F1136" s="12"/>
      <c r="G1136" s="12"/>
      <c r="H1136" s="17"/>
      <c r="I1136" s="48"/>
      <c r="J1136" s="48"/>
      <c r="K1136" s="12"/>
      <c r="L1136" s="80"/>
      <c r="M1136" s="80"/>
      <c r="N1136" s="80"/>
      <c r="O1136" s="80"/>
      <c r="P1136" s="80"/>
      <c r="Q1136" s="80"/>
      <c r="R1136" s="80"/>
      <c r="S1136" s="42"/>
    </row>
    <row r="1137" hidden="1">
      <c r="A1137" s="12"/>
      <c r="B1137" s="12"/>
      <c r="C1137" s="76"/>
      <c r="D1137" s="83"/>
      <c r="E1137" s="10"/>
      <c r="F1137" s="12"/>
      <c r="G1137" s="12"/>
      <c r="H1137" s="17"/>
      <c r="I1137" s="48"/>
      <c r="J1137" s="48"/>
      <c r="K1137" s="12"/>
      <c r="L1137" s="80"/>
      <c r="M1137" s="80"/>
      <c r="N1137" s="80"/>
      <c r="O1137" s="80"/>
      <c r="P1137" s="80"/>
      <c r="Q1137" s="80"/>
      <c r="R1137" s="80"/>
      <c r="S1137" s="42"/>
    </row>
    <row r="1138" hidden="1">
      <c r="A1138" s="12"/>
      <c r="B1138" s="12"/>
      <c r="C1138" s="76"/>
      <c r="D1138" s="83"/>
      <c r="E1138" s="10"/>
      <c r="F1138" s="12"/>
      <c r="G1138" s="12"/>
      <c r="H1138" s="17"/>
      <c r="I1138" s="48"/>
      <c r="J1138" s="48"/>
      <c r="K1138" s="12"/>
      <c r="L1138" s="80"/>
      <c r="M1138" s="80"/>
      <c r="N1138" s="80"/>
      <c r="O1138" s="80"/>
      <c r="P1138" s="80"/>
      <c r="Q1138" s="80"/>
      <c r="R1138" s="80"/>
      <c r="S1138" s="42"/>
    </row>
    <row r="1139" hidden="1">
      <c r="A1139" s="12"/>
      <c r="B1139" s="12"/>
      <c r="C1139" s="76"/>
      <c r="D1139" s="83"/>
      <c r="E1139" s="10"/>
      <c r="F1139" s="12"/>
      <c r="G1139" s="12"/>
      <c r="H1139" s="17"/>
      <c r="I1139" s="48"/>
      <c r="J1139" s="48"/>
      <c r="K1139" s="12"/>
      <c r="L1139" s="80"/>
      <c r="M1139" s="80"/>
      <c r="N1139" s="80"/>
      <c r="O1139" s="80"/>
      <c r="P1139" s="80"/>
      <c r="Q1139" s="80"/>
      <c r="R1139" s="80"/>
      <c r="S1139" s="42"/>
    </row>
    <row r="1140" hidden="1">
      <c r="A1140" s="12"/>
      <c r="B1140" s="12"/>
      <c r="C1140" s="76"/>
      <c r="D1140" s="83"/>
      <c r="E1140" s="10"/>
      <c r="F1140" s="12"/>
      <c r="G1140" s="12"/>
      <c r="H1140" s="17"/>
      <c r="I1140" s="48"/>
      <c r="J1140" s="48"/>
      <c r="K1140" s="12"/>
      <c r="L1140" s="80"/>
      <c r="M1140" s="80"/>
      <c r="N1140" s="80"/>
      <c r="O1140" s="80"/>
      <c r="P1140" s="80"/>
      <c r="Q1140" s="80"/>
      <c r="R1140" s="80"/>
      <c r="S1140" s="42"/>
    </row>
    <row r="1141" hidden="1">
      <c r="A1141" s="12"/>
      <c r="B1141" s="12"/>
      <c r="C1141" s="76"/>
      <c r="D1141" s="83"/>
      <c r="E1141" s="10"/>
      <c r="F1141" s="12"/>
      <c r="G1141" s="12"/>
      <c r="H1141" s="17"/>
      <c r="I1141" s="48"/>
      <c r="J1141" s="48"/>
      <c r="K1141" s="12"/>
      <c r="L1141" s="80"/>
      <c r="M1141" s="80"/>
      <c r="N1141" s="80"/>
      <c r="O1141" s="80"/>
      <c r="P1141" s="80"/>
      <c r="Q1141" s="80"/>
      <c r="R1141" s="80"/>
      <c r="S1141" s="42"/>
    </row>
    <row r="1142" hidden="1">
      <c r="A1142" s="12"/>
      <c r="B1142" s="12"/>
      <c r="C1142" s="76"/>
      <c r="D1142" s="83"/>
      <c r="E1142" s="10"/>
      <c r="F1142" s="12"/>
      <c r="G1142" s="12"/>
      <c r="H1142" s="17"/>
      <c r="I1142" s="48"/>
      <c r="J1142" s="48"/>
      <c r="K1142" s="12"/>
      <c r="L1142" s="80"/>
      <c r="M1142" s="80"/>
      <c r="N1142" s="80"/>
      <c r="O1142" s="80"/>
      <c r="P1142" s="80"/>
      <c r="Q1142" s="80"/>
      <c r="R1142" s="80"/>
      <c r="S1142" s="42"/>
    </row>
    <row r="1143" hidden="1">
      <c r="A1143" s="12"/>
      <c r="B1143" s="12"/>
      <c r="C1143" s="76"/>
      <c r="D1143" s="83"/>
      <c r="E1143" s="10"/>
      <c r="F1143" s="12"/>
      <c r="G1143" s="12"/>
      <c r="H1143" s="17"/>
      <c r="I1143" s="48"/>
      <c r="J1143" s="48"/>
      <c r="K1143" s="12"/>
      <c r="L1143" s="80"/>
      <c r="M1143" s="80"/>
      <c r="N1143" s="80"/>
      <c r="O1143" s="80"/>
      <c r="P1143" s="80"/>
      <c r="Q1143" s="80"/>
      <c r="R1143" s="80"/>
      <c r="S1143" s="42"/>
    </row>
    <row r="1144" hidden="1">
      <c r="A1144" s="12"/>
      <c r="B1144" s="12"/>
      <c r="C1144" s="76"/>
      <c r="D1144" s="83"/>
      <c r="E1144" s="10"/>
      <c r="F1144" s="12"/>
      <c r="G1144" s="12"/>
      <c r="H1144" s="17"/>
      <c r="I1144" s="48"/>
      <c r="J1144" s="48"/>
      <c r="K1144" s="12"/>
      <c r="L1144" s="80"/>
      <c r="M1144" s="80"/>
      <c r="N1144" s="80"/>
      <c r="O1144" s="80"/>
      <c r="P1144" s="80"/>
      <c r="Q1144" s="80"/>
      <c r="R1144" s="80"/>
      <c r="S1144" s="42"/>
    </row>
    <row r="1145" hidden="1">
      <c r="A1145" s="12"/>
      <c r="B1145" s="12"/>
      <c r="C1145" s="76"/>
      <c r="D1145" s="83"/>
      <c r="E1145" s="10"/>
      <c r="F1145" s="12"/>
      <c r="G1145" s="12"/>
      <c r="H1145" s="17"/>
      <c r="I1145" s="48"/>
      <c r="J1145" s="48"/>
      <c r="K1145" s="12"/>
      <c r="L1145" s="80"/>
      <c r="M1145" s="80"/>
      <c r="N1145" s="80"/>
      <c r="O1145" s="80"/>
      <c r="P1145" s="80"/>
      <c r="Q1145" s="80"/>
      <c r="R1145" s="80"/>
      <c r="S1145" s="42"/>
    </row>
    <row r="1146" hidden="1">
      <c r="A1146" s="12"/>
      <c r="B1146" s="12"/>
      <c r="C1146" s="76"/>
      <c r="D1146" s="83"/>
      <c r="E1146" s="10"/>
      <c r="F1146" s="12"/>
      <c r="G1146" s="12"/>
      <c r="H1146" s="17"/>
      <c r="I1146" s="48"/>
      <c r="J1146" s="48"/>
      <c r="K1146" s="12"/>
      <c r="L1146" s="80"/>
      <c r="M1146" s="80"/>
      <c r="N1146" s="80"/>
      <c r="O1146" s="80"/>
      <c r="P1146" s="80"/>
      <c r="Q1146" s="80"/>
      <c r="R1146" s="80"/>
      <c r="S1146" s="42"/>
    </row>
    <row r="1147" hidden="1">
      <c r="A1147" s="12"/>
      <c r="B1147" s="12"/>
      <c r="C1147" s="76"/>
      <c r="D1147" s="83"/>
      <c r="E1147" s="10"/>
      <c r="F1147" s="12"/>
      <c r="G1147" s="12"/>
      <c r="H1147" s="17"/>
      <c r="I1147" s="48"/>
      <c r="J1147" s="48"/>
      <c r="K1147" s="12"/>
      <c r="L1147" s="80"/>
      <c r="M1147" s="80"/>
      <c r="N1147" s="80"/>
      <c r="O1147" s="80"/>
      <c r="P1147" s="80"/>
      <c r="Q1147" s="80"/>
      <c r="R1147" s="80"/>
      <c r="S1147" s="42"/>
    </row>
    <row r="1148" hidden="1">
      <c r="A1148" s="12"/>
      <c r="B1148" s="12"/>
      <c r="C1148" s="76"/>
      <c r="D1148" s="83"/>
      <c r="E1148" s="10"/>
      <c r="F1148" s="12"/>
      <c r="G1148" s="12"/>
      <c r="H1148" s="17"/>
      <c r="I1148" s="48"/>
      <c r="J1148" s="48"/>
      <c r="K1148" s="12"/>
      <c r="L1148" s="80"/>
      <c r="M1148" s="80"/>
      <c r="N1148" s="80"/>
      <c r="O1148" s="80"/>
      <c r="P1148" s="80"/>
      <c r="Q1148" s="80"/>
      <c r="R1148" s="80"/>
      <c r="S1148" s="42"/>
    </row>
    <row r="1149" hidden="1">
      <c r="A1149" s="12"/>
      <c r="B1149" s="12"/>
      <c r="C1149" s="76"/>
      <c r="D1149" s="83"/>
      <c r="E1149" s="10"/>
      <c r="F1149" s="12"/>
      <c r="G1149" s="12"/>
      <c r="H1149" s="17"/>
      <c r="I1149" s="48"/>
      <c r="J1149" s="48"/>
      <c r="K1149" s="12"/>
      <c r="L1149" s="80"/>
      <c r="M1149" s="80"/>
      <c r="N1149" s="80"/>
      <c r="O1149" s="80"/>
      <c r="P1149" s="80"/>
      <c r="Q1149" s="80"/>
      <c r="R1149" s="80"/>
      <c r="S1149" s="42"/>
    </row>
    <row r="1150" hidden="1">
      <c r="A1150" s="12"/>
      <c r="B1150" s="12"/>
      <c r="C1150" s="76"/>
      <c r="D1150" s="83"/>
      <c r="E1150" s="10"/>
      <c r="F1150" s="12"/>
      <c r="G1150" s="12"/>
      <c r="H1150" s="17"/>
      <c r="I1150" s="48"/>
      <c r="J1150" s="48"/>
      <c r="K1150" s="12"/>
      <c r="L1150" s="80"/>
      <c r="M1150" s="80"/>
      <c r="N1150" s="80"/>
      <c r="O1150" s="80"/>
      <c r="P1150" s="80"/>
      <c r="Q1150" s="80"/>
      <c r="R1150" s="80"/>
      <c r="S1150" s="42"/>
    </row>
    <row r="1151" hidden="1">
      <c r="A1151" s="12"/>
      <c r="B1151" s="12"/>
      <c r="C1151" s="76"/>
      <c r="D1151" s="83"/>
      <c r="E1151" s="10"/>
      <c r="F1151" s="12"/>
      <c r="G1151" s="12"/>
      <c r="H1151" s="17"/>
      <c r="I1151" s="48"/>
      <c r="J1151" s="48"/>
      <c r="K1151" s="12"/>
      <c r="L1151" s="80"/>
      <c r="M1151" s="80"/>
      <c r="N1151" s="80"/>
      <c r="O1151" s="80"/>
      <c r="P1151" s="80"/>
      <c r="Q1151" s="80"/>
      <c r="R1151" s="80"/>
      <c r="S1151" s="42"/>
    </row>
    <row r="1152" hidden="1">
      <c r="A1152" s="12"/>
      <c r="B1152" s="12"/>
      <c r="C1152" s="76"/>
      <c r="D1152" s="83"/>
      <c r="E1152" s="10"/>
      <c r="F1152" s="12"/>
      <c r="G1152" s="12"/>
      <c r="H1152" s="17"/>
      <c r="I1152" s="48"/>
      <c r="J1152" s="48"/>
      <c r="K1152" s="12"/>
      <c r="L1152" s="80"/>
      <c r="M1152" s="80"/>
      <c r="N1152" s="80"/>
      <c r="O1152" s="80"/>
      <c r="P1152" s="80"/>
      <c r="Q1152" s="80"/>
      <c r="R1152" s="80"/>
      <c r="S1152" s="42"/>
    </row>
    <row r="1153" hidden="1">
      <c r="A1153" s="12"/>
      <c r="B1153" s="12"/>
      <c r="C1153" s="76"/>
      <c r="D1153" s="83"/>
      <c r="E1153" s="10"/>
      <c r="F1153" s="12"/>
      <c r="G1153" s="12"/>
      <c r="H1153" s="17"/>
      <c r="I1153" s="48"/>
      <c r="J1153" s="48"/>
      <c r="K1153" s="12"/>
      <c r="L1153" s="80"/>
      <c r="M1153" s="80"/>
      <c r="N1153" s="80"/>
      <c r="O1153" s="80"/>
      <c r="P1153" s="80"/>
      <c r="Q1153" s="80"/>
      <c r="R1153" s="80"/>
      <c r="S1153" s="42"/>
    </row>
    <row r="1154" hidden="1">
      <c r="A1154" s="12"/>
      <c r="B1154" s="12"/>
      <c r="C1154" s="76"/>
      <c r="D1154" s="83"/>
      <c r="E1154" s="10"/>
      <c r="F1154" s="12"/>
      <c r="G1154" s="12"/>
      <c r="H1154" s="17"/>
      <c r="I1154" s="48"/>
      <c r="J1154" s="48"/>
      <c r="K1154" s="12"/>
      <c r="L1154" s="80"/>
      <c r="M1154" s="80"/>
      <c r="N1154" s="80"/>
      <c r="O1154" s="80"/>
      <c r="P1154" s="80"/>
      <c r="Q1154" s="80"/>
      <c r="R1154" s="80"/>
      <c r="S1154" s="42"/>
    </row>
    <row r="1155" hidden="1">
      <c r="A1155" s="12"/>
      <c r="B1155" s="12"/>
      <c r="C1155" s="76"/>
      <c r="D1155" s="83"/>
      <c r="E1155" s="10"/>
      <c r="F1155" s="12"/>
      <c r="G1155" s="12"/>
      <c r="H1155" s="17"/>
      <c r="I1155" s="48"/>
      <c r="J1155" s="48"/>
      <c r="K1155" s="12"/>
      <c r="L1155" s="80"/>
      <c r="M1155" s="80"/>
      <c r="N1155" s="80"/>
      <c r="O1155" s="80"/>
      <c r="P1155" s="80"/>
      <c r="Q1155" s="80"/>
      <c r="R1155" s="80"/>
      <c r="S1155" s="42"/>
    </row>
    <row r="1156" hidden="1">
      <c r="A1156" s="12"/>
      <c r="B1156" s="12"/>
      <c r="C1156" s="76"/>
      <c r="D1156" s="83"/>
      <c r="E1156" s="10"/>
      <c r="F1156" s="12"/>
      <c r="G1156" s="12"/>
      <c r="H1156" s="17"/>
      <c r="I1156" s="48"/>
      <c r="J1156" s="48"/>
      <c r="K1156" s="12"/>
      <c r="L1156" s="80"/>
      <c r="M1156" s="80"/>
      <c r="N1156" s="80"/>
      <c r="O1156" s="80"/>
      <c r="P1156" s="80"/>
      <c r="Q1156" s="80"/>
      <c r="R1156" s="80"/>
      <c r="S1156" s="42"/>
    </row>
    <row r="1157" hidden="1">
      <c r="A1157" s="12"/>
      <c r="B1157" s="12"/>
      <c r="C1157" s="76"/>
      <c r="D1157" s="83"/>
      <c r="E1157" s="10"/>
      <c r="F1157" s="12"/>
      <c r="G1157" s="12"/>
      <c r="H1157" s="17"/>
      <c r="I1157" s="48"/>
      <c r="J1157" s="48"/>
      <c r="K1157" s="12"/>
      <c r="L1157" s="80"/>
      <c r="M1157" s="80"/>
      <c r="N1157" s="80"/>
      <c r="O1157" s="80"/>
      <c r="P1157" s="80"/>
      <c r="Q1157" s="80"/>
      <c r="R1157" s="80"/>
      <c r="S1157" s="42"/>
    </row>
    <row r="1158" hidden="1">
      <c r="A1158" s="12"/>
      <c r="B1158" s="12"/>
      <c r="C1158" s="76"/>
      <c r="D1158" s="83"/>
      <c r="E1158" s="10"/>
      <c r="F1158" s="12"/>
      <c r="G1158" s="12"/>
      <c r="H1158" s="17"/>
      <c r="I1158" s="48"/>
      <c r="J1158" s="48"/>
      <c r="K1158" s="12"/>
      <c r="L1158" s="80"/>
      <c r="M1158" s="80"/>
      <c r="N1158" s="80"/>
      <c r="O1158" s="80"/>
      <c r="P1158" s="80"/>
      <c r="Q1158" s="80"/>
      <c r="R1158" s="80"/>
      <c r="S1158" s="42"/>
    </row>
    <row r="1159" hidden="1">
      <c r="A1159" s="12"/>
      <c r="B1159" s="12"/>
      <c r="C1159" s="76"/>
      <c r="D1159" s="83"/>
      <c r="E1159" s="10"/>
      <c r="F1159" s="12"/>
      <c r="G1159" s="12"/>
      <c r="H1159" s="17"/>
      <c r="I1159" s="48"/>
      <c r="J1159" s="48"/>
      <c r="K1159" s="12"/>
      <c r="L1159" s="80"/>
      <c r="M1159" s="80"/>
      <c r="N1159" s="80"/>
      <c r="O1159" s="80"/>
      <c r="P1159" s="80"/>
      <c r="Q1159" s="80"/>
      <c r="R1159" s="80"/>
      <c r="S1159" s="42"/>
    </row>
    <row r="1160" hidden="1">
      <c r="A1160" s="12"/>
      <c r="B1160" s="12"/>
      <c r="C1160" s="76"/>
      <c r="D1160" s="83"/>
      <c r="E1160" s="10"/>
      <c r="F1160" s="12"/>
      <c r="G1160" s="12"/>
      <c r="H1160" s="17"/>
      <c r="I1160" s="48"/>
      <c r="J1160" s="48"/>
      <c r="K1160" s="12"/>
      <c r="L1160" s="80"/>
      <c r="M1160" s="80"/>
      <c r="N1160" s="80"/>
      <c r="O1160" s="80"/>
      <c r="P1160" s="80"/>
      <c r="Q1160" s="80"/>
      <c r="R1160" s="80"/>
      <c r="S1160" s="42"/>
    </row>
    <row r="1161" hidden="1">
      <c r="A1161" s="12"/>
      <c r="B1161" s="12"/>
      <c r="C1161" s="76"/>
      <c r="D1161" s="83"/>
      <c r="E1161" s="10"/>
      <c r="F1161" s="12"/>
      <c r="G1161" s="12"/>
      <c r="H1161" s="17"/>
      <c r="I1161" s="48"/>
      <c r="J1161" s="48"/>
      <c r="K1161" s="12"/>
      <c r="L1161" s="80"/>
      <c r="M1161" s="80"/>
      <c r="N1161" s="80"/>
      <c r="O1161" s="80"/>
      <c r="P1161" s="80"/>
      <c r="Q1161" s="80"/>
      <c r="R1161" s="80"/>
      <c r="S1161" s="42"/>
    </row>
    <row r="1162" hidden="1">
      <c r="A1162" s="12"/>
      <c r="B1162" s="12"/>
      <c r="C1162" s="76"/>
      <c r="D1162" s="83"/>
      <c r="E1162" s="10"/>
      <c r="F1162" s="12"/>
      <c r="G1162" s="12"/>
      <c r="H1162" s="17"/>
      <c r="I1162" s="48"/>
      <c r="J1162" s="48"/>
      <c r="K1162" s="12"/>
      <c r="L1162" s="80"/>
      <c r="M1162" s="80"/>
      <c r="N1162" s="80"/>
      <c r="O1162" s="80"/>
      <c r="P1162" s="80"/>
      <c r="Q1162" s="80"/>
      <c r="R1162" s="80"/>
      <c r="S1162" s="42"/>
    </row>
    <row r="1163" hidden="1">
      <c r="A1163" s="12"/>
      <c r="B1163" s="12"/>
      <c r="C1163" s="76"/>
      <c r="D1163" s="83"/>
      <c r="E1163" s="10"/>
      <c r="F1163" s="12"/>
      <c r="G1163" s="12"/>
      <c r="H1163" s="17"/>
      <c r="I1163" s="48"/>
      <c r="J1163" s="48"/>
      <c r="K1163" s="12"/>
      <c r="L1163" s="80"/>
      <c r="M1163" s="80"/>
      <c r="N1163" s="80"/>
      <c r="O1163" s="80"/>
      <c r="P1163" s="80"/>
      <c r="Q1163" s="80"/>
      <c r="R1163" s="80"/>
      <c r="S1163" s="42"/>
    </row>
    <row r="1164" hidden="1">
      <c r="A1164" s="12"/>
      <c r="B1164" s="12"/>
      <c r="C1164" s="76"/>
      <c r="D1164" s="83"/>
      <c r="E1164" s="10"/>
      <c r="F1164" s="12"/>
      <c r="G1164" s="12"/>
      <c r="H1164" s="17"/>
      <c r="I1164" s="48"/>
      <c r="J1164" s="48"/>
      <c r="K1164" s="12"/>
      <c r="L1164" s="80"/>
      <c r="M1164" s="80"/>
      <c r="N1164" s="80"/>
      <c r="O1164" s="80"/>
      <c r="P1164" s="80"/>
      <c r="Q1164" s="80"/>
      <c r="R1164" s="80"/>
      <c r="S1164" s="42"/>
    </row>
    <row r="1165" hidden="1">
      <c r="A1165" s="12"/>
      <c r="B1165" s="12"/>
      <c r="C1165" s="76"/>
      <c r="D1165" s="83"/>
      <c r="E1165" s="10"/>
      <c r="F1165" s="12"/>
      <c r="G1165" s="12"/>
      <c r="H1165" s="17"/>
      <c r="I1165" s="48"/>
      <c r="J1165" s="48"/>
      <c r="K1165" s="12"/>
      <c r="L1165" s="80"/>
      <c r="M1165" s="80"/>
      <c r="N1165" s="80"/>
      <c r="O1165" s="80"/>
      <c r="P1165" s="80"/>
      <c r="Q1165" s="80"/>
      <c r="R1165" s="80"/>
      <c r="S1165" s="42"/>
    </row>
    <row r="1166" hidden="1">
      <c r="A1166" s="12"/>
      <c r="B1166" s="12"/>
      <c r="C1166" s="76"/>
      <c r="D1166" s="83"/>
      <c r="E1166" s="10"/>
      <c r="F1166" s="12"/>
      <c r="G1166" s="12"/>
      <c r="H1166" s="17"/>
      <c r="I1166" s="48"/>
      <c r="J1166" s="48"/>
      <c r="K1166" s="12"/>
      <c r="L1166" s="80"/>
      <c r="M1166" s="80"/>
      <c r="N1166" s="80"/>
      <c r="O1166" s="80"/>
      <c r="P1166" s="80"/>
      <c r="Q1166" s="80"/>
      <c r="R1166" s="80"/>
      <c r="S1166" s="42"/>
    </row>
    <row r="1167" hidden="1">
      <c r="A1167" s="12"/>
      <c r="B1167" s="12"/>
      <c r="C1167" s="76"/>
      <c r="D1167" s="83"/>
      <c r="E1167" s="10"/>
      <c r="F1167" s="12"/>
      <c r="G1167" s="12"/>
      <c r="H1167" s="17"/>
      <c r="I1167" s="48"/>
      <c r="J1167" s="48"/>
      <c r="K1167" s="12"/>
      <c r="L1167" s="80"/>
      <c r="M1167" s="80"/>
      <c r="N1167" s="80"/>
      <c r="O1167" s="80"/>
      <c r="P1167" s="80"/>
      <c r="Q1167" s="80"/>
      <c r="R1167" s="80"/>
      <c r="S1167" s="42"/>
    </row>
    <row r="1168" hidden="1">
      <c r="A1168" s="12"/>
      <c r="B1168" s="12"/>
      <c r="C1168" s="76"/>
      <c r="D1168" s="83"/>
      <c r="E1168" s="10"/>
      <c r="F1168" s="12"/>
      <c r="G1168" s="12"/>
      <c r="H1168" s="17"/>
      <c r="I1168" s="48"/>
      <c r="J1168" s="48"/>
      <c r="K1168" s="12"/>
      <c r="L1168" s="80"/>
      <c r="M1168" s="80"/>
      <c r="N1168" s="80"/>
      <c r="O1168" s="80"/>
      <c r="P1168" s="80"/>
      <c r="Q1168" s="80"/>
      <c r="R1168" s="80"/>
      <c r="S1168" s="42"/>
    </row>
    <row r="1169" hidden="1">
      <c r="A1169" s="12"/>
      <c r="B1169" s="12"/>
      <c r="C1169" s="76"/>
      <c r="D1169" s="83"/>
      <c r="E1169" s="10"/>
      <c r="F1169" s="12"/>
      <c r="G1169" s="12"/>
      <c r="H1169" s="17"/>
      <c r="I1169" s="48"/>
      <c r="J1169" s="48"/>
      <c r="K1169" s="12"/>
      <c r="L1169" s="80"/>
      <c r="M1169" s="80"/>
      <c r="N1169" s="80"/>
      <c r="O1169" s="80"/>
      <c r="P1169" s="80"/>
      <c r="Q1169" s="80"/>
      <c r="R1169" s="80"/>
      <c r="S1169" s="42"/>
    </row>
    <row r="1170" hidden="1">
      <c r="A1170" s="12"/>
      <c r="B1170" s="12"/>
      <c r="C1170" s="76"/>
      <c r="D1170" s="83"/>
      <c r="E1170" s="10"/>
      <c r="F1170" s="12"/>
      <c r="G1170" s="12"/>
      <c r="H1170" s="17"/>
      <c r="I1170" s="48"/>
      <c r="J1170" s="48"/>
      <c r="K1170" s="12"/>
      <c r="L1170" s="80"/>
      <c r="M1170" s="80"/>
      <c r="N1170" s="80"/>
      <c r="O1170" s="80"/>
      <c r="P1170" s="80"/>
      <c r="Q1170" s="80"/>
      <c r="R1170" s="80"/>
      <c r="S1170" s="42"/>
    </row>
    <row r="1171" hidden="1">
      <c r="A1171" s="12"/>
      <c r="B1171" s="12"/>
      <c r="C1171" s="76"/>
      <c r="D1171" s="83"/>
      <c r="E1171" s="10"/>
      <c r="F1171" s="12"/>
      <c r="G1171" s="12"/>
      <c r="H1171" s="17"/>
      <c r="I1171" s="48"/>
      <c r="J1171" s="48"/>
      <c r="K1171" s="12"/>
      <c r="L1171" s="80"/>
      <c r="M1171" s="80"/>
      <c r="N1171" s="80"/>
      <c r="O1171" s="80"/>
      <c r="P1171" s="80"/>
      <c r="Q1171" s="80"/>
      <c r="R1171" s="80"/>
      <c r="S1171" s="42"/>
    </row>
    <row r="1172" hidden="1">
      <c r="A1172" s="12"/>
      <c r="B1172" s="12"/>
      <c r="C1172" s="76"/>
      <c r="D1172" s="83"/>
      <c r="E1172" s="10"/>
      <c r="F1172" s="12"/>
      <c r="G1172" s="12"/>
      <c r="H1172" s="17"/>
      <c r="I1172" s="48"/>
      <c r="J1172" s="48"/>
      <c r="K1172" s="12"/>
      <c r="L1172" s="80"/>
      <c r="M1172" s="80"/>
      <c r="N1172" s="80"/>
      <c r="O1172" s="80"/>
      <c r="P1172" s="80"/>
      <c r="Q1172" s="80"/>
      <c r="R1172" s="80"/>
      <c r="S1172" s="42"/>
    </row>
    <row r="1173" hidden="1">
      <c r="A1173" s="12"/>
      <c r="B1173" s="12"/>
      <c r="C1173" s="76"/>
      <c r="D1173" s="83"/>
      <c r="E1173" s="10"/>
      <c r="F1173" s="12"/>
      <c r="G1173" s="12"/>
      <c r="H1173" s="17"/>
      <c r="I1173" s="48"/>
      <c r="J1173" s="48"/>
      <c r="K1173" s="12"/>
      <c r="L1173" s="80"/>
      <c r="M1173" s="80"/>
      <c r="N1173" s="80"/>
      <c r="O1173" s="80"/>
      <c r="P1173" s="80"/>
      <c r="Q1173" s="80"/>
      <c r="R1173" s="80"/>
      <c r="S1173" s="42"/>
    </row>
    <row r="1174" hidden="1">
      <c r="A1174" s="12"/>
      <c r="B1174" s="12"/>
      <c r="C1174" s="76"/>
      <c r="D1174" s="83"/>
      <c r="E1174" s="10"/>
      <c r="F1174" s="12"/>
      <c r="G1174" s="12"/>
      <c r="H1174" s="17"/>
      <c r="I1174" s="48"/>
      <c r="J1174" s="48"/>
      <c r="K1174" s="12"/>
      <c r="L1174" s="80"/>
      <c r="M1174" s="80"/>
      <c r="N1174" s="80"/>
      <c r="O1174" s="80"/>
      <c r="P1174" s="80"/>
      <c r="Q1174" s="80"/>
      <c r="R1174" s="80"/>
      <c r="S1174" s="42"/>
    </row>
    <row r="1175" hidden="1">
      <c r="A1175" s="12"/>
      <c r="B1175" s="12"/>
      <c r="C1175" s="76"/>
      <c r="D1175" s="83"/>
      <c r="E1175" s="10"/>
      <c r="F1175" s="12"/>
      <c r="G1175" s="12"/>
      <c r="H1175" s="17"/>
      <c r="I1175" s="48"/>
      <c r="J1175" s="48"/>
      <c r="K1175" s="12"/>
      <c r="L1175" s="80"/>
      <c r="M1175" s="80"/>
      <c r="N1175" s="80"/>
      <c r="O1175" s="80"/>
      <c r="P1175" s="80"/>
      <c r="Q1175" s="80"/>
      <c r="R1175" s="80"/>
      <c r="S1175" s="42"/>
    </row>
    <row r="1176" hidden="1">
      <c r="A1176" s="12"/>
      <c r="B1176" s="12"/>
      <c r="C1176" s="76"/>
      <c r="D1176" s="83"/>
      <c r="E1176" s="10"/>
      <c r="F1176" s="12"/>
      <c r="G1176" s="12"/>
      <c r="H1176" s="17"/>
      <c r="I1176" s="48"/>
      <c r="J1176" s="48"/>
      <c r="K1176" s="12"/>
      <c r="L1176" s="80"/>
      <c r="M1176" s="80"/>
      <c r="N1176" s="80"/>
      <c r="O1176" s="80"/>
      <c r="P1176" s="80"/>
      <c r="Q1176" s="80"/>
      <c r="R1176" s="80"/>
      <c r="S1176" s="42"/>
    </row>
    <row r="1177" hidden="1">
      <c r="A1177" s="12"/>
      <c r="B1177" s="12"/>
      <c r="C1177" s="76"/>
      <c r="D1177" s="83"/>
      <c r="E1177" s="10"/>
      <c r="F1177" s="12"/>
      <c r="G1177" s="12"/>
      <c r="H1177" s="17"/>
      <c r="I1177" s="48"/>
      <c r="J1177" s="48"/>
      <c r="K1177" s="12"/>
      <c r="L1177" s="80"/>
      <c r="M1177" s="80"/>
      <c r="N1177" s="80"/>
      <c r="O1177" s="80"/>
      <c r="P1177" s="80"/>
      <c r="Q1177" s="80"/>
      <c r="R1177" s="80"/>
      <c r="S1177" s="42"/>
    </row>
    <row r="1178" hidden="1">
      <c r="A1178" s="12"/>
      <c r="B1178" s="12"/>
      <c r="C1178" s="76"/>
      <c r="D1178" s="83"/>
      <c r="E1178" s="10"/>
      <c r="F1178" s="12"/>
      <c r="G1178" s="12"/>
      <c r="H1178" s="17"/>
      <c r="I1178" s="48"/>
      <c r="J1178" s="48"/>
      <c r="K1178" s="12"/>
      <c r="L1178" s="80"/>
      <c r="M1178" s="80"/>
      <c r="N1178" s="80"/>
      <c r="O1178" s="80"/>
      <c r="P1178" s="80"/>
      <c r="Q1178" s="80"/>
      <c r="R1178" s="80"/>
      <c r="S1178" s="42"/>
    </row>
    <row r="1179" hidden="1">
      <c r="A1179" s="12"/>
      <c r="B1179" s="12"/>
      <c r="C1179" s="76"/>
      <c r="D1179" s="83"/>
      <c r="E1179" s="10"/>
      <c r="F1179" s="12"/>
      <c r="G1179" s="12"/>
      <c r="H1179" s="17"/>
      <c r="I1179" s="48"/>
      <c r="J1179" s="48"/>
      <c r="K1179" s="12"/>
      <c r="L1179" s="80"/>
      <c r="M1179" s="80"/>
      <c r="N1179" s="80"/>
      <c r="O1179" s="80"/>
      <c r="P1179" s="80"/>
      <c r="Q1179" s="80"/>
      <c r="R1179" s="80"/>
      <c r="S1179" s="42"/>
    </row>
    <row r="1180" hidden="1">
      <c r="A1180" s="12"/>
      <c r="B1180" s="12"/>
      <c r="C1180" s="76"/>
      <c r="D1180" s="83"/>
      <c r="E1180" s="10"/>
      <c r="F1180" s="12"/>
      <c r="G1180" s="12"/>
      <c r="H1180" s="17"/>
      <c r="I1180" s="48"/>
      <c r="J1180" s="48"/>
      <c r="K1180" s="12"/>
      <c r="L1180" s="80"/>
      <c r="M1180" s="80"/>
      <c r="N1180" s="80"/>
      <c r="O1180" s="80"/>
      <c r="P1180" s="80"/>
      <c r="Q1180" s="80"/>
      <c r="R1180" s="80"/>
      <c r="S1180" s="42"/>
    </row>
    <row r="1181" hidden="1">
      <c r="A1181" s="12"/>
      <c r="B1181" s="12"/>
      <c r="C1181" s="76"/>
      <c r="D1181" s="83"/>
      <c r="E1181" s="10"/>
      <c r="F1181" s="12"/>
      <c r="G1181" s="12"/>
      <c r="H1181" s="17"/>
      <c r="I1181" s="48"/>
      <c r="J1181" s="48"/>
      <c r="K1181" s="12"/>
      <c r="L1181" s="80"/>
      <c r="M1181" s="80"/>
      <c r="N1181" s="80"/>
      <c r="O1181" s="80"/>
      <c r="P1181" s="80"/>
      <c r="Q1181" s="80"/>
      <c r="R1181" s="80"/>
      <c r="S1181" s="42"/>
    </row>
    <row r="1182" hidden="1">
      <c r="A1182" s="12"/>
      <c r="B1182" s="12"/>
      <c r="C1182" s="76"/>
      <c r="D1182" s="83"/>
      <c r="E1182" s="10"/>
      <c r="F1182" s="12"/>
      <c r="G1182" s="12"/>
      <c r="H1182" s="17"/>
      <c r="I1182" s="48"/>
      <c r="J1182" s="48"/>
      <c r="K1182" s="12"/>
      <c r="L1182" s="80"/>
      <c r="M1182" s="80"/>
      <c r="N1182" s="80"/>
      <c r="O1182" s="80"/>
      <c r="P1182" s="80"/>
      <c r="Q1182" s="80"/>
      <c r="R1182" s="80"/>
      <c r="S1182" s="42"/>
    </row>
    <row r="1183" hidden="1">
      <c r="A1183" s="12"/>
      <c r="B1183" s="12"/>
      <c r="C1183" s="76"/>
      <c r="D1183" s="83"/>
      <c r="E1183" s="10"/>
      <c r="F1183" s="12"/>
      <c r="G1183" s="12"/>
      <c r="H1183" s="17"/>
      <c r="I1183" s="48"/>
      <c r="J1183" s="48"/>
      <c r="K1183" s="12"/>
      <c r="L1183" s="80"/>
      <c r="M1183" s="80"/>
      <c r="N1183" s="80"/>
      <c r="O1183" s="80"/>
      <c r="P1183" s="80"/>
      <c r="Q1183" s="80"/>
      <c r="R1183" s="80"/>
      <c r="S1183" s="42"/>
    </row>
    <row r="1184" hidden="1">
      <c r="A1184" s="12"/>
      <c r="B1184" s="12"/>
      <c r="C1184" s="76"/>
      <c r="D1184" s="83"/>
      <c r="E1184" s="10"/>
      <c r="F1184" s="12"/>
      <c r="G1184" s="12"/>
      <c r="H1184" s="17"/>
      <c r="I1184" s="48"/>
      <c r="J1184" s="48"/>
      <c r="K1184" s="12"/>
      <c r="L1184" s="80"/>
      <c r="M1184" s="80"/>
      <c r="N1184" s="80"/>
      <c r="O1184" s="80"/>
      <c r="P1184" s="80"/>
      <c r="Q1184" s="80"/>
      <c r="R1184" s="80"/>
      <c r="S1184" s="42"/>
    </row>
    <row r="1185" hidden="1">
      <c r="A1185" s="12"/>
      <c r="B1185" s="12"/>
      <c r="C1185" s="76"/>
      <c r="D1185" s="83"/>
      <c r="E1185" s="10"/>
      <c r="F1185" s="12"/>
      <c r="G1185" s="12"/>
      <c r="H1185" s="17"/>
      <c r="I1185" s="48"/>
      <c r="J1185" s="48"/>
      <c r="K1185" s="12"/>
      <c r="L1185" s="80"/>
      <c r="M1185" s="80"/>
      <c r="N1185" s="80"/>
      <c r="O1185" s="80"/>
      <c r="P1185" s="80"/>
      <c r="Q1185" s="80"/>
      <c r="R1185" s="80"/>
      <c r="S1185" s="42"/>
    </row>
    <row r="1186" hidden="1">
      <c r="A1186" s="12"/>
      <c r="B1186" s="12"/>
      <c r="C1186" s="76"/>
      <c r="D1186" s="83"/>
      <c r="E1186" s="10"/>
      <c r="F1186" s="12"/>
      <c r="G1186" s="12"/>
      <c r="H1186" s="17"/>
      <c r="I1186" s="48"/>
      <c r="J1186" s="48"/>
      <c r="K1186" s="12"/>
      <c r="L1186" s="80"/>
      <c r="M1186" s="80"/>
      <c r="N1186" s="80"/>
      <c r="O1186" s="80"/>
      <c r="P1186" s="80"/>
      <c r="Q1186" s="80"/>
      <c r="R1186" s="80"/>
      <c r="S1186" s="42"/>
    </row>
    <row r="1187" hidden="1">
      <c r="A1187" s="12"/>
      <c r="B1187" s="12"/>
      <c r="C1187" s="76"/>
      <c r="D1187" s="83"/>
      <c r="E1187" s="10"/>
      <c r="F1187" s="12"/>
      <c r="G1187" s="12"/>
      <c r="H1187" s="17"/>
      <c r="I1187" s="48"/>
      <c r="J1187" s="48"/>
      <c r="K1187" s="12"/>
      <c r="L1187" s="80"/>
      <c r="M1187" s="80"/>
      <c r="N1187" s="80"/>
      <c r="O1187" s="80"/>
      <c r="P1187" s="80"/>
      <c r="Q1187" s="80"/>
      <c r="R1187" s="80"/>
      <c r="S1187" s="42"/>
    </row>
    <row r="1188" hidden="1">
      <c r="A1188" s="12"/>
      <c r="B1188" s="12"/>
      <c r="C1188" s="76"/>
      <c r="D1188" s="83"/>
      <c r="E1188" s="10"/>
      <c r="F1188" s="12"/>
      <c r="G1188" s="12"/>
      <c r="H1188" s="17"/>
      <c r="I1188" s="48"/>
      <c r="J1188" s="48"/>
      <c r="K1188" s="12"/>
      <c r="L1188" s="80"/>
      <c r="M1188" s="80"/>
      <c r="N1188" s="80"/>
      <c r="O1188" s="80"/>
      <c r="P1188" s="80"/>
      <c r="Q1188" s="80"/>
      <c r="R1188" s="80"/>
      <c r="S1188" s="42"/>
    </row>
    <row r="1189" hidden="1">
      <c r="A1189" s="12"/>
      <c r="B1189" s="12"/>
      <c r="C1189" s="76"/>
      <c r="D1189" s="83"/>
      <c r="E1189" s="10"/>
      <c r="F1189" s="12"/>
      <c r="G1189" s="12"/>
      <c r="H1189" s="17"/>
      <c r="I1189" s="48"/>
      <c r="J1189" s="48"/>
      <c r="K1189" s="12"/>
      <c r="L1189" s="80"/>
      <c r="M1189" s="80"/>
      <c r="N1189" s="80"/>
      <c r="O1189" s="80"/>
      <c r="P1189" s="80"/>
      <c r="Q1189" s="80"/>
      <c r="R1189" s="80"/>
      <c r="S1189" s="42"/>
    </row>
    <row r="1190" hidden="1">
      <c r="A1190" s="12"/>
      <c r="B1190" s="12"/>
      <c r="C1190" s="76"/>
      <c r="D1190" s="83"/>
      <c r="E1190" s="10"/>
      <c r="F1190" s="12"/>
      <c r="G1190" s="12"/>
      <c r="H1190" s="17"/>
      <c r="I1190" s="48"/>
      <c r="J1190" s="48"/>
      <c r="K1190" s="12"/>
      <c r="L1190" s="80"/>
      <c r="M1190" s="80"/>
      <c r="N1190" s="80"/>
      <c r="O1190" s="80"/>
      <c r="P1190" s="80"/>
      <c r="Q1190" s="80"/>
      <c r="R1190" s="80"/>
      <c r="S1190" s="42"/>
    </row>
    <row r="1191" hidden="1">
      <c r="A1191" s="12"/>
      <c r="B1191" s="12"/>
      <c r="C1191" s="76"/>
      <c r="D1191" s="83"/>
      <c r="E1191" s="10"/>
      <c r="F1191" s="12"/>
      <c r="G1191" s="12"/>
      <c r="H1191" s="17"/>
      <c r="I1191" s="48"/>
      <c r="J1191" s="48"/>
      <c r="K1191" s="12"/>
      <c r="L1191" s="80"/>
      <c r="M1191" s="80"/>
      <c r="N1191" s="80"/>
      <c r="O1191" s="80"/>
      <c r="P1191" s="80"/>
      <c r="Q1191" s="80"/>
      <c r="R1191" s="80"/>
      <c r="S1191" s="42"/>
    </row>
    <row r="1192" hidden="1">
      <c r="A1192" s="12"/>
      <c r="B1192" s="12"/>
      <c r="C1192" s="76"/>
      <c r="D1192" s="83"/>
      <c r="E1192" s="10"/>
      <c r="F1192" s="12"/>
      <c r="G1192" s="12"/>
      <c r="H1192" s="17"/>
      <c r="I1192" s="48"/>
      <c r="J1192" s="48"/>
      <c r="K1192" s="12"/>
      <c r="L1192" s="80"/>
      <c r="M1192" s="80"/>
      <c r="N1192" s="80"/>
      <c r="O1192" s="80"/>
      <c r="P1192" s="80"/>
      <c r="Q1192" s="80"/>
      <c r="R1192" s="80"/>
      <c r="S1192" s="42"/>
    </row>
    <row r="1193" hidden="1">
      <c r="A1193" s="12"/>
      <c r="B1193" s="12"/>
      <c r="C1193" s="76"/>
      <c r="D1193" s="83"/>
      <c r="E1193" s="10"/>
      <c r="F1193" s="12"/>
      <c r="G1193" s="12"/>
      <c r="H1193" s="17"/>
      <c r="I1193" s="48"/>
      <c r="J1193" s="48"/>
      <c r="K1193" s="12"/>
      <c r="L1193" s="80"/>
      <c r="M1193" s="80"/>
      <c r="N1193" s="80"/>
      <c r="O1193" s="80"/>
      <c r="P1193" s="80"/>
      <c r="Q1193" s="80"/>
      <c r="R1193" s="80"/>
      <c r="S1193" s="42"/>
    </row>
    <row r="1194" hidden="1">
      <c r="A1194" s="12"/>
      <c r="B1194" s="12"/>
      <c r="C1194" s="76"/>
      <c r="D1194" s="83"/>
      <c r="E1194" s="10"/>
      <c r="F1194" s="12"/>
      <c r="G1194" s="12"/>
      <c r="H1194" s="17"/>
      <c r="I1194" s="48"/>
      <c r="J1194" s="48"/>
      <c r="K1194" s="12"/>
      <c r="L1194" s="80"/>
      <c r="M1194" s="80"/>
      <c r="N1194" s="80"/>
      <c r="O1194" s="80"/>
      <c r="P1194" s="80"/>
      <c r="Q1194" s="80"/>
      <c r="R1194" s="80"/>
      <c r="S1194" s="42"/>
    </row>
    <row r="1195" hidden="1">
      <c r="A1195" s="12"/>
      <c r="B1195" s="12"/>
      <c r="C1195" s="76"/>
      <c r="D1195" s="83"/>
      <c r="E1195" s="10"/>
      <c r="F1195" s="12"/>
      <c r="G1195" s="12"/>
      <c r="H1195" s="17"/>
      <c r="I1195" s="48"/>
      <c r="J1195" s="48"/>
      <c r="K1195" s="12"/>
      <c r="L1195" s="80"/>
      <c r="M1195" s="80"/>
      <c r="N1195" s="80"/>
      <c r="O1195" s="80"/>
      <c r="P1195" s="80"/>
      <c r="Q1195" s="80"/>
      <c r="R1195" s="80"/>
      <c r="S1195" s="42"/>
    </row>
    <row r="1196" hidden="1">
      <c r="A1196" s="12"/>
      <c r="B1196" s="12"/>
      <c r="C1196" s="76"/>
      <c r="D1196" s="83"/>
      <c r="E1196" s="10"/>
      <c r="F1196" s="12"/>
      <c r="G1196" s="12"/>
      <c r="H1196" s="17"/>
      <c r="I1196" s="48"/>
      <c r="J1196" s="48"/>
      <c r="K1196" s="12"/>
      <c r="L1196" s="80"/>
      <c r="M1196" s="80"/>
      <c r="N1196" s="80"/>
      <c r="O1196" s="80"/>
      <c r="P1196" s="80"/>
      <c r="Q1196" s="80"/>
      <c r="R1196" s="80"/>
      <c r="S1196" s="42"/>
    </row>
    <row r="1197" hidden="1">
      <c r="A1197" s="12"/>
      <c r="B1197" s="12"/>
      <c r="C1197" s="76"/>
      <c r="D1197" s="83"/>
      <c r="E1197" s="10"/>
      <c r="F1197" s="12"/>
      <c r="G1197" s="12"/>
      <c r="H1197" s="17"/>
      <c r="I1197" s="48"/>
      <c r="J1197" s="48"/>
      <c r="K1197" s="12"/>
      <c r="L1197" s="80"/>
      <c r="M1197" s="80"/>
      <c r="N1197" s="80"/>
      <c r="O1197" s="80"/>
      <c r="P1197" s="80"/>
      <c r="Q1197" s="80"/>
      <c r="R1197" s="80"/>
      <c r="S1197" s="42"/>
    </row>
    <row r="1198" hidden="1">
      <c r="A1198" s="12"/>
      <c r="B1198" s="12"/>
      <c r="C1198" s="76"/>
      <c r="D1198" s="83"/>
      <c r="E1198" s="10"/>
      <c r="F1198" s="12"/>
      <c r="G1198" s="12"/>
      <c r="H1198" s="17"/>
      <c r="I1198" s="48"/>
      <c r="J1198" s="48"/>
      <c r="K1198" s="12"/>
      <c r="L1198" s="80"/>
      <c r="M1198" s="80"/>
      <c r="N1198" s="80"/>
      <c r="O1198" s="80"/>
      <c r="P1198" s="80"/>
      <c r="Q1198" s="80"/>
      <c r="R1198" s="80"/>
      <c r="S1198" s="42"/>
    </row>
    <row r="1199" hidden="1">
      <c r="A1199" s="12"/>
      <c r="B1199" s="12"/>
      <c r="C1199" s="76"/>
      <c r="D1199" s="83"/>
      <c r="E1199" s="10"/>
      <c r="F1199" s="12"/>
      <c r="G1199" s="12"/>
      <c r="H1199" s="17"/>
      <c r="I1199" s="48"/>
      <c r="J1199" s="48"/>
      <c r="K1199" s="12"/>
      <c r="L1199" s="80"/>
      <c r="M1199" s="80"/>
      <c r="N1199" s="80"/>
      <c r="O1199" s="80"/>
      <c r="P1199" s="80"/>
      <c r="Q1199" s="80"/>
      <c r="R1199" s="80"/>
      <c r="S1199" s="42"/>
    </row>
    <row r="1200" hidden="1">
      <c r="A1200" s="12"/>
      <c r="B1200" s="12"/>
      <c r="C1200" s="76"/>
      <c r="D1200" s="83"/>
      <c r="E1200" s="10"/>
      <c r="F1200" s="12"/>
      <c r="G1200" s="12"/>
      <c r="H1200" s="17"/>
      <c r="I1200" s="48"/>
      <c r="J1200" s="48"/>
      <c r="K1200" s="12"/>
      <c r="L1200" s="80"/>
      <c r="M1200" s="80"/>
      <c r="N1200" s="80"/>
      <c r="O1200" s="80"/>
      <c r="P1200" s="80"/>
      <c r="Q1200" s="80"/>
      <c r="R1200" s="80"/>
      <c r="S1200" s="42"/>
    </row>
    <row r="1201" hidden="1">
      <c r="A1201" s="12"/>
      <c r="B1201" s="12"/>
      <c r="C1201" s="76"/>
      <c r="D1201" s="83"/>
      <c r="E1201" s="10"/>
      <c r="F1201" s="12"/>
      <c r="G1201" s="12"/>
      <c r="H1201" s="17"/>
      <c r="I1201" s="48"/>
      <c r="J1201" s="48"/>
      <c r="K1201" s="12"/>
      <c r="L1201" s="80"/>
      <c r="M1201" s="80"/>
      <c r="N1201" s="80"/>
      <c r="O1201" s="80"/>
      <c r="P1201" s="80"/>
      <c r="Q1201" s="80"/>
      <c r="R1201" s="80"/>
      <c r="S1201" s="42"/>
    </row>
    <row r="1202" hidden="1">
      <c r="A1202" s="12"/>
      <c r="B1202" s="12"/>
      <c r="C1202" s="76"/>
      <c r="D1202" s="83"/>
      <c r="E1202" s="10"/>
      <c r="F1202" s="12"/>
      <c r="G1202" s="12"/>
      <c r="H1202" s="17"/>
      <c r="I1202" s="48"/>
      <c r="J1202" s="48"/>
      <c r="K1202" s="12"/>
      <c r="L1202" s="80"/>
      <c r="M1202" s="80"/>
      <c r="N1202" s="80"/>
      <c r="O1202" s="80"/>
      <c r="P1202" s="80"/>
      <c r="Q1202" s="80"/>
      <c r="R1202" s="80"/>
      <c r="S1202" s="42"/>
    </row>
    <row r="1203" hidden="1">
      <c r="A1203" s="12"/>
      <c r="B1203" s="12"/>
      <c r="C1203" s="76"/>
      <c r="D1203" s="83"/>
      <c r="E1203" s="10"/>
      <c r="F1203" s="12"/>
      <c r="G1203" s="12"/>
      <c r="H1203" s="17"/>
      <c r="I1203" s="48"/>
      <c r="J1203" s="48"/>
      <c r="K1203" s="12"/>
      <c r="L1203" s="80"/>
      <c r="M1203" s="80"/>
      <c r="N1203" s="80"/>
      <c r="O1203" s="80"/>
      <c r="P1203" s="80"/>
      <c r="Q1203" s="80"/>
      <c r="R1203" s="80"/>
      <c r="S1203" s="42"/>
    </row>
    <row r="1204" hidden="1">
      <c r="A1204" s="12"/>
      <c r="B1204" s="12"/>
      <c r="C1204" s="76"/>
      <c r="D1204" s="83"/>
      <c r="E1204" s="10"/>
      <c r="F1204" s="12"/>
      <c r="G1204" s="12"/>
      <c r="H1204" s="17"/>
      <c r="I1204" s="48"/>
      <c r="J1204" s="48"/>
      <c r="K1204" s="12"/>
      <c r="L1204" s="80"/>
      <c r="M1204" s="80"/>
      <c r="N1204" s="80"/>
      <c r="O1204" s="80"/>
      <c r="P1204" s="80"/>
      <c r="Q1204" s="80"/>
      <c r="R1204" s="80"/>
      <c r="S1204" s="42"/>
    </row>
    <row r="1205" hidden="1">
      <c r="A1205" s="12"/>
      <c r="B1205" s="12"/>
      <c r="C1205" s="76"/>
      <c r="D1205" s="83"/>
      <c r="E1205" s="10"/>
      <c r="F1205" s="12"/>
      <c r="G1205" s="12"/>
      <c r="H1205" s="17"/>
      <c r="I1205" s="48"/>
      <c r="J1205" s="48"/>
      <c r="K1205" s="12"/>
      <c r="L1205" s="80"/>
      <c r="M1205" s="80"/>
      <c r="N1205" s="80"/>
      <c r="O1205" s="80"/>
      <c r="P1205" s="80"/>
      <c r="Q1205" s="80"/>
      <c r="R1205" s="80"/>
      <c r="S1205" s="42"/>
    </row>
    <row r="1206" hidden="1">
      <c r="A1206" s="12"/>
      <c r="B1206" s="12"/>
      <c r="C1206" s="76"/>
      <c r="D1206" s="83"/>
      <c r="E1206" s="10"/>
      <c r="F1206" s="12"/>
      <c r="G1206" s="12"/>
      <c r="H1206" s="17"/>
      <c r="I1206" s="48"/>
      <c r="J1206" s="48"/>
      <c r="K1206" s="12"/>
      <c r="L1206" s="80"/>
      <c r="M1206" s="80"/>
      <c r="N1206" s="80"/>
      <c r="O1206" s="80"/>
      <c r="P1206" s="80"/>
      <c r="Q1206" s="80"/>
      <c r="R1206" s="80"/>
      <c r="S1206" s="42"/>
    </row>
    <row r="1207" hidden="1">
      <c r="A1207" s="12"/>
      <c r="B1207" s="12"/>
      <c r="C1207" s="76"/>
      <c r="D1207" s="83"/>
      <c r="E1207" s="10"/>
      <c r="F1207" s="12"/>
      <c r="G1207" s="12"/>
      <c r="H1207" s="17"/>
      <c r="I1207" s="48"/>
      <c r="J1207" s="48"/>
      <c r="K1207" s="12"/>
      <c r="L1207" s="80"/>
      <c r="M1207" s="80"/>
      <c r="N1207" s="80"/>
      <c r="O1207" s="80"/>
      <c r="P1207" s="80"/>
      <c r="Q1207" s="80"/>
      <c r="R1207" s="80"/>
      <c r="S1207" s="42"/>
    </row>
    <row r="1208" hidden="1">
      <c r="A1208" s="12"/>
      <c r="B1208" s="12"/>
      <c r="C1208" s="76"/>
      <c r="D1208" s="83"/>
      <c r="E1208" s="10"/>
      <c r="F1208" s="12"/>
      <c r="G1208" s="12"/>
      <c r="H1208" s="17"/>
      <c r="I1208" s="48"/>
      <c r="J1208" s="48"/>
      <c r="K1208" s="12"/>
      <c r="L1208" s="80"/>
      <c r="M1208" s="80"/>
      <c r="N1208" s="80"/>
      <c r="O1208" s="80"/>
      <c r="P1208" s="80"/>
      <c r="Q1208" s="80"/>
      <c r="R1208" s="80"/>
      <c r="S1208" s="42"/>
    </row>
    <row r="1209" hidden="1">
      <c r="A1209" s="12"/>
      <c r="B1209" s="12"/>
      <c r="C1209" s="76"/>
      <c r="D1209" s="83"/>
      <c r="E1209" s="10"/>
      <c r="F1209" s="12"/>
      <c r="G1209" s="12"/>
      <c r="H1209" s="17"/>
      <c r="I1209" s="48"/>
      <c r="J1209" s="48"/>
      <c r="K1209" s="12"/>
      <c r="L1209" s="80"/>
      <c r="M1209" s="80"/>
      <c r="N1209" s="80"/>
      <c r="O1209" s="80"/>
      <c r="P1209" s="80"/>
      <c r="Q1209" s="80"/>
      <c r="R1209" s="80"/>
      <c r="S1209" s="42"/>
    </row>
    <row r="1210" hidden="1">
      <c r="A1210" s="12"/>
      <c r="B1210" s="12"/>
      <c r="C1210" s="76"/>
      <c r="D1210" s="83"/>
      <c r="E1210" s="10"/>
      <c r="F1210" s="12"/>
      <c r="G1210" s="12"/>
      <c r="H1210" s="17"/>
      <c r="I1210" s="48"/>
      <c r="J1210" s="48"/>
      <c r="K1210" s="12"/>
      <c r="L1210" s="80"/>
      <c r="M1210" s="80"/>
      <c r="N1210" s="80"/>
      <c r="O1210" s="80"/>
      <c r="P1210" s="80"/>
      <c r="Q1210" s="80"/>
      <c r="R1210" s="80"/>
      <c r="S1210" s="42"/>
    </row>
    <row r="1211" hidden="1">
      <c r="A1211" s="12"/>
      <c r="B1211" s="12"/>
      <c r="C1211" s="76"/>
      <c r="D1211" s="83"/>
      <c r="E1211" s="10"/>
      <c r="F1211" s="12"/>
      <c r="G1211" s="12"/>
      <c r="H1211" s="17"/>
      <c r="I1211" s="48"/>
      <c r="J1211" s="48"/>
      <c r="K1211" s="12"/>
      <c r="L1211" s="80"/>
      <c r="M1211" s="80"/>
      <c r="N1211" s="80"/>
      <c r="O1211" s="80"/>
      <c r="P1211" s="80"/>
      <c r="Q1211" s="80"/>
      <c r="R1211" s="80"/>
      <c r="S1211" s="42"/>
    </row>
    <row r="1212" hidden="1">
      <c r="A1212" s="12"/>
      <c r="B1212" s="12"/>
      <c r="C1212" s="76"/>
      <c r="D1212" s="83"/>
      <c r="E1212" s="10"/>
      <c r="F1212" s="12"/>
      <c r="G1212" s="12"/>
      <c r="H1212" s="17"/>
      <c r="I1212" s="48"/>
      <c r="J1212" s="48"/>
      <c r="K1212" s="12"/>
      <c r="L1212" s="80"/>
      <c r="M1212" s="80"/>
      <c r="N1212" s="80"/>
      <c r="O1212" s="80"/>
      <c r="P1212" s="80"/>
      <c r="Q1212" s="80"/>
      <c r="R1212" s="80"/>
      <c r="S1212" s="42"/>
    </row>
    <row r="1213" hidden="1">
      <c r="A1213" s="12"/>
      <c r="B1213" s="12"/>
      <c r="C1213" s="76"/>
      <c r="D1213" s="83"/>
      <c r="E1213" s="10"/>
      <c r="F1213" s="12"/>
      <c r="G1213" s="12"/>
      <c r="H1213" s="17"/>
      <c r="I1213" s="48"/>
      <c r="J1213" s="48"/>
      <c r="K1213" s="12"/>
      <c r="L1213" s="80"/>
      <c r="M1213" s="80"/>
      <c r="N1213" s="80"/>
      <c r="O1213" s="80"/>
      <c r="P1213" s="80"/>
      <c r="Q1213" s="80"/>
      <c r="R1213" s="80"/>
      <c r="S1213" s="42"/>
    </row>
    <row r="1214" hidden="1">
      <c r="A1214" s="12"/>
      <c r="B1214" s="12"/>
      <c r="C1214" s="76"/>
      <c r="D1214" s="83"/>
      <c r="E1214" s="10"/>
      <c r="F1214" s="12"/>
      <c r="G1214" s="12"/>
      <c r="H1214" s="17"/>
      <c r="I1214" s="48"/>
      <c r="J1214" s="48"/>
      <c r="K1214" s="12"/>
      <c r="L1214" s="80"/>
      <c r="M1214" s="80"/>
      <c r="N1214" s="80"/>
      <c r="O1214" s="80"/>
      <c r="P1214" s="80"/>
      <c r="Q1214" s="80"/>
      <c r="R1214" s="80"/>
      <c r="S1214" s="42"/>
    </row>
    <row r="1215" hidden="1">
      <c r="A1215" s="12"/>
      <c r="B1215" s="12"/>
      <c r="C1215" s="76"/>
      <c r="D1215" s="83"/>
      <c r="E1215" s="10"/>
      <c r="F1215" s="12"/>
      <c r="G1215" s="12"/>
      <c r="H1215" s="17"/>
      <c r="I1215" s="48"/>
      <c r="J1215" s="48"/>
      <c r="K1215" s="12"/>
      <c r="L1215" s="80"/>
      <c r="M1215" s="80"/>
      <c r="N1215" s="80"/>
      <c r="O1215" s="80"/>
      <c r="P1215" s="80"/>
      <c r="Q1215" s="80"/>
      <c r="R1215" s="80"/>
      <c r="S1215" s="42"/>
    </row>
    <row r="1216" hidden="1">
      <c r="A1216" s="12"/>
      <c r="B1216" s="12"/>
      <c r="C1216" s="76"/>
      <c r="D1216" s="83"/>
      <c r="E1216" s="10"/>
      <c r="F1216" s="12"/>
      <c r="G1216" s="12"/>
      <c r="H1216" s="17"/>
      <c r="I1216" s="48"/>
      <c r="J1216" s="48"/>
      <c r="K1216" s="12"/>
      <c r="L1216" s="80"/>
      <c r="M1216" s="80"/>
      <c r="N1216" s="80"/>
      <c r="O1216" s="80"/>
      <c r="P1216" s="80"/>
      <c r="Q1216" s="80"/>
      <c r="R1216" s="80"/>
      <c r="S1216" s="42"/>
    </row>
    <row r="1217" hidden="1">
      <c r="A1217" s="12"/>
      <c r="B1217" s="12"/>
      <c r="C1217" s="76"/>
      <c r="D1217" s="83"/>
      <c r="E1217" s="10"/>
      <c r="F1217" s="12"/>
      <c r="G1217" s="12"/>
      <c r="H1217" s="17"/>
      <c r="I1217" s="48"/>
      <c r="J1217" s="48"/>
      <c r="K1217" s="12"/>
      <c r="L1217" s="80"/>
      <c r="M1217" s="80"/>
      <c r="N1217" s="80"/>
      <c r="O1217" s="80"/>
      <c r="P1217" s="80"/>
      <c r="Q1217" s="80"/>
      <c r="R1217" s="80"/>
      <c r="S1217" s="42"/>
    </row>
    <row r="1218" hidden="1">
      <c r="A1218" s="12"/>
      <c r="B1218" s="12"/>
      <c r="C1218" s="76"/>
      <c r="D1218" s="83"/>
      <c r="E1218" s="10"/>
      <c r="F1218" s="12"/>
      <c r="G1218" s="12"/>
      <c r="H1218" s="17"/>
      <c r="I1218" s="48"/>
      <c r="J1218" s="48"/>
      <c r="K1218" s="12"/>
      <c r="L1218" s="80"/>
      <c r="M1218" s="80"/>
      <c r="N1218" s="80"/>
      <c r="O1218" s="80"/>
      <c r="P1218" s="80"/>
      <c r="Q1218" s="80"/>
      <c r="R1218" s="80"/>
      <c r="S1218" s="42"/>
    </row>
    <row r="1219" hidden="1">
      <c r="A1219" s="12"/>
      <c r="B1219" s="12"/>
      <c r="C1219" s="76"/>
      <c r="D1219" s="83"/>
      <c r="E1219" s="10"/>
      <c r="F1219" s="12"/>
      <c r="G1219" s="12"/>
      <c r="H1219" s="17"/>
      <c r="I1219" s="48"/>
      <c r="J1219" s="48"/>
      <c r="K1219" s="12"/>
      <c r="L1219" s="80"/>
      <c r="M1219" s="80"/>
      <c r="N1219" s="80"/>
      <c r="O1219" s="80"/>
      <c r="P1219" s="80"/>
      <c r="Q1219" s="80"/>
      <c r="R1219" s="80"/>
      <c r="S1219" s="42"/>
    </row>
    <row r="1220" hidden="1">
      <c r="A1220" s="12"/>
      <c r="B1220" s="12"/>
      <c r="C1220" s="76"/>
      <c r="D1220" s="83"/>
      <c r="E1220" s="10"/>
      <c r="F1220" s="12"/>
      <c r="G1220" s="12"/>
      <c r="H1220" s="17"/>
      <c r="I1220" s="48"/>
      <c r="J1220" s="48"/>
      <c r="K1220" s="12"/>
      <c r="L1220" s="80"/>
      <c r="M1220" s="80"/>
      <c r="N1220" s="80"/>
      <c r="O1220" s="80"/>
      <c r="P1220" s="80"/>
      <c r="Q1220" s="80"/>
      <c r="R1220" s="80"/>
      <c r="S1220" s="42"/>
    </row>
    <row r="1221" hidden="1">
      <c r="A1221" s="12"/>
      <c r="B1221" s="12"/>
      <c r="C1221" s="76"/>
      <c r="D1221" s="83"/>
      <c r="E1221" s="10"/>
      <c r="F1221" s="12"/>
      <c r="G1221" s="12"/>
      <c r="H1221" s="17"/>
      <c r="I1221" s="48"/>
      <c r="J1221" s="48"/>
      <c r="K1221" s="12"/>
      <c r="L1221" s="80"/>
      <c r="M1221" s="80"/>
      <c r="N1221" s="80"/>
      <c r="O1221" s="80"/>
      <c r="P1221" s="80"/>
      <c r="Q1221" s="80"/>
      <c r="R1221" s="80"/>
      <c r="S1221" s="42"/>
    </row>
    <row r="1222" hidden="1">
      <c r="A1222" s="12"/>
      <c r="B1222" s="12"/>
      <c r="C1222" s="76"/>
      <c r="D1222" s="83"/>
      <c r="E1222" s="10"/>
      <c r="F1222" s="12"/>
      <c r="G1222" s="12"/>
      <c r="H1222" s="17"/>
      <c r="I1222" s="48"/>
      <c r="J1222" s="48"/>
      <c r="K1222" s="12"/>
      <c r="L1222" s="80"/>
      <c r="M1222" s="80"/>
      <c r="N1222" s="80"/>
      <c r="O1222" s="80"/>
      <c r="P1222" s="80"/>
      <c r="Q1222" s="80"/>
      <c r="R1222" s="80"/>
      <c r="S1222" s="42"/>
    </row>
    <row r="1223" hidden="1">
      <c r="A1223" s="12"/>
      <c r="B1223" s="12"/>
      <c r="C1223" s="76"/>
      <c r="D1223" s="83"/>
      <c r="E1223" s="10"/>
      <c r="F1223" s="12"/>
      <c r="G1223" s="12"/>
      <c r="H1223" s="17"/>
      <c r="I1223" s="48"/>
      <c r="J1223" s="48"/>
      <c r="K1223" s="12"/>
      <c r="L1223" s="80"/>
      <c r="M1223" s="80"/>
      <c r="N1223" s="80"/>
      <c r="O1223" s="80"/>
      <c r="P1223" s="80"/>
      <c r="Q1223" s="80"/>
      <c r="R1223" s="80"/>
      <c r="S1223" s="42"/>
    </row>
    <row r="1224" hidden="1">
      <c r="A1224" s="12"/>
      <c r="B1224" s="12"/>
      <c r="C1224" s="76"/>
      <c r="D1224" s="83"/>
      <c r="E1224" s="10"/>
      <c r="F1224" s="12"/>
      <c r="G1224" s="12"/>
      <c r="H1224" s="17"/>
      <c r="I1224" s="48"/>
      <c r="J1224" s="48"/>
      <c r="K1224" s="12"/>
      <c r="L1224" s="80"/>
      <c r="M1224" s="80"/>
      <c r="N1224" s="80"/>
      <c r="O1224" s="80"/>
      <c r="P1224" s="80"/>
      <c r="Q1224" s="80"/>
      <c r="R1224" s="80"/>
      <c r="S1224" s="42"/>
    </row>
    <row r="1225" hidden="1">
      <c r="A1225" s="12"/>
      <c r="B1225" s="12"/>
      <c r="C1225" s="76"/>
      <c r="D1225" s="83"/>
      <c r="E1225" s="10"/>
      <c r="F1225" s="12"/>
      <c r="G1225" s="12"/>
      <c r="H1225" s="17"/>
      <c r="I1225" s="48"/>
      <c r="J1225" s="48"/>
      <c r="K1225" s="12"/>
      <c r="L1225" s="80"/>
      <c r="M1225" s="80"/>
      <c r="N1225" s="80"/>
      <c r="O1225" s="80"/>
      <c r="P1225" s="80"/>
      <c r="Q1225" s="80"/>
      <c r="R1225" s="80"/>
      <c r="S1225" s="42"/>
    </row>
    <row r="1226" hidden="1">
      <c r="A1226" s="12"/>
      <c r="B1226" s="12"/>
      <c r="C1226" s="76"/>
      <c r="D1226" s="83"/>
      <c r="E1226" s="10"/>
      <c r="F1226" s="12"/>
      <c r="G1226" s="12"/>
      <c r="H1226" s="17"/>
      <c r="I1226" s="48"/>
      <c r="J1226" s="48"/>
      <c r="K1226" s="12"/>
      <c r="L1226" s="80"/>
      <c r="M1226" s="80"/>
      <c r="N1226" s="80"/>
      <c r="O1226" s="80"/>
      <c r="P1226" s="80"/>
      <c r="Q1226" s="80"/>
      <c r="R1226" s="80"/>
      <c r="S1226" s="42"/>
    </row>
    <row r="1227" hidden="1">
      <c r="A1227" s="12"/>
      <c r="B1227" s="12"/>
      <c r="C1227" s="76"/>
      <c r="D1227" s="83"/>
      <c r="E1227" s="10"/>
      <c r="F1227" s="12"/>
      <c r="G1227" s="12"/>
      <c r="H1227" s="17"/>
      <c r="I1227" s="48"/>
      <c r="J1227" s="48"/>
      <c r="K1227" s="12"/>
      <c r="L1227" s="80"/>
      <c r="M1227" s="80"/>
      <c r="N1227" s="80"/>
      <c r="O1227" s="80"/>
      <c r="P1227" s="80"/>
      <c r="Q1227" s="80"/>
      <c r="R1227" s="80"/>
      <c r="S1227" s="42"/>
    </row>
    <row r="1228" hidden="1">
      <c r="A1228" s="12"/>
      <c r="B1228" s="12"/>
      <c r="C1228" s="76"/>
      <c r="D1228" s="83"/>
      <c r="E1228" s="10"/>
      <c r="F1228" s="12"/>
      <c r="G1228" s="12"/>
      <c r="H1228" s="17"/>
      <c r="I1228" s="48"/>
      <c r="J1228" s="48"/>
      <c r="K1228" s="12"/>
      <c r="L1228" s="80"/>
      <c r="M1228" s="80"/>
      <c r="N1228" s="80"/>
      <c r="O1228" s="80"/>
      <c r="P1228" s="80"/>
      <c r="Q1228" s="80"/>
      <c r="R1228" s="80"/>
      <c r="S1228" s="42"/>
    </row>
    <row r="1229" hidden="1">
      <c r="A1229" s="12"/>
      <c r="B1229" s="12"/>
      <c r="C1229" s="76"/>
      <c r="D1229" s="83"/>
      <c r="E1229" s="10"/>
      <c r="F1229" s="12"/>
      <c r="G1229" s="12"/>
      <c r="H1229" s="17"/>
      <c r="I1229" s="48"/>
      <c r="J1229" s="48"/>
      <c r="K1229" s="12"/>
      <c r="L1229" s="80"/>
      <c r="M1229" s="80"/>
      <c r="N1229" s="80"/>
      <c r="O1229" s="80"/>
      <c r="P1229" s="80"/>
      <c r="Q1229" s="80"/>
      <c r="R1229" s="80"/>
      <c r="S1229" s="42"/>
    </row>
    <row r="1230" hidden="1">
      <c r="A1230" s="12"/>
      <c r="B1230" s="12"/>
      <c r="C1230" s="76"/>
      <c r="D1230" s="83"/>
      <c r="E1230" s="10"/>
      <c r="F1230" s="12"/>
      <c r="G1230" s="12"/>
      <c r="H1230" s="17"/>
      <c r="I1230" s="48"/>
      <c r="J1230" s="48"/>
      <c r="K1230" s="12"/>
      <c r="L1230" s="80"/>
      <c r="M1230" s="80"/>
      <c r="N1230" s="80"/>
      <c r="O1230" s="80"/>
      <c r="P1230" s="80"/>
      <c r="Q1230" s="80"/>
      <c r="R1230" s="80"/>
      <c r="S1230" s="42"/>
    </row>
    <row r="1231" hidden="1">
      <c r="A1231" s="12"/>
      <c r="B1231" s="12"/>
      <c r="C1231" s="76"/>
      <c r="D1231" s="83"/>
      <c r="E1231" s="10"/>
      <c r="F1231" s="12"/>
      <c r="G1231" s="12"/>
      <c r="H1231" s="17"/>
      <c r="I1231" s="48"/>
      <c r="J1231" s="48"/>
      <c r="K1231" s="12"/>
      <c r="L1231" s="80"/>
      <c r="M1231" s="80"/>
      <c r="N1231" s="80"/>
      <c r="O1231" s="80"/>
      <c r="P1231" s="80"/>
      <c r="Q1231" s="80"/>
      <c r="R1231" s="80"/>
      <c r="S1231" s="42"/>
    </row>
    <row r="1232" hidden="1">
      <c r="A1232" s="12"/>
      <c r="B1232" s="12"/>
      <c r="C1232" s="76"/>
      <c r="D1232" s="83"/>
      <c r="E1232" s="10"/>
      <c r="F1232" s="12"/>
      <c r="G1232" s="12"/>
      <c r="H1232" s="17"/>
      <c r="I1232" s="48"/>
      <c r="J1232" s="48"/>
      <c r="K1232" s="12"/>
      <c r="L1232" s="80"/>
      <c r="M1232" s="80"/>
      <c r="N1232" s="80"/>
      <c r="O1232" s="80"/>
      <c r="P1232" s="80"/>
      <c r="Q1232" s="80"/>
      <c r="R1232" s="80"/>
      <c r="S1232" s="42"/>
    </row>
    <row r="1233" hidden="1">
      <c r="A1233" s="12"/>
      <c r="B1233" s="12"/>
      <c r="C1233" s="76"/>
      <c r="D1233" s="83"/>
      <c r="E1233" s="10"/>
      <c r="F1233" s="12"/>
      <c r="G1233" s="12"/>
      <c r="H1233" s="17"/>
      <c r="I1233" s="48"/>
      <c r="J1233" s="48"/>
      <c r="K1233" s="12"/>
      <c r="L1233" s="80"/>
      <c r="M1233" s="80"/>
      <c r="N1233" s="80"/>
      <c r="O1233" s="80"/>
      <c r="P1233" s="80"/>
      <c r="Q1233" s="80"/>
      <c r="R1233" s="80"/>
      <c r="S1233" s="42"/>
    </row>
    <row r="1234" hidden="1">
      <c r="A1234" s="12"/>
      <c r="B1234" s="12"/>
      <c r="C1234" s="76"/>
      <c r="D1234" s="83"/>
      <c r="E1234" s="10"/>
      <c r="F1234" s="12"/>
      <c r="G1234" s="12"/>
      <c r="H1234" s="17"/>
      <c r="I1234" s="48"/>
      <c r="J1234" s="48"/>
      <c r="K1234" s="12"/>
      <c r="L1234" s="80"/>
      <c r="M1234" s="80"/>
      <c r="N1234" s="80"/>
      <c r="O1234" s="80"/>
      <c r="P1234" s="80"/>
      <c r="Q1234" s="80"/>
      <c r="R1234" s="80"/>
      <c r="S1234" s="42"/>
    </row>
    <row r="1235" hidden="1">
      <c r="A1235" s="12"/>
      <c r="B1235" s="12"/>
      <c r="C1235" s="76"/>
      <c r="D1235" s="83"/>
      <c r="E1235" s="10"/>
      <c r="F1235" s="12"/>
      <c r="G1235" s="12"/>
      <c r="H1235" s="17"/>
      <c r="I1235" s="48"/>
      <c r="J1235" s="48"/>
      <c r="K1235" s="12"/>
      <c r="L1235" s="80"/>
      <c r="M1235" s="80"/>
      <c r="N1235" s="80"/>
      <c r="O1235" s="80"/>
      <c r="P1235" s="80"/>
      <c r="Q1235" s="80"/>
      <c r="R1235" s="80"/>
      <c r="S1235" s="42"/>
    </row>
    <row r="1236" hidden="1">
      <c r="A1236" s="12"/>
      <c r="B1236" s="12"/>
      <c r="C1236" s="76"/>
      <c r="D1236" s="83"/>
      <c r="E1236" s="10"/>
      <c r="F1236" s="12"/>
      <c r="G1236" s="12"/>
      <c r="H1236" s="17"/>
      <c r="I1236" s="48"/>
      <c r="J1236" s="48"/>
      <c r="K1236" s="12"/>
      <c r="L1236" s="80"/>
      <c r="M1236" s="80"/>
      <c r="N1236" s="80"/>
      <c r="O1236" s="80"/>
      <c r="P1236" s="80"/>
      <c r="Q1236" s="80"/>
      <c r="R1236" s="80"/>
      <c r="S1236" s="42"/>
    </row>
    <row r="1237" hidden="1">
      <c r="A1237" s="12"/>
      <c r="B1237" s="12"/>
      <c r="C1237" s="76"/>
      <c r="D1237" s="83"/>
      <c r="E1237" s="10"/>
      <c r="F1237" s="12"/>
      <c r="G1237" s="12"/>
      <c r="H1237" s="17"/>
      <c r="I1237" s="48"/>
      <c r="J1237" s="48"/>
      <c r="K1237" s="12"/>
      <c r="L1237" s="80"/>
      <c r="M1237" s="80"/>
      <c r="N1237" s="80"/>
      <c r="O1237" s="80"/>
      <c r="P1237" s="80"/>
      <c r="Q1237" s="80"/>
      <c r="R1237" s="80"/>
      <c r="S1237" s="42"/>
    </row>
    <row r="1238" hidden="1">
      <c r="A1238" s="12"/>
      <c r="B1238" s="12"/>
      <c r="C1238" s="76"/>
      <c r="D1238" s="83"/>
      <c r="E1238" s="10"/>
      <c r="F1238" s="12"/>
      <c r="G1238" s="12"/>
      <c r="H1238" s="17"/>
      <c r="I1238" s="48"/>
      <c r="J1238" s="48"/>
      <c r="K1238" s="12"/>
      <c r="L1238" s="80"/>
      <c r="M1238" s="80"/>
      <c r="N1238" s="80"/>
      <c r="O1238" s="80"/>
      <c r="P1238" s="80"/>
      <c r="Q1238" s="80"/>
      <c r="R1238" s="80"/>
      <c r="S1238" s="42"/>
    </row>
    <row r="1239" hidden="1">
      <c r="A1239" s="12"/>
      <c r="B1239" s="12"/>
      <c r="C1239" s="76"/>
      <c r="D1239" s="83"/>
      <c r="E1239" s="10"/>
      <c r="F1239" s="12"/>
      <c r="G1239" s="12"/>
      <c r="H1239" s="17"/>
      <c r="I1239" s="48"/>
      <c r="J1239" s="48"/>
      <c r="K1239" s="12"/>
      <c r="L1239" s="80"/>
      <c r="M1239" s="80"/>
      <c r="N1239" s="80"/>
      <c r="O1239" s="80"/>
      <c r="P1239" s="80"/>
      <c r="Q1239" s="80"/>
      <c r="R1239" s="80"/>
      <c r="S1239" s="42"/>
    </row>
    <row r="1240" hidden="1">
      <c r="A1240" s="12"/>
      <c r="B1240" s="12"/>
      <c r="C1240" s="76"/>
      <c r="D1240" s="83"/>
      <c r="E1240" s="10"/>
      <c r="F1240" s="12"/>
      <c r="G1240" s="12"/>
      <c r="H1240" s="17"/>
      <c r="I1240" s="48"/>
      <c r="J1240" s="48"/>
      <c r="K1240" s="12"/>
      <c r="L1240" s="80"/>
      <c r="M1240" s="80"/>
      <c r="N1240" s="80"/>
      <c r="O1240" s="80"/>
      <c r="P1240" s="80"/>
      <c r="Q1240" s="80"/>
      <c r="R1240" s="80"/>
      <c r="S1240" s="42"/>
    </row>
    <row r="1241" hidden="1">
      <c r="A1241" s="12"/>
      <c r="B1241" s="12"/>
      <c r="C1241" s="76"/>
      <c r="D1241" s="83"/>
      <c r="E1241" s="10"/>
      <c r="F1241" s="12"/>
      <c r="G1241" s="12"/>
      <c r="H1241" s="17"/>
      <c r="I1241" s="48"/>
      <c r="J1241" s="48"/>
      <c r="K1241" s="12"/>
      <c r="L1241" s="80"/>
      <c r="M1241" s="80"/>
      <c r="N1241" s="80"/>
      <c r="O1241" s="80"/>
      <c r="P1241" s="80"/>
      <c r="Q1241" s="80"/>
      <c r="R1241" s="80"/>
      <c r="S1241" s="42"/>
    </row>
    <row r="1242" hidden="1">
      <c r="A1242" s="12"/>
      <c r="B1242" s="12"/>
      <c r="C1242" s="76"/>
      <c r="D1242" s="83"/>
      <c r="E1242" s="10"/>
      <c r="F1242" s="12"/>
      <c r="G1242" s="12"/>
      <c r="H1242" s="17"/>
      <c r="I1242" s="48"/>
      <c r="J1242" s="48"/>
      <c r="K1242" s="12"/>
      <c r="L1242" s="80"/>
      <c r="M1242" s="80"/>
      <c r="N1242" s="80"/>
      <c r="O1242" s="80"/>
      <c r="P1242" s="80"/>
      <c r="Q1242" s="80"/>
      <c r="R1242" s="80"/>
      <c r="S1242" s="42"/>
    </row>
    <row r="1243" hidden="1">
      <c r="A1243" s="12"/>
      <c r="B1243" s="12"/>
      <c r="C1243" s="76"/>
      <c r="D1243" s="83"/>
      <c r="E1243" s="10"/>
      <c r="F1243" s="12"/>
      <c r="G1243" s="12"/>
      <c r="H1243" s="17"/>
      <c r="I1243" s="48"/>
      <c r="J1243" s="48"/>
      <c r="K1243" s="12"/>
      <c r="L1243" s="80"/>
      <c r="M1243" s="80"/>
      <c r="N1243" s="80"/>
      <c r="O1243" s="80"/>
      <c r="P1243" s="80"/>
      <c r="Q1243" s="80"/>
      <c r="R1243" s="80"/>
      <c r="S1243" s="42"/>
    </row>
    <row r="1244" hidden="1">
      <c r="A1244" s="12"/>
      <c r="B1244" s="12"/>
      <c r="C1244" s="76"/>
      <c r="D1244" s="83"/>
      <c r="E1244" s="10"/>
      <c r="F1244" s="12"/>
      <c r="G1244" s="12"/>
      <c r="H1244" s="17"/>
      <c r="I1244" s="48"/>
      <c r="J1244" s="48"/>
      <c r="K1244" s="12"/>
      <c r="L1244" s="80"/>
      <c r="M1244" s="80"/>
      <c r="N1244" s="80"/>
      <c r="O1244" s="80"/>
      <c r="P1244" s="80"/>
      <c r="Q1244" s="80"/>
      <c r="R1244" s="80"/>
      <c r="S1244" s="42"/>
    </row>
    <row r="1245" hidden="1">
      <c r="A1245" s="12"/>
      <c r="B1245" s="12"/>
      <c r="C1245" s="76"/>
      <c r="D1245" s="83"/>
      <c r="E1245" s="10"/>
      <c r="F1245" s="12"/>
      <c r="G1245" s="12"/>
      <c r="H1245" s="17"/>
      <c r="I1245" s="48"/>
      <c r="J1245" s="48"/>
      <c r="K1245" s="12"/>
      <c r="L1245" s="80"/>
      <c r="M1245" s="80"/>
      <c r="N1245" s="80"/>
      <c r="O1245" s="80"/>
      <c r="P1245" s="80"/>
      <c r="Q1245" s="80"/>
      <c r="R1245" s="80"/>
      <c r="S1245" s="42"/>
    </row>
    <row r="1246" hidden="1">
      <c r="A1246" s="12"/>
      <c r="B1246" s="12"/>
      <c r="C1246" s="76"/>
      <c r="D1246" s="83"/>
      <c r="E1246" s="10"/>
      <c r="F1246" s="12"/>
      <c r="G1246" s="12"/>
      <c r="H1246" s="17"/>
      <c r="I1246" s="48"/>
      <c r="J1246" s="48"/>
      <c r="K1246" s="12"/>
      <c r="L1246" s="80"/>
      <c r="M1246" s="80"/>
      <c r="N1246" s="80"/>
      <c r="O1246" s="80"/>
      <c r="P1246" s="80"/>
      <c r="Q1246" s="80"/>
      <c r="R1246" s="80"/>
      <c r="S1246" s="42"/>
    </row>
    <row r="1247" hidden="1">
      <c r="A1247" s="12"/>
      <c r="B1247" s="12"/>
      <c r="C1247" s="76"/>
      <c r="D1247" s="83"/>
      <c r="E1247" s="10"/>
      <c r="F1247" s="12"/>
      <c r="G1247" s="12"/>
      <c r="H1247" s="17"/>
      <c r="I1247" s="48"/>
      <c r="J1247" s="48"/>
      <c r="K1247" s="12"/>
      <c r="L1247" s="80"/>
      <c r="M1247" s="80"/>
      <c r="N1247" s="80"/>
      <c r="O1247" s="80"/>
      <c r="P1247" s="80"/>
      <c r="Q1247" s="80"/>
      <c r="R1247" s="80"/>
      <c r="S1247" s="42"/>
    </row>
    <row r="1248" hidden="1">
      <c r="A1248" s="12"/>
      <c r="B1248" s="12"/>
      <c r="C1248" s="76"/>
      <c r="D1248" s="83"/>
      <c r="E1248" s="10"/>
      <c r="F1248" s="12"/>
      <c r="G1248" s="12"/>
      <c r="H1248" s="17"/>
      <c r="I1248" s="48"/>
      <c r="J1248" s="48"/>
      <c r="K1248" s="12"/>
      <c r="L1248" s="80"/>
      <c r="M1248" s="80"/>
      <c r="N1248" s="80"/>
      <c r="O1248" s="80"/>
      <c r="P1248" s="80"/>
      <c r="Q1248" s="80"/>
      <c r="R1248" s="80"/>
      <c r="S1248" s="42"/>
    </row>
    <row r="1249" hidden="1">
      <c r="A1249" s="12"/>
      <c r="B1249" s="12"/>
      <c r="C1249" s="76"/>
      <c r="D1249" s="83"/>
      <c r="E1249" s="10"/>
      <c r="F1249" s="12"/>
      <c r="G1249" s="12"/>
      <c r="H1249" s="17"/>
      <c r="I1249" s="48"/>
      <c r="J1249" s="48"/>
      <c r="K1249" s="12"/>
      <c r="L1249" s="80"/>
      <c r="M1249" s="80"/>
      <c r="N1249" s="80"/>
      <c r="O1249" s="80"/>
      <c r="P1249" s="80"/>
      <c r="Q1249" s="80"/>
      <c r="R1249" s="80"/>
      <c r="S1249" s="42"/>
    </row>
    <row r="1250" hidden="1">
      <c r="A1250" s="12"/>
      <c r="B1250" s="12"/>
      <c r="C1250" s="76"/>
      <c r="D1250" s="83"/>
      <c r="E1250" s="10"/>
      <c r="F1250" s="12"/>
      <c r="G1250" s="12"/>
      <c r="H1250" s="17"/>
      <c r="I1250" s="48"/>
      <c r="J1250" s="48"/>
      <c r="K1250" s="12"/>
      <c r="L1250" s="80"/>
      <c r="M1250" s="80"/>
      <c r="N1250" s="80"/>
      <c r="O1250" s="80"/>
      <c r="P1250" s="80"/>
      <c r="Q1250" s="80"/>
      <c r="R1250" s="80"/>
      <c r="S1250" s="42"/>
    </row>
    <row r="1251" hidden="1">
      <c r="A1251" s="12"/>
      <c r="B1251" s="12"/>
      <c r="C1251" s="76"/>
      <c r="D1251" s="83"/>
      <c r="E1251" s="10"/>
      <c r="F1251" s="12"/>
      <c r="G1251" s="12"/>
      <c r="H1251" s="17"/>
      <c r="I1251" s="48"/>
      <c r="J1251" s="48"/>
      <c r="K1251" s="12"/>
      <c r="L1251" s="80"/>
      <c r="M1251" s="80"/>
      <c r="N1251" s="80"/>
      <c r="O1251" s="80"/>
      <c r="P1251" s="80"/>
      <c r="Q1251" s="80"/>
      <c r="R1251" s="80"/>
      <c r="S1251" s="42"/>
    </row>
    <row r="1252" hidden="1">
      <c r="A1252" s="12"/>
      <c r="B1252" s="12"/>
      <c r="C1252" s="76"/>
      <c r="D1252" s="83"/>
      <c r="E1252" s="10"/>
      <c r="F1252" s="12"/>
      <c r="G1252" s="12"/>
      <c r="H1252" s="17"/>
      <c r="I1252" s="48"/>
      <c r="J1252" s="48"/>
      <c r="K1252" s="12"/>
      <c r="L1252" s="80"/>
      <c r="M1252" s="80"/>
      <c r="N1252" s="80"/>
      <c r="O1252" s="80"/>
      <c r="P1252" s="80"/>
      <c r="Q1252" s="80"/>
      <c r="R1252" s="80"/>
      <c r="S1252" s="42"/>
    </row>
    <row r="1253" hidden="1">
      <c r="A1253" s="12"/>
      <c r="B1253" s="12"/>
      <c r="C1253" s="76"/>
      <c r="D1253" s="83"/>
      <c r="E1253" s="10"/>
      <c r="F1253" s="12"/>
      <c r="G1253" s="12"/>
      <c r="H1253" s="17"/>
      <c r="I1253" s="48"/>
      <c r="J1253" s="48"/>
      <c r="K1253" s="12"/>
      <c r="L1253" s="80"/>
      <c r="M1253" s="80"/>
      <c r="N1253" s="80"/>
      <c r="O1253" s="80"/>
      <c r="P1253" s="80"/>
      <c r="Q1253" s="80"/>
      <c r="R1253" s="80"/>
      <c r="S1253" s="42"/>
    </row>
    <row r="1254" hidden="1">
      <c r="A1254" s="12"/>
      <c r="B1254" s="12"/>
      <c r="C1254" s="76"/>
      <c r="D1254" s="83"/>
      <c r="E1254" s="10"/>
      <c r="F1254" s="12"/>
      <c r="G1254" s="12"/>
      <c r="H1254" s="17"/>
      <c r="I1254" s="48"/>
      <c r="J1254" s="48"/>
      <c r="K1254" s="12"/>
      <c r="L1254" s="80"/>
      <c r="M1254" s="80"/>
      <c r="N1254" s="80"/>
      <c r="O1254" s="80"/>
      <c r="P1254" s="80"/>
      <c r="Q1254" s="80"/>
      <c r="R1254" s="80"/>
      <c r="S1254" s="42"/>
    </row>
    <row r="1255" hidden="1">
      <c r="A1255" s="12"/>
      <c r="B1255" s="12"/>
      <c r="C1255" s="76"/>
      <c r="D1255" s="83"/>
      <c r="E1255" s="10"/>
      <c r="F1255" s="12"/>
      <c r="G1255" s="12"/>
      <c r="H1255" s="17"/>
      <c r="I1255" s="48"/>
      <c r="J1255" s="48"/>
      <c r="K1255" s="12"/>
      <c r="L1255" s="80"/>
      <c r="M1255" s="80"/>
      <c r="N1255" s="80"/>
      <c r="O1255" s="80"/>
      <c r="P1255" s="80"/>
      <c r="Q1255" s="80"/>
      <c r="R1255" s="80"/>
      <c r="S1255" s="42"/>
    </row>
    <row r="1256" hidden="1">
      <c r="A1256" s="12"/>
      <c r="B1256" s="12"/>
      <c r="C1256" s="76"/>
      <c r="D1256" s="83"/>
      <c r="E1256" s="10"/>
      <c r="F1256" s="12"/>
      <c r="G1256" s="12"/>
      <c r="H1256" s="17"/>
      <c r="I1256" s="48"/>
      <c r="J1256" s="48"/>
      <c r="K1256" s="12"/>
      <c r="L1256" s="80"/>
      <c r="M1256" s="80"/>
      <c r="N1256" s="80"/>
      <c r="O1256" s="80"/>
      <c r="P1256" s="80"/>
      <c r="Q1256" s="80"/>
      <c r="R1256" s="80"/>
      <c r="S1256" s="42"/>
    </row>
    <row r="1257" hidden="1">
      <c r="A1257" s="12"/>
      <c r="B1257" s="12"/>
      <c r="C1257" s="76"/>
      <c r="D1257" s="83"/>
      <c r="E1257" s="10"/>
      <c r="F1257" s="12"/>
      <c r="G1257" s="12"/>
      <c r="H1257" s="17"/>
      <c r="I1257" s="48"/>
      <c r="J1257" s="48"/>
      <c r="K1257" s="12"/>
      <c r="L1257" s="80"/>
      <c r="M1257" s="80"/>
      <c r="N1257" s="80"/>
      <c r="O1257" s="80"/>
      <c r="P1257" s="80"/>
      <c r="Q1257" s="80"/>
      <c r="R1257" s="80"/>
      <c r="S1257" s="42"/>
    </row>
    <row r="1258" hidden="1">
      <c r="A1258" s="12"/>
      <c r="B1258" s="12"/>
      <c r="C1258" s="76"/>
      <c r="D1258" s="83"/>
      <c r="E1258" s="10"/>
      <c r="F1258" s="12"/>
      <c r="G1258" s="12"/>
      <c r="H1258" s="17"/>
      <c r="I1258" s="48"/>
      <c r="J1258" s="48"/>
      <c r="K1258" s="12"/>
      <c r="L1258" s="80"/>
      <c r="M1258" s="80"/>
      <c r="N1258" s="80"/>
      <c r="O1258" s="80"/>
      <c r="P1258" s="80"/>
      <c r="Q1258" s="80"/>
      <c r="R1258" s="80"/>
      <c r="S1258" s="42"/>
    </row>
    <row r="1259" hidden="1">
      <c r="A1259" s="12"/>
      <c r="B1259" s="12"/>
      <c r="C1259" s="76"/>
      <c r="D1259" s="83"/>
      <c r="E1259" s="10"/>
      <c r="F1259" s="12"/>
      <c r="G1259" s="12"/>
      <c r="H1259" s="17"/>
      <c r="I1259" s="48"/>
      <c r="J1259" s="48"/>
      <c r="K1259" s="12"/>
      <c r="L1259" s="80"/>
      <c r="M1259" s="80"/>
      <c r="N1259" s="80"/>
      <c r="O1259" s="80"/>
      <c r="P1259" s="80"/>
      <c r="Q1259" s="80"/>
      <c r="R1259" s="80"/>
      <c r="S1259" s="42"/>
    </row>
    <row r="1260" hidden="1">
      <c r="A1260" s="12"/>
      <c r="B1260" s="12"/>
      <c r="C1260" s="76"/>
      <c r="D1260" s="83"/>
      <c r="E1260" s="10"/>
      <c r="F1260" s="12"/>
      <c r="G1260" s="12"/>
      <c r="H1260" s="17"/>
      <c r="I1260" s="48"/>
      <c r="J1260" s="48"/>
      <c r="K1260" s="12"/>
      <c r="L1260" s="80"/>
      <c r="M1260" s="80"/>
      <c r="N1260" s="80"/>
      <c r="O1260" s="80"/>
      <c r="P1260" s="80"/>
      <c r="Q1260" s="80"/>
      <c r="R1260" s="80"/>
      <c r="S1260" s="42"/>
    </row>
    <row r="1261" hidden="1">
      <c r="A1261" s="12"/>
      <c r="B1261" s="12"/>
      <c r="C1261" s="76"/>
      <c r="D1261" s="83"/>
      <c r="E1261" s="10"/>
      <c r="F1261" s="12"/>
      <c r="G1261" s="12"/>
      <c r="H1261" s="17"/>
      <c r="I1261" s="48"/>
      <c r="J1261" s="48"/>
      <c r="K1261" s="12"/>
      <c r="L1261" s="80"/>
      <c r="M1261" s="80"/>
      <c r="N1261" s="80"/>
      <c r="O1261" s="80"/>
      <c r="P1261" s="80"/>
      <c r="Q1261" s="80"/>
      <c r="R1261" s="80"/>
      <c r="S1261" s="42"/>
    </row>
    <row r="1262" hidden="1">
      <c r="A1262" s="12"/>
      <c r="B1262" s="12"/>
      <c r="C1262" s="76"/>
      <c r="D1262" s="83"/>
      <c r="E1262" s="10"/>
      <c r="F1262" s="12"/>
      <c r="G1262" s="12"/>
      <c r="H1262" s="17"/>
      <c r="I1262" s="48"/>
      <c r="J1262" s="48"/>
      <c r="K1262" s="12"/>
      <c r="L1262" s="80"/>
      <c r="M1262" s="80"/>
      <c r="N1262" s="80"/>
      <c r="O1262" s="80"/>
      <c r="P1262" s="80"/>
      <c r="Q1262" s="80"/>
      <c r="R1262" s="80"/>
      <c r="S1262" s="42"/>
    </row>
    <row r="1263" hidden="1">
      <c r="A1263" s="12"/>
      <c r="B1263" s="12"/>
      <c r="C1263" s="76"/>
      <c r="D1263" s="83"/>
      <c r="E1263" s="10"/>
      <c r="F1263" s="12"/>
      <c r="G1263" s="12"/>
      <c r="H1263" s="17"/>
      <c r="I1263" s="48"/>
      <c r="J1263" s="48"/>
      <c r="K1263" s="12"/>
      <c r="L1263" s="80"/>
      <c r="M1263" s="80"/>
      <c r="N1263" s="80"/>
      <c r="O1263" s="80"/>
      <c r="P1263" s="80"/>
      <c r="Q1263" s="80"/>
      <c r="R1263" s="80"/>
      <c r="S1263" s="42"/>
    </row>
    <row r="1264" hidden="1">
      <c r="A1264" s="12"/>
      <c r="B1264" s="12"/>
      <c r="C1264" s="76"/>
      <c r="D1264" s="83"/>
      <c r="E1264" s="10"/>
      <c r="F1264" s="12"/>
      <c r="G1264" s="12"/>
      <c r="H1264" s="17"/>
      <c r="I1264" s="48"/>
      <c r="J1264" s="48"/>
      <c r="K1264" s="12"/>
      <c r="L1264" s="80"/>
      <c r="M1264" s="80"/>
      <c r="N1264" s="80"/>
      <c r="O1264" s="80"/>
      <c r="P1264" s="80"/>
      <c r="Q1264" s="80"/>
      <c r="R1264" s="80"/>
      <c r="S1264" s="42"/>
    </row>
    <row r="1265" hidden="1">
      <c r="A1265" s="12"/>
      <c r="B1265" s="12"/>
      <c r="C1265" s="76"/>
      <c r="D1265" s="83"/>
      <c r="E1265" s="10"/>
      <c r="F1265" s="12"/>
      <c r="G1265" s="12"/>
      <c r="H1265" s="17"/>
      <c r="I1265" s="48"/>
      <c r="J1265" s="48"/>
      <c r="K1265" s="12"/>
      <c r="L1265" s="80"/>
      <c r="M1265" s="80"/>
      <c r="N1265" s="80"/>
      <c r="O1265" s="80"/>
      <c r="P1265" s="80"/>
      <c r="Q1265" s="80"/>
      <c r="R1265" s="80"/>
      <c r="S1265" s="42"/>
    </row>
    <row r="1266" hidden="1">
      <c r="A1266" s="12"/>
      <c r="B1266" s="12"/>
      <c r="C1266" s="76"/>
      <c r="D1266" s="83"/>
      <c r="E1266" s="10"/>
      <c r="F1266" s="12"/>
      <c r="G1266" s="12"/>
      <c r="H1266" s="17"/>
      <c r="I1266" s="48"/>
      <c r="J1266" s="48"/>
      <c r="K1266" s="12"/>
      <c r="L1266" s="80"/>
      <c r="M1266" s="80"/>
      <c r="N1266" s="80"/>
      <c r="O1266" s="80"/>
      <c r="P1266" s="80"/>
      <c r="Q1266" s="80"/>
      <c r="R1266" s="80"/>
      <c r="S1266" s="42"/>
    </row>
    <row r="1267" hidden="1">
      <c r="A1267" s="12"/>
      <c r="B1267" s="12"/>
      <c r="C1267" s="76"/>
      <c r="D1267" s="83"/>
      <c r="E1267" s="10"/>
      <c r="F1267" s="12"/>
      <c r="G1267" s="12"/>
      <c r="H1267" s="17"/>
      <c r="I1267" s="48"/>
      <c r="J1267" s="48"/>
      <c r="K1267" s="12"/>
      <c r="L1267" s="80"/>
      <c r="M1267" s="80"/>
      <c r="N1267" s="80"/>
      <c r="O1267" s="80"/>
      <c r="P1267" s="80"/>
      <c r="Q1267" s="80"/>
      <c r="R1267" s="80"/>
      <c r="S1267" s="42"/>
    </row>
    <row r="1268" hidden="1">
      <c r="A1268" s="12"/>
      <c r="B1268" s="12"/>
      <c r="C1268" s="76"/>
      <c r="D1268" s="83"/>
      <c r="E1268" s="10"/>
      <c r="F1268" s="12"/>
      <c r="G1268" s="12"/>
      <c r="H1268" s="17"/>
      <c r="I1268" s="48"/>
      <c r="J1268" s="48"/>
      <c r="K1268" s="12"/>
      <c r="L1268" s="80"/>
      <c r="M1268" s="80"/>
      <c r="N1268" s="80"/>
      <c r="O1268" s="80"/>
      <c r="P1268" s="80"/>
      <c r="Q1268" s="80"/>
      <c r="R1268" s="80"/>
      <c r="S1268" s="42"/>
    </row>
    <row r="1269" hidden="1">
      <c r="A1269" s="12"/>
      <c r="B1269" s="12"/>
      <c r="C1269" s="76"/>
      <c r="D1269" s="83"/>
      <c r="E1269" s="10"/>
      <c r="F1269" s="12"/>
      <c r="G1269" s="12"/>
      <c r="H1269" s="17"/>
      <c r="I1269" s="48"/>
      <c r="J1269" s="48"/>
      <c r="K1269" s="12"/>
      <c r="L1269" s="80"/>
      <c r="M1269" s="80"/>
      <c r="N1269" s="80"/>
      <c r="O1269" s="80"/>
      <c r="P1269" s="80"/>
      <c r="Q1269" s="80"/>
      <c r="R1269" s="80"/>
      <c r="S1269" s="42"/>
    </row>
    <row r="1270" hidden="1">
      <c r="A1270" s="12"/>
      <c r="B1270" s="12"/>
      <c r="C1270" s="76"/>
      <c r="D1270" s="83"/>
      <c r="E1270" s="10"/>
      <c r="F1270" s="12"/>
      <c r="G1270" s="12"/>
      <c r="H1270" s="17"/>
      <c r="I1270" s="48"/>
      <c r="J1270" s="48"/>
      <c r="K1270" s="12"/>
      <c r="L1270" s="80"/>
      <c r="M1270" s="80"/>
      <c r="N1270" s="80"/>
      <c r="O1270" s="80"/>
      <c r="P1270" s="80"/>
      <c r="Q1270" s="80"/>
      <c r="R1270" s="80"/>
      <c r="S1270" s="42"/>
    </row>
    <row r="1271" hidden="1">
      <c r="A1271" s="12"/>
      <c r="B1271" s="12"/>
      <c r="C1271" s="76"/>
      <c r="D1271" s="83"/>
      <c r="E1271" s="10"/>
      <c r="F1271" s="12"/>
      <c r="G1271" s="12"/>
      <c r="H1271" s="17"/>
      <c r="I1271" s="48"/>
      <c r="J1271" s="48"/>
      <c r="K1271" s="12"/>
      <c r="L1271" s="80"/>
      <c r="M1271" s="80"/>
      <c r="N1271" s="80"/>
      <c r="O1271" s="80"/>
      <c r="P1271" s="80"/>
      <c r="Q1271" s="80"/>
      <c r="R1271" s="80"/>
      <c r="S1271" s="42"/>
    </row>
    <row r="1272" hidden="1">
      <c r="A1272" s="12"/>
      <c r="B1272" s="12"/>
      <c r="C1272" s="76"/>
      <c r="D1272" s="83"/>
      <c r="E1272" s="10"/>
      <c r="F1272" s="12"/>
      <c r="G1272" s="12"/>
      <c r="H1272" s="17"/>
      <c r="I1272" s="48"/>
      <c r="J1272" s="48"/>
      <c r="K1272" s="12"/>
      <c r="L1272" s="80"/>
      <c r="M1272" s="80"/>
      <c r="N1272" s="80"/>
      <c r="O1272" s="80"/>
      <c r="P1272" s="80"/>
      <c r="Q1272" s="80"/>
      <c r="R1272" s="80"/>
      <c r="S1272" s="42"/>
    </row>
    <row r="1273" hidden="1">
      <c r="A1273" s="12"/>
      <c r="B1273" s="12"/>
      <c r="C1273" s="76"/>
      <c r="D1273" s="83"/>
      <c r="E1273" s="10"/>
      <c r="F1273" s="12"/>
      <c r="G1273" s="12"/>
      <c r="H1273" s="17"/>
      <c r="I1273" s="48"/>
      <c r="J1273" s="48"/>
      <c r="K1273" s="12"/>
      <c r="L1273" s="80"/>
      <c r="M1273" s="80"/>
      <c r="N1273" s="80"/>
      <c r="O1273" s="80"/>
      <c r="P1273" s="80"/>
      <c r="Q1273" s="80"/>
      <c r="R1273" s="80"/>
      <c r="S1273" s="42"/>
    </row>
    <row r="1274" hidden="1">
      <c r="A1274" s="12"/>
      <c r="B1274" s="12"/>
      <c r="C1274" s="76"/>
      <c r="D1274" s="83"/>
      <c r="E1274" s="10"/>
      <c r="F1274" s="12"/>
      <c r="G1274" s="12"/>
      <c r="H1274" s="17"/>
      <c r="I1274" s="48"/>
      <c r="J1274" s="48"/>
      <c r="K1274" s="12"/>
      <c r="L1274" s="80"/>
      <c r="M1274" s="80"/>
      <c r="N1274" s="80"/>
      <c r="O1274" s="80"/>
      <c r="P1274" s="80"/>
      <c r="Q1274" s="80"/>
      <c r="R1274" s="80"/>
      <c r="S1274" s="42"/>
    </row>
    <row r="1275" hidden="1">
      <c r="A1275" s="12"/>
      <c r="B1275" s="12"/>
      <c r="C1275" s="76"/>
      <c r="D1275" s="83"/>
      <c r="E1275" s="10"/>
      <c r="F1275" s="12"/>
      <c r="G1275" s="12"/>
      <c r="H1275" s="17"/>
      <c r="I1275" s="48"/>
      <c r="J1275" s="48"/>
      <c r="K1275" s="12"/>
      <c r="L1275" s="80"/>
      <c r="M1275" s="80"/>
      <c r="N1275" s="80"/>
      <c r="O1275" s="80"/>
      <c r="P1275" s="80"/>
      <c r="Q1275" s="80"/>
      <c r="R1275" s="80"/>
      <c r="S1275" s="42"/>
    </row>
    <row r="1276" hidden="1">
      <c r="A1276" s="12"/>
      <c r="B1276" s="12"/>
      <c r="C1276" s="76"/>
      <c r="D1276" s="83"/>
      <c r="E1276" s="10"/>
      <c r="F1276" s="12"/>
      <c r="G1276" s="12"/>
      <c r="H1276" s="17"/>
      <c r="I1276" s="48"/>
      <c r="J1276" s="48"/>
      <c r="K1276" s="12"/>
      <c r="L1276" s="80"/>
      <c r="M1276" s="80"/>
      <c r="N1276" s="80"/>
      <c r="O1276" s="80"/>
      <c r="P1276" s="80"/>
      <c r="Q1276" s="80"/>
      <c r="R1276" s="80"/>
      <c r="S1276" s="42"/>
    </row>
    <row r="1277" hidden="1">
      <c r="A1277" s="12"/>
      <c r="B1277" s="12"/>
      <c r="C1277" s="76"/>
      <c r="D1277" s="83"/>
      <c r="E1277" s="10"/>
      <c r="F1277" s="12"/>
      <c r="G1277" s="12"/>
      <c r="H1277" s="17"/>
      <c r="I1277" s="48"/>
      <c r="J1277" s="48"/>
      <c r="K1277" s="12"/>
      <c r="L1277" s="80"/>
      <c r="M1277" s="80"/>
      <c r="N1277" s="80"/>
      <c r="O1277" s="80"/>
      <c r="P1277" s="80"/>
      <c r="Q1277" s="80"/>
      <c r="R1277" s="80"/>
      <c r="S1277" s="42"/>
    </row>
    <row r="1278" hidden="1">
      <c r="A1278" s="12"/>
      <c r="B1278" s="12"/>
      <c r="C1278" s="76"/>
      <c r="D1278" s="83"/>
      <c r="E1278" s="10"/>
      <c r="F1278" s="12"/>
      <c r="G1278" s="12"/>
      <c r="H1278" s="17"/>
      <c r="I1278" s="48"/>
      <c r="J1278" s="48"/>
      <c r="K1278" s="12"/>
      <c r="L1278" s="80"/>
      <c r="M1278" s="80"/>
      <c r="N1278" s="80"/>
      <c r="O1278" s="80"/>
      <c r="P1278" s="80"/>
      <c r="Q1278" s="80"/>
      <c r="R1278" s="80"/>
      <c r="S1278" s="42"/>
    </row>
    <row r="1279" hidden="1">
      <c r="A1279" s="12"/>
      <c r="B1279" s="12"/>
      <c r="C1279" s="76"/>
      <c r="D1279" s="83"/>
      <c r="E1279" s="10"/>
      <c r="F1279" s="12"/>
      <c r="G1279" s="12"/>
      <c r="H1279" s="17"/>
      <c r="I1279" s="48"/>
      <c r="J1279" s="48"/>
      <c r="K1279" s="12"/>
      <c r="L1279" s="80"/>
      <c r="M1279" s="80"/>
      <c r="N1279" s="80"/>
      <c r="O1279" s="80"/>
      <c r="P1279" s="80"/>
      <c r="Q1279" s="80"/>
      <c r="R1279" s="80"/>
      <c r="S1279" s="42"/>
    </row>
    <row r="1280" hidden="1">
      <c r="A1280" s="12"/>
      <c r="B1280" s="12"/>
      <c r="C1280" s="76"/>
      <c r="D1280" s="83"/>
      <c r="E1280" s="10"/>
      <c r="F1280" s="12"/>
      <c r="G1280" s="12"/>
      <c r="H1280" s="17"/>
      <c r="I1280" s="48"/>
      <c r="J1280" s="48"/>
      <c r="K1280" s="12"/>
      <c r="L1280" s="80"/>
      <c r="M1280" s="80"/>
      <c r="N1280" s="80"/>
      <c r="O1280" s="80"/>
      <c r="P1280" s="80"/>
      <c r="Q1280" s="80"/>
      <c r="R1280" s="80"/>
      <c r="S1280" s="42"/>
    </row>
    <row r="1281" hidden="1">
      <c r="A1281" s="12"/>
      <c r="B1281" s="12"/>
      <c r="C1281" s="76"/>
      <c r="D1281" s="83"/>
      <c r="E1281" s="10"/>
      <c r="F1281" s="12"/>
      <c r="G1281" s="12"/>
      <c r="H1281" s="17"/>
      <c r="I1281" s="48"/>
      <c r="J1281" s="48"/>
      <c r="K1281" s="12"/>
      <c r="L1281" s="80"/>
      <c r="M1281" s="80"/>
      <c r="N1281" s="80"/>
      <c r="O1281" s="80"/>
      <c r="P1281" s="80"/>
      <c r="Q1281" s="80"/>
      <c r="R1281" s="80"/>
      <c r="S1281" s="42"/>
    </row>
    <row r="1282" hidden="1">
      <c r="A1282" s="12"/>
      <c r="B1282" s="12"/>
      <c r="C1282" s="76"/>
      <c r="D1282" s="83"/>
      <c r="E1282" s="10"/>
      <c r="F1282" s="12"/>
      <c r="G1282" s="12"/>
      <c r="H1282" s="17"/>
      <c r="I1282" s="48"/>
      <c r="J1282" s="48"/>
      <c r="K1282" s="12"/>
      <c r="L1282" s="80"/>
      <c r="M1282" s="80"/>
      <c r="N1282" s="80"/>
      <c r="O1282" s="80"/>
      <c r="P1282" s="80"/>
      <c r="Q1282" s="80"/>
      <c r="R1282" s="80"/>
      <c r="S1282" s="42"/>
    </row>
    <row r="1283" hidden="1">
      <c r="A1283" s="12"/>
      <c r="B1283" s="12"/>
      <c r="C1283" s="76"/>
      <c r="D1283" s="83"/>
      <c r="E1283" s="10"/>
      <c r="F1283" s="12"/>
      <c r="G1283" s="12"/>
      <c r="H1283" s="17"/>
      <c r="I1283" s="48"/>
      <c r="J1283" s="48"/>
      <c r="K1283" s="12"/>
      <c r="L1283" s="80"/>
      <c r="M1283" s="80"/>
      <c r="N1283" s="80"/>
      <c r="O1283" s="80"/>
      <c r="P1283" s="80"/>
      <c r="Q1283" s="80"/>
      <c r="R1283" s="80"/>
      <c r="S1283" s="42"/>
    </row>
    <row r="1284" hidden="1">
      <c r="A1284" s="12"/>
      <c r="B1284" s="12"/>
      <c r="C1284" s="76"/>
      <c r="D1284" s="83"/>
      <c r="E1284" s="10"/>
      <c r="F1284" s="12"/>
      <c r="G1284" s="12"/>
      <c r="H1284" s="17"/>
      <c r="I1284" s="48"/>
      <c r="J1284" s="48"/>
      <c r="K1284" s="12"/>
      <c r="L1284" s="80"/>
      <c r="M1284" s="80"/>
      <c r="N1284" s="80"/>
      <c r="O1284" s="80"/>
      <c r="P1284" s="80"/>
      <c r="Q1284" s="80"/>
      <c r="R1284" s="80"/>
      <c r="S1284" s="42"/>
    </row>
    <row r="1285" hidden="1">
      <c r="A1285" s="12"/>
      <c r="B1285" s="12"/>
      <c r="C1285" s="76"/>
      <c r="D1285" s="83"/>
      <c r="E1285" s="10"/>
      <c r="F1285" s="12"/>
      <c r="G1285" s="12"/>
      <c r="H1285" s="17"/>
      <c r="I1285" s="48"/>
      <c r="J1285" s="48"/>
      <c r="K1285" s="12"/>
      <c r="L1285" s="80"/>
      <c r="M1285" s="80"/>
      <c r="N1285" s="80"/>
      <c r="O1285" s="80"/>
      <c r="P1285" s="80"/>
      <c r="Q1285" s="80"/>
      <c r="R1285" s="80"/>
      <c r="S1285" s="42"/>
    </row>
    <row r="1286" hidden="1">
      <c r="A1286" s="12"/>
      <c r="B1286" s="12"/>
      <c r="C1286" s="76"/>
      <c r="D1286" s="83"/>
      <c r="E1286" s="10"/>
      <c r="F1286" s="12"/>
      <c r="G1286" s="12"/>
      <c r="H1286" s="17"/>
      <c r="I1286" s="48"/>
      <c r="J1286" s="48"/>
      <c r="K1286" s="12"/>
      <c r="L1286" s="80"/>
      <c r="M1286" s="80"/>
      <c r="N1286" s="80"/>
      <c r="O1286" s="80"/>
      <c r="P1286" s="80"/>
      <c r="Q1286" s="80"/>
      <c r="R1286" s="80"/>
      <c r="S1286" s="42"/>
    </row>
    <row r="1287" hidden="1">
      <c r="A1287" s="12"/>
      <c r="B1287" s="12"/>
      <c r="C1287" s="76"/>
      <c r="D1287" s="83"/>
      <c r="E1287" s="10"/>
      <c r="F1287" s="12"/>
      <c r="G1287" s="12"/>
      <c r="H1287" s="17"/>
      <c r="I1287" s="48"/>
      <c r="J1287" s="48"/>
      <c r="K1287" s="12"/>
      <c r="L1287" s="80"/>
      <c r="M1287" s="80"/>
      <c r="N1287" s="80"/>
      <c r="O1287" s="80"/>
      <c r="P1287" s="80"/>
      <c r="Q1287" s="80"/>
      <c r="R1287" s="80"/>
      <c r="S1287" s="42"/>
    </row>
    <row r="1288" hidden="1">
      <c r="A1288" s="12"/>
      <c r="B1288" s="12"/>
      <c r="C1288" s="76"/>
      <c r="D1288" s="83"/>
      <c r="E1288" s="10"/>
      <c r="F1288" s="12"/>
      <c r="G1288" s="12"/>
      <c r="H1288" s="17"/>
      <c r="I1288" s="48"/>
      <c r="J1288" s="48"/>
      <c r="K1288" s="12"/>
      <c r="L1288" s="80"/>
      <c r="M1288" s="80"/>
      <c r="N1288" s="80"/>
      <c r="O1288" s="80"/>
      <c r="P1288" s="80"/>
      <c r="Q1288" s="80"/>
      <c r="R1288" s="80"/>
      <c r="S1288" s="42"/>
    </row>
    <row r="1289" hidden="1">
      <c r="A1289" s="12"/>
      <c r="B1289" s="12"/>
      <c r="C1289" s="76"/>
      <c r="D1289" s="83"/>
      <c r="E1289" s="10"/>
      <c r="F1289" s="12"/>
      <c r="G1289" s="12"/>
      <c r="H1289" s="17"/>
      <c r="I1289" s="48"/>
      <c r="J1289" s="48"/>
      <c r="K1289" s="12"/>
      <c r="L1289" s="80"/>
      <c r="M1289" s="80"/>
      <c r="N1289" s="80"/>
      <c r="O1289" s="80"/>
      <c r="P1289" s="80"/>
      <c r="Q1289" s="80"/>
      <c r="R1289" s="80"/>
      <c r="S1289" s="42"/>
    </row>
    <row r="1290" hidden="1">
      <c r="A1290" s="12"/>
      <c r="B1290" s="12"/>
      <c r="C1290" s="76"/>
      <c r="D1290" s="83"/>
      <c r="E1290" s="10"/>
      <c r="F1290" s="12"/>
      <c r="G1290" s="12"/>
      <c r="H1290" s="17"/>
      <c r="I1290" s="48"/>
      <c r="J1290" s="48"/>
      <c r="K1290" s="12"/>
      <c r="L1290" s="80"/>
      <c r="M1290" s="80"/>
      <c r="N1290" s="80"/>
      <c r="O1290" s="80"/>
      <c r="P1290" s="80"/>
      <c r="Q1290" s="80"/>
      <c r="R1290" s="80"/>
      <c r="S1290" s="42"/>
    </row>
    <row r="1291" hidden="1">
      <c r="A1291" s="12"/>
      <c r="B1291" s="12"/>
      <c r="C1291" s="76"/>
      <c r="D1291" s="83"/>
      <c r="E1291" s="10"/>
      <c r="F1291" s="12"/>
      <c r="G1291" s="12"/>
      <c r="H1291" s="17"/>
      <c r="I1291" s="48"/>
      <c r="J1291" s="48"/>
      <c r="K1291" s="12"/>
      <c r="L1291" s="80"/>
      <c r="M1291" s="80"/>
      <c r="N1291" s="80"/>
      <c r="O1291" s="80"/>
      <c r="P1291" s="80"/>
      <c r="Q1291" s="80"/>
      <c r="R1291" s="80"/>
      <c r="S1291" s="42"/>
    </row>
    <row r="1292" hidden="1">
      <c r="A1292" s="12"/>
      <c r="B1292" s="12"/>
      <c r="C1292" s="76"/>
      <c r="D1292" s="83"/>
      <c r="E1292" s="10"/>
      <c r="F1292" s="12"/>
      <c r="G1292" s="12"/>
      <c r="H1292" s="17"/>
      <c r="I1292" s="48"/>
      <c r="J1292" s="48"/>
      <c r="K1292" s="12"/>
      <c r="L1292" s="80"/>
      <c r="M1292" s="80"/>
      <c r="N1292" s="80"/>
      <c r="O1292" s="80"/>
      <c r="P1292" s="80"/>
      <c r="Q1292" s="80"/>
      <c r="R1292" s="80"/>
      <c r="S1292" s="42"/>
    </row>
    <row r="1293" hidden="1">
      <c r="A1293" s="12"/>
      <c r="B1293" s="12"/>
      <c r="C1293" s="76"/>
      <c r="D1293" s="83"/>
      <c r="E1293" s="10"/>
      <c r="F1293" s="12"/>
      <c r="G1293" s="12"/>
      <c r="H1293" s="17"/>
      <c r="I1293" s="48"/>
      <c r="J1293" s="48"/>
      <c r="K1293" s="12"/>
      <c r="L1293" s="80"/>
      <c r="M1293" s="80"/>
      <c r="N1293" s="80"/>
      <c r="O1293" s="80"/>
      <c r="P1293" s="80"/>
      <c r="Q1293" s="80"/>
      <c r="R1293" s="80"/>
      <c r="S1293" s="42"/>
    </row>
    <row r="1294" hidden="1">
      <c r="A1294" s="12"/>
      <c r="B1294" s="12"/>
      <c r="C1294" s="76"/>
      <c r="D1294" s="83"/>
      <c r="E1294" s="10"/>
      <c r="F1294" s="12"/>
      <c r="G1294" s="12"/>
      <c r="H1294" s="17"/>
      <c r="I1294" s="48"/>
      <c r="J1294" s="48"/>
      <c r="K1294" s="12"/>
      <c r="L1294" s="80"/>
      <c r="M1294" s="80"/>
      <c r="N1294" s="80"/>
      <c r="O1294" s="80"/>
      <c r="P1294" s="80"/>
      <c r="Q1294" s="80"/>
      <c r="R1294" s="80"/>
      <c r="S1294" s="42"/>
    </row>
    <row r="1295" hidden="1">
      <c r="A1295" s="12"/>
      <c r="B1295" s="12"/>
      <c r="C1295" s="76"/>
      <c r="D1295" s="83"/>
      <c r="E1295" s="10"/>
      <c r="F1295" s="12"/>
      <c r="G1295" s="12"/>
      <c r="H1295" s="17"/>
      <c r="I1295" s="48"/>
      <c r="J1295" s="48"/>
      <c r="K1295" s="12"/>
      <c r="L1295" s="80"/>
      <c r="M1295" s="80"/>
      <c r="N1295" s="80"/>
      <c r="O1295" s="80"/>
      <c r="P1295" s="80"/>
      <c r="Q1295" s="80"/>
      <c r="R1295" s="80"/>
      <c r="S1295" s="42"/>
    </row>
    <row r="1296" hidden="1">
      <c r="A1296" s="12"/>
      <c r="B1296" s="12"/>
      <c r="C1296" s="76"/>
      <c r="D1296" s="83"/>
      <c r="E1296" s="10"/>
      <c r="F1296" s="12"/>
      <c r="G1296" s="12"/>
      <c r="H1296" s="17"/>
      <c r="I1296" s="48"/>
      <c r="J1296" s="48"/>
      <c r="K1296" s="12"/>
      <c r="L1296" s="80"/>
      <c r="M1296" s="80"/>
      <c r="N1296" s="80"/>
      <c r="O1296" s="80"/>
      <c r="P1296" s="80"/>
      <c r="Q1296" s="80"/>
      <c r="R1296" s="80"/>
      <c r="S1296" s="42"/>
    </row>
    <row r="1297" hidden="1">
      <c r="A1297" s="12"/>
      <c r="B1297" s="12"/>
      <c r="C1297" s="76"/>
      <c r="D1297" s="83"/>
      <c r="E1297" s="10"/>
      <c r="F1297" s="12"/>
      <c r="G1297" s="12"/>
      <c r="H1297" s="17"/>
      <c r="I1297" s="48"/>
      <c r="J1297" s="48"/>
      <c r="K1297" s="12"/>
      <c r="L1297" s="80"/>
      <c r="M1297" s="80"/>
      <c r="N1297" s="80"/>
      <c r="O1297" s="80"/>
      <c r="P1297" s="80"/>
      <c r="Q1297" s="80"/>
      <c r="R1297" s="80"/>
      <c r="S1297" s="42"/>
    </row>
  </sheetData>
  <autoFilter ref="$A$1:$S$1297">
    <filterColumn colId="1">
      <filters>
        <filter val="OKLA"/>
      </filters>
    </filterColumn>
    <filterColumn colId="0">
      <filters blank="1">
        <filter val="2025Q4-01-MC-NEXUS"/>
        <filter val="2025Q2-01-MC-TESTER"/>
        <filter val="2025Q3-02-MC-TESTER"/>
        <filter val="2025Q4-01-MC-TESTER"/>
        <filter val="2024Q3-01-MC-TESTER"/>
        <filter val="2025Q3-01-MC-TESTER"/>
      </filters>
    </filterColumn>
  </autoFil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2">
      <c r="B2" s="1">
        <v>6.39498867514E11</v>
      </c>
      <c r="C2" s="4" t="str">
        <f>IFERROR(__xludf.DUMMYFUNCTION("filter(BATTERY!E:E,BATTERY!I:I=B2)"),"#N/A")</f>
        <v>#N/A</v>
      </c>
      <c r="D2" s="6">
        <v>9.498867514E9</v>
      </c>
      <c r="E2" s="4" t="str">
        <f>IFERROR(__xludf.DUMMYFUNCTION("filter(BATTERY!E:E,BATTERY!I:I=D2)"),"519110002039240408000037")</f>
        <v>519110002039240408000037</v>
      </c>
    </row>
    <row r="3">
      <c r="B3" s="1">
        <v>6.3998864812E11</v>
      </c>
      <c r="C3" s="4" t="str">
        <f>IFERROR(__xludf.DUMMYFUNCTION("filter(BATTERY!E:E,BATTERY!I:I=B3)"),"#N/A")</f>
        <v>#N/A</v>
      </c>
      <c r="D3" s="6">
        <v>9.98864812E9</v>
      </c>
      <c r="E3" s="4" t="str">
        <f>IFERROR(__xludf.DUMMYFUNCTION("filter(BATTERY!E:E,BATTERY!I:I=D3)"),"519110002039240408000067")</f>
        <v>519110002039240408000067</v>
      </c>
    </row>
    <row r="4">
      <c r="B4" s="1">
        <v>6.39985706932E11</v>
      </c>
      <c r="C4" s="4" t="str">
        <f>IFERROR(__xludf.DUMMYFUNCTION("filter(BATTERY!E:E,BATTERY!I:I=B4)"),"#N/A")</f>
        <v>#N/A</v>
      </c>
      <c r="D4" s="6">
        <v>9.985706932E9</v>
      </c>
      <c r="E4" s="4" t="str">
        <f>IFERROR(__xludf.DUMMYFUNCTION("filter(BATTERY!E:E,BATTERY!I:I=D4)"),"519110002039240408000040")</f>
        <v>519110002039240408000040</v>
      </c>
    </row>
    <row r="5">
      <c r="B5" s="1">
        <v>6.39189342531E11</v>
      </c>
      <c r="C5" s="4" t="str">
        <f>IFERROR(__xludf.DUMMYFUNCTION("filter(BATTERY!E:E,BATTERY!I:I=B5)"),"#N/A")</f>
        <v>#N/A</v>
      </c>
      <c r="D5" s="6">
        <v>9.189342531E9</v>
      </c>
      <c r="E5" s="4" t="str">
        <f>IFERROR(__xludf.DUMMYFUNCTION("filter(BATTERY!E:E,BATTERY!I:I=D5)"),"519110002039240408000089")</f>
        <v>519110002039240408000089</v>
      </c>
    </row>
    <row r="6">
      <c r="B6" s="1">
        <v>6.3998510602E11</v>
      </c>
      <c r="C6" s="4" t="str">
        <f>IFERROR(__xludf.DUMMYFUNCTION("filter(BATTERY!E:E,BATTERY!I:I=B6)"),"#N/A")</f>
        <v>#N/A</v>
      </c>
      <c r="D6" s="6">
        <v>9.98510602E9</v>
      </c>
      <c r="E6" s="4" t="str">
        <f>IFERROR(__xludf.DUMMYFUNCTION("filter(BATTERY!E:E,BATTERY!I:I=D6)"),"519110002039240408000099")</f>
        <v>519110002039240408000099</v>
      </c>
    </row>
    <row r="7">
      <c r="B7" s="1">
        <v>6.39985615327E11</v>
      </c>
      <c r="C7" s="4" t="str">
        <f>IFERROR(__xludf.DUMMYFUNCTION("filter(BATTERY!E:E,BATTERY!I:I=B7)"),"#N/A")</f>
        <v>#N/A</v>
      </c>
      <c r="D7" s="6">
        <v>9.985615327E9</v>
      </c>
      <c r="E7" s="4" t="str">
        <f>IFERROR(__xludf.DUMMYFUNCTION("filter(BATTERY!E:E,BATTERY!I:I=D7)"),"519110002039240408000055")</f>
        <v>519110002039240408000055</v>
      </c>
    </row>
    <row r="8">
      <c r="B8" s="1">
        <v>6.39399835875E11</v>
      </c>
      <c r="C8" s="4" t="str">
        <f>IFERROR(__xludf.DUMMYFUNCTION("filter(BATTERY!E:E,BATTERY!I:I=B8)"),"#N/A")</f>
        <v>#N/A</v>
      </c>
      <c r="D8" s="6">
        <v>9.399835875E9</v>
      </c>
      <c r="E8" s="4" t="str">
        <f>IFERROR(__xludf.DUMMYFUNCTION("filter(BATTERY!E:E,BATTERY!I:I=D8)"),"519110002039240408000060")</f>
        <v>519110002039240408000060</v>
      </c>
    </row>
    <row r="9">
      <c r="B9" s="1">
        <v>6.39088175268E11</v>
      </c>
      <c r="C9" s="4" t="str">
        <f>IFERROR(__xludf.DUMMYFUNCTION("filter(BATTERY!E:E,BATTERY!I:I=B9)"),"#N/A")</f>
        <v>#N/A</v>
      </c>
      <c r="D9" s="6">
        <v>9.088175268E9</v>
      </c>
      <c r="E9" s="4" t="str">
        <f>IFERROR(__xludf.DUMMYFUNCTION("filter(BATTERY!E:E,BATTERY!I:I=D9)"),"519110002039240408000133")</f>
        <v>519110002039240408000133</v>
      </c>
    </row>
    <row r="10">
      <c r="B10" s="1">
        <v>6.39989748038E11</v>
      </c>
      <c r="C10" s="4" t="str">
        <f>IFERROR(__xludf.DUMMYFUNCTION("filter(BATTERY!E:E,BATTERY!I:I=B10)"),"#N/A")</f>
        <v>#N/A</v>
      </c>
      <c r="D10" s="6">
        <v>9.989748038E9</v>
      </c>
      <c r="E10" s="4" t="str">
        <f>IFERROR(__xludf.DUMMYFUNCTION("filter(BATTERY!E:E,BATTERY!I:I=D10)"),"519110002039240408000084")</f>
        <v>519110002039240408000084</v>
      </c>
    </row>
    <row r="11">
      <c r="B11" s="1">
        <v>6.39399055691E11</v>
      </c>
      <c r="C11" s="4" t="str">
        <f>IFERROR(__xludf.DUMMYFUNCTION("filter(BATTERY!E:E,BATTERY!I:I=B11)"),"#N/A")</f>
        <v>#N/A</v>
      </c>
      <c r="D11" s="6">
        <v>9.399055691E9</v>
      </c>
      <c r="E11" s="4" t="str">
        <f>IFERROR(__xludf.DUMMYFUNCTION("filter(BATTERY!E:E,BATTERY!I:I=D11)"),"519110002039240408000035")</f>
        <v>519110002039240408000035</v>
      </c>
    </row>
    <row r="12">
      <c r="B12" s="1">
        <v>6.39209585083E11</v>
      </c>
      <c r="C12" s="4" t="str">
        <f>IFERROR(__xludf.DUMMYFUNCTION("filter(BATTERY!E:E,BATTERY!I:I=B12)"),"#N/A")</f>
        <v>#N/A</v>
      </c>
      <c r="D12" s="6">
        <v>9.209585083E9</v>
      </c>
      <c r="E12" s="4" t="str">
        <f>IFERROR(__xludf.DUMMYFUNCTION("filter(BATTERY!E:E,BATTERY!I:I=D12)"),"519110002039240408000053")</f>
        <v>519110002039240408000053</v>
      </c>
    </row>
    <row r="13">
      <c r="B13" s="1">
        <v>6.39985675627E11</v>
      </c>
      <c r="C13" s="4" t="str">
        <f>IFERROR(__xludf.DUMMYFUNCTION("filter(BATTERY!E:E,BATTERY!I:I=B13)"),"#N/A")</f>
        <v>#N/A</v>
      </c>
      <c r="D13" s="6">
        <v>9.985675627E9</v>
      </c>
      <c r="E13" s="4" t="str">
        <f>IFERROR(__xludf.DUMMYFUNCTION("filter(BATTERY!E:E,BATTERY!I:I=D13)"),"519110002039240408000077")</f>
        <v>519110002039240408000077</v>
      </c>
    </row>
    <row r="14">
      <c r="B14" s="1">
        <v>6.39985416842E11</v>
      </c>
      <c r="C14" s="4" t="str">
        <f>IFERROR(__xludf.DUMMYFUNCTION("filter(BATTERY!E:E,BATTERY!I:I=B14)"),"#N/A")</f>
        <v>#N/A</v>
      </c>
      <c r="D14" s="6">
        <v>9.985416842E9</v>
      </c>
      <c r="E14" s="4" t="str">
        <f>IFERROR(__xludf.DUMMYFUNCTION("filter(BATTERY!E:E,BATTERY!I:I=D14)"),"519110002039240408000057")</f>
        <v>519110002039240408000057</v>
      </c>
    </row>
    <row r="15">
      <c r="B15" s="1">
        <v>6.39985738231E11</v>
      </c>
      <c r="C15" s="4" t="str">
        <f>IFERROR(__xludf.DUMMYFUNCTION("filter(BATTERY!E:E,BATTERY!I:I=B15)"),"#N/A")</f>
        <v>#N/A</v>
      </c>
      <c r="D15" s="6">
        <v>9.985738231E9</v>
      </c>
      <c r="E15" s="4" t="str">
        <f>IFERROR(__xludf.DUMMYFUNCTION("filter(BATTERY!E:E,BATTERY!I:I=D15)"),"519110002039240408000069")</f>
        <v>519110002039240408000069</v>
      </c>
    </row>
    <row r="16">
      <c r="B16" s="1">
        <v>6.39985459195E11</v>
      </c>
      <c r="C16" s="4" t="str">
        <f>IFERROR(__xludf.DUMMYFUNCTION("filter(BATTERY!E:E,BATTERY!I:I=B16)"),"#N/A")</f>
        <v>#N/A</v>
      </c>
      <c r="D16" s="6">
        <v>9.985459195E9</v>
      </c>
      <c r="E16" s="4" t="str">
        <f>IFERROR(__xludf.DUMMYFUNCTION("filter(BATTERY!E:E,BATTERY!I:I=D16)"),"519110002039240408000059")</f>
        <v>519110002039240408000059</v>
      </c>
    </row>
    <row r="17">
      <c r="B17" s="1">
        <v>6.39190712932E11</v>
      </c>
      <c r="C17" s="4" t="str">
        <f>IFERROR(__xludf.DUMMYFUNCTION("filter(BATTERY!E:E,BATTERY!I:I=B17)"),"#N/A")</f>
        <v>#N/A</v>
      </c>
      <c r="D17" s="6">
        <v>9.190712932E9</v>
      </c>
      <c r="E17" s="4" t="str">
        <f>IFERROR(__xludf.DUMMYFUNCTION("filter(BATTERY!E:E,BATTERY!I:I=D17)"),"519110002039240408000070")</f>
        <v>519110002039240408000070</v>
      </c>
    </row>
    <row r="18">
      <c r="A18" s="32"/>
      <c r="B18" s="33">
        <v>6.39189232481E11</v>
      </c>
      <c r="C18" s="32" t="str">
        <f>IFERROR(__xludf.DUMMYFUNCTION("filter(BATTERY!E:E,BATTERY!I:I=B18)"),"#N/A")</f>
        <v>#N/A</v>
      </c>
      <c r="D18" s="34">
        <v>9.189232481E9</v>
      </c>
      <c r="E18" s="32" t="str">
        <f>IFERROR(__xludf.DUMMYFUNCTION("filter(BATTERY!E:E,BATTERY!I:I=D18)"),"#N/A")</f>
        <v>#N/A</v>
      </c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>
      <c r="A19" s="32"/>
      <c r="B19" s="33">
        <v>6.39209460113E11</v>
      </c>
      <c r="C19" s="32" t="str">
        <f>IFERROR(__xludf.DUMMYFUNCTION("filter(BATTERY!E:E,BATTERY!I:I=B19)"),"#N/A")</f>
        <v>#N/A</v>
      </c>
      <c r="D19" s="34">
        <v>9.209460113E9</v>
      </c>
      <c r="E19" s="32" t="str">
        <f>IFERROR(__xludf.DUMMYFUNCTION("filter(BATTERY!E:E,BATTERY!I:I=D19)"),"#N/A")</f>
        <v>#N/A</v>
      </c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>
      <c r="A20" s="32"/>
      <c r="B20" s="33">
        <v>6.39088624958E11</v>
      </c>
      <c r="C20" s="32" t="str">
        <f>IFERROR(__xludf.DUMMYFUNCTION("filter(BATTERY!E:E,BATTERY!I:I=B20)"),"#N/A")</f>
        <v>#N/A</v>
      </c>
      <c r="D20" s="34">
        <v>9.088624958E9</v>
      </c>
      <c r="E20" s="32" t="str">
        <f>IFERROR(__xludf.DUMMYFUNCTION("filter(BATTERY!E:E,BATTERY!I:I=D20)"),"#N/A")</f>
        <v>#N/A</v>
      </c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>
      <c r="B21" s="1">
        <v>6.39189165677E11</v>
      </c>
      <c r="C21" s="4" t="str">
        <f>IFERROR(__xludf.DUMMYFUNCTION("filter(BATTERY!E:E,BATTERY!I:I=B21)"),"519110002370AAXXXMJK0484")</f>
        <v>519110002370AAXXXMJK0484</v>
      </c>
      <c r="D21" s="6">
        <v>9.189165677E9</v>
      </c>
      <c r="E21" s="4" t="str">
        <f>IFERROR(__xludf.DUMMYFUNCTION("filter(BATTERY!E:E,BATTERY!I:I=D21)"),"#N/A")</f>
        <v>#N/A</v>
      </c>
    </row>
    <row r="22">
      <c r="A22" s="32"/>
      <c r="B22" s="33">
        <v>6.39189361081E11</v>
      </c>
      <c r="C22" s="32" t="str">
        <f>IFERROR(__xludf.DUMMYFUNCTION("filter(BATTERY!E:E,BATTERY!I:I=B22)"),"#N/A")</f>
        <v>#N/A</v>
      </c>
      <c r="D22" s="34">
        <v>9.189361081E9</v>
      </c>
      <c r="E22" s="32" t="str">
        <f>IFERROR(__xludf.DUMMYFUNCTION("filter(BATTERY!E:E,BATTERY!I:I=D22)"),"#N/A")</f>
        <v>#N/A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>
      <c r="B23" s="1">
        <v>6.39189293192E11</v>
      </c>
      <c r="C23" s="4" t="str">
        <f>IFERROR(__xludf.DUMMYFUNCTION("filter(BATTERY!E:E,BATTERY!I:I=B23)"),"519110002370AAXXXMJK0240")</f>
        <v>519110002370AAXXXMJK0240</v>
      </c>
      <c r="D23" s="6">
        <v>9.189293192E9</v>
      </c>
      <c r="E23" s="4" t="str">
        <f>IFERROR(__xludf.DUMMYFUNCTION("filter(BATTERY!E:E,BATTERY!I:I=D23)"),"#N/A")</f>
        <v>#N/A</v>
      </c>
    </row>
    <row r="24">
      <c r="B24" s="1">
        <v>6.39209527435E11</v>
      </c>
      <c r="C24" s="4" t="str">
        <f>IFERROR(__xludf.DUMMYFUNCTION("filter(BATTERY!E:E,BATTERY!I:I=B24)"),"519110002370AAXXXMJK0040")</f>
        <v>519110002370AAXXXMJK0040</v>
      </c>
      <c r="D24" s="6">
        <v>9.209527435E9</v>
      </c>
      <c r="E24" s="4" t="str">
        <f>IFERROR(__xludf.DUMMYFUNCTION("filter(BATTERY!E:E,BATTERY!I:I=D24)"),"#N/A")</f>
        <v>#N/A</v>
      </c>
    </row>
    <row r="25">
      <c r="B25" s="1">
        <v>6.39189228616E11</v>
      </c>
      <c r="C25" s="4" t="str">
        <f>IFERROR(__xludf.DUMMYFUNCTION("filter(BATTERY!E:E,BATTERY!I:I=B25)"),"519110002370AAXXXMJK0059")</f>
        <v>519110002370AAXXXMJK0059</v>
      </c>
      <c r="D25" s="6">
        <v>9.189228616E9</v>
      </c>
      <c r="E25" s="4" t="str">
        <f>IFERROR(__xludf.DUMMYFUNCTION("filter(BATTERY!E:E,BATTERY!I:I=D25)"),"#N/A")</f>
        <v>#N/A</v>
      </c>
    </row>
    <row r="26">
      <c r="A26" s="32"/>
      <c r="B26" s="33">
        <v>6.3918933807E11</v>
      </c>
      <c r="C26" s="32" t="str">
        <f>IFERROR(__xludf.DUMMYFUNCTION("filter(BATTERY!E:E,BATTERY!I:I=B26)"),"#N/A")</f>
        <v>#N/A</v>
      </c>
      <c r="D26" s="34">
        <v>9.18933807E9</v>
      </c>
      <c r="E26" s="32" t="str">
        <f>IFERROR(__xludf.DUMMYFUNCTION("filter(BATTERY!E:E,BATTERY!I:I=D26)"),"#N/A")</f>
        <v>#N/A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>
      <c r="A27" s="32"/>
      <c r="B27" s="33">
        <v>6.3918936298E11</v>
      </c>
      <c r="C27" s="32" t="str">
        <f>IFERROR(__xludf.DUMMYFUNCTION("filter(BATTERY!E:E,BATTERY!I:I=B27)"),"#N/A")</f>
        <v>#N/A</v>
      </c>
      <c r="D27" s="34">
        <v>9.18936298E9</v>
      </c>
      <c r="E27" s="32" t="str">
        <f>IFERROR(__xludf.DUMMYFUNCTION("filter(BATTERY!E:E,BATTERY!I:I=D27)"),"#N/A")</f>
        <v>#N/A</v>
      </c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>
      <c r="A28" s="32"/>
      <c r="B28" s="33">
        <v>6.39209510935E11</v>
      </c>
      <c r="C28" s="32" t="str">
        <f>IFERROR(__xludf.DUMMYFUNCTION("filter(BATTERY!E:E,BATTERY!I:I=B28)"),"#N/A")</f>
        <v>#N/A</v>
      </c>
      <c r="D28" s="34">
        <v>9.209510935E9</v>
      </c>
      <c r="E28" s="32" t="str">
        <f>IFERROR(__xludf.DUMMYFUNCTION("filter(BATTERY!E:E,BATTERY!I:I=D28)"),"#N/A")</f>
        <v>#N/A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>
      <c r="B29" s="1">
        <v>6.39189397387E11</v>
      </c>
      <c r="C29" s="4" t="str">
        <f>IFERROR(__xludf.DUMMYFUNCTION("filter(BATTERY!E:E,BATTERY!I:I=B29)"),"519110002370AAXXXJJK0241")</f>
        <v>519110002370AAXXXJJK0241</v>
      </c>
      <c r="D29" s="6">
        <v>9.189397387E9</v>
      </c>
      <c r="E29" s="4" t="str">
        <f>IFERROR(__xludf.DUMMYFUNCTION("filter(BATTERY!E:E,BATTERY!I:I=D29)"),"#N/A")</f>
        <v>#N/A</v>
      </c>
    </row>
    <row r="30">
      <c r="B30" s="1">
        <v>6.39189240652E11</v>
      </c>
      <c r="C30" s="4" t="str">
        <f>IFERROR(__xludf.DUMMYFUNCTION("filter(BATTERY!E:E,BATTERY!I:I=B30)"),"519110002370AAXXXMJK0205")</f>
        <v>519110002370AAXXXMJK0205</v>
      </c>
      <c r="D30" s="6">
        <v>9.189240652E9</v>
      </c>
      <c r="E30" s="4" t="str">
        <f>IFERROR(__xludf.DUMMYFUNCTION("filter(BATTERY!E:E,BATTERY!I:I=D30)"),"#N/A")</f>
        <v>#N/A</v>
      </c>
    </row>
    <row r="31">
      <c r="B31" s="1">
        <v>6.39209589148E11</v>
      </c>
      <c r="C31" s="4" t="str">
        <f>IFERROR(__xludf.DUMMYFUNCTION("filter(BATTERY!E:E,BATTERY!I:I=B31)"),"519110002370AAXXXMJK0527")</f>
        <v>519110002370AAXXXMJK0527</v>
      </c>
      <c r="D31" s="6">
        <v>9.209589148E9</v>
      </c>
      <c r="E31" s="4" t="str">
        <f>IFERROR(__xludf.DUMMYFUNCTION("filter(BATTERY!E:E,BATTERY!I:I=D31)"),"#N/A")</f>
        <v>#N/A</v>
      </c>
    </row>
    <row r="32">
      <c r="A32" s="32"/>
      <c r="B32" s="33">
        <v>6.39399749483E11</v>
      </c>
      <c r="C32" s="32" t="str">
        <f>IFERROR(__xludf.DUMMYFUNCTION("filter(BATTERY!E:E,BATTERY!I:I=B32)"),"#N/A")</f>
        <v>#N/A</v>
      </c>
      <c r="D32" s="34">
        <v>9.399749483E9</v>
      </c>
      <c r="E32" s="32" t="str">
        <f>IFERROR(__xludf.DUMMYFUNCTION("filter(BATTERY!E:E,BATTERY!I:I=D32)"),"#N/A")</f>
        <v>#N/A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>
      <c r="A33" s="32"/>
      <c r="B33" s="33">
        <v>6.39399868037E11</v>
      </c>
      <c r="C33" s="32" t="str">
        <f>IFERROR(__xludf.DUMMYFUNCTION("filter(BATTERY!E:E,BATTERY!I:I=B33)"),"#N/A")</f>
        <v>#N/A</v>
      </c>
      <c r="D33" s="34">
        <v>9.399868037E9</v>
      </c>
      <c r="E33" s="32" t="str">
        <f>IFERROR(__xludf.DUMMYFUNCTION("filter(BATTERY!E:E,BATTERY!I:I=D33)"),"#N/A")</f>
        <v>#N/A</v>
      </c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>
      <c r="A34" s="32"/>
      <c r="B34" s="33">
        <v>6.39399725842E11</v>
      </c>
      <c r="C34" s="32" t="str">
        <f>IFERROR(__xludf.DUMMYFUNCTION("filter(BATTERY!E:E,BATTERY!I:I=B34)"),"#N/A")</f>
        <v>#N/A</v>
      </c>
      <c r="D34" s="34">
        <v>9.399725842E9</v>
      </c>
      <c r="E34" s="32" t="str">
        <f>IFERROR(__xludf.DUMMYFUNCTION("filter(BATTERY!E:E,BATTERY!I:I=D34)"),"#N/A")</f>
        <v>#N/A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>
      <c r="A35" s="32"/>
      <c r="B35" s="33">
        <v>6.39399034241E11</v>
      </c>
      <c r="C35" s="32" t="str">
        <f>IFERROR(__xludf.DUMMYFUNCTION("filter(BATTERY!E:E,BATTERY!I:I=B35)"),"#N/A")</f>
        <v>#N/A</v>
      </c>
      <c r="D35" s="34">
        <v>9.399034241E9</v>
      </c>
      <c r="E35" s="32" t="str">
        <f>IFERROR(__xludf.DUMMYFUNCTION("filter(BATTERY!E:E,BATTERY!I:I=D35)"),"#N/A")</f>
        <v>#N/A</v>
      </c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14.88"/>
    <col customWidth="1" min="3" max="3" width="17.25"/>
    <col customWidth="1" min="4" max="4" width="18.38"/>
    <col customWidth="1" min="5" max="5" width="25.25"/>
    <col customWidth="1" min="6" max="6" width="22.63"/>
    <col customWidth="1" min="7" max="7" width="23.38"/>
    <col customWidth="1" min="8" max="8" width="16.25"/>
    <col customWidth="1" min="9" max="9" width="14.38"/>
    <col customWidth="1" min="10" max="10" width="14.88"/>
    <col customWidth="1" min="11" max="11" width="35.25"/>
    <col customWidth="1" min="12" max="12" width="13.38"/>
  </cols>
  <sheetData>
    <row r="1">
      <c r="A1" s="5" t="s">
        <v>0</v>
      </c>
      <c r="B1" s="5" t="s">
        <v>7</v>
      </c>
      <c r="C1" s="5" t="s">
        <v>1</v>
      </c>
      <c r="D1" s="5" t="s">
        <v>2</v>
      </c>
      <c r="E1" s="5" t="s">
        <v>12</v>
      </c>
      <c r="F1" s="5" t="s">
        <v>14</v>
      </c>
      <c r="G1" s="5" t="s">
        <v>16</v>
      </c>
      <c r="H1" s="5" t="s">
        <v>18</v>
      </c>
      <c r="I1" s="5" t="s">
        <v>20</v>
      </c>
      <c r="J1" s="5" t="s">
        <v>22</v>
      </c>
      <c r="K1" s="5" t="s">
        <v>24</v>
      </c>
      <c r="L1" s="5" t="s">
        <v>25</v>
      </c>
    </row>
    <row r="2">
      <c r="A2" s="9" t="s">
        <v>27</v>
      </c>
      <c r="B2" s="11" t="s">
        <v>30</v>
      </c>
      <c r="C2" s="11" t="s">
        <v>35</v>
      </c>
      <c r="D2" s="11" t="s">
        <v>37</v>
      </c>
      <c r="E2" s="11" t="s">
        <v>38</v>
      </c>
      <c r="F2" s="11">
        <v>8.61755070020125E14</v>
      </c>
      <c r="G2" s="11" t="s">
        <v>43</v>
      </c>
      <c r="H2" s="11" t="s">
        <v>45</v>
      </c>
      <c r="I2" s="11">
        <v>9.285210025E9</v>
      </c>
      <c r="J2" s="15">
        <v>45413.0</v>
      </c>
      <c r="K2" s="18"/>
      <c r="L2" s="11">
        <v>2.0250331E7</v>
      </c>
    </row>
    <row r="3">
      <c r="A3" s="9" t="s">
        <v>27</v>
      </c>
      <c r="B3" s="11" t="s">
        <v>30</v>
      </c>
      <c r="C3" s="11" t="s">
        <v>35</v>
      </c>
      <c r="D3" s="11" t="s">
        <v>37</v>
      </c>
      <c r="E3" s="11" t="s">
        <v>55</v>
      </c>
      <c r="F3" s="11">
        <v>8.6175507001623E14</v>
      </c>
      <c r="G3" s="11" t="s">
        <v>56</v>
      </c>
      <c r="H3" s="11" t="s">
        <v>45</v>
      </c>
      <c r="I3" s="11">
        <v>9.985459195E9</v>
      </c>
      <c r="J3" s="15">
        <v>45413.0</v>
      </c>
      <c r="K3" s="18"/>
      <c r="L3" s="11">
        <v>2.0250331E7</v>
      </c>
    </row>
    <row r="4">
      <c r="A4" s="9" t="s">
        <v>27</v>
      </c>
      <c r="B4" s="11" t="s">
        <v>30</v>
      </c>
      <c r="C4" s="11" t="s">
        <v>35</v>
      </c>
      <c r="D4" s="11" t="s">
        <v>37</v>
      </c>
      <c r="E4" s="11" t="s">
        <v>59</v>
      </c>
      <c r="F4" s="11">
        <v>8.61755070019713E14</v>
      </c>
      <c r="G4" s="11" t="s">
        <v>60</v>
      </c>
      <c r="H4" s="11" t="s">
        <v>45</v>
      </c>
      <c r="I4" s="11">
        <v>9.985416842E9</v>
      </c>
      <c r="J4" s="15">
        <v>45413.0</v>
      </c>
      <c r="K4" s="18"/>
      <c r="L4" s="11">
        <v>2.0250331E7</v>
      </c>
    </row>
    <row r="5">
      <c r="A5" s="9" t="s">
        <v>27</v>
      </c>
      <c r="B5" s="11" t="s">
        <v>30</v>
      </c>
      <c r="C5" s="11" t="s">
        <v>35</v>
      </c>
      <c r="D5" s="11" t="s">
        <v>37</v>
      </c>
      <c r="E5" s="11" t="s">
        <v>66</v>
      </c>
      <c r="F5" s="11">
        <v>8.61755070022493E14</v>
      </c>
      <c r="G5" s="11" t="s">
        <v>69</v>
      </c>
      <c r="H5" s="11" t="s">
        <v>45</v>
      </c>
      <c r="I5" s="11">
        <v>9.399835875E9</v>
      </c>
      <c r="J5" s="15">
        <v>45413.0</v>
      </c>
      <c r="K5" s="18"/>
      <c r="L5" s="11">
        <v>2.0250331E7</v>
      </c>
    </row>
    <row r="6">
      <c r="A6" s="9" t="s">
        <v>27</v>
      </c>
      <c r="B6" s="11" t="s">
        <v>30</v>
      </c>
      <c r="C6" s="11" t="s">
        <v>35</v>
      </c>
      <c r="D6" s="11" t="s">
        <v>37</v>
      </c>
      <c r="E6" s="11" t="s">
        <v>72</v>
      </c>
      <c r="F6" s="11">
        <v>8.61755070017097E14</v>
      </c>
      <c r="G6" s="11" t="s">
        <v>73</v>
      </c>
      <c r="H6" s="11" t="s">
        <v>45</v>
      </c>
      <c r="I6" s="11">
        <v>9.399135446E9</v>
      </c>
      <c r="J6" s="15">
        <v>45413.0</v>
      </c>
      <c r="K6" s="18"/>
      <c r="L6" s="11">
        <v>2.0250331E7</v>
      </c>
    </row>
    <row r="7">
      <c r="A7" s="9" t="s">
        <v>27</v>
      </c>
      <c r="B7" s="11" t="s">
        <v>30</v>
      </c>
      <c r="C7" s="11" t="s">
        <v>35</v>
      </c>
      <c r="D7" s="11" t="s">
        <v>37</v>
      </c>
      <c r="E7" s="11" t="s">
        <v>79</v>
      </c>
      <c r="F7" s="11">
        <v>8.61755070022022E14</v>
      </c>
      <c r="G7" s="11" t="s">
        <v>81</v>
      </c>
      <c r="H7" s="11" t="s">
        <v>45</v>
      </c>
      <c r="I7" s="11">
        <v>9.985486411E9</v>
      </c>
      <c r="J7" s="15">
        <v>45413.0</v>
      </c>
      <c r="K7" s="18"/>
      <c r="L7" s="11">
        <v>2.0250331E7</v>
      </c>
    </row>
    <row r="8">
      <c r="A8" s="9" t="s">
        <v>27</v>
      </c>
      <c r="B8" s="11" t="s">
        <v>30</v>
      </c>
      <c r="C8" s="11" t="s">
        <v>35</v>
      </c>
      <c r="D8" s="11" t="s">
        <v>37</v>
      </c>
      <c r="E8" s="11" t="s">
        <v>87</v>
      </c>
      <c r="F8" s="11">
        <v>8.61755070022154E14</v>
      </c>
      <c r="G8" s="11" t="s">
        <v>90</v>
      </c>
      <c r="H8" s="11" t="s">
        <v>45</v>
      </c>
      <c r="I8" s="11">
        <v>9.985738231E9</v>
      </c>
      <c r="J8" s="15">
        <v>45413.0</v>
      </c>
      <c r="K8" s="18"/>
      <c r="L8" s="11">
        <v>2.0250331E7</v>
      </c>
    </row>
    <row r="9">
      <c r="A9" s="9" t="s">
        <v>27</v>
      </c>
      <c r="B9" s="11" t="s">
        <v>30</v>
      </c>
      <c r="C9" s="11" t="s">
        <v>35</v>
      </c>
      <c r="D9" s="11" t="s">
        <v>37</v>
      </c>
      <c r="E9" s="11" t="s">
        <v>97</v>
      </c>
      <c r="F9" s="11">
        <v>8.61755070022659E14</v>
      </c>
      <c r="G9" s="11" t="s">
        <v>99</v>
      </c>
      <c r="H9" s="11" t="s">
        <v>45</v>
      </c>
      <c r="I9" s="11">
        <v>9.209631285E9</v>
      </c>
      <c r="J9" s="15">
        <v>45413.0</v>
      </c>
      <c r="K9" s="18"/>
      <c r="L9" s="11">
        <v>2.0250331E7</v>
      </c>
    </row>
    <row r="10">
      <c r="A10" s="9" t="s">
        <v>27</v>
      </c>
      <c r="B10" s="11" t="s">
        <v>30</v>
      </c>
      <c r="C10" s="11" t="s">
        <v>35</v>
      </c>
      <c r="D10" s="11" t="s">
        <v>37</v>
      </c>
      <c r="E10" s="11" t="s">
        <v>102</v>
      </c>
      <c r="F10" s="11">
        <v>8.61755070021263E14</v>
      </c>
      <c r="G10" s="11" t="s">
        <v>103</v>
      </c>
      <c r="H10" s="11" t="s">
        <v>45</v>
      </c>
      <c r="I10" s="11">
        <v>9.498867514E9</v>
      </c>
      <c r="J10" s="15">
        <v>45413.0</v>
      </c>
      <c r="K10" s="18"/>
      <c r="L10" s="11">
        <v>2.0250331E7</v>
      </c>
    </row>
    <row r="11">
      <c r="A11" s="9" t="s">
        <v>27</v>
      </c>
      <c r="B11" s="11" t="s">
        <v>30</v>
      </c>
      <c r="C11" s="11" t="s">
        <v>35</v>
      </c>
      <c r="D11" s="11" t="s">
        <v>37</v>
      </c>
      <c r="E11" s="11" t="s">
        <v>109</v>
      </c>
      <c r="F11" s="11">
        <v>8.61755070019408E14</v>
      </c>
      <c r="G11" s="11" t="s">
        <v>112</v>
      </c>
      <c r="H11" s="11" t="s">
        <v>45</v>
      </c>
      <c r="I11" s="11">
        <v>9.985706932E9</v>
      </c>
      <c r="J11" s="15">
        <v>45413.0</v>
      </c>
      <c r="K11" s="18"/>
      <c r="L11" s="11">
        <v>2.0250331E7</v>
      </c>
    </row>
    <row r="12">
      <c r="A12" s="9" t="s">
        <v>27</v>
      </c>
      <c r="B12" s="11" t="s">
        <v>30</v>
      </c>
      <c r="C12" s="11" t="s">
        <v>35</v>
      </c>
      <c r="D12" s="11" t="s">
        <v>37</v>
      </c>
      <c r="E12" s="11" t="s">
        <v>117</v>
      </c>
      <c r="F12" s="11">
        <v>8.61755070020208E14</v>
      </c>
      <c r="G12" s="11" t="s">
        <v>121</v>
      </c>
      <c r="H12" s="11" t="s">
        <v>45</v>
      </c>
      <c r="I12" s="11">
        <v>9.190728323E9</v>
      </c>
      <c r="J12" s="15">
        <v>45413.0</v>
      </c>
      <c r="K12" s="18"/>
      <c r="L12" s="11">
        <v>2.0250331E7</v>
      </c>
    </row>
    <row r="13">
      <c r="A13" s="9" t="s">
        <v>27</v>
      </c>
      <c r="B13" s="11" t="s">
        <v>30</v>
      </c>
      <c r="C13" s="11" t="s">
        <v>35</v>
      </c>
      <c r="D13" s="11" t="s">
        <v>37</v>
      </c>
      <c r="E13" s="11" t="s">
        <v>128</v>
      </c>
      <c r="F13" s="11">
        <v>8.61755070022139E14</v>
      </c>
      <c r="G13" s="11" t="s">
        <v>130</v>
      </c>
      <c r="H13" s="11" t="s">
        <v>45</v>
      </c>
      <c r="I13" s="11">
        <v>9.190712932E9</v>
      </c>
      <c r="J13" s="15">
        <v>45413.0</v>
      </c>
      <c r="K13" s="18"/>
      <c r="L13" s="11">
        <v>2.0250331E7</v>
      </c>
    </row>
    <row r="14">
      <c r="A14" s="9" t="s">
        <v>27</v>
      </c>
      <c r="B14" s="11" t="s">
        <v>136</v>
      </c>
      <c r="C14" s="11" t="s">
        <v>35</v>
      </c>
      <c r="D14" s="11" t="s">
        <v>37</v>
      </c>
      <c r="E14" s="11" t="s">
        <v>139</v>
      </c>
      <c r="F14" s="11">
        <v>8.61755070019614E14</v>
      </c>
      <c r="G14" s="11" t="s">
        <v>141</v>
      </c>
      <c r="H14" s="11" t="s">
        <v>45</v>
      </c>
      <c r="I14" s="11">
        <v>9.399055691E9</v>
      </c>
      <c r="J14" s="15">
        <v>45413.0</v>
      </c>
      <c r="K14" s="18"/>
      <c r="L14" s="11">
        <v>2.0250331E7</v>
      </c>
    </row>
    <row r="15">
      <c r="A15" s="9" t="s">
        <v>27</v>
      </c>
      <c r="B15" s="11" t="s">
        <v>136</v>
      </c>
      <c r="C15" s="11" t="s">
        <v>35</v>
      </c>
      <c r="D15" s="11" t="s">
        <v>37</v>
      </c>
      <c r="E15" s="11" t="s">
        <v>146</v>
      </c>
      <c r="F15" s="11">
        <v>8.61755070021255E14</v>
      </c>
      <c r="G15" s="11" t="s">
        <v>149</v>
      </c>
      <c r="H15" s="11" t="s">
        <v>45</v>
      </c>
      <c r="I15" s="11">
        <v>9.988618744E9</v>
      </c>
      <c r="J15" s="15">
        <v>45413.0</v>
      </c>
      <c r="K15" s="18"/>
      <c r="L15" s="11">
        <v>2.0250331E7</v>
      </c>
    </row>
    <row r="16">
      <c r="A16" s="9" t="s">
        <v>27</v>
      </c>
      <c r="B16" s="11" t="s">
        <v>136</v>
      </c>
      <c r="C16" s="11" t="s">
        <v>35</v>
      </c>
      <c r="D16" s="11" t="s">
        <v>37</v>
      </c>
      <c r="E16" s="11" t="s">
        <v>152</v>
      </c>
      <c r="F16" s="11">
        <v>8.61755070020224E14</v>
      </c>
      <c r="G16" s="11" t="s">
        <v>155</v>
      </c>
      <c r="H16" s="11" t="s">
        <v>45</v>
      </c>
      <c r="I16" s="11">
        <v>9.088175268E9</v>
      </c>
      <c r="J16" s="15">
        <v>45413.0</v>
      </c>
      <c r="K16" s="18"/>
      <c r="L16" s="11">
        <v>2.0250331E7</v>
      </c>
    </row>
    <row r="17">
      <c r="A17" s="9" t="s">
        <v>27</v>
      </c>
      <c r="B17" s="11" t="s">
        <v>136</v>
      </c>
      <c r="C17" s="11" t="s">
        <v>35</v>
      </c>
      <c r="D17" s="11" t="s">
        <v>37</v>
      </c>
      <c r="E17" s="11" t="s">
        <v>157</v>
      </c>
      <c r="F17" s="11">
        <v>8.61755070022006E14</v>
      </c>
      <c r="G17" s="11" t="s">
        <v>159</v>
      </c>
      <c r="H17" s="11" t="s">
        <v>45</v>
      </c>
      <c r="I17" s="11">
        <v>9.189342531E9</v>
      </c>
      <c r="J17" s="15">
        <v>45413.0</v>
      </c>
      <c r="K17" s="18"/>
      <c r="L17" s="11">
        <v>2.0250331E7</v>
      </c>
    </row>
    <row r="18">
      <c r="A18" s="9" t="s">
        <v>27</v>
      </c>
      <c r="B18" s="11" t="s">
        <v>136</v>
      </c>
      <c r="C18" s="11" t="s">
        <v>35</v>
      </c>
      <c r="D18" s="11" t="s">
        <v>37</v>
      </c>
      <c r="E18" s="11" t="s">
        <v>167</v>
      </c>
      <c r="F18" s="11">
        <v>8.61755070021065E14</v>
      </c>
      <c r="G18" s="11" t="s">
        <v>169</v>
      </c>
      <c r="H18" s="11" t="s">
        <v>45</v>
      </c>
      <c r="I18" s="11">
        <v>9.209585083E9</v>
      </c>
      <c r="J18" s="15">
        <v>45413.0</v>
      </c>
      <c r="K18" s="18"/>
      <c r="L18" s="11">
        <v>2.0250331E7</v>
      </c>
    </row>
    <row r="19">
      <c r="A19" s="9" t="s">
        <v>27</v>
      </c>
      <c r="B19" s="11" t="s">
        <v>136</v>
      </c>
      <c r="C19" s="11" t="s">
        <v>35</v>
      </c>
      <c r="D19" s="11" t="s">
        <v>37</v>
      </c>
      <c r="E19" s="11" t="s">
        <v>173</v>
      </c>
      <c r="F19" s="11">
        <v>8.61755070020299E14</v>
      </c>
      <c r="G19" s="11" t="s">
        <v>175</v>
      </c>
      <c r="H19" s="11" t="s">
        <v>45</v>
      </c>
      <c r="I19" s="11">
        <v>9.985675627E9</v>
      </c>
      <c r="J19" s="15">
        <v>45413.0</v>
      </c>
      <c r="K19" s="18"/>
      <c r="L19" s="11">
        <v>2.0250331E7</v>
      </c>
    </row>
    <row r="20">
      <c r="A20" s="9" t="s">
        <v>27</v>
      </c>
      <c r="B20" s="11" t="s">
        <v>136</v>
      </c>
      <c r="C20" s="11" t="s">
        <v>35</v>
      </c>
      <c r="D20" s="11" t="s">
        <v>37</v>
      </c>
      <c r="E20" s="11" t="s">
        <v>180</v>
      </c>
      <c r="F20" s="11">
        <v>8.61755070023855E14</v>
      </c>
      <c r="G20" s="11" t="s">
        <v>183</v>
      </c>
      <c r="H20" s="11" t="s">
        <v>45</v>
      </c>
      <c r="I20" s="11">
        <v>9.989748038E9</v>
      </c>
      <c r="J20" s="15">
        <v>45413.0</v>
      </c>
      <c r="K20" s="18"/>
      <c r="L20" s="11">
        <v>2.0250331E7</v>
      </c>
    </row>
    <row r="21">
      <c r="A21" s="9" t="s">
        <v>27</v>
      </c>
      <c r="B21" s="11" t="s">
        <v>136</v>
      </c>
      <c r="C21" s="11" t="s">
        <v>35</v>
      </c>
      <c r="D21" s="11" t="s">
        <v>37</v>
      </c>
      <c r="E21" s="11" t="s">
        <v>188</v>
      </c>
      <c r="F21" s="11">
        <v>8.61755070019929E14</v>
      </c>
      <c r="G21" s="11" t="s">
        <v>196</v>
      </c>
      <c r="H21" s="11" t="s">
        <v>45</v>
      </c>
      <c r="I21" s="11">
        <v>9.985615327E9</v>
      </c>
      <c r="J21" s="15">
        <v>45413.0</v>
      </c>
      <c r="K21" s="11"/>
      <c r="L21" s="11">
        <v>2.0250331E7</v>
      </c>
    </row>
    <row r="22">
      <c r="A22" s="9" t="s">
        <v>27</v>
      </c>
      <c r="B22" s="11" t="s">
        <v>136</v>
      </c>
      <c r="C22" s="11" t="s">
        <v>35</v>
      </c>
      <c r="D22" s="11" t="s">
        <v>37</v>
      </c>
      <c r="E22" s="11" t="s">
        <v>201</v>
      </c>
      <c r="F22" s="11">
        <v>8.61755070019697E14</v>
      </c>
      <c r="G22" s="11" t="s">
        <v>202</v>
      </c>
      <c r="H22" s="11" t="s">
        <v>45</v>
      </c>
      <c r="I22" s="11">
        <v>9.985339171E9</v>
      </c>
      <c r="J22" s="15">
        <v>45413.0</v>
      </c>
      <c r="K22" s="11"/>
      <c r="L22" s="11">
        <v>2.0250331E7</v>
      </c>
    </row>
    <row r="23">
      <c r="A23" s="9" t="s">
        <v>27</v>
      </c>
      <c r="B23" s="11" t="s">
        <v>136</v>
      </c>
      <c r="C23" s="11" t="s">
        <v>35</v>
      </c>
      <c r="D23" s="11" t="s">
        <v>37</v>
      </c>
      <c r="E23" s="11" t="s">
        <v>209</v>
      </c>
      <c r="F23" s="11">
        <v>8.61755070022758E14</v>
      </c>
      <c r="G23" s="11" t="s">
        <v>211</v>
      </c>
      <c r="H23" s="11" t="s">
        <v>45</v>
      </c>
      <c r="I23" s="11">
        <v>9.98510602E9</v>
      </c>
      <c r="J23" s="15">
        <v>45413.0</v>
      </c>
      <c r="K23" s="11"/>
      <c r="L23" s="11">
        <v>2.0250331E7</v>
      </c>
    </row>
    <row r="24">
      <c r="A24" s="9" t="s">
        <v>27</v>
      </c>
      <c r="B24" s="11" t="s">
        <v>136</v>
      </c>
      <c r="C24" s="11" t="s">
        <v>35</v>
      </c>
      <c r="D24" s="11" t="s">
        <v>37</v>
      </c>
      <c r="E24" s="11" t="s">
        <v>213</v>
      </c>
      <c r="F24" s="11">
        <v>8.61755070019796E14</v>
      </c>
      <c r="G24" s="11" t="s">
        <v>215</v>
      </c>
      <c r="H24" s="11" t="s">
        <v>45</v>
      </c>
      <c r="I24" s="11">
        <v>9.209094221E9</v>
      </c>
      <c r="J24" s="15">
        <v>45413.0</v>
      </c>
      <c r="K24" s="11"/>
      <c r="L24" s="11">
        <v>2.0250331E7</v>
      </c>
    </row>
    <row r="25">
      <c r="A25" s="9" t="s">
        <v>27</v>
      </c>
      <c r="B25" s="11" t="s">
        <v>136</v>
      </c>
      <c r="C25" s="11" t="s">
        <v>35</v>
      </c>
      <c r="D25" s="11" t="s">
        <v>37</v>
      </c>
      <c r="E25" s="11" t="s">
        <v>223</v>
      </c>
      <c r="F25" s="11">
        <v>8.61755070021164E14</v>
      </c>
      <c r="G25" s="11" t="s">
        <v>225</v>
      </c>
      <c r="H25" s="11" t="s">
        <v>45</v>
      </c>
      <c r="I25" s="11">
        <v>9.989556224E9</v>
      </c>
      <c r="J25" s="15">
        <v>45413.0</v>
      </c>
      <c r="K25" s="11"/>
      <c r="L25" s="11">
        <v>2.0250331E7</v>
      </c>
    </row>
    <row r="26">
      <c r="A26" s="9" t="s">
        <v>27</v>
      </c>
      <c r="B26" s="11" t="s">
        <v>136</v>
      </c>
      <c r="C26" s="11" t="s">
        <v>35</v>
      </c>
      <c r="D26" s="11" t="s">
        <v>37</v>
      </c>
      <c r="E26" s="11" t="s">
        <v>231</v>
      </c>
      <c r="F26" s="11">
        <v>8.61755070020331E14</v>
      </c>
      <c r="G26" s="11" t="s">
        <v>232</v>
      </c>
      <c r="H26" s="11" t="s">
        <v>45</v>
      </c>
      <c r="I26" s="11">
        <v>9.98864812E9</v>
      </c>
      <c r="J26" s="15">
        <v>45413.0</v>
      </c>
      <c r="K26" s="11"/>
      <c r="L26" s="11">
        <v>2.0250331E7</v>
      </c>
    </row>
    <row r="27">
      <c r="A27" s="9" t="s">
        <v>27</v>
      </c>
      <c r="B27" s="11" t="s">
        <v>136</v>
      </c>
      <c r="C27" s="11" t="s">
        <v>35</v>
      </c>
      <c r="D27" s="11" t="s">
        <v>37</v>
      </c>
      <c r="E27" s="11" t="s">
        <v>239</v>
      </c>
      <c r="F27" s="11">
        <v>8.61755070016149E14</v>
      </c>
      <c r="G27" s="11" t="s">
        <v>241</v>
      </c>
      <c r="H27" s="11" t="s">
        <v>45</v>
      </c>
      <c r="I27" s="11">
        <v>9.478915724E9</v>
      </c>
      <c r="J27" s="15">
        <v>45413.0</v>
      </c>
      <c r="K27" s="11"/>
      <c r="L27" s="11">
        <v>2.0250331E7</v>
      </c>
    </row>
    <row r="28">
      <c r="A28" s="9" t="s">
        <v>27</v>
      </c>
      <c r="B28" s="11" t="s">
        <v>136</v>
      </c>
      <c r="C28" s="11" t="s">
        <v>35</v>
      </c>
      <c r="D28" s="11" t="s">
        <v>37</v>
      </c>
      <c r="E28" s="11" t="s">
        <v>245</v>
      </c>
      <c r="F28" s="11">
        <v>8.61755070019945E14</v>
      </c>
      <c r="G28" s="11" t="s">
        <v>247</v>
      </c>
      <c r="H28" s="11" t="s">
        <v>45</v>
      </c>
      <c r="I28" s="11">
        <v>9.39912928E9</v>
      </c>
      <c r="J28" s="15">
        <v>45413.0</v>
      </c>
      <c r="K28" s="11"/>
      <c r="L28" s="11">
        <v>2.0250331E7</v>
      </c>
    </row>
    <row r="29">
      <c r="A29" s="9" t="s">
        <v>249</v>
      </c>
      <c r="B29" s="11" t="s">
        <v>30</v>
      </c>
      <c r="C29" s="11" t="s">
        <v>35</v>
      </c>
      <c r="D29" s="11" t="s">
        <v>37</v>
      </c>
      <c r="E29" s="11" t="s">
        <v>251</v>
      </c>
      <c r="F29" s="36" t="s">
        <v>252</v>
      </c>
      <c r="G29" s="36" t="s">
        <v>255</v>
      </c>
      <c r="H29" s="11" t="s">
        <v>45</v>
      </c>
      <c r="I29" s="11">
        <v>6.39189115185E11</v>
      </c>
      <c r="J29" s="37">
        <v>45588.0</v>
      </c>
      <c r="K29" s="18"/>
      <c r="L29" s="11">
        <v>2.0250331E7</v>
      </c>
    </row>
    <row r="30">
      <c r="A30" s="9" t="s">
        <v>249</v>
      </c>
      <c r="B30" s="11" t="s">
        <v>30</v>
      </c>
      <c r="C30" s="11" t="s">
        <v>35</v>
      </c>
      <c r="D30" s="11" t="s">
        <v>37</v>
      </c>
      <c r="E30" s="36" t="s">
        <v>261</v>
      </c>
      <c r="F30" s="36" t="s">
        <v>263</v>
      </c>
      <c r="G30" s="36" t="s">
        <v>264</v>
      </c>
      <c r="H30" s="11" t="s">
        <v>45</v>
      </c>
      <c r="I30" s="11">
        <v>6.39209229576E11</v>
      </c>
      <c r="J30" s="37">
        <v>45588.0</v>
      </c>
      <c r="K30" s="18"/>
      <c r="L30" s="11">
        <v>2.0250331E7</v>
      </c>
    </row>
    <row r="31">
      <c r="A31" s="9" t="s">
        <v>249</v>
      </c>
      <c r="B31" s="11" t="s">
        <v>30</v>
      </c>
      <c r="C31" s="11" t="s">
        <v>35</v>
      </c>
      <c r="D31" s="11" t="s">
        <v>37</v>
      </c>
      <c r="E31" s="36" t="s">
        <v>269</v>
      </c>
      <c r="F31" s="36" t="s">
        <v>275</v>
      </c>
      <c r="G31" s="36" t="s">
        <v>277</v>
      </c>
      <c r="H31" s="11" t="s">
        <v>45</v>
      </c>
      <c r="I31" s="11">
        <v>6.39209080784E11</v>
      </c>
      <c r="J31" s="37">
        <v>45588.0</v>
      </c>
      <c r="K31" s="18"/>
      <c r="L31" s="11">
        <v>2.0250331E7</v>
      </c>
    </row>
    <row r="32">
      <c r="A32" s="9" t="s">
        <v>249</v>
      </c>
      <c r="B32" s="11" t="s">
        <v>30</v>
      </c>
      <c r="C32" s="11" t="s">
        <v>35</v>
      </c>
      <c r="D32" s="11" t="s">
        <v>37</v>
      </c>
      <c r="E32" s="36" t="s">
        <v>281</v>
      </c>
      <c r="F32" s="36" t="s">
        <v>283</v>
      </c>
      <c r="G32" s="36" t="s">
        <v>284</v>
      </c>
      <c r="H32" s="11" t="s">
        <v>45</v>
      </c>
      <c r="I32" s="11">
        <v>6.3918906126E11</v>
      </c>
      <c r="J32" s="37">
        <v>45588.0</v>
      </c>
      <c r="K32" s="18"/>
      <c r="L32" s="11">
        <v>2.0250331E7</v>
      </c>
    </row>
    <row r="33">
      <c r="A33" s="9" t="s">
        <v>249</v>
      </c>
      <c r="B33" s="11" t="s">
        <v>30</v>
      </c>
      <c r="C33" s="11" t="s">
        <v>35</v>
      </c>
      <c r="D33" s="11" t="s">
        <v>37</v>
      </c>
      <c r="E33" s="36" t="s">
        <v>292</v>
      </c>
      <c r="F33" s="36" t="s">
        <v>293</v>
      </c>
      <c r="G33" s="36" t="s">
        <v>294</v>
      </c>
      <c r="H33" s="11" t="s">
        <v>45</v>
      </c>
      <c r="I33" s="11">
        <v>6.39189115027E11</v>
      </c>
      <c r="J33" s="37">
        <v>45588.0</v>
      </c>
      <c r="K33" s="18"/>
      <c r="L33" s="11">
        <v>2.0250331E7</v>
      </c>
    </row>
    <row r="34">
      <c r="A34" s="9" t="s">
        <v>249</v>
      </c>
      <c r="B34" s="11" t="s">
        <v>30</v>
      </c>
      <c r="C34" s="11" t="s">
        <v>35</v>
      </c>
      <c r="D34" s="11" t="s">
        <v>37</v>
      </c>
      <c r="E34" s="36" t="s">
        <v>300</v>
      </c>
      <c r="F34" s="36" t="s">
        <v>303</v>
      </c>
      <c r="G34" s="36" t="s">
        <v>304</v>
      </c>
      <c r="H34" s="11" t="s">
        <v>45</v>
      </c>
      <c r="I34" s="11">
        <v>6.39189029167E11</v>
      </c>
      <c r="J34" s="37">
        <v>45588.0</v>
      </c>
      <c r="K34" s="18"/>
      <c r="L34" s="11">
        <v>2.0250331E7</v>
      </c>
    </row>
    <row r="35">
      <c r="A35" s="9" t="s">
        <v>249</v>
      </c>
      <c r="B35" s="11" t="s">
        <v>30</v>
      </c>
      <c r="C35" s="11" t="s">
        <v>35</v>
      </c>
      <c r="D35" s="11" t="s">
        <v>37</v>
      </c>
      <c r="E35" s="36" t="s">
        <v>307</v>
      </c>
      <c r="F35" s="36" t="s">
        <v>309</v>
      </c>
      <c r="G35" s="36" t="s">
        <v>311</v>
      </c>
      <c r="H35" s="11" t="s">
        <v>45</v>
      </c>
      <c r="I35" s="11">
        <v>6.39209495628E11</v>
      </c>
      <c r="J35" s="37">
        <v>45588.0</v>
      </c>
      <c r="K35" s="18"/>
      <c r="L35" s="11">
        <v>2.0250331E7</v>
      </c>
    </row>
    <row r="36">
      <c r="A36" s="9" t="s">
        <v>249</v>
      </c>
      <c r="B36" s="11" t="s">
        <v>30</v>
      </c>
      <c r="C36" s="11" t="s">
        <v>35</v>
      </c>
      <c r="D36" s="11" t="s">
        <v>37</v>
      </c>
      <c r="E36" s="36" t="s">
        <v>317</v>
      </c>
      <c r="F36" s="36" t="s">
        <v>319</v>
      </c>
      <c r="G36" s="36" t="s">
        <v>321</v>
      </c>
      <c r="H36" s="11" t="s">
        <v>45</v>
      </c>
      <c r="I36" s="11">
        <v>6.39209152475E11</v>
      </c>
      <c r="J36" s="37">
        <v>45588.0</v>
      </c>
      <c r="K36" s="18"/>
      <c r="L36" s="11">
        <v>2.0250331E7</v>
      </c>
    </row>
    <row r="37">
      <c r="A37" s="9" t="s">
        <v>249</v>
      </c>
      <c r="B37" s="11" t="s">
        <v>30</v>
      </c>
      <c r="C37" s="11" t="s">
        <v>35</v>
      </c>
      <c r="D37" s="11" t="s">
        <v>37</v>
      </c>
      <c r="E37" s="36" t="s">
        <v>326</v>
      </c>
      <c r="F37" s="36" t="s">
        <v>327</v>
      </c>
      <c r="G37" s="36" t="s">
        <v>329</v>
      </c>
      <c r="H37" s="11" t="s">
        <v>45</v>
      </c>
      <c r="I37" s="11">
        <v>6.39209519481E11</v>
      </c>
      <c r="J37" s="37">
        <v>45588.0</v>
      </c>
      <c r="K37" s="18"/>
      <c r="L37" s="11">
        <v>2.0250331E7</v>
      </c>
    </row>
    <row r="38">
      <c r="A38" s="9" t="s">
        <v>249</v>
      </c>
      <c r="B38" s="11" t="s">
        <v>30</v>
      </c>
      <c r="C38" s="11" t="s">
        <v>35</v>
      </c>
      <c r="D38" s="11" t="s">
        <v>37</v>
      </c>
      <c r="E38" s="36" t="s">
        <v>337</v>
      </c>
      <c r="F38" s="36" t="s">
        <v>339</v>
      </c>
      <c r="G38" s="36" t="s">
        <v>340</v>
      </c>
      <c r="H38" s="11" t="s">
        <v>45</v>
      </c>
      <c r="I38" s="11">
        <v>6.39189036487E11</v>
      </c>
      <c r="J38" s="37">
        <v>45588.0</v>
      </c>
      <c r="K38" s="18"/>
      <c r="L38" s="11">
        <v>2.0250331E7</v>
      </c>
    </row>
    <row r="39">
      <c r="A39" s="9" t="s">
        <v>249</v>
      </c>
      <c r="B39" s="11" t="s">
        <v>30</v>
      </c>
      <c r="C39" s="11" t="s">
        <v>35</v>
      </c>
      <c r="D39" s="11" t="s">
        <v>37</v>
      </c>
      <c r="E39" s="36" t="s">
        <v>343</v>
      </c>
      <c r="F39" s="36" t="s">
        <v>345</v>
      </c>
      <c r="G39" s="36" t="s">
        <v>346</v>
      </c>
      <c r="H39" s="11" t="s">
        <v>45</v>
      </c>
      <c r="I39" s="11">
        <v>6.39209719703E11</v>
      </c>
      <c r="J39" s="37">
        <v>45588.0</v>
      </c>
      <c r="K39" s="18"/>
      <c r="L39" s="11">
        <v>2.0250331E7</v>
      </c>
    </row>
    <row r="40">
      <c r="A40" s="9" t="s">
        <v>249</v>
      </c>
      <c r="B40" s="11" t="s">
        <v>30</v>
      </c>
      <c r="C40" s="11" t="s">
        <v>35</v>
      </c>
      <c r="D40" s="11" t="s">
        <v>37</v>
      </c>
      <c r="E40" s="36" t="s">
        <v>351</v>
      </c>
      <c r="F40" s="36" t="s">
        <v>353</v>
      </c>
      <c r="G40" s="36" t="s">
        <v>354</v>
      </c>
      <c r="H40" s="11" t="s">
        <v>45</v>
      </c>
      <c r="I40" s="11">
        <v>6.39209256032E11</v>
      </c>
      <c r="J40" s="37">
        <v>45588.0</v>
      </c>
      <c r="K40" s="18"/>
      <c r="L40" s="11">
        <v>2.0250331E7</v>
      </c>
    </row>
    <row r="41">
      <c r="A41" s="9" t="s">
        <v>249</v>
      </c>
      <c r="B41" s="11" t="s">
        <v>30</v>
      </c>
      <c r="C41" s="11" t="s">
        <v>35</v>
      </c>
      <c r="D41" s="11" t="s">
        <v>37</v>
      </c>
      <c r="E41" s="36" t="s">
        <v>362</v>
      </c>
      <c r="F41" s="36" t="s">
        <v>363</v>
      </c>
      <c r="G41" s="36" t="s">
        <v>364</v>
      </c>
      <c r="H41" s="11" t="s">
        <v>45</v>
      </c>
      <c r="I41" s="11">
        <v>6.39189269176E11</v>
      </c>
      <c r="J41" s="37">
        <v>45588.0</v>
      </c>
      <c r="K41" s="18"/>
      <c r="L41" s="11">
        <v>2.0250331E7</v>
      </c>
    </row>
    <row r="42">
      <c r="A42" s="9" t="s">
        <v>249</v>
      </c>
      <c r="B42" s="11" t="s">
        <v>30</v>
      </c>
      <c r="C42" s="11" t="s">
        <v>35</v>
      </c>
      <c r="D42" s="11" t="s">
        <v>37</v>
      </c>
      <c r="E42" s="36" t="s">
        <v>370</v>
      </c>
      <c r="F42" s="36" t="s">
        <v>372</v>
      </c>
      <c r="G42" s="36" t="s">
        <v>374</v>
      </c>
      <c r="H42" s="11" t="s">
        <v>45</v>
      </c>
      <c r="I42" s="11">
        <v>6.39209276059E11</v>
      </c>
      <c r="J42" s="37">
        <v>45588.0</v>
      </c>
      <c r="K42" s="18"/>
      <c r="L42" s="11">
        <v>2.0250331E7</v>
      </c>
    </row>
    <row r="43">
      <c r="A43" s="9" t="s">
        <v>249</v>
      </c>
      <c r="B43" s="11" t="s">
        <v>30</v>
      </c>
      <c r="C43" s="11" t="s">
        <v>35</v>
      </c>
      <c r="D43" s="11" t="s">
        <v>37</v>
      </c>
      <c r="E43" s="36" t="s">
        <v>381</v>
      </c>
      <c r="F43" s="36" t="s">
        <v>382</v>
      </c>
      <c r="G43" s="36" t="s">
        <v>383</v>
      </c>
      <c r="H43" s="11" t="s">
        <v>45</v>
      </c>
      <c r="I43" s="11">
        <v>6.39399268218E11</v>
      </c>
      <c r="J43" s="37">
        <v>45588.0</v>
      </c>
      <c r="K43" s="18"/>
      <c r="L43" s="11">
        <v>2.0250331E7</v>
      </c>
    </row>
    <row r="44">
      <c r="A44" s="9" t="s">
        <v>249</v>
      </c>
      <c r="B44" s="11" t="s">
        <v>30</v>
      </c>
      <c r="C44" s="11" t="s">
        <v>35</v>
      </c>
      <c r="D44" s="11" t="s">
        <v>37</v>
      </c>
      <c r="E44" s="36" t="s">
        <v>390</v>
      </c>
      <c r="F44" s="36" t="s">
        <v>391</v>
      </c>
      <c r="G44" s="36" t="s">
        <v>393</v>
      </c>
      <c r="H44" s="11" t="s">
        <v>45</v>
      </c>
      <c r="I44" s="11">
        <v>6.39189409747E11</v>
      </c>
      <c r="J44" s="37">
        <v>45588.0</v>
      </c>
      <c r="K44" s="18"/>
      <c r="L44" s="11">
        <v>2.0250331E7</v>
      </c>
    </row>
    <row r="45">
      <c r="A45" s="9" t="s">
        <v>249</v>
      </c>
      <c r="B45" s="11" t="s">
        <v>30</v>
      </c>
      <c r="C45" s="11" t="s">
        <v>35</v>
      </c>
      <c r="D45" s="11" t="s">
        <v>37</v>
      </c>
      <c r="E45" s="36" t="s">
        <v>400</v>
      </c>
      <c r="F45" s="36" t="s">
        <v>401</v>
      </c>
      <c r="G45" s="36" t="s">
        <v>403</v>
      </c>
      <c r="H45" s="11" t="s">
        <v>45</v>
      </c>
      <c r="I45" s="11">
        <v>6.39209004553E11</v>
      </c>
      <c r="J45" s="37">
        <v>45588.0</v>
      </c>
      <c r="K45" s="18"/>
      <c r="L45" s="11">
        <v>2.0250331E7</v>
      </c>
    </row>
    <row r="46">
      <c r="A46" s="9" t="s">
        <v>249</v>
      </c>
      <c r="B46" s="11" t="s">
        <v>30</v>
      </c>
      <c r="C46" s="11" t="s">
        <v>35</v>
      </c>
      <c r="D46" s="11" t="s">
        <v>37</v>
      </c>
      <c r="E46" s="36" t="s">
        <v>412</v>
      </c>
      <c r="F46" s="36" t="s">
        <v>413</v>
      </c>
      <c r="G46" s="36" t="s">
        <v>415</v>
      </c>
      <c r="H46" s="11" t="s">
        <v>45</v>
      </c>
      <c r="I46" s="11">
        <v>6.39190605702E11</v>
      </c>
      <c r="J46" s="37">
        <v>45588.0</v>
      </c>
      <c r="K46" s="18"/>
      <c r="L46" s="11">
        <v>2.0250331E7</v>
      </c>
    </row>
    <row r="47">
      <c r="A47" s="9" t="s">
        <v>249</v>
      </c>
      <c r="B47" s="11" t="s">
        <v>30</v>
      </c>
      <c r="C47" s="11" t="s">
        <v>35</v>
      </c>
      <c r="D47" s="11" t="s">
        <v>37</v>
      </c>
      <c r="E47" s="36" t="s">
        <v>422</v>
      </c>
      <c r="F47" s="36" t="s">
        <v>423</v>
      </c>
      <c r="G47" s="36" t="s">
        <v>424</v>
      </c>
      <c r="H47" s="11" t="s">
        <v>45</v>
      </c>
      <c r="I47" s="11">
        <v>6.39189195187E11</v>
      </c>
      <c r="J47" s="37">
        <v>45588.0</v>
      </c>
      <c r="K47" s="18"/>
      <c r="L47" s="11">
        <v>2.0250331E7</v>
      </c>
    </row>
    <row r="48">
      <c r="A48" s="9" t="s">
        <v>249</v>
      </c>
      <c r="B48" s="11" t="s">
        <v>30</v>
      </c>
      <c r="C48" s="11" t="s">
        <v>35</v>
      </c>
      <c r="D48" s="11" t="s">
        <v>37</v>
      </c>
      <c r="E48" s="36" t="s">
        <v>430</v>
      </c>
      <c r="F48" s="36" t="s">
        <v>431</v>
      </c>
      <c r="G48" s="36" t="s">
        <v>432</v>
      </c>
      <c r="H48" s="11" t="s">
        <v>45</v>
      </c>
      <c r="I48" s="11">
        <v>6.39189165677E11</v>
      </c>
      <c r="J48" s="37">
        <v>45588.0</v>
      </c>
      <c r="K48" s="18"/>
      <c r="L48" s="11">
        <v>2.0250331E7</v>
      </c>
    </row>
    <row r="49">
      <c r="A49" s="9" t="s">
        <v>249</v>
      </c>
      <c r="B49" s="11" t="s">
        <v>30</v>
      </c>
      <c r="C49" s="11" t="s">
        <v>35</v>
      </c>
      <c r="D49" s="11" t="s">
        <v>37</v>
      </c>
      <c r="E49" s="36" t="s">
        <v>437</v>
      </c>
      <c r="F49" s="36" t="s">
        <v>439</v>
      </c>
      <c r="G49" s="36" t="s">
        <v>440</v>
      </c>
      <c r="H49" s="11" t="s">
        <v>45</v>
      </c>
      <c r="I49" s="11">
        <v>6.39189252845E11</v>
      </c>
      <c r="J49" s="37">
        <v>45588.0</v>
      </c>
      <c r="K49" s="18"/>
      <c r="L49" s="11">
        <v>2.0250331E7</v>
      </c>
    </row>
    <row r="50">
      <c r="A50" s="9" t="s">
        <v>249</v>
      </c>
      <c r="B50" s="11" t="s">
        <v>30</v>
      </c>
      <c r="C50" s="11" t="s">
        <v>35</v>
      </c>
      <c r="D50" s="11" t="s">
        <v>37</v>
      </c>
      <c r="E50" s="36" t="s">
        <v>445</v>
      </c>
      <c r="F50" s="36" t="s">
        <v>446</v>
      </c>
      <c r="G50" s="36" t="s">
        <v>447</v>
      </c>
      <c r="H50" s="11" t="s">
        <v>45</v>
      </c>
      <c r="I50" s="11">
        <v>6.39189305119E11</v>
      </c>
      <c r="J50" s="37">
        <v>45588.0</v>
      </c>
      <c r="K50" s="18"/>
      <c r="L50" s="11">
        <v>2.0250331E7</v>
      </c>
    </row>
    <row r="51">
      <c r="A51" s="9" t="s">
        <v>249</v>
      </c>
      <c r="B51" s="11" t="s">
        <v>30</v>
      </c>
      <c r="C51" s="11" t="s">
        <v>35</v>
      </c>
      <c r="D51" s="11" t="s">
        <v>37</v>
      </c>
      <c r="E51" s="36" t="s">
        <v>454</v>
      </c>
      <c r="F51" s="36" t="s">
        <v>457</v>
      </c>
      <c r="G51" s="36" t="s">
        <v>458</v>
      </c>
      <c r="H51" s="11" t="s">
        <v>45</v>
      </c>
      <c r="I51" s="11">
        <v>6.39399205549E11</v>
      </c>
      <c r="J51" s="37">
        <v>45588.0</v>
      </c>
      <c r="K51" s="18"/>
      <c r="L51" s="11">
        <v>2.0250331E7</v>
      </c>
    </row>
    <row r="52">
      <c r="A52" s="9" t="s">
        <v>249</v>
      </c>
      <c r="B52" s="11" t="s">
        <v>30</v>
      </c>
      <c r="C52" s="11" t="s">
        <v>35</v>
      </c>
      <c r="D52" s="11" t="s">
        <v>37</v>
      </c>
      <c r="E52" s="36" t="s">
        <v>467</v>
      </c>
      <c r="F52" s="36" t="s">
        <v>468</v>
      </c>
      <c r="G52" s="36" t="s">
        <v>469</v>
      </c>
      <c r="H52" s="11" t="s">
        <v>45</v>
      </c>
      <c r="I52" s="11">
        <v>6.39988507228E11</v>
      </c>
      <c r="J52" s="37">
        <v>45588.0</v>
      </c>
      <c r="K52" s="18"/>
      <c r="L52" s="11">
        <v>2.0250331E7</v>
      </c>
    </row>
    <row r="53">
      <c r="A53" s="9" t="s">
        <v>249</v>
      </c>
      <c r="B53" s="11" t="s">
        <v>30</v>
      </c>
      <c r="C53" s="11" t="s">
        <v>35</v>
      </c>
      <c r="D53" s="11" t="s">
        <v>37</v>
      </c>
      <c r="E53" s="36" t="s">
        <v>476</v>
      </c>
      <c r="F53" s="36" t="s">
        <v>477</v>
      </c>
      <c r="G53" s="36" t="s">
        <v>479</v>
      </c>
      <c r="H53" s="11" t="s">
        <v>45</v>
      </c>
      <c r="I53" s="11">
        <v>6.39189017042E11</v>
      </c>
      <c r="J53" s="37">
        <v>45588.0</v>
      </c>
      <c r="K53" s="18"/>
      <c r="L53" s="11">
        <v>2.0250331E7</v>
      </c>
    </row>
    <row r="54">
      <c r="A54" s="9" t="s">
        <v>249</v>
      </c>
      <c r="B54" s="11" t="s">
        <v>30</v>
      </c>
      <c r="C54" s="11" t="s">
        <v>35</v>
      </c>
      <c r="D54" s="11" t="s">
        <v>37</v>
      </c>
      <c r="E54" s="36" t="s">
        <v>484</v>
      </c>
      <c r="F54" s="36" t="s">
        <v>486</v>
      </c>
      <c r="G54" s="36" t="s">
        <v>487</v>
      </c>
      <c r="H54" s="11" t="s">
        <v>45</v>
      </c>
      <c r="I54" s="11">
        <v>6.39189400196E11</v>
      </c>
      <c r="J54" s="37">
        <v>45588.0</v>
      </c>
      <c r="K54" s="18"/>
      <c r="L54" s="11">
        <v>2.0250331E7</v>
      </c>
    </row>
    <row r="55">
      <c r="A55" s="9" t="s">
        <v>249</v>
      </c>
      <c r="B55" s="11" t="s">
        <v>30</v>
      </c>
      <c r="C55" s="11" t="s">
        <v>35</v>
      </c>
      <c r="D55" s="11" t="s">
        <v>37</v>
      </c>
      <c r="E55" s="36" t="s">
        <v>492</v>
      </c>
      <c r="F55" s="36" t="s">
        <v>494</v>
      </c>
      <c r="G55" s="36" t="s">
        <v>497</v>
      </c>
      <c r="H55" s="11" t="s">
        <v>45</v>
      </c>
      <c r="I55" s="11">
        <v>6.39189218709E11</v>
      </c>
      <c r="J55" s="37">
        <v>45588.0</v>
      </c>
      <c r="K55" s="18"/>
      <c r="L55" s="11">
        <v>2.0250331E7</v>
      </c>
    </row>
    <row r="56">
      <c r="A56" s="9" t="s">
        <v>249</v>
      </c>
      <c r="B56" s="11" t="s">
        <v>30</v>
      </c>
      <c r="C56" s="11" t="s">
        <v>35</v>
      </c>
      <c r="D56" s="11" t="s">
        <v>37</v>
      </c>
      <c r="E56" s="36" t="s">
        <v>511</v>
      </c>
      <c r="F56" s="36" t="s">
        <v>512</v>
      </c>
      <c r="G56" s="36" t="s">
        <v>515</v>
      </c>
      <c r="H56" s="11" t="s">
        <v>45</v>
      </c>
      <c r="I56" s="11">
        <v>6.39209603489E11</v>
      </c>
      <c r="J56" s="37">
        <v>45588.0</v>
      </c>
      <c r="K56" s="18"/>
      <c r="L56" s="11">
        <v>2.0250331E7</v>
      </c>
    </row>
    <row r="57">
      <c r="A57" s="9" t="s">
        <v>249</v>
      </c>
      <c r="B57" s="11" t="s">
        <v>30</v>
      </c>
      <c r="C57" s="11" t="s">
        <v>35</v>
      </c>
      <c r="D57" s="11" t="s">
        <v>37</v>
      </c>
      <c r="E57" s="36" t="s">
        <v>526</v>
      </c>
      <c r="F57" s="36" t="s">
        <v>527</v>
      </c>
      <c r="G57" s="36" t="s">
        <v>528</v>
      </c>
      <c r="H57" s="11" t="s">
        <v>45</v>
      </c>
      <c r="I57" s="11">
        <v>6.39209520565E11</v>
      </c>
      <c r="J57" s="37">
        <v>45588.0</v>
      </c>
      <c r="K57" s="18"/>
      <c r="L57" s="11">
        <v>2.0250331E7</v>
      </c>
    </row>
    <row r="58">
      <c r="A58" s="9" t="s">
        <v>249</v>
      </c>
      <c r="B58" s="11" t="s">
        <v>30</v>
      </c>
      <c r="C58" s="11" t="s">
        <v>35</v>
      </c>
      <c r="D58" s="11" t="s">
        <v>37</v>
      </c>
      <c r="E58" s="36" t="s">
        <v>538</v>
      </c>
      <c r="F58" s="36" t="s">
        <v>539</v>
      </c>
      <c r="G58" s="36" t="s">
        <v>540</v>
      </c>
      <c r="H58" s="11" t="s">
        <v>45</v>
      </c>
      <c r="I58" s="11">
        <v>6.3918916184E11</v>
      </c>
      <c r="J58" s="37">
        <v>45588.0</v>
      </c>
      <c r="K58" s="18"/>
      <c r="L58" s="11">
        <v>2.0250331E7</v>
      </c>
    </row>
    <row r="59">
      <c r="A59" s="9" t="s">
        <v>249</v>
      </c>
      <c r="B59" s="11" t="s">
        <v>30</v>
      </c>
      <c r="C59" s="11" t="s">
        <v>35</v>
      </c>
      <c r="D59" s="11" t="s">
        <v>37</v>
      </c>
      <c r="E59" s="36" t="s">
        <v>546</v>
      </c>
      <c r="F59" s="36" t="s">
        <v>547</v>
      </c>
      <c r="G59" s="36" t="s">
        <v>549</v>
      </c>
      <c r="H59" s="11" t="s">
        <v>45</v>
      </c>
      <c r="I59" s="11">
        <v>6.39399236683E11</v>
      </c>
      <c r="J59" s="37">
        <v>45588.0</v>
      </c>
      <c r="K59" s="18"/>
      <c r="L59" s="11">
        <v>2.0250331E7</v>
      </c>
    </row>
    <row r="60">
      <c r="A60" s="9" t="s">
        <v>249</v>
      </c>
      <c r="B60" s="11" t="s">
        <v>30</v>
      </c>
      <c r="C60" s="11" t="s">
        <v>35</v>
      </c>
      <c r="D60" s="11" t="s">
        <v>37</v>
      </c>
      <c r="E60" s="36" t="s">
        <v>559</v>
      </c>
      <c r="F60" s="36" t="s">
        <v>560</v>
      </c>
      <c r="G60" s="36" t="s">
        <v>563</v>
      </c>
      <c r="H60" s="11" t="s">
        <v>45</v>
      </c>
      <c r="I60" s="11">
        <v>6.39209217689E11</v>
      </c>
      <c r="J60" s="37">
        <v>45588.0</v>
      </c>
      <c r="K60" s="18"/>
      <c r="L60" s="11">
        <v>2.0250331E7</v>
      </c>
    </row>
    <row r="61">
      <c r="A61" s="9" t="s">
        <v>249</v>
      </c>
      <c r="B61" s="11" t="s">
        <v>30</v>
      </c>
      <c r="C61" s="11" t="s">
        <v>35</v>
      </c>
      <c r="D61" s="11" t="s">
        <v>37</v>
      </c>
      <c r="E61" s="36" t="s">
        <v>568</v>
      </c>
      <c r="F61" s="36" t="s">
        <v>570</v>
      </c>
      <c r="G61" s="36" t="s">
        <v>571</v>
      </c>
      <c r="H61" s="11" t="s">
        <v>45</v>
      </c>
      <c r="I61" s="11">
        <v>6.39209497058E11</v>
      </c>
      <c r="J61" s="37">
        <v>45588.0</v>
      </c>
      <c r="K61" s="18"/>
      <c r="L61" s="11">
        <v>2.0250331E7</v>
      </c>
    </row>
    <row r="62">
      <c r="A62" s="9" t="s">
        <v>249</v>
      </c>
      <c r="B62" s="11" t="s">
        <v>30</v>
      </c>
      <c r="C62" s="11" t="s">
        <v>35</v>
      </c>
      <c r="D62" s="11" t="s">
        <v>37</v>
      </c>
      <c r="E62" s="36" t="s">
        <v>572</v>
      </c>
      <c r="F62" s="36" t="s">
        <v>573</v>
      </c>
      <c r="G62" s="36" t="s">
        <v>575</v>
      </c>
      <c r="H62" s="11" t="s">
        <v>45</v>
      </c>
      <c r="I62" s="11">
        <v>6.39209286044E11</v>
      </c>
      <c r="J62" s="37">
        <v>45588.0</v>
      </c>
      <c r="K62" s="18"/>
      <c r="L62" s="11">
        <v>2.0250331E7</v>
      </c>
    </row>
    <row r="63">
      <c r="A63" s="9" t="s">
        <v>249</v>
      </c>
      <c r="B63" s="11" t="s">
        <v>30</v>
      </c>
      <c r="C63" s="11" t="s">
        <v>35</v>
      </c>
      <c r="D63" s="11" t="s">
        <v>37</v>
      </c>
      <c r="E63" s="36" t="s">
        <v>581</v>
      </c>
      <c r="F63" s="36" t="s">
        <v>582</v>
      </c>
      <c r="G63" s="36" t="s">
        <v>585</v>
      </c>
      <c r="H63" s="11" t="s">
        <v>45</v>
      </c>
      <c r="I63" s="11">
        <v>6.39189352294E11</v>
      </c>
      <c r="J63" s="37">
        <v>45588.0</v>
      </c>
      <c r="K63" s="18"/>
      <c r="L63" s="11">
        <v>2.0250331E7</v>
      </c>
    </row>
    <row r="64">
      <c r="A64" s="9" t="s">
        <v>249</v>
      </c>
      <c r="B64" s="11" t="s">
        <v>30</v>
      </c>
      <c r="C64" s="11" t="s">
        <v>35</v>
      </c>
      <c r="D64" s="11" t="s">
        <v>37</v>
      </c>
      <c r="E64" s="36" t="s">
        <v>587</v>
      </c>
      <c r="F64" s="36" t="s">
        <v>590</v>
      </c>
      <c r="G64" s="36" t="s">
        <v>591</v>
      </c>
      <c r="H64" s="11" t="s">
        <v>45</v>
      </c>
      <c r="I64" s="11">
        <v>6.39209126985E11</v>
      </c>
      <c r="J64" s="37">
        <v>45588.0</v>
      </c>
      <c r="K64" s="18"/>
      <c r="L64" s="11">
        <v>2.0250331E7</v>
      </c>
    </row>
    <row r="65">
      <c r="A65" s="9" t="s">
        <v>249</v>
      </c>
      <c r="B65" s="11" t="s">
        <v>30</v>
      </c>
      <c r="C65" s="11" t="s">
        <v>35</v>
      </c>
      <c r="D65" s="11" t="s">
        <v>37</v>
      </c>
      <c r="E65" s="36" t="s">
        <v>599</v>
      </c>
      <c r="F65" s="36" t="s">
        <v>601</v>
      </c>
      <c r="G65" s="36" t="s">
        <v>602</v>
      </c>
      <c r="H65" s="11" t="s">
        <v>45</v>
      </c>
      <c r="I65" s="11">
        <v>6.39285054754E11</v>
      </c>
      <c r="J65" s="37">
        <v>45588.0</v>
      </c>
      <c r="K65" s="18"/>
      <c r="L65" s="11">
        <v>2.0250331E7</v>
      </c>
    </row>
    <row r="66">
      <c r="A66" s="9" t="s">
        <v>249</v>
      </c>
      <c r="B66" s="11" t="s">
        <v>30</v>
      </c>
      <c r="C66" s="11" t="s">
        <v>35</v>
      </c>
      <c r="D66" s="11" t="s">
        <v>37</v>
      </c>
      <c r="E66" s="36" t="s">
        <v>609</v>
      </c>
      <c r="F66" s="36" t="s">
        <v>611</v>
      </c>
      <c r="G66" s="36" t="s">
        <v>614</v>
      </c>
      <c r="H66" s="11" t="s">
        <v>45</v>
      </c>
      <c r="I66" s="11">
        <v>6.39189141545E11</v>
      </c>
      <c r="J66" s="37">
        <v>45588.0</v>
      </c>
      <c r="K66" s="18"/>
      <c r="L66" s="11">
        <v>2.0250331E7</v>
      </c>
    </row>
    <row r="67">
      <c r="A67" s="9" t="s">
        <v>249</v>
      </c>
      <c r="B67" s="11" t="s">
        <v>30</v>
      </c>
      <c r="C67" s="11" t="s">
        <v>35</v>
      </c>
      <c r="D67" s="11" t="s">
        <v>37</v>
      </c>
      <c r="E67" s="36" t="s">
        <v>617</v>
      </c>
      <c r="F67" s="36" t="s">
        <v>618</v>
      </c>
      <c r="G67" s="36" t="s">
        <v>621</v>
      </c>
      <c r="H67" s="11" t="s">
        <v>45</v>
      </c>
      <c r="I67" s="11">
        <v>6.39209071689E11</v>
      </c>
      <c r="J67" s="37">
        <v>45588.0</v>
      </c>
      <c r="K67" s="18"/>
      <c r="L67" s="11">
        <v>2.0250331E7</v>
      </c>
    </row>
    <row r="68">
      <c r="A68" s="9" t="s">
        <v>249</v>
      </c>
      <c r="B68" s="11" t="s">
        <v>30</v>
      </c>
      <c r="C68" s="11" t="s">
        <v>35</v>
      </c>
      <c r="D68" s="11" t="s">
        <v>37</v>
      </c>
      <c r="E68" s="36" t="s">
        <v>632</v>
      </c>
      <c r="F68" s="36" t="s">
        <v>633</v>
      </c>
      <c r="G68" s="36" t="s">
        <v>635</v>
      </c>
      <c r="H68" s="11" t="s">
        <v>45</v>
      </c>
      <c r="I68" s="11">
        <v>6.39209538007E11</v>
      </c>
      <c r="J68" s="37">
        <v>45588.0</v>
      </c>
      <c r="K68" s="18"/>
      <c r="L68" s="11">
        <v>2.0250331E7</v>
      </c>
    </row>
    <row r="69">
      <c r="A69" s="9" t="s">
        <v>249</v>
      </c>
      <c r="B69" s="11" t="s">
        <v>30</v>
      </c>
      <c r="C69" s="11" t="s">
        <v>35</v>
      </c>
      <c r="D69" s="11" t="s">
        <v>37</v>
      </c>
      <c r="E69" s="36" t="s">
        <v>639</v>
      </c>
      <c r="F69" s="36" t="s">
        <v>641</v>
      </c>
      <c r="G69" s="36" t="s">
        <v>643</v>
      </c>
      <c r="H69" s="11" t="s">
        <v>45</v>
      </c>
      <c r="I69" s="11">
        <v>6.39209118648E11</v>
      </c>
      <c r="J69" s="37">
        <v>45588.0</v>
      </c>
      <c r="K69" s="18"/>
      <c r="L69" s="11">
        <v>2.0250331E7</v>
      </c>
    </row>
    <row r="70">
      <c r="A70" s="9" t="s">
        <v>249</v>
      </c>
      <c r="B70" s="11" t="s">
        <v>30</v>
      </c>
      <c r="C70" s="11" t="s">
        <v>35</v>
      </c>
      <c r="D70" s="11" t="s">
        <v>37</v>
      </c>
      <c r="E70" s="36" t="s">
        <v>646</v>
      </c>
      <c r="F70" s="36" t="s">
        <v>647</v>
      </c>
      <c r="G70" s="36" t="s">
        <v>648</v>
      </c>
      <c r="H70" s="11" t="s">
        <v>45</v>
      </c>
      <c r="I70" s="11">
        <v>6.39209227568E11</v>
      </c>
      <c r="J70" s="37">
        <v>45588.0</v>
      </c>
      <c r="K70" s="18"/>
      <c r="L70" s="11">
        <v>2.0250331E7</v>
      </c>
    </row>
    <row r="71">
      <c r="A71" s="9" t="s">
        <v>249</v>
      </c>
      <c r="B71" s="11" t="s">
        <v>30</v>
      </c>
      <c r="C71" s="11" t="s">
        <v>35</v>
      </c>
      <c r="D71" s="11" t="s">
        <v>37</v>
      </c>
      <c r="E71" s="36" t="s">
        <v>651</v>
      </c>
      <c r="F71" s="36" t="s">
        <v>652</v>
      </c>
      <c r="G71" s="36" t="s">
        <v>653</v>
      </c>
      <c r="H71" s="11" t="s">
        <v>45</v>
      </c>
      <c r="I71" s="11">
        <v>6.39985893438E11</v>
      </c>
      <c r="J71" s="37">
        <v>45588.0</v>
      </c>
      <c r="K71" s="18"/>
      <c r="L71" s="11">
        <v>2.0250331E7</v>
      </c>
    </row>
    <row r="72">
      <c r="A72" s="9" t="s">
        <v>249</v>
      </c>
      <c r="B72" s="11" t="s">
        <v>30</v>
      </c>
      <c r="C72" s="11" t="s">
        <v>35</v>
      </c>
      <c r="D72" s="11" t="s">
        <v>37</v>
      </c>
      <c r="E72" s="36" t="s">
        <v>657</v>
      </c>
      <c r="F72" s="36" t="s">
        <v>659</v>
      </c>
      <c r="G72" s="36" t="s">
        <v>660</v>
      </c>
      <c r="H72" s="11" t="s">
        <v>45</v>
      </c>
      <c r="I72" s="11">
        <v>6.39399237539E11</v>
      </c>
      <c r="J72" s="37">
        <v>45588.0</v>
      </c>
      <c r="K72" s="18"/>
      <c r="L72" s="11">
        <v>2.0250331E7</v>
      </c>
    </row>
    <row r="73">
      <c r="A73" s="9" t="s">
        <v>249</v>
      </c>
      <c r="B73" s="11" t="s">
        <v>30</v>
      </c>
      <c r="C73" s="11" t="s">
        <v>35</v>
      </c>
      <c r="D73" s="11" t="s">
        <v>37</v>
      </c>
      <c r="E73" s="36" t="s">
        <v>663</v>
      </c>
      <c r="F73" s="36" t="s">
        <v>664</v>
      </c>
      <c r="G73" s="36" t="s">
        <v>666</v>
      </c>
      <c r="H73" s="11" t="s">
        <v>45</v>
      </c>
      <c r="I73" s="11">
        <v>6.39189286535E11</v>
      </c>
      <c r="J73" s="37">
        <v>45588.0</v>
      </c>
      <c r="K73" s="18"/>
      <c r="L73" s="11">
        <v>2.0250331E7</v>
      </c>
    </row>
    <row r="74">
      <c r="A74" s="9" t="s">
        <v>249</v>
      </c>
      <c r="B74" s="11" t="s">
        <v>30</v>
      </c>
      <c r="C74" s="11" t="s">
        <v>35</v>
      </c>
      <c r="D74" s="11" t="s">
        <v>37</v>
      </c>
      <c r="E74" s="36" t="s">
        <v>671</v>
      </c>
      <c r="F74" s="36" t="s">
        <v>672</v>
      </c>
      <c r="G74" s="36" t="s">
        <v>673</v>
      </c>
      <c r="H74" s="11" t="s">
        <v>45</v>
      </c>
      <c r="I74" s="11">
        <v>6.39189307458E11</v>
      </c>
      <c r="J74" s="37">
        <v>45588.0</v>
      </c>
      <c r="K74" s="18"/>
      <c r="L74" s="11">
        <v>2.0250331E7</v>
      </c>
    </row>
    <row r="75">
      <c r="A75" s="9" t="s">
        <v>249</v>
      </c>
      <c r="B75" s="11" t="s">
        <v>30</v>
      </c>
      <c r="C75" s="11" t="s">
        <v>35</v>
      </c>
      <c r="D75" s="11" t="s">
        <v>37</v>
      </c>
      <c r="E75" s="36" t="s">
        <v>675</v>
      </c>
      <c r="F75" s="36" t="s">
        <v>676</v>
      </c>
      <c r="G75" s="36" t="s">
        <v>677</v>
      </c>
      <c r="H75" s="11" t="s">
        <v>45</v>
      </c>
      <c r="I75" s="11">
        <v>6.39209515745E11</v>
      </c>
      <c r="J75" s="37">
        <v>45588.0</v>
      </c>
      <c r="K75" s="18"/>
      <c r="L75" s="11">
        <v>2.0250331E7</v>
      </c>
    </row>
    <row r="76">
      <c r="A76" s="9" t="s">
        <v>249</v>
      </c>
      <c r="B76" s="11" t="s">
        <v>30</v>
      </c>
      <c r="C76" s="11" t="s">
        <v>35</v>
      </c>
      <c r="D76" s="11" t="s">
        <v>37</v>
      </c>
      <c r="E76" s="36" t="s">
        <v>681</v>
      </c>
      <c r="F76" s="36" t="s">
        <v>682</v>
      </c>
      <c r="G76" s="36" t="s">
        <v>683</v>
      </c>
      <c r="H76" s="11" t="s">
        <v>45</v>
      </c>
      <c r="I76" s="11">
        <v>6.39209123225E11</v>
      </c>
      <c r="J76" s="37">
        <v>45588.0</v>
      </c>
      <c r="K76" s="18"/>
      <c r="L76" s="11">
        <v>2.0250331E7</v>
      </c>
    </row>
    <row r="77">
      <c r="A77" s="9" t="s">
        <v>249</v>
      </c>
      <c r="B77" s="11" t="s">
        <v>30</v>
      </c>
      <c r="C77" s="11" t="s">
        <v>35</v>
      </c>
      <c r="D77" s="11" t="s">
        <v>37</v>
      </c>
      <c r="E77" s="36" t="s">
        <v>686</v>
      </c>
      <c r="F77" s="36" t="s">
        <v>687</v>
      </c>
      <c r="G77" s="36" t="s">
        <v>688</v>
      </c>
      <c r="H77" s="11" t="s">
        <v>45</v>
      </c>
      <c r="I77" s="11">
        <v>6.39209023461E11</v>
      </c>
      <c r="J77" s="37">
        <v>45588.0</v>
      </c>
      <c r="K77" s="18"/>
      <c r="L77" s="11">
        <v>2.0250331E7</v>
      </c>
    </row>
    <row r="78">
      <c r="A78" s="9" t="s">
        <v>249</v>
      </c>
      <c r="B78" s="11" t="s">
        <v>30</v>
      </c>
      <c r="C78" s="11" t="s">
        <v>35</v>
      </c>
      <c r="D78" s="11" t="s">
        <v>37</v>
      </c>
      <c r="E78" s="36" t="s">
        <v>690</v>
      </c>
      <c r="F78" s="36" t="s">
        <v>691</v>
      </c>
      <c r="G78" s="36" t="s">
        <v>692</v>
      </c>
      <c r="H78" s="11" t="s">
        <v>45</v>
      </c>
      <c r="I78" s="11">
        <v>6.39209253041E11</v>
      </c>
      <c r="J78" s="37">
        <v>45588.0</v>
      </c>
      <c r="K78" s="18"/>
      <c r="L78" s="11">
        <v>2.0250331E7</v>
      </c>
    </row>
    <row r="79">
      <c r="A79" s="9" t="s">
        <v>249</v>
      </c>
      <c r="B79" s="11" t="s">
        <v>30</v>
      </c>
      <c r="C79" s="11" t="s">
        <v>35</v>
      </c>
      <c r="D79" s="11" t="s">
        <v>37</v>
      </c>
      <c r="E79" s="36" t="s">
        <v>697</v>
      </c>
      <c r="F79" s="36" t="s">
        <v>699</v>
      </c>
      <c r="G79" s="36" t="s">
        <v>700</v>
      </c>
      <c r="H79" s="11" t="s">
        <v>45</v>
      </c>
      <c r="I79" s="11">
        <v>6.39190624305E11</v>
      </c>
      <c r="J79" s="37">
        <v>45588.0</v>
      </c>
      <c r="K79" s="18"/>
      <c r="L79" s="11">
        <v>2.0250331E7</v>
      </c>
    </row>
    <row r="80">
      <c r="A80" s="9" t="s">
        <v>249</v>
      </c>
      <c r="B80" s="11" t="s">
        <v>30</v>
      </c>
      <c r="C80" s="11" t="s">
        <v>35</v>
      </c>
      <c r="D80" s="11" t="s">
        <v>37</v>
      </c>
      <c r="E80" s="36" t="s">
        <v>704</v>
      </c>
      <c r="F80" s="36" t="s">
        <v>706</v>
      </c>
      <c r="G80" s="36" t="s">
        <v>708</v>
      </c>
      <c r="H80" s="11" t="s">
        <v>45</v>
      </c>
      <c r="I80" s="11">
        <v>6.39209705371E11</v>
      </c>
      <c r="J80" s="37">
        <v>45588.0</v>
      </c>
      <c r="K80" s="18"/>
      <c r="L80" s="11">
        <v>2.0250331E7</v>
      </c>
    </row>
    <row r="81">
      <c r="A81" s="9" t="s">
        <v>249</v>
      </c>
      <c r="B81" s="11" t="s">
        <v>30</v>
      </c>
      <c r="C81" s="11" t="s">
        <v>35</v>
      </c>
      <c r="D81" s="11" t="s">
        <v>37</v>
      </c>
      <c r="E81" s="36" t="s">
        <v>712</v>
      </c>
      <c r="F81" s="36" t="s">
        <v>713</v>
      </c>
      <c r="G81" s="36" t="s">
        <v>714</v>
      </c>
      <c r="H81" s="11" t="s">
        <v>45</v>
      </c>
      <c r="I81" s="11">
        <v>6.39189330654E11</v>
      </c>
      <c r="J81" s="37">
        <v>45588.0</v>
      </c>
      <c r="K81" s="18"/>
      <c r="L81" s="11">
        <v>2.0250331E7</v>
      </c>
    </row>
    <row r="82">
      <c r="A82" s="9" t="s">
        <v>249</v>
      </c>
      <c r="B82" s="11" t="s">
        <v>30</v>
      </c>
      <c r="C82" s="11" t="s">
        <v>35</v>
      </c>
      <c r="D82" s="11" t="s">
        <v>37</v>
      </c>
      <c r="E82" s="36" t="s">
        <v>715</v>
      </c>
      <c r="F82" s="36" t="s">
        <v>716</v>
      </c>
      <c r="G82" s="36" t="s">
        <v>717</v>
      </c>
      <c r="H82" s="11" t="s">
        <v>45</v>
      </c>
      <c r="I82" s="11">
        <v>6.39189099542E11</v>
      </c>
      <c r="J82" s="37">
        <v>45588.0</v>
      </c>
      <c r="K82" s="18"/>
      <c r="L82" s="11">
        <v>2.0250331E7</v>
      </c>
    </row>
    <row r="83">
      <c r="A83" s="9" t="s">
        <v>249</v>
      </c>
      <c r="B83" s="11" t="s">
        <v>30</v>
      </c>
      <c r="C83" s="11" t="s">
        <v>35</v>
      </c>
      <c r="D83" s="11" t="s">
        <v>37</v>
      </c>
      <c r="E83" s="36" t="s">
        <v>723</v>
      </c>
      <c r="F83" s="36" t="s">
        <v>725</v>
      </c>
      <c r="G83" s="36" t="s">
        <v>726</v>
      </c>
      <c r="H83" s="11" t="s">
        <v>45</v>
      </c>
      <c r="I83" s="11">
        <v>6.39189330689E11</v>
      </c>
      <c r="J83" s="37">
        <v>45588.0</v>
      </c>
      <c r="K83" s="18"/>
      <c r="L83" s="11">
        <v>2.0250331E7</v>
      </c>
    </row>
    <row r="84">
      <c r="A84" s="9" t="s">
        <v>249</v>
      </c>
      <c r="B84" s="11" t="s">
        <v>30</v>
      </c>
      <c r="C84" s="11" t="s">
        <v>35</v>
      </c>
      <c r="D84" s="11" t="s">
        <v>37</v>
      </c>
      <c r="E84" s="36" t="s">
        <v>729</v>
      </c>
      <c r="F84" s="36" t="s">
        <v>732</v>
      </c>
      <c r="G84" s="36" t="s">
        <v>733</v>
      </c>
      <c r="H84" s="11" t="s">
        <v>45</v>
      </c>
      <c r="I84" s="11">
        <v>6.39209604602E11</v>
      </c>
      <c r="J84" s="37">
        <v>45588.0</v>
      </c>
      <c r="K84" s="18"/>
      <c r="L84" s="11">
        <v>2.0250331E7</v>
      </c>
    </row>
    <row r="85">
      <c r="A85" s="9" t="s">
        <v>249</v>
      </c>
      <c r="B85" s="11" t="s">
        <v>30</v>
      </c>
      <c r="C85" s="11" t="s">
        <v>35</v>
      </c>
      <c r="D85" s="11" t="s">
        <v>37</v>
      </c>
      <c r="E85" s="36" t="s">
        <v>736</v>
      </c>
      <c r="F85" s="36" t="s">
        <v>737</v>
      </c>
      <c r="G85" s="36" t="s">
        <v>738</v>
      </c>
      <c r="H85" s="11" t="s">
        <v>45</v>
      </c>
      <c r="I85" s="11">
        <v>6.39209794501E11</v>
      </c>
      <c r="J85" s="37">
        <v>45588.0</v>
      </c>
      <c r="K85" s="18"/>
      <c r="L85" s="11">
        <v>2.0250331E7</v>
      </c>
    </row>
    <row r="86">
      <c r="A86" s="9" t="s">
        <v>249</v>
      </c>
      <c r="B86" s="11" t="s">
        <v>30</v>
      </c>
      <c r="C86" s="11" t="s">
        <v>35</v>
      </c>
      <c r="D86" s="11" t="s">
        <v>37</v>
      </c>
      <c r="E86" s="36" t="s">
        <v>745</v>
      </c>
      <c r="F86" s="36" t="s">
        <v>746</v>
      </c>
      <c r="G86" s="36" t="s">
        <v>748</v>
      </c>
      <c r="H86" s="11" t="s">
        <v>45</v>
      </c>
      <c r="I86" s="11">
        <v>6.39189350255E11</v>
      </c>
      <c r="J86" s="37">
        <v>45588.0</v>
      </c>
      <c r="K86" s="18"/>
      <c r="L86" s="11">
        <v>2.0250331E7</v>
      </c>
    </row>
    <row r="87">
      <c r="A87" s="9" t="s">
        <v>249</v>
      </c>
      <c r="B87" s="11" t="s">
        <v>30</v>
      </c>
      <c r="C87" s="11" t="s">
        <v>35</v>
      </c>
      <c r="D87" s="11" t="s">
        <v>37</v>
      </c>
      <c r="E87" s="36" t="s">
        <v>753</v>
      </c>
      <c r="F87" s="36" t="s">
        <v>755</v>
      </c>
      <c r="G87" s="36" t="s">
        <v>756</v>
      </c>
      <c r="H87" s="11" t="s">
        <v>45</v>
      </c>
      <c r="I87" s="11">
        <v>6.39189093422E11</v>
      </c>
      <c r="J87" s="37">
        <v>45588.0</v>
      </c>
      <c r="K87" s="18"/>
      <c r="L87" s="11">
        <v>2.0250331E7</v>
      </c>
    </row>
    <row r="88">
      <c r="A88" s="9" t="s">
        <v>249</v>
      </c>
      <c r="B88" s="11" t="s">
        <v>30</v>
      </c>
      <c r="C88" s="11" t="s">
        <v>35</v>
      </c>
      <c r="D88" s="11" t="s">
        <v>37</v>
      </c>
      <c r="E88" s="36" t="s">
        <v>757</v>
      </c>
      <c r="F88" s="36" t="s">
        <v>758</v>
      </c>
      <c r="G88" s="36" t="s">
        <v>759</v>
      </c>
      <c r="H88" s="11" t="s">
        <v>45</v>
      </c>
      <c r="I88" s="11">
        <v>6.39399317579E11</v>
      </c>
      <c r="J88" s="37">
        <v>45588.0</v>
      </c>
      <c r="K88" s="18"/>
      <c r="L88" s="11">
        <v>2.0250331E7</v>
      </c>
    </row>
    <row r="89">
      <c r="A89" s="9" t="s">
        <v>249</v>
      </c>
      <c r="B89" s="11" t="s">
        <v>30</v>
      </c>
      <c r="C89" s="11" t="s">
        <v>35</v>
      </c>
      <c r="D89" s="11" t="s">
        <v>37</v>
      </c>
      <c r="E89" s="36" t="s">
        <v>764</v>
      </c>
      <c r="F89" s="36" t="s">
        <v>766</v>
      </c>
      <c r="G89" s="36" t="s">
        <v>767</v>
      </c>
      <c r="H89" s="11" t="s">
        <v>45</v>
      </c>
      <c r="I89" s="11">
        <v>6.3918915809E11</v>
      </c>
      <c r="J89" s="37">
        <v>45588.0</v>
      </c>
      <c r="K89" s="18"/>
      <c r="L89" s="11">
        <v>2.0250331E7</v>
      </c>
    </row>
    <row r="90">
      <c r="A90" s="9" t="s">
        <v>249</v>
      </c>
      <c r="B90" s="11" t="s">
        <v>30</v>
      </c>
      <c r="C90" s="11" t="s">
        <v>35</v>
      </c>
      <c r="D90" s="11" t="s">
        <v>37</v>
      </c>
      <c r="E90" s="36" t="s">
        <v>769</v>
      </c>
      <c r="F90" s="36" t="s">
        <v>770</v>
      </c>
      <c r="G90" s="36" t="s">
        <v>771</v>
      </c>
      <c r="H90" s="11" t="s">
        <v>45</v>
      </c>
      <c r="I90" s="11">
        <v>6.39189231395E11</v>
      </c>
      <c r="J90" s="37">
        <v>45588.0</v>
      </c>
      <c r="K90" s="18"/>
      <c r="L90" s="11">
        <v>2.0250331E7</v>
      </c>
    </row>
    <row r="91">
      <c r="A91" s="9" t="s">
        <v>249</v>
      </c>
      <c r="B91" s="11" t="s">
        <v>30</v>
      </c>
      <c r="C91" s="11" t="s">
        <v>35</v>
      </c>
      <c r="D91" s="11" t="s">
        <v>37</v>
      </c>
      <c r="E91" s="36" t="s">
        <v>775</v>
      </c>
      <c r="F91" s="36" t="s">
        <v>776</v>
      </c>
      <c r="G91" s="36" t="s">
        <v>778</v>
      </c>
      <c r="H91" s="11" t="s">
        <v>45</v>
      </c>
      <c r="I91" s="11">
        <v>6.39189435133E11</v>
      </c>
      <c r="J91" s="37">
        <v>45588.0</v>
      </c>
      <c r="K91" s="18"/>
      <c r="L91" s="11">
        <v>2.0250331E7</v>
      </c>
    </row>
    <row r="92">
      <c r="A92" s="9" t="s">
        <v>249</v>
      </c>
      <c r="B92" s="11" t="s">
        <v>30</v>
      </c>
      <c r="C92" s="11" t="s">
        <v>35</v>
      </c>
      <c r="D92" s="11" t="s">
        <v>37</v>
      </c>
      <c r="E92" s="36" t="s">
        <v>781</v>
      </c>
      <c r="F92" s="36" t="s">
        <v>782</v>
      </c>
      <c r="G92" s="36" t="s">
        <v>783</v>
      </c>
      <c r="H92" s="11" t="s">
        <v>45</v>
      </c>
      <c r="I92" s="11">
        <v>6.3908860017E11</v>
      </c>
      <c r="J92" s="37">
        <v>45588.0</v>
      </c>
      <c r="K92" s="18"/>
      <c r="L92" s="11">
        <v>2.0250331E7</v>
      </c>
    </row>
    <row r="93">
      <c r="A93" s="9" t="s">
        <v>249</v>
      </c>
      <c r="B93" s="11" t="s">
        <v>30</v>
      </c>
      <c r="C93" s="11" t="s">
        <v>35</v>
      </c>
      <c r="D93" s="11" t="s">
        <v>37</v>
      </c>
      <c r="E93" s="36" t="s">
        <v>784</v>
      </c>
      <c r="F93" s="36" t="s">
        <v>786</v>
      </c>
      <c r="G93" s="36" t="s">
        <v>788</v>
      </c>
      <c r="H93" s="11" t="s">
        <v>45</v>
      </c>
      <c r="I93" s="11">
        <v>6.39189142481E11</v>
      </c>
      <c r="J93" s="37">
        <v>45588.0</v>
      </c>
      <c r="K93" s="18"/>
      <c r="L93" s="11">
        <v>2.0250331E7</v>
      </c>
    </row>
    <row r="94">
      <c r="A94" s="9" t="s">
        <v>249</v>
      </c>
      <c r="B94" s="11" t="s">
        <v>30</v>
      </c>
      <c r="C94" s="11" t="s">
        <v>35</v>
      </c>
      <c r="D94" s="11" t="s">
        <v>37</v>
      </c>
      <c r="E94" s="36" t="s">
        <v>792</v>
      </c>
      <c r="F94" s="36" t="s">
        <v>793</v>
      </c>
      <c r="G94" s="36" t="s">
        <v>794</v>
      </c>
      <c r="H94" s="11" t="s">
        <v>45</v>
      </c>
      <c r="I94" s="11">
        <v>6.3918927078E11</v>
      </c>
      <c r="J94" s="37">
        <v>45588.0</v>
      </c>
      <c r="K94" s="18"/>
      <c r="L94" s="11">
        <v>2.0250331E7</v>
      </c>
    </row>
    <row r="95">
      <c r="A95" s="9" t="s">
        <v>249</v>
      </c>
      <c r="B95" s="11" t="s">
        <v>30</v>
      </c>
      <c r="C95" s="11" t="s">
        <v>35</v>
      </c>
      <c r="D95" s="11" t="s">
        <v>37</v>
      </c>
      <c r="E95" s="36" t="s">
        <v>796</v>
      </c>
      <c r="F95" s="36" t="s">
        <v>797</v>
      </c>
      <c r="G95" s="36" t="s">
        <v>798</v>
      </c>
      <c r="H95" s="11" t="s">
        <v>45</v>
      </c>
      <c r="I95" s="11">
        <v>6.39209510875E11</v>
      </c>
      <c r="J95" s="37">
        <v>45588.0</v>
      </c>
      <c r="K95" s="18"/>
      <c r="L95" s="11">
        <v>2.0250331E7</v>
      </c>
    </row>
    <row r="96">
      <c r="A96" s="9" t="s">
        <v>249</v>
      </c>
      <c r="B96" s="11" t="s">
        <v>30</v>
      </c>
      <c r="C96" s="11" t="s">
        <v>35</v>
      </c>
      <c r="D96" s="11" t="s">
        <v>37</v>
      </c>
      <c r="E96" s="36" t="s">
        <v>803</v>
      </c>
      <c r="F96" s="36" t="s">
        <v>804</v>
      </c>
      <c r="G96" s="36" t="s">
        <v>805</v>
      </c>
      <c r="H96" s="11" t="s">
        <v>45</v>
      </c>
      <c r="I96" s="11">
        <v>6.39189149005E11</v>
      </c>
      <c r="J96" s="37">
        <v>45588.0</v>
      </c>
      <c r="K96" s="18"/>
      <c r="L96" s="11">
        <v>2.0250331E7</v>
      </c>
    </row>
    <row r="97">
      <c r="A97" s="9" t="s">
        <v>249</v>
      </c>
      <c r="B97" s="11" t="s">
        <v>30</v>
      </c>
      <c r="C97" s="11" t="s">
        <v>35</v>
      </c>
      <c r="D97" s="11" t="s">
        <v>37</v>
      </c>
      <c r="E97" s="36" t="s">
        <v>807</v>
      </c>
      <c r="F97" s="36" t="s">
        <v>808</v>
      </c>
      <c r="G97" s="36" t="s">
        <v>810</v>
      </c>
      <c r="H97" s="11" t="s">
        <v>45</v>
      </c>
      <c r="I97" s="11">
        <v>6.39189335948E11</v>
      </c>
      <c r="J97" s="37">
        <v>45588.0</v>
      </c>
      <c r="K97" s="18"/>
      <c r="L97" s="11">
        <v>2.0250331E7</v>
      </c>
    </row>
    <row r="98">
      <c r="A98" s="9" t="s">
        <v>249</v>
      </c>
      <c r="B98" s="11" t="s">
        <v>30</v>
      </c>
      <c r="C98" s="11" t="s">
        <v>35</v>
      </c>
      <c r="D98" s="11" t="s">
        <v>37</v>
      </c>
      <c r="E98" s="36" t="s">
        <v>813</v>
      </c>
      <c r="F98" s="36" t="s">
        <v>815</v>
      </c>
      <c r="G98" s="36" t="s">
        <v>816</v>
      </c>
      <c r="H98" s="11" t="s">
        <v>45</v>
      </c>
      <c r="I98" s="11">
        <v>6.39189367282E11</v>
      </c>
      <c r="J98" s="37">
        <v>45588.0</v>
      </c>
      <c r="K98" s="18"/>
      <c r="L98" s="11">
        <v>2.0250331E7</v>
      </c>
    </row>
    <row r="99">
      <c r="A99" s="9" t="s">
        <v>249</v>
      </c>
      <c r="B99" s="11" t="s">
        <v>30</v>
      </c>
      <c r="C99" s="11" t="s">
        <v>35</v>
      </c>
      <c r="D99" s="11" t="s">
        <v>37</v>
      </c>
      <c r="E99" s="36" t="s">
        <v>818</v>
      </c>
      <c r="F99" s="36" t="s">
        <v>819</v>
      </c>
      <c r="G99" s="36" t="s">
        <v>820</v>
      </c>
      <c r="H99" s="11" t="s">
        <v>45</v>
      </c>
      <c r="I99" s="11">
        <v>6.39209611332E11</v>
      </c>
      <c r="J99" s="37">
        <v>45588.0</v>
      </c>
      <c r="K99" s="18"/>
      <c r="L99" s="11">
        <v>2.0250331E7</v>
      </c>
    </row>
    <row r="100">
      <c r="A100" s="9" t="s">
        <v>249</v>
      </c>
      <c r="B100" s="11" t="s">
        <v>30</v>
      </c>
      <c r="C100" s="11" t="s">
        <v>35</v>
      </c>
      <c r="D100" s="11" t="s">
        <v>37</v>
      </c>
      <c r="E100" s="36" t="s">
        <v>822</v>
      </c>
      <c r="F100" s="36" t="s">
        <v>824</v>
      </c>
      <c r="G100" s="36" t="s">
        <v>825</v>
      </c>
      <c r="H100" s="11" t="s">
        <v>45</v>
      </c>
      <c r="I100" s="11">
        <v>6.39189177538E11</v>
      </c>
      <c r="J100" s="37">
        <v>45588.0</v>
      </c>
      <c r="K100" s="18"/>
      <c r="L100" s="11">
        <v>2.0250331E7</v>
      </c>
    </row>
    <row r="101">
      <c r="A101" s="9" t="s">
        <v>249</v>
      </c>
      <c r="B101" s="11" t="s">
        <v>30</v>
      </c>
      <c r="C101" s="11" t="s">
        <v>35</v>
      </c>
      <c r="D101" s="11" t="s">
        <v>37</v>
      </c>
      <c r="E101" s="36" t="s">
        <v>830</v>
      </c>
      <c r="F101" s="36" t="s">
        <v>831</v>
      </c>
      <c r="G101" s="36" t="s">
        <v>832</v>
      </c>
      <c r="H101" s="11" t="s">
        <v>45</v>
      </c>
      <c r="I101" s="11">
        <v>6.39189293527E11</v>
      </c>
      <c r="J101" s="37">
        <v>45588.0</v>
      </c>
      <c r="K101" s="18"/>
      <c r="L101" s="11">
        <v>2.0250331E7</v>
      </c>
    </row>
    <row r="102">
      <c r="A102" s="9" t="s">
        <v>249</v>
      </c>
      <c r="B102" s="11" t="s">
        <v>30</v>
      </c>
      <c r="C102" s="11" t="s">
        <v>35</v>
      </c>
      <c r="D102" s="11" t="s">
        <v>37</v>
      </c>
      <c r="E102" s="36" t="s">
        <v>833</v>
      </c>
      <c r="F102" s="36" t="s">
        <v>834</v>
      </c>
      <c r="G102" s="36" t="s">
        <v>835</v>
      </c>
      <c r="H102" s="11" t="s">
        <v>45</v>
      </c>
      <c r="I102" s="11">
        <v>6.39209213278E11</v>
      </c>
      <c r="J102" s="37">
        <v>45588.0</v>
      </c>
      <c r="K102" s="18"/>
      <c r="L102" s="11">
        <v>2.0250331E7</v>
      </c>
    </row>
    <row r="103">
      <c r="A103" s="9" t="s">
        <v>249</v>
      </c>
      <c r="B103" s="11" t="s">
        <v>30</v>
      </c>
      <c r="C103" s="11" t="s">
        <v>35</v>
      </c>
      <c r="D103" s="11" t="s">
        <v>37</v>
      </c>
      <c r="E103" s="36" t="s">
        <v>840</v>
      </c>
      <c r="F103" s="36" t="s">
        <v>841</v>
      </c>
      <c r="G103" s="36" t="s">
        <v>842</v>
      </c>
      <c r="H103" s="11" t="s">
        <v>45</v>
      </c>
      <c r="I103" s="11">
        <v>6.39189303878E11</v>
      </c>
      <c r="J103" s="37">
        <v>45588.0</v>
      </c>
      <c r="K103" s="18"/>
      <c r="L103" s="11">
        <v>2.0250331E7</v>
      </c>
    </row>
    <row r="104">
      <c r="A104" s="9" t="s">
        <v>249</v>
      </c>
      <c r="B104" s="11" t="s">
        <v>30</v>
      </c>
      <c r="C104" s="11" t="s">
        <v>35</v>
      </c>
      <c r="D104" s="11" t="s">
        <v>37</v>
      </c>
      <c r="E104" s="36" t="s">
        <v>845</v>
      </c>
      <c r="F104" s="36" t="s">
        <v>846</v>
      </c>
      <c r="G104" s="36" t="s">
        <v>847</v>
      </c>
      <c r="H104" s="11" t="s">
        <v>45</v>
      </c>
      <c r="I104" s="11">
        <v>6.39189305031E11</v>
      </c>
      <c r="J104" s="37">
        <v>45588.0</v>
      </c>
      <c r="K104" s="18"/>
      <c r="L104" s="11">
        <v>2.0250331E7</v>
      </c>
    </row>
    <row r="105">
      <c r="A105" s="9" t="s">
        <v>249</v>
      </c>
      <c r="B105" s="11" t="s">
        <v>30</v>
      </c>
      <c r="C105" s="11" t="s">
        <v>35</v>
      </c>
      <c r="D105" s="11" t="s">
        <v>37</v>
      </c>
      <c r="E105" s="36" t="s">
        <v>848</v>
      </c>
      <c r="F105" s="36" t="s">
        <v>849</v>
      </c>
      <c r="G105" s="36" t="s">
        <v>851</v>
      </c>
      <c r="H105" s="11" t="s">
        <v>45</v>
      </c>
      <c r="I105" s="11">
        <v>6.39189291565E11</v>
      </c>
      <c r="J105" s="37">
        <v>45588.0</v>
      </c>
      <c r="K105" s="18"/>
      <c r="L105" s="11">
        <v>2.0250331E7</v>
      </c>
    </row>
    <row r="106">
      <c r="A106" s="9" t="s">
        <v>249</v>
      </c>
      <c r="B106" s="11" t="s">
        <v>30</v>
      </c>
      <c r="C106" s="11" t="s">
        <v>35</v>
      </c>
      <c r="D106" s="11" t="s">
        <v>37</v>
      </c>
      <c r="E106" s="36" t="s">
        <v>855</v>
      </c>
      <c r="F106" s="36" t="s">
        <v>856</v>
      </c>
      <c r="G106" s="36" t="s">
        <v>857</v>
      </c>
      <c r="H106" s="11" t="s">
        <v>45</v>
      </c>
      <c r="I106" s="11">
        <v>6.39189401623E11</v>
      </c>
      <c r="J106" s="37">
        <v>45588.0</v>
      </c>
      <c r="K106" s="18"/>
      <c r="L106" s="11">
        <v>2.0250331E7</v>
      </c>
    </row>
    <row r="107">
      <c r="A107" s="9" t="s">
        <v>249</v>
      </c>
      <c r="B107" s="11" t="s">
        <v>30</v>
      </c>
      <c r="C107" s="11" t="s">
        <v>35</v>
      </c>
      <c r="D107" s="11" t="s">
        <v>37</v>
      </c>
      <c r="E107" s="36" t="s">
        <v>858</v>
      </c>
      <c r="F107" s="36" t="s">
        <v>860</v>
      </c>
      <c r="G107" s="36" t="s">
        <v>862</v>
      </c>
      <c r="H107" s="11" t="s">
        <v>45</v>
      </c>
      <c r="I107" s="11">
        <v>6.39189205226E11</v>
      </c>
      <c r="J107" s="37">
        <v>45588.0</v>
      </c>
      <c r="K107" s="18"/>
      <c r="L107" s="11">
        <v>2.0250331E7</v>
      </c>
    </row>
    <row r="108">
      <c r="A108" s="9" t="s">
        <v>249</v>
      </c>
      <c r="B108" s="11" t="s">
        <v>30</v>
      </c>
      <c r="C108" s="11" t="s">
        <v>35</v>
      </c>
      <c r="D108" s="11" t="s">
        <v>37</v>
      </c>
      <c r="E108" s="36" t="s">
        <v>866</v>
      </c>
      <c r="F108" s="36" t="s">
        <v>867</v>
      </c>
      <c r="G108" s="36" t="s">
        <v>868</v>
      </c>
      <c r="H108" s="11" t="s">
        <v>45</v>
      </c>
      <c r="I108" s="11">
        <v>6.39189083625E11</v>
      </c>
      <c r="J108" s="37">
        <v>45588.0</v>
      </c>
      <c r="K108" s="18"/>
      <c r="L108" s="11">
        <v>2.0250331E7</v>
      </c>
    </row>
    <row r="109">
      <c r="A109" s="9" t="s">
        <v>249</v>
      </c>
      <c r="B109" s="11" t="s">
        <v>30</v>
      </c>
      <c r="C109" s="11" t="s">
        <v>35</v>
      </c>
      <c r="D109" s="11" t="s">
        <v>37</v>
      </c>
      <c r="E109" s="36" t="s">
        <v>870</v>
      </c>
      <c r="F109" s="36" t="s">
        <v>871</v>
      </c>
      <c r="G109" s="36" t="s">
        <v>873</v>
      </c>
      <c r="H109" s="11" t="s">
        <v>45</v>
      </c>
      <c r="I109" s="11">
        <v>6.39189356036E11</v>
      </c>
      <c r="J109" s="37">
        <v>45588.0</v>
      </c>
      <c r="K109" s="18"/>
      <c r="L109" s="11">
        <v>2.0250331E7</v>
      </c>
    </row>
    <row r="110">
      <c r="A110" s="9" t="s">
        <v>249</v>
      </c>
      <c r="B110" s="11" t="s">
        <v>30</v>
      </c>
      <c r="C110" s="11" t="s">
        <v>35</v>
      </c>
      <c r="D110" s="11" t="s">
        <v>37</v>
      </c>
      <c r="E110" s="36" t="s">
        <v>878</v>
      </c>
      <c r="F110" s="36" t="s">
        <v>879</v>
      </c>
      <c r="G110" s="36" t="s">
        <v>880</v>
      </c>
      <c r="H110" s="11" t="s">
        <v>45</v>
      </c>
      <c r="I110" s="11">
        <v>6.39189397302E11</v>
      </c>
      <c r="J110" s="37">
        <v>45588.0</v>
      </c>
      <c r="K110" s="18"/>
      <c r="L110" s="11">
        <v>2.0250331E7</v>
      </c>
    </row>
    <row r="111">
      <c r="A111" s="9" t="s">
        <v>249</v>
      </c>
      <c r="B111" s="11" t="s">
        <v>30</v>
      </c>
      <c r="C111" s="11" t="s">
        <v>35</v>
      </c>
      <c r="D111" s="11" t="s">
        <v>37</v>
      </c>
      <c r="E111" s="36" t="s">
        <v>882</v>
      </c>
      <c r="F111" s="36" t="s">
        <v>883</v>
      </c>
      <c r="G111" s="36" t="s">
        <v>884</v>
      </c>
      <c r="H111" s="11" t="s">
        <v>45</v>
      </c>
      <c r="I111" s="11">
        <v>6.39190791547E11</v>
      </c>
      <c r="J111" s="37">
        <v>45588.0</v>
      </c>
      <c r="K111" s="18"/>
      <c r="L111" s="11">
        <v>2.0250331E7</v>
      </c>
    </row>
    <row r="112">
      <c r="A112" s="9" t="s">
        <v>249</v>
      </c>
      <c r="B112" s="11" t="s">
        <v>30</v>
      </c>
      <c r="C112" s="11" t="s">
        <v>35</v>
      </c>
      <c r="D112" s="11" t="s">
        <v>37</v>
      </c>
      <c r="E112" s="36" t="s">
        <v>887</v>
      </c>
      <c r="F112" s="36" t="s">
        <v>889</v>
      </c>
      <c r="G112" s="36" t="s">
        <v>890</v>
      </c>
      <c r="H112" s="11" t="s">
        <v>45</v>
      </c>
      <c r="I112" s="11">
        <v>6.3928504981E11</v>
      </c>
      <c r="J112" s="37">
        <v>45588.0</v>
      </c>
      <c r="K112" s="18"/>
      <c r="L112" s="11">
        <v>2.0250331E7</v>
      </c>
    </row>
    <row r="113">
      <c r="A113" s="9" t="s">
        <v>249</v>
      </c>
      <c r="B113" s="11" t="s">
        <v>30</v>
      </c>
      <c r="C113" s="11" t="s">
        <v>35</v>
      </c>
      <c r="D113" s="11" t="s">
        <v>37</v>
      </c>
      <c r="E113" s="36" t="s">
        <v>893</v>
      </c>
      <c r="F113" s="36" t="s">
        <v>894</v>
      </c>
      <c r="G113" s="36" t="s">
        <v>895</v>
      </c>
      <c r="H113" s="11" t="s">
        <v>45</v>
      </c>
      <c r="I113" s="11">
        <v>6.3918935706E11</v>
      </c>
      <c r="J113" s="37">
        <v>45588.0</v>
      </c>
      <c r="K113" s="18"/>
      <c r="L113" s="11">
        <v>2.0250331E7</v>
      </c>
    </row>
    <row r="114">
      <c r="A114" s="9" t="s">
        <v>249</v>
      </c>
      <c r="B114" s="11" t="s">
        <v>30</v>
      </c>
      <c r="C114" s="11" t="s">
        <v>35</v>
      </c>
      <c r="D114" s="11" t="s">
        <v>37</v>
      </c>
      <c r="E114" s="36" t="s">
        <v>897</v>
      </c>
      <c r="F114" s="36" t="s">
        <v>899</v>
      </c>
      <c r="G114" s="36" t="s">
        <v>900</v>
      </c>
      <c r="H114" s="11" t="s">
        <v>45</v>
      </c>
      <c r="I114" s="11">
        <v>6.39189225067E11</v>
      </c>
      <c r="J114" s="37">
        <v>45588.0</v>
      </c>
      <c r="K114" s="11"/>
      <c r="L114" s="11">
        <v>2.0250331E7</v>
      </c>
    </row>
    <row r="115">
      <c r="A115" s="9" t="s">
        <v>249</v>
      </c>
      <c r="B115" s="11" t="s">
        <v>30</v>
      </c>
      <c r="C115" s="11" t="s">
        <v>35</v>
      </c>
      <c r="D115" s="11" t="s">
        <v>37</v>
      </c>
      <c r="E115" s="36" t="s">
        <v>905</v>
      </c>
      <c r="F115" s="36" t="s">
        <v>906</v>
      </c>
      <c r="G115" s="36" t="s">
        <v>907</v>
      </c>
      <c r="H115" s="11" t="s">
        <v>45</v>
      </c>
      <c r="I115" s="11">
        <v>6.39209034234E11</v>
      </c>
      <c r="J115" s="37">
        <v>45588.0</v>
      </c>
      <c r="K115" s="18"/>
      <c r="L115" s="11">
        <v>2.0250331E7</v>
      </c>
    </row>
    <row r="116">
      <c r="A116" s="9" t="s">
        <v>249</v>
      </c>
      <c r="B116" s="11" t="s">
        <v>30</v>
      </c>
      <c r="C116" s="11" t="s">
        <v>35</v>
      </c>
      <c r="D116" s="11" t="s">
        <v>37</v>
      </c>
      <c r="E116" s="36" t="s">
        <v>912</v>
      </c>
      <c r="F116" s="36" t="s">
        <v>913</v>
      </c>
      <c r="G116" s="36" t="s">
        <v>914</v>
      </c>
      <c r="H116" s="11" t="s">
        <v>45</v>
      </c>
      <c r="I116" s="11">
        <v>6.39189343328E11</v>
      </c>
      <c r="J116" s="37">
        <v>45588.0</v>
      </c>
      <c r="K116" s="18"/>
      <c r="L116" s="11">
        <v>2.0250331E7</v>
      </c>
    </row>
    <row r="117">
      <c r="A117" s="9" t="s">
        <v>249</v>
      </c>
      <c r="B117" s="11" t="s">
        <v>30</v>
      </c>
      <c r="C117" s="11" t="s">
        <v>35</v>
      </c>
      <c r="D117" s="11" t="s">
        <v>37</v>
      </c>
      <c r="E117" s="36" t="s">
        <v>915</v>
      </c>
      <c r="F117" s="36" t="s">
        <v>916</v>
      </c>
      <c r="G117" s="36" t="s">
        <v>917</v>
      </c>
      <c r="H117" s="11" t="s">
        <v>45</v>
      </c>
      <c r="I117" s="11">
        <v>6.39189426694E11</v>
      </c>
      <c r="J117" s="37">
        <v>45588.0</v>
      </c>
      <c r="K117" s="18"/>
      <c r="L117" s="11">
        <v>2.0250331E7</v>
      </c>
    </row>
    <row r="118">
      <c r="A118" s="9" t="s">
        <v>249</v>
      </c>
      <c r="B118" s="11" t="s">
        <v>30</v>
      </c>
      <c r="C118" s="11" t="s">
        <v>35</v>
      </c>
      <c r="D118" s="11" t="s">
        <v>37</v>
      </c>
      <c r="E118" s="36" t="s">
        <v>924</v>
      </c>
      <c r="F118" s="36" t="s">
        <v>925</v>
      </c>
      <c r="G118" s="36" t="s">
        <v>926</v>
      </c>
      <c r="H118" s="11" t="s">
        <v>45</v>
      </c>
      <c r="I118" s="11">
        <v>6.3918925173E11</v>
      </c>
      <c r="J118" s="37">
        <v>45588.0</v>
      </c>
      <c r="K118" s="18"/>
      <c r="L118" s="11">
        <v>2.0250331E7</v>
      </c>
    </row>
    <row r="119">
      <c r="A119" s="9" t="s">
        <v>249</v>
      </c>
      <c r="B119" s="11" t="s">
        <v>30</v>
      </c>
      <c r="C119" s="11" t="s">
        <v>35</v>
      </c>
      <c r="D119" s="11" t="s">
        <v>37</v>
      </c>
      <c r="E119" s="36" t="s">
        <v>930</v>
      </c>
      <c r="F119" s="36" t="s">
        <v>931</v>
      </c>
      <c r="G119" s="36" t="s">
        <v>933</v>
      </c>
      <c r="H119" s="11" t="s">
        <v>45</v>
      </c>
      <c r="I119" s="11">
        <v>6.39209550591E11</v>
      </c>
      <c r="J119" s="37">
        <v>45588.0</v>
      </c>
      <c r="K119" s="18"/>
      <c r="L119" s="11">
        <v>2.0250331E7</v>
      </c>
    </row>
    <row r="120">
      <c r="A120" s="9" t="s">
        <v>249</v>
      </c>
      <c r="B120" s="11" t="s">
        <v>30</v>
      </c>
      <c r="C120" s="11" t="s">
        <v>35</v>
      </c>
      <c r="D120" s="11" t="s">
        <v>37</v>
      </c>
      <c r="E120" s="36" t="s">
        <v>936</v>
      </c>
      <c r="F120" s="36" t="s">
        <v>937</v>
      </c>
      <c r="G120" s="36" t="s">
        <v>938</v>
      </c>
      <c r="H120" s="11" t="s">
        <v>45</v>
      </c>
      <c r="I120" s="11">
        <v>6.39190822144E11</v>
      </c>
      <c r="J120" s="37">
        <v>45588.0</v>
      </c>
      <c r="K120" s="18"/>
      <c r="L120" s="11">
        <v>2.0250331E7</v>
      </c>
    </row>
    <row r="121">
      <c r="A121" s="9" t="s">
        <v>249</v>
      </c>
      <c r="B121" s="11" t="s">
        <v>30</v>
      </c>
      <c r="C121" s="11" t="s">
        <v>35</v>
      </c>
      <c r="D121" s="11" t="s">
        <v>37</v>
      </c>
      <c r="E121" s="36" t="s">
        <v>942</v>
      </c>
      <c r="F121" s="36" t="s">
        <v>943</v>
      </c>
      <c r="G121" s="36" t="s">
        <v>945</v>
      </c>
      <c r="H121" s="11" t="s">
        <v>45</v>
      </c>
      <c r="I121" s="11">
        <v>6.39209719488E11</v>
      </c>
      <c r="J121" s="37">
        <v>45588.0</v>
      </c>
      <c r="K121" s="18"/>
      <c r="L121" s="11">
        <v>2.0250331E7</v>
      </c>
    </row>
    <row r="122">
      <c r="A122" s="9" t="s">
        <v>249</v>
      </c>
      <c r="B122" s="11" t="s">
        <v>30</v>
      </c>
      <c r="C122" s="11" t="s">
        <v>35</v>
      </c>
      <c r="D122" s="11" t="s">
        <v>37</v>
      </c>
      <c r="E122" s="36" t="s">
        <v>948</v>
      </c>
      <c r="F122" s="36" t="s">
        <v>949</v>
      </c>
      <c r="G122" s="36" t="s">
        <v>950</v>
      </c>
      <c r="H122" s="11" t="s">
        <v>45</v>
      </c>
      <c r="I122" s="11">
        <v>6.39209587981E11</v>
      </c>
      <c r="J122" s="37">
        <v>45588.0</v>
      </c>
      <c r="K122" s="18"/>
      <c r="L122" s="11">
        <v>2.0250331E7</v>
      </c>
    </row>
    <row r="123">
      <c r="A123" s="9" t="s">
        <v>249</v>
      </c>
      <c r="B123" s="11" t="s">
        <v>30</v>
      </c>
      <c r="C123" s="11" t="s">
        <v>35</v>
      </c>
      <c r="D123" s="11" t="s">
        <v>37</v>
      </c>
      <c r="E123" s="36" t="s">
        <v>955</v>
      </c>
      <c r="F123" s="36" t="s">
        <v>956</v>
      </c>
      <c r="G123" s="36" t="s">
        <v>957</v>
      </c>
      <c r="H123" s="11" t="s">
        <v>45</v>
      </c>
      <c r="I123" s="11">
        <v>6.39189165952E11</v>
      </c>
      <c r="J123" s="37">
        <v>45588.0</v>
      </c>
      <c r="K123" s="18"/>
      <c r="L123" s="11">
        <v>2.0250331E7</v>
      </c>
    </row>
    <row r="124">
      <c r="A124" s="9" t="s">
        <v>249</v>
      </c>
      <c r="B124" s="11" t="s">
        <v>30</v>
      </c>
      <c r="C124" s="11" t="s">
        <v>35</v>
      </c>
      <c r="D124" s="11" t="s">
        <v>37</v>
      </c>
      <c r="E124" s="36" t="s">
        <v>960</v>
      </c>
      <c r="F124" s="36" t="s">
        <v>961</v>
      </c>
      <c r="G124" s="36" t="s">
        <v>962</v>
      </c>
      <c r="H124" s="11" t="s">
        <v>45</v>
      </c>
      <c r="I124" s="11">
        <v>6.39209612797E11</v>
      </c>
      <c r="J124" s="37">
        <v>45588.0</v>
      </c>
      <c r="K124" s="18"/>
      <c r="L124" s="11">
        <v>2.0250331E7</v>
      </c>
    </row>
    <row r="125">
      <c r="A125" s="9" t="s">
        <v>249</v>
      </c>
      <c r="B125" s="11" t="s">
        <v>30</v>
      </c>
      <c r="C125" s="11" t="s">
        <v>35</v>
      </c>
      <c r="D125" s="11" t="s">
        <v>37</v>
      </c>
      <c r="E125" s="36" t="s">
        <v>967</v>
      </c>
      <c r="F125" s="36" t="s">
        <v>968</v>
      </c>
      <c r="G125" s="36" t="s">
        <v>969</v>
      </c>
      <c r="H125" s="11" t="s">
        <v>45</v>
      </c>
      <c r="I125" s="11">
        <v>6.39189248293E11</v>
      </c>
      <c r="J125" s="37">
        <v>45588.0</v>
      </c>
      <c r="K125" s="18"/>
      <c r="L125" s="11">
        <v>2.0250331E7</v>
      </c>
    </row>
    <row r="126">
      <c r="A126" s="9" t="s">
        <v>249</v>
      </c>
      <c r="B126" s="11" t="s">
        <v>30</v>
      </c>
      <c r="C126" s="11" t="s">
        <v>35</v>
      </c>
      <c r="D126" s="11" t="s">
        <v>37</v>
      </c>
      <c r="E126" s="36" t="s">
        <v>970</v>
      </c>
      <c r="F126" s="36" t="s">
        <v>971</v>
      </c>
      <c r="G126" s="36" t="s">
        <v>972</v>
      </c>
      <c r="H126" s="11" t="s">
        <v>45</v>
      </c>
      <c r="I126" s="11">
        <v>6.39189254972E11</v>
      </c>
      <c r="J126" s="37">
        <v>45588.0</v>
      </c>
      <c r="K126" s="18"/>
      <c r="L126" s="11">
        <v>2.0250331E7</v>
      </c>
    </row>
    <row r="127">
      <c r="A127" s="9" t="s">
        <v>249</v>
      </c>
      <c r="B127" s="11" t="s">
        <v>30</v>
      </c>
      <c r="C127" s="11" t="s">
        <v>35</v>
      </c>
      <c r="D127" s="11" t="s">
        <v>37</v>
      </c>
      <c r="E127" s="36" t="s">
        <v>975</v>
      </c>
      <c r="F127" s="36" t="s">
        <v>976</v>
      </c>
      <c r="G127" s="36" t="s">
        <v>977</v>
      </c>
      <c r="H127" s="11" t="s">
        <v>45</v>
      </c>
      <c r="I127" s="11">
        <v>6.39209227886E11</v>
      </c>
      <c r="J127" s="37">
        <v>45588.0</v>
      </c>
      <c r="K127" s="18"/>
      <c r="L127" s="11">
        <v>2.0250331E7</v>
      </c>
    </row>
    <row r="128">
      <c r="A128" s="9" t="s">
        <v>249</v>
      </c>
      <c r="B128" s="11" t="s">
        <v>30</v>
      </c>
      <c r="C128" s="11" t="s">
        <v>35</v>
      </c>
      <c r="D128" s="11" t="s">
        <v>37</v>
      </c>
      <c r="E128" s="36" t="s">
        <v>982</v>
      </c>
      <c r="F128" s="36" t="s">
        <v>983</v>
      </c>
      <c r="G128" s="36" t="s">
        <v>984</v>
      </c>
      <c r="H128" s="11" t="s">
        <v>45</v>
      </c>
      <c r="I128" s="11">
        <v>6.39189038327E11</v>
      </c>
      <c r="J128" s="37">
        <v>45588.0</v>
      </c>
      <c r="K128" s="18"/>
      <c r="L128" s="11">
        <v>2.0250331E7</v>
      </c>
    </row>
    <row r="129">
      <c r="A129" s="9" t="s">
        <v>249</v>
      </c>
      <c r="B129" s="11" t="s">
        <v>30</v>
      </c>
      <c r="C129" s="11" t="s">
        <v>35</v>
      </c>
      <c r="D129" s="11" t="s">
        <v>37</v>
      </c>
      <c r="E129" s="36" t="s">
        <v>987</v>
      </c>
      <c r="F129" s="36" t="s">
        <v>990</v>
      </c>
      <c r="G129" s="36" t="s">
        <v>991</v>
      </c>
      <c r="H129" s="11" t="s">
        <v>45</v>
      </c>
      <c r="I129" s="11">
        <v>6.39209119431E11</v>
      </c>
      <c r="J129" s="37">
        <v>45588.0</v>
      </c>
      <c r="K129" s="18"/>
      <c r="L129" s="11">
        <v>2.0250331E7</v>
      </c>
    </row>
    <row r="130">
      <c r="A130" s="9" t="s">
        <v>249</v>
      </c>
      <c r="B130" s="59" t="s">
        <v>30</v>
      </c>
      <c r="C130" s="11" t="s">
        <v>35</v>
      </c>
      <c r="D130" s="11" t="s">
        <v>37</v>
      </c>
      <c r="E130" s="36" t="s">
        <v>994</v>
      </c>
      <c r="F130" s="36" t="s">
        <v>995</v>
      </c>
      <c r="G130" s="36" t="s">
        <v>997</v>
      </c>
      <c r="H130" s="11" t="s">
        <v>45</v>
      </c>
      <c r="I130" s="11">
        <v>6.39189008694E11</v>
      </c>
      <c r="J130" s="37">
        <v>45588.0</v>
      </c>
      <c r="K130" s="18"/>
      <c r="L130" s="11">
        <v>2.0250331E7</v>
      </c>
    </row>
    <row r="131">
      <c r="A131" s="9" t="s">
        <v>249</v>
      </c>
      <c r="B131" s="59" t="s">
        <v>30</v>
      </c>
      <c r="C131" s="11" t="s">
        <v>35</v>
      </c>
      <c r="D131" s="11" t="s">
        <v>37</v>
      </c>
      <c r="E131" s="36" t="s">
        <v>1003</v>
      </c>
      <c r="F131" s="36" t="s">
        <v>1004</v>
      </c>
      <c r="G131" s="36" t="s">
        <v>1005</v>
      </c>
      <c r="H131" s="11" t="s">
        <v>45</v>
      </c>
      <c r="I131" s="11">
        <v>6.39189411448E11</v>
      </c>
      <c r="J131" s="37">
        <v>45588.0</v>
      </c>
      <c r="K131" s="18"/>
      <c r="L131" s="11">
        <v>2.0250331E7</v>
      </c>
    </row>
    <row r="132">
      <c r="A132" s="9" t="s">
        <v>249</v>
      </c>
      <c r="B132" s="59" t="s">
        <v>30</v>
      </c>
      <c r="C132" s="11" t="s">
        <v>35</v>
      </c>
      <c r="D132" s="11" t="s">
        <v>37</v>
      </c>
      <c r="E132" s="36" t="s">
        <v>1011</v>
      </c>
      <c r="F132" s="36" t="s">
        <v>1012</v>
      </c>
      <c r="G132" s="36" t="s">
        <v>1013</v>
      </c>
      <c r="H132" s="11" t="s">
        <v>45</v>
      </c>
      <c r="I132" s="11">
        <v>6.39189014538E11</v>
      </c>
      <c r="J132" s="37">
        <v>45588.0</v>
      </c>
      <c r="K132" s="18"/>
      <c r="L132" s="11">
        <v>2.0250331E7</v>
      </c>
    </row>
    <row r="133">
      <c r="A133" s="9" t="s">
        <v>249</v>
      </c>
      <c r="B133" s="59" t="s">
        <v>30</v>
      </c>
      <c r="C133" s="11" t="s">
        <v>35</v>
      </c>
      <c r="D133" s="11" t="s">
        <v>37</v>
      </c>
      <c r="E133" s="36" t="s">
        <v>1015</v>
      </c>
      <c r="F133" s="36" t="s">
        <v>1016</v>
      </c>
      <c r="G133" s="36" t="s">
        <v>1018</v>
      </c>
      <c r="H133" s="11" t="s">
        <v>45</v>
      </c>
      <c r="I133" s="11">
        <v>6.39189273056E11</v>
      </c>
      <c r="J133" s="37">
        <v>45588.0</v>
      </c>
      <c r="K133" s="18"/>
      <c r="L133" s="11">
        <v>2.0250331E7</v>
      </c>
    </row>
    <row r="134">
      <c r="A134" s="9" t="s">
        <v>249</v>
      </c>
      <c r="B134" s="59" t="s">
        <v>30</v>
      </c>
      <c r="C134" s="11" t="s">
        <v>35</v>
      </c>
      <c r="D134" s="11" t="s">
        <v>37</v>
      </c>
      <c r="E134" s="36" t="s">
        <v>1024</v>
      </c>
      <c r="F134" s="36" t="s">
        <v>1025</v>
      </c>
      <c r="G134" s="36" t="s">
        <v>1026</v>
      </c>
      <c r="H134" s="11" t="s">
        <v>45</v>
      </c>
      <c r="I134" s="11">
        <v>6.39989948433E11</v>
      </c>
      <c r="J134" s="37">
        <v>45588.0</v>
      </c>
      <c r="K134" s="18"/>
      <c r="L134" s="11">
        <v>2.0250331E7</v>
      </c>
    </row>
    <row r="135">
      <c r="A135" s="9" t="s">
        <v>249</v>
      </c>
      <c r="B135" s="59" t="s">
        <v>30</v>
      </c>
      <c r="C135" s="11" t="s">
        <v>35</v>
      </c>
      <c r="D135" s="11" t="s">
        <v>37</v>
      </c>
      <c r="E135" s="36" t="s">
        <v>1031</v>
      </c>
      <c r="F135" s="36" t="s">
        <v>1033</v>
      </c>
      <c r="G135" s="36" t="s">
        <v>1034</v>
      </c>
      <c r="H135" s="11" t="s">
        <v>45</v>
      </c>
      <c r="I135" s="11">
        <v>6.39189124782E11</v>
      </c>
      <c r="J135" s="37">
        <v>45588.0</v>
      </c>
      <c r="K135" s="18"/>
      <c r="L135" s="11">
        <v>2.0250331E7</v>
      </c>
    </row>
    <row r="136">
      <c r="A136" s="9" t="s">
        <v>249</v>
      </c>
      <c r="B136" s="59" t="s">
        <v>30</v>
      </c>
      <c r="C136" s="11" t="s">
        <v>35</v>
      </c>
      <c r="D136" s="11" t="s">
        <v>37</v>
      </c>
      <c r="E136" s="36" t="s">
        <v>1036</v>
      </c>
      <c r="F136" s="36" t="s">
        <v>1037</v>
      </c>
      <c r="G136" s="36" t="s">
        <v>1038</v>
      </c>
      <c r="H136" s="11" t="s">
        <v>45</v>
      </c>
      <c r="I136" s="11">
        <v>6.39189253346E11</v>
      </c>
      <c r="J136" s="37">
        <v>45588.0</v>
      </c>
      <c r="K136" s="18"/>
      <c r="L136" s="11">
        <v>2.0250331E7</v>
      </c>
    </row>
    <row r="137">
      <c r="A137" s="9" t="s">
        <v>249</v>
      </c>
      <c r="B137" s="11" t="s">
        <v>30</v>
      </c>
      <c r="C137" s="11" t="s">
        <v>35</v>
      </c>
      <c r="D137" s="11" t="s">
        <v>37</v>
      </c>
      <c r="E137" s="36" t="s">
        <v>1044</v>
      </c>
      <c r="F137" s="36" t="s">
        <v>1045</v>
      </c>
      <c r="G137" s="36" t="s">
        <v>1047</v>
      </c>
      <c r="H137" s="11" t="s">
        <v>45</v>
      </c>
      <c r="I137" s="11">
        <v>6.39189308518E11</v>
      </c>
      <c r="J137" s="37">
        <v>45588.0</v>
      </c>
      <c r="K137" s="18"/>
      <c r="L137" s="11">
        <v>2.0250331E7</v>
      </c>
    </row>
    <row r="138">
      <c r="A138" s="9" t="s">
        <v>249</v>
      </c>
      <c r="B138" s="11" t="s">
        <v>30</v>
      </c>
      <c r="C138" s="11" t="s">
        <v>35</v>
      </c>
      <c r="D138" s="11" t="s">
        <v>37</v>
      </c>
      <c r="E138" s="36" t="s">
        <v>1050</v>
      </c>
      <c r="F138" s="36" t="s">
        <v>1051</v>
      </c>
      <c r="G138" s="36" t="s">
        <v>1053</v>
      </c>
      <c r="H138" s="11" t="s">
        <v>45</v>
      </c>
      <c r="I138" s="11">
        <v>6.39209124115E11</v>
      </c>
      <c r="J138" s="37">
        <v>45588.0</v>
      </c>
      <c r="K138" s="18"/>
      <c r="L138" s="11">
        <v>2.0250331E7</v>
      </c>
    </row>
    <row r="139">
      <c r="A139" s="9" t="s">
        <v>249</v>
      </c>
      <c r="B139" s="11" t="s">
        <v>30</v>
      </c>
      <c r="C139" s="11" t="s">
        <v>35</v>
      </c>
      <c r="D139" s="11" t="s">
        <v>37</v>
      </c>
      <c r="E139" s="36" t="s">
        <v>1058</v>
      </c>
      <c r="F139" s="36" t="s">
        <v>1060</v>
      </c>
      <c r="G139" s="36" t="s">
        <v>1062</v>
      </c>
      <c r="H139" s="11" t="s">
        <v>45</v>
      </c>
      <c r="I139" s="11">
        <v>6.39189084595E11</v>
      </c>
      <c r="J139" s="37">
        <v>45588.0</v>
      </c>
      <c r="K139" s="18"/>
      <c r="L139" s="11">
        <v>2.0250331E7</v>
      </c>
    </row>
    <row r="140">
      <c r="A140" s="9" t="s">
        <v>249</v>
      </c>
      <c r="B140" s="11" t="s">
        <v>30</v>
      </c>
      <c r="C140" s="11" t="s">
        <v>35</v>
      </c>
      <c r="D140" s="11" t="s">
        <v>37</v>
      </c>
      <c r="E140" s="36" t="s">
        <v>1066</v>
      </c>
      <c r="F140" s="36" t="s">
        <v>1067</v>
      </c>
      <c r="G140" s="36" t="s">
        <v>1068</v>
      </c>
      <c r="H140" s="11" t="s">
        <v>45</v>
      </c>
      <c r="I140" s="11">
        <v>6.39189194295E11</v>
      </c>
      <c r="J140" s="37">
        <v>45588.0</v>
      </c>
      <c r="K140" s="18"/>
      <c r="L140" s="11">
        <v>2.0250331E7</v>
      </c>
    </row>
    <row r="141">
      <c r="A141" s="9" t="s">
        <v>249</v>
      </c>
      <c r="B141" s="11" t="s">
        <v>30</v>
      </c>
      <c r="C141" s="11" t="s">
        <v>35</v>
      </c>
      <c r="D141" s="11" t="s">
        <v>37</v>
      </c>
      <c r="E141" s="36" t="s">
        <v>1073</v>
      </c>
      <c r="F141" s="36" t="s">
        <v>1074</v>
      </c>
      <c r="G141" s="36" t="s">
        <v>1076</v>
      </c>
      <c r="H141" s="11" t="s">
        <v>45</v>
      </c>
      <c r="I141" s="11">
        <v>6.39189018372E11</v>
      </c>
      <c r="J141" s="37">
        <v>45588.0</v>
      </c>
      <c r="K141" s="18"/>
      <c r="L141" s="11">
        <v>2.0250331E7</v>
      </c>
    </row>
    <row r="142">
      <c r="A142" s="9" t="s">
        <v>249</v>
      </c>
      <c r="B142" s="11" t="s">
        <v>30</v>
      </c>
      <c r="C142" s="11" t="s">
        <v>35</v>
      </c>
      <c r="D142" s="11" t="s">
        <v>37</v>
      </c>
      <c r="E142" s="36" t="s">
        <v>1078</v>
      </c>
      <c r="F142" s="36" t="s">
        <v>1079</v>
      </c>
      <c r="G142" s="36" t="s">
        <v>1081</v>
      </c>
      <c r="H142" s="11" t="s">
        <v>45</v>
      </c>
      <c r="I142" s="11">
        <v>6.3998595605E11</v>
      </c>
      <c r="J142" s="37">
        <v>45588.0</v>
      </c>
      <c r="K142" s="18"/>
      <c r="L142" s="11">
        <v>2.0250331E7</v>
      </c>
    </row>
    <row r="143">
      <c r="A143" s="9" t="s">
        <v>249</v>
      </c>
      <c r="B143" s="11" t="s">
        <v>30</v>
      </c>
      <c r="C143" s="11" t="s">
        <v>35</v>
      </c>
      <c r="D143" s="11" t="s">
        <v>37</v>
      </c>
      <c r="E143" s="36" t="s">
        <v>1086</v>
      </c>
      <c r="F143" s="36" t="s">
        <v>1087</v>
      </c>
      <c r="G143" s="36" t="s">
        <v>1088</v>
      </c>
      <c r="H143" s="11" t="s">
        <v>45</v>
      </c>
      <c r="I143" s="11">
        <v>6.39209227981E11</v>
      </c>
      <c r="J143" s="37">
        <v>45588.0</v>
      </c>
      <c r="K143" s="18"/>
      <c r="L143" s="11">
        <v>2.0250331E7</v>
      </c>
    </row>
    <row r="144">
      <c r="A144" s="9" t="s">
        <v>249</v>
      </c>
      <c r="B144" s="11" t="s">
        <v>30</v>
      </c>
      <c r="C144" s="11" t="s">
        <v>35</v>
      </c>
      <c r="D144" s="11" t="s">
        <v>37</v>
      </c>
      <c r="E144" s="36" t="s">
        <v>1090</v>
      </c>
      <c r="F144" s="36" t="s">
        <v>1091</v>
      </c>
      <c r="G144" s="36" t="s">
        <v>1092</v>
      </c>
      <c r="H144" s="11" t="s">
        <v>45</v>
      </c>
      <c r="I144" s="11">
        <v>6.39399234398E11</v>
      </c>
      <c r="J144" s="37">
        <v>45588.0</v>
      </c>
      <c r="K144" s="18"/>
      <c r="L144" s="11">
        <v>2.0250331E7</v>
      </c>
    </row>
    <row r="145">
      <c r="A145" s="9" t="s">
        <v>249</v>
      </c>
      <c r="B145" s="11" t="s">
        <v>30</v>
      </c>
      <c r="C145" s="11" t="s">
        <v>35</v>
      </c>
      <c r="D145" s="11" t="s">
        <v>37</v>
      </c>
      <c r="E145" s="36" t="s">
        <v>1097</v>
      </c>
      <c r="F145" s="36" t="s">
        <v>1099</v>
      </c>
      <c r="G145" s="36" t="s">
        <v>1100</v>
      </c>
      <c r="H145" s="11" t="s">
        <v>45</v>
      </c>
      <c r="I145" s="11">
        <v>6.3918940945E11</v>
      </c>
      <c r="J145" s="37">
        <v>45588.0</v>
      </c>
      <c r="K145" s="18"/>
      <c r="L145" s="11">
        <v>2.0250331E7</v>
      </c>
    </row>
    <row r="146">
      <c r="A146" s="9" t="s">
        <v>249</v>
      </c>
      <c r="B146" s="11" t="s">
        <v>30</v>
      </c>
      <c r="C146" s="11" t="s">
        <v>35</v>
      </c>
      <c r="D146" s="11" t="s">
        <v>37</v>
      </c>
      <c r="E146" s="36" t="s">
        <v>1102</v>
      </c>
      <c r="F146" s="36" t="s">
        <v>1103</v>
      </c>
      <c r="G146" s="36" t="s">
        <v>1104</v>
      </c>
      <c r="H146" s="11" t="s">
        <v>45</v>
      </c>
      <c r="I146" s="11">
        <v>6.3918941857E11</v>
      </c>
      <c r="J146" s="37">
        <v>45588.0</v>
      </c>
      <c r="K146" s="18"/>
      <c r="L146" s="11">
        <v>2.0250331E7</v>
      </c>
    </row>
    <row r="147">
      <c r="A147" s="9" t="s">
        <v>249</v>
      </c>
      <c r="B147" s="11" t="s">
        <v>30</v>
      </c>
      <c r="C147" s="11" t="s">
        <v>35</v>
      </c>
      <c r="D147" s="11" t="s">
        <v>37</v>
      </c>
      <c r="E147" s="36" t="s">
        <v>1109</v>
      </c>
      <c r="F147" s="36" t="s">
        <v>1110</v>
      </c>
      <c r="G147" s="36" t="s">
        <v>1111</v>
      </c>
      <c r="H147" s="11" t="s">
        <v>45</v>
      </c>
      <c r="I147" s="11">
        <v>6.39189027668E11</v>
      </c>
      <c r="J147" s="37">
        <v>45588.0</v>
      </c>
      <c r="K147" s="18"/>
      <c r="L147" s="11">
        <v>2.0250331E7</v>
      </c>
    </row>
    <row r="148">
      <c r="A148" s="9" t="s">
        <v>249</v>
      </c>
      <c r="B148" s="11" t="s">
        <v>30</v>
      </c>
      <c r="C148" s="11" t="s">
        <v>35</v>
      </c>
      <c r="D148" s="11" t="s">
        <v>37</v>
      </c>
      <c r="E148" s="36" t="s">
        <v>1112</v>
      </c>
      <c r="F148" s="36" t="s">
        <v>1113</v>
      </c>
      <c r="G148" s="36" t="s">
        <v>1114</v>
      </c>
      <c r="H148" s="11" t="s">
        <v>45</v>
      </c>
      <c r="I148" s="11">
        <v>6.39189152636E11</v>
      </c>
      <c r="J148" s="37">
        <v>45588.0</v>
      </c>
      <c r="K148" s="18"/>
      <c r="L148" s="11">
        <v>2.0250331E7</v>
      </c>
    </row>
    <row r="149">
      <c r="A149" s="9" t="s">
        <v>249</v>
      </c>
      <c r="B149" s="11" t="s">
        <v>30</v>
      </c>
      <c r="C149" s="11" t="s">
        <v>35</v>
      </c>
      <c r="D149" s="11" t="s">
        <v>37</v>
      </c>
      <c r="E149" s="36" t="s">
        <v>1118</v>
      </c>
      <c r="F149" s="36" t="s">
        <v>1119</v>
      </c>
      <c r="G149" s="36" t="s">
        <v>1121</v>
      </c>
      <c r="H149" s="11" t="s">
        <v>45</v>
      </c>
      <c r="I149" s="11">
        <v>6.39189356378E11</v>
      </c>
      <c r="J149" s="37">
        <v>45588.0</v>
      </c>
      <c r="K149" s="18"/>
      <c r="L149" s="11">
        <v>2.0250331E7</v>
      </c>
    </row>
    <row r="150">
      <c r="A150" s="9" t="s">
        <v>249</v>
      </c>
      <c r="B150" s="11" t="s">
        <v>30</v>
      </c>
      <c r="C150" s="11" t="s">
        <v>35</v>
      </c>
      <c r="D150" s="11" t="s">
        <v>37</v>
      </c>
      <c r="E150" s="36" t="s">
        <v>1124</v>
      </c>
      <c r="F150" s="36" t="s">
        <v>1125</v>
      </c>
      <c r="G150" s="36" t="s">
        <v>1126</v>
      </c>
      <c r="H150" s="11" t="s">
        <v>45</v>
      </c>
      <c r="I150" s="11">
        <v>6.3920953874E11</v>
      </c>
      <c r="J150" s="37">
        <v>45588.0</v>
      </c>
      <c r="K150" s="18"/>
      <c r="L150" s="11">
        <v>2.0250331E7</v>
      </c>
    </row>
    <row r="151">
      <c r="A151" s="9" t="s">
        <v>249</v>
      </c>
      <c r="B151" s="11" t="s">
        <v>30</v>
      </c>
      <c r="C151" s="11" t="s">
        <v>35</v>
      </c>
      <c r="D151" s="11" t="s">
        <v>37</v>
      </c>
      <c r="E151" s="36" t="s">
        <v>1129</v>
      </c>
      <c r="F151" s="36" t="s">
        <v>1130</v>
      </c>
      <c r="G151" s="36" t="s">
        <v>1132</v>
      </c>
      <c r="H151" s="11" t="s">
        <v>45</v>
      </c>
      <c r="I151" s="11">
        <v>6.39209504239E11</v>
      </c>
      <c r="J151" s="37">
        <v>45588.0</v>
      </c>
      <c r="K151" s="18"/>
      <c r="L151" s="11">
        <v>2.0250331E7</v>
      </c>
    </row>
    <row r="152">
      <c r="A152" s="9" t="s">
        <v>249</v>
      </c>
      <c r="B152" s="11" t="s">
        <v>30</v>
      </c>
      <c r="C152" s="11" t="s">
        <v>35</v>
      </c>
      <c r="D152" s="11" t="s">
        <v>37</v>
      </c>
      <c r="E152" s="36" t="s">
        <v>1137</v>
      </c>
      <c r="F152" s="36" t="s">
        <v>1138</v>
      </c>
      <c r="G152" s="36" t="s">
        <v>1139</v>
      </c>
      <c r="H152" s="11" t="s">
        <v>45</v>
      </c>
      <c r="I152" s="11">
        <v>6.39190754893E11</v>
      </c>
      <c r="J152" s="37">
        <v>45588.0</v>
      </c>
      <c r="K152" s="18"/>
      <c r="L152" s="11">
        <v>2.0250331E7</v>
      </c>
    </row>
    <row r="153">
      <c r="A153" s="9" t="s">
        <v>249</v>
      </c>
      <c r="B153" s="11" t="s">
        <v>30</v>
      </c>
      <c r="C153" s="11" t="s">
        <v>35</v>
      </c>
      <c r="D153" s="11" t="s">
        <v>37</v>
      </c>
      <c r="E153" s="36" t="s">
        <v>1141</v>
      </c>
      <c r="F153" s="36" t="s">
        <v>1142</v>
      </c>
      <c r="G153" s="36" t="s">
        <v>1143</v>
      </c>
      <c r="H153" s="11" t="s">
        <v>45</v>
      </c>
      <c r="I153" s="11">
        <v>6.39189084183E11</v>
      </c>
      <c r="J153" s="37">
        <v>45588.0</v>
      </c>
      <c r="K153" s="18"/>
      <c r="L153" s="11">
        <v>2.0250331E7</v>
      </c>
    </row>
    <row r="154">
      <c r="A154" s="9" t="s">
        <v>249</v>
      </c>
      <c r="B154" s="11" t="s">
        <v>30</v>
      </c>
      <c r="C154" s="11" t="s">
        <v>35</v>
      </c>
      <c r="D154" s="11" t="s">
        <v>37</v>
      </c>
      <c r="E154" s="36" t="s">
        <v>1147</v>
      </c>
      <c r="F154" s="36" t="s">
        <v>1149</v>
      </c>
      <c r="G154" s="36" t="s">
        <v>1150</v>
      </c>
      <c r="H154" s="11" t="s">
        <v>45</v>
      </c>
      <c r="I154" s="11">
        <v>6.39189331431E11</v>
      </c>
      <c r="J154" s="37">
        <v>45588.0</v>
      </c>
      <c r="K154" s="18"/>
      <c r="L154" s="11">
        <v>2.0250331E7</v>
      </c>
    </row>
    <row r="155">
      <c r="A155" s="9" t="s">
        <v>249</v>
      </c>
      <c r="B155" s="11" t="s">
        <v>30</v>
      </c>
      <c r="C155" s="11" t="s">
        <v>35</v>
      </c>
      <c r="D155" s="11" t="s">
        <v>37</v>
      </c>
      <c r="E155" s="36" t="s">
        <v>1153</v>
      </c>
      <c r="F155" s="36" t="s">
        <v>1154</v>
      </c>
      <c r="G155" s="36" t="s">
        <v>1155</v>
      </c>
      <c r="H155" s="11" t="s">
        <v>45</v>
      </c>
      <c r="I155" s="11">
        <v>6.39189266199E11</v>
      </c>
      <c r="J155" s="37">
        <v>45588.0</v>
      </c>
      <c r="K155" s="18"/>
      <c r="L155" s="11">
        <v>2.0250331E7</v>
      </c>
    </row>
    <row r="156">
      <c r="A156" s="9" t="s">
        <v>249</v>
      </c>
      <c r="B156" s="11" t="s">
        <v>30</v>
      </c>
      <c r="C156" s="11" t="s">
        <v>35</v>
      </c>
      <c r="D156" s="11" t="s">
        <v>37</v>
      </c>
      <c r="E156" s="36" t="s">
        <v>1156</v>
      </c>
      <c r="F156" s="36" t="s">
        <v>1157</v>
      </c>
      <c r="G156" s="36" t="s">
        <v>1158</v>
      </c>
      <c r="H156" s="11" t="s">
        <v>45</v>
      </c>
      <c r="I156" s="11">
        <v>6.3918951975E11</v>
      </c>
      <c r="J156" s="37">
        <v>45588.0</v>
      </c>
      <c r="K156" s="18"/>
      <c r="L156" s="11">
        <v>2.0250331E7</v>
      </c>
    </row>
    <row r="157">
      <c r="A157" s="9" t="s">
        <v>249</v>
      </c>
      <c r="B157" s="11" t="s">
        <v>30</v>
      </c>
      <c r="C157" s="11" t="s">
        <v>35</v>
      </c>
      <c r="D157" s="11" t="s">
        <v>37</v>
      </c>
      <c r="E157" s="36" t="s">
        <v>1161</v>
      </c>
      <c r="F157" s="36" t="s">
        <v>1163</v>
      </c>
      <c r="G157" s="36" t="s">
        <v>1164</v>
      </c>
      <c r="H157" s="11" t="s">
        <v>45</v>
      </c>
      <c r="I157" s="11">
        <v>6.39209055083E11</v>
      </c>
      <c r="J157" s="37">
        <v>45588.0</v>
      </c>
      <c r="K157" s="18"/>
      <c r="L157" s="11">
        <v>2.0250331E7</v>
      </c>
    </row>
    <row r="158">
      <c r="A158" s="9" t="s">
        <v>249</v>
      </c>
      <c r="B158" s="11" t="s">
        <v>30</v>
      </c>
      <c r="C158" s="11" t="s">
        <v>35</v>
      </c>
      <c r="D158" s="11" t="s">
        <v>37</v>
      </c>
      <c r="E158" s="36" t="s">
        <v>1166</v>
      </c>
      <c r="F158" s="36" t="s">
        <v>1167</v>
      </c>
      <c r="G158" s="36" t="s">
        <v>1168</v>
      </c>
      <c r="H158" s="11" t="s">
        <v>45</v>
      </c>
      <c r="I158" s="11">
        <v>6.39189104074E11</v>
      </c>
      <c r="J158" s="37">
        <v>45588.0</v>
      </c>
      <c r="K158" s="18"/>
      <c r="L158" s="11">
        <v>2.0250331E7</v>
      </c>
    </row>
    <row r="159">
      <c r="A159" s="9" t="s">
        <v>249</v>
      </c>
      <c r="B159" s="11" t="s">
        <v>30</v>
      </c>
      <c r="C159" s="11" t="s">
        <v>35</v>
      </c>
      <c r="D159" s="11" t="s">
        <v>37</v>
      </c>
      <c r="E159" s="36" t="s">
        <v>1169</v>
      </c>
      <c r="F159" s="36" t="s">
        <v>1170</v>
      </c>
      <c r="G159" s="36" t="s">
        <v>1171</v>
      </c>
      <c r="H159" s="11" t="s">
        <v>45</v>
      </c>
      <c r="I159" s="11">
        <v>6.39985931687E11</v>
      </c>
      <c r="J159" s="37">
        <v>45588.0</v>
      </c>
      <c r="K159" s="18"/>
      <c r="L159" s="11">
        <v>2.0250331E7</v>
      </c>
    </row>
    <row r="160">
      <c r="A160" s="9" t="s">
        <v>249</v>
      </c>
      <c r="B160" s="11" t="s">
        <v>30</v>
      </c>
      <c r="C160" s="11" t="s">
        <v>35</v>
      </c>
      <c r="D160" s="11" t="s">
        <v>37</v>
      </c>
      <c r="E160" s="36" t="s">
        <v>1175</v>
      </c>
      <c r="F160" s="36" t="s">
        <v>1176</v>
      </c>
      <c r="G160" s="36" t="s">
        <v>1178</v>
      </c>
      <c r="H160" s="11" t="s">
        <v>45</v>
      </c>
      <c r="I160" s="11">
        <v>6.39189243916E11</v>
      </c>
      <c r="J160" s="37">
        <v>45588.0</v>
      </c>
      <c r="K160" s="18"/>
      <c r="L160" s="11">
        <v>2.0250331E7</v>
      </c>
    </row>
    <row r="161">
      <c r="A161" s="9" t="s">
        <v>249</v>
      </c>
      <c r="B161" s="11" t="s">
        <v>30</v>
      </c>
      <c r="C161" s="11" t="s">
        <v>35</v>
      </c>
      <c r="D161" s="11" t="s">
        <v>37</v>
      </c>
      <c r="E161" s="36" t="s">
        <v>1181</v>
      </c>
      <c r="F161" s="36" t="s">
        <v>1182</v>
      </c>
      <c r="G161" s="36" t="s">
        <v>1183</v>
      </c>
      <c r="H161" s="11" t="s">
        <v>45</v>
      </c>
      <c r="I161" s="11">
        <v>6.39189144846E11</v>
      </c>
      <c r="J161" s="37">
        <v>45588.0</v>
      </c>
      <c r="K161" s="18"/>
      <c r="L161" s="11">
        <v>2.0250331E7</v>
      </c>
    </row>
    <row r="162">
      <c r="A162" s="9" t="s">
        <v>249</v>
      </c>
      <c r="B162" s="11" t="s">
        <v>30</v>
      </c>
      <c r="C162" s="11" t="s">
        <v>35</v>
      </c>
      <c r="D162" s="11" t="s">
        <v>37</v>
      </c>
      <c r="E162" s="36" t="s">
        <v>1185</v>
      </c>
      <c r="F162" s="36" t="s">
        <v>1187</v>
      </c>
      <c r="G162" s="36" t="s">
        <v>1188</v>
      </c>
      <c r="H162" s="11" t="s">
        <v>45</v>
      </c>
      <c r="I162" s="11">
        <v>6.39189348923E11</v>
      </c>
      <c r="J162" s="37">
        <v>45588.0</v>
      </c>
      <c r="K162" s="18"/>
      <c r="L162" s="11">
        <v>2.0250331E7</v>
      </c>
    </row>
    <row r="163">
      <c r="A163" s="9" t="s">
        <v>249</v>
      </c>
      <c r="B163" s="11" t="s">
        <v>30</v>
      </c>
      <c r="C163" s="11" t="s">
        <v>35</v>
      </c>
      <c r="D163" s="11" t="s">
        <v>37</v>
      </c>
      <c r="E163" s="36" t="s">
        <v>1191</v>
      </c>
      <c r="F163" s="36" t="s">
        <v>1192</v>
      </c>
      <c r="G163" s="36" t="s">
        <v>1193</v>
      </c>
      <c r="H163" s="11" t="s">
        <v>45</v>
      </c>
      <c r="I163" s="11">
        <v>6.39189402571E11</v>
      </c>
      <c r="J163" s="37">
        <v>45588.0</v>
      </c>
      <c r="K163" s="18"/>
      <c r="L163" s="11">
        <v>2.0250331E7</v>
      </c>
    </row>
    <row r="164">
      <c r="A164" s="9" t="s">
        <v>249</v>
      </c>
      <c r="B164" s="11" t="s">
        <v>30</v>
      </c>
      <c r="C164" s="11" t="s">
        <v>35</v>
      </c>
      <c r="D164" s="11" t="s">
        <v>37</v>
      </c>
      <c r="E164" s="36" t="s">
        <v>1194</v>
      </c>
      <c r="F164" s="36" t="s">
        <v>1195</v>
      </c>
      <c r="G164" s="36" t="s">
        <v>1196</v>
      </c>
      <c r="H164" s="11" t="s">
        <v>45</v>
      </c>
      <c r="I164" s="11">
        <v>6.39209329937E11</v>
      </c>
      <c r="J164" s="37">
        <v>45588.0</v>
      </c>
      <c r="K164" s="18"/>
      <c r="L164" s="11">
        <v>2.0250331E7</v>
      </c>
    </row>
    <row r="165">
      <c r="A165" s="9" t="s">
        <v>249</v>
      </c>
      <c r="B165" s="11" t="s">
        <v>30</v>
      </c>
      <c r="C165" s="11" t="s">
        <v>35</v>
      </c>
      <c r="D165" s="11" t="s">
        <v>37</v>
      </c>
      <c r="E165" s="36" t="s">
        <v>1199</v>
      </c>
      <c r="F165" s="36" t="s">
        <v>1200</v>
      </c>
      <c r="G165" s="36" t="s">
        <v>1202</v>
      </c>
      <c r="H165" s="11" t="s">
        <v>45</v>
      </c>
      <c r="I165" s="11">
        <v>6.39209704686E11</v>
      </c>
      <c r="J165" s="37">
        <v>45588.0</v>
      </c>
      <c r="K165" s="18"/>
      <c r="L165" s="11">
        <v>2.0250331E7</v>
      </c>
    </row>
    <row r="166">
      <c r="A166" s="9" t="s">
        <v>249</v>
      </c>
      <c r="B166" s="11" t="s">
        <v>30</v>
      </c>
      <c r="C166" s="11" t="s">
        <v>35</v>
      </c>
      <c r="D166" s="11" t="s">
        <v>37</v>
      </c>
      <c r="E166" s="36" t="s">
        <v>1205</v>
      </c>
      <c r="F166" s="36" t="s">
        <v>1206</v>
      </c>
      <c r="G166" s="36" t="s">
        <v>1207</v>
      </c>
      <c r="H166" s="11" t="s">
        <v>45</v>
      </c>
      <c r="I166" s="11">
        <v>6.39209018906E11</v>
      </c>
      <c r="J166" s="37">
        <v>45588.0</v>
      </c>
      <c r="K166" s="18"/>
      <c r="L166" s="11">
        <v>2.0250331E7</v>
      </c>
    </row>
    <row r="167">
      <c r="A167" s="9" t="s">
        <v>249</v>
      </c>
      <c r="B167" s="11" t="s">
        <v>30</v>
      </c>
      <c r="C167" s="11" t="s">
        <v>35</v>
      </c>
      <c r="D167" s="11" t="s">
        <v>37</v>
      </c>
      <c r="E167" s="36" t="s">
        <v>1209</v>
      </c>
      <c r="F167" s="36" t="s">
        <v>1210</v>
      </c>
      <c r="G167" s="36" t="s">
        <v>1211</v>
      </c>
      <c r="H167" s="11" t="s">
        <v>45</v>
      </c>
      <c r="I167" s="11">
        <v>6.39209602594E11</v>
      </c>
      <c r="J167" s="37">
        <v>45588.0</v>
      </c>
      <c r="K167" s="18"/>
      <c r="L167" s="11">
        <v>2.0250331E7</v>
      </c>
    </row>
    <row r="168">
      <c r="A168" s="9" t="s">
        <v>249</v>
      </c>
      <c r="B168" s="11" t="s">
        <v>30</v>
      </c>
      <c r="C168" s="11" t="s">
        <v>35</v>
      </c>
      <c r="D168" s="11" t="s">
        <v>37</v>
      </c>
      <c r="E168" s="36" t="s">
        <v>1212</v>
      </c>
      <c r="F168" s="36" t="s">
        <v>1214</v>
      </c>
      <c r="G168" s="36" t="s">
        <v>1215</v>
      </c>
      <c r="H168" s="11" t="s">
        <v>45</v>
      </c>
      <c r="I168" s="11">
        <v>6.39189209114E11</v>
      </c>
      <c r="J168" s="37">
        <v>45588.0</v>
      </c>
      <c r="K168" s="18"/>
      <c r="L168" s="11">
        <v>2.0250331E7</v>
      </c>
    </row>
    <row r="169">
      <c r="A169" s="9" t="s">
        <v>249</v>
      </c>
      <c r="B169" s="11" t="s">
        <v>30</v>
      </c>
      <c r="C169" s="11" t="s">
        <v>35</v>
      </c>
      <c r="D169" s="11" t="s">
        <v>37</v>
      </c>
      <c r="E169" s="36" t="s">
        <v>1218</v>
      </c>
      <c r="F169" s="36" t="s">
        <v>1219</v>
      </c>
      <c r="G169" s="36" t="s">
        <v>1220</v>
      </c>
      <c r="H169" s="11" t="s">
        <v>45</v>
      </c>
      <c r="I169" s="11">
        <v>6.39209504943E11</v>
      </c>
      <c r="J169" s="37">
        <v>45588.0</v>
      </c>
      <c r="K169" s="18"/>
      <c r="L169" s="11">
        <v>2.0250331E7</v>
      </c>
    </row>
    <row r="170">
      <c r="A170" s="9" t="s">
        <v>249</v>
      </c>
      <c r="B170" s="11" t="s">
        <v>30</v>
      </c>
      <c r="C170" s="11" t="s">
        <v>35</v>
      </c>
      <c r="D170" s="11" t="s">
        <v>37</v>
      </c>
      <c r="E170" s="36" t="s">
        <v>1223</v>
      </c>
      <c r="F170" s="36" t="s">
        <v>1224</v>
      </c>
      <c r="G170" s="36" t="s">
        <v>1226</v>
      </c>
      <c r="H170" s="11" t="s">
        <v>45</v>
      </c>
      <c r="I170" s="11">
        <v>6.39189229062E11</v>
      </c>
      <c r="J170" s="37">
        <v>45588.0</v>
      </c>
      <c r="K170" s="18"/>
      <c r="L170" s="11">
        <v>2.0250331E7</v>
      </c>
    </row>
    <row r="171">
      <c r="A171" s="9" t="s">
        <v>249</v>
      </c>
      <c r="B171" s="11" t="s">
        <v>30</v>
      </c>
      <c r="C171" s="11" t="s">
        <v>35</v>
      </c>
      <c r="D171" s="11" t="s">
        <v>37</v>
      </c>
      <c r="E171" s="36" t="s">
        <v>1227</v>
      </c>
      <c r="F171" s="36" t="s">
        <v>1228</v>
      </c>
      <c r="G171" s="36" t="s">
        <v>1229</v>
      </c>
      <c r="H171" s="11" t="s">
        <v>45</v>
      </c>
      <c r="I171" s="11">
        <v>6.39189293192E11</v>
      </c>
      <c r="J171" s="37">
        <v>45588.0</v>
      </c>
      <c r="K171" s="18"/>
      <c r="L171" s="11">
        <v>2.0250331E7</v>
      </c>
    </row>
    <row r="172">
      <c r="A172" s="9" t="s">
        <v>249</v>
      </c>
      <c r="B172" s="11" t="s">
        <v>30</v>
      </c>
      <c r="C172" s="11" t="s">
        <v>35</v>
      </c>
      <c r="D172" s="11" t="s">
        <v>37</v>
      </c>
      <c r="E172" s="36" t="s">
        <v>1233</v>
      </c>
      <c r="F172" s="36" t="s">
        <v>1235</v>
      </c>
      <c r="G172" s="36" t="s">
        <v>1236</v>
      </c>
      <c r="H172" s="11" t="s">
        <v>45</v>
      </c>
      <c r="I172" s="11">
        <v>6.39209217566E11</v>
      </c>
      <c r="J172" s="37">
        <v>45588.0</v>
      </c>
      <c r="K172" s="18"/>
      <c r="L172" s="11">
        <v>2.0250331E7</v>
      </c>
    </row>
    <row r="173">
      <c r="A173" s="9" t="s">
        <v>249</v>
      </c>
      <c r="B173" s="11" t="s">
        <v>30</v>
      </c>
      <c r="C173" s="11" t="s">
        <v>35</v>
      </c>
      <c r="D173" s="11" t="s">
        <v>37</v>
      </c>
      <c r="E173" s="36" t="s">
        <v>1238</v>
      </c>
      <c r="F173" s="36" t="s">
        <v>1239</v>
      </c>
      <c r="G173" s="36" t="s">
        <v>1240</v>
      </c>
      <c r="H173" s="11" t="s">
        <v>45</v>
      </c>
      <c r="I173" s="11">
        <v>6.39189942927E11</v>
      </c>
      <c r="J173" s="37">
        <v>45588.0</v>
      </c>
      <c r="K173" s="18"/>
      <c r="L173" s="11">
        <v>2.0250331E7</v>
      </c>
    </row>
    <row r="174">
      <c r="A174" s="9" t="s">
        <v>249</v>
      </c>
      <c r="B174" s="11" t="s">
        <v>30</v>
      </c>
      <c r="C174" s="11" t="s">
        <v>35</v>
      </c>
      <c r="D174" s="11" t="s">
        <v>37</v>
      </c>
      <c r="E174" s="36" t="s">
        <v>1241</v>
      </c>
      <c r="F174" s="36" t="s">
        <v>1242</v>
      </c>
      <c r="G174" s="36" t="s">
        <v>1243</v>
      </c>
      <c r="H174" s="11" t="s">
        <v>45</v>
      </c>
      <c r="I174" s="11">
        <v>6.39189240652E11</v>
      </c>
      <c r="J174" s="37">
        <v>45588.0</v>
      </c>
      <c r="K174" s="18"/>
      <c r="L174" s="11">
        <v>2.0250331E7</v>
      </c>
    </row>
    <row r="175">
      <c r="A175" s="9" t="s">
        <v>249</v>
      </c>
      <c r="B175" s="11" t="s">
        <v>30</v>
      </c>
      <c r="C175" s="11" t="s">
        <v>35</v>
      </c>
      <c r="D175" s="11" t="s">
        <v>37</v>
      </c>
      <c r="E175" s="36" t="s">
        <v>1246</v>
      </c>
      <c r="F175" s="36" t="s">
        <v>1247</v>
      </c>
      <c r="G175" s="36" t="s">
        <v>1249</v>
      </c>
      <c r="H175" s="11" t="s">
        <v>45</v>
      </c>
      <c r="I175" s="11">
        <v>6.39189380138E11</v>
      </c>
      <c r="J175" s="37">
        <v>45588.0</v>
      </c>
      <c r="K175" s="18"/>
      <c r="L175" s="11">
        <v>2.0250331E7</v>
      </c>
    </row>
    <row r="176">
      <c r="A176" s="9" t="s">
        <v>249</v>
      </c>
      <c r="B176" s="11" t="s">
        <v>30</v>
      </c>
      <c r="C176" s="11" t="s">
        <v>35</v>
      </c>
      <c r="D176" s="11" t="s">
        <v>37</v>
      </c>
      <c r="E176" s="36" t="s">
        <v>1252</v>
      </c>
      <c r="F176" s="36" t="s">
        <v>1253</v>
      </c>
      <c r="G176" s="36" t="s">
        <v>1254</v>
      </c>
      <c r="H176" s="11" t="s">
        <v>45</v>
      </c>
      <c r="I176" s="11">
        <v>6.3920912087E11</v>
      </c>
      <c r="J176" s="37">
        <v>45588.0</v>
      </c>
      <c r="K176" s="18"/>
      <c r="L176" s="11">
        <v>2.0250331E7</v>
      </c>
    </row>
    <row r="177">
      <c r="A177" s="9" t="s">
        <v>249</v>
      </c>
      <c r="B177" s="11" t="s">
        <v>30</v>
      </c>
      <c r="C177" s="11" t="s">
        <v>35</v>
      </c>
      <c r="D177" s="11" t="s">
        <v>37</v>
      </c>
      <c r="E177" s="36" t="s">
        <v>1256</v>
      </c>
      <c r="F177" s="36" t="s">
        <v>1257</v>
      </c>
      <c r="G177" s="36" t="s">
        <v>1258</v>
      </c>
      <c r="H177" s="11" t="s">
        <v>45</v>
      </c>
      <c r="I177" s="11">
        <v>6.3918909035E11</v>
      </c>
      <c r="J177" s="37">
        <v>45588.0</v>
      </c>
      <c r="K177" s="18"/>
      <c r="L177" s="11">
        <v>2.0250331E7</v>
      </c>
    </row>
    <row r="178">
      <c r="A178" s="9" t="s">
        <v>249</v>
      </c>
      <c r="B178" s="11" t="s">
        <v>30</v>
      </c>
      <c r="C178" s="11" t="s">
        <v>35</v>
      </c>
      <c r="D178" s="11" t="s">
        <v>37</v>
      </c>
      <c r="E178" s="36" t="s">
        <v>1261</v>
      </c>
      <c r="F178" s="36" t="s">
        <v>1263</v>
      </c>
      <c r="G178" s="36" t="s">
        <v>1264</v>
      </c>
      <c r="H178" s="11" t="s">
        <v>45</v>
      </c>
      <c r="I178" s="11">
        <v>6.39189175181E11</v>
      </c>
      <c r="J178" s="37">
        <v>45588.0</v>
      </c>
      <c r="K178" s="18"/>
      <c r="L178" s="11">
        <v>2.0250331E7</v>
      </c>
    </row>
    <row r="179">
      <c r="A179" s="9" t="s">
        <v>249</v>
      </c>
      <c r="B179" s="11" t="s">
        <v>30</v>
      </c>
      <c r="C179" s="11" t="s">
        <v>35</v>
      </c>
      <c r="D179" s="11" t="s">
        <v>37</v>
      </c>
      <c r="E179" s="36" t="s">
        <v>1268</v>
      </c>
      <c r="F179" s="36" t="s">
        <v>1269</v>
      </c>
      <c r="G179" s="36" t="s">
        <v>1270</v>
      </c>
      <c r="H179" s="11" t="s">
        <v>45</v>
      </c>
      <c r="I179" s="11">
        <v>6.39189372573E11</v>
      </c>
      <c r="J179" s="37">
        <v>45588.0</v>
      </c>
      <c r="K179" s="18"/>
      <c r="L179" s="11">
        <v>2.0250331E7</v>
      </c>
    </row>
    <row r="180">
      <c r="A180" s="9" t="s">
        <v>249</v>
      </c>
      <c r="B180" s="11" t="s">
        <v>30</v>
      </c>
      <c r="C180" s="11" t="s">
        <v>35</v>
      </c>
      <c r="D180" s="11" t="s">
        <v>37</v>
      </c>
      <c r="E180" s="36" t="s">
        <v>1271</v>
      </c>
      <c r="F180" s="36" t="s">
        <v>1272</v>
      </c>
      <c r="G180" s="36" t="s">
        <v>1274</v>
      </c>
      <c r="H180" s="11" t="s">
        <v>45</v>
      </c>
      <c r="I180" s="11">
        <v>6.39189096573E11</v>
      </c>
      <c r="J180" s="37">
        <v>45588.0</v>
      </c>
      <c r="K180" s="18"/>
      <c r="L180" s="11">
        <v>2.0250331E7</v>
      </c>
    </row>
    <row r="181">
      <c r="A181" s="9" t="s">
        <v>249</v>
      </c>
      <c r="B181" s="11" t="s">
        <v>30</v>
      </c>
      <c r="C181" s="11" t="s">
        <v>35</v>
      </c>
      <c r="D181" s="11" t="s">
        <v>37</v>
      </c>
      <c r="E181" s="36" t="s">
        <v>1280</v>
      </c>
      <c r="F181" s="36" t="s">
        <v>1281</v>
      </c>
      <c r="G181" s="36" t="s">
        <v>1282</v>
      </c>
      <c r="H181" s="11" t="s">
        <v>45</v>
      </c>
      <c r="I181" s="11">
        <v>6.39189233126E11</v>
      </c>
      <c r="J181" s="37">
        <v>45588.0</v>
      </c>
      <c r="K181" s="18"/>
      <c r="L181" s="11">
        <v>2.0250331E7</v>
      </c>
    </row>
    <row r="182">
      <c r="A182" s="9" t="s">
        <v>249</v>
      </c>
      <c r="B182" s="11" t="s">
        <v>30</v>
      </c>
      <c r="C182" s="11" t="s">
        <v>35</v>
      </c>
      <c r="D182" s="11" t="s">
        <v>37</v>
      </c>
      <c r="E182" s="36" t="s">
        <v>1287</v>
      </c>
      <c r="F182" s="36" t="s">
        <v>1288</v>
      </c>
      <c r="G182" s="36" t="s">
        <v>1289</v>
      </c>
      <c r="H182" s="11" t="s">
        <v>45</v>
      </c>
      <c r="I182" s="11">
        <v>6.39189331505E11</v>
      </c>
      <c r="J182" s="37">
        <v>45588.0</v>
      </c>
      <c r="K182" s="18"/>
      <c r="L182" s="11">
        <v>2.0250331E7</v>
      </c>
    </row>
    <row r="183">
      <c r="A183" s="9" t="s">
        <v>249</v>
      </c>
      <c r="B183" s="11" t="s">
        <v>30</v>
      </c>
      <c r="C183" s="11" t="s">
        <v>35</v>
      </c>
      <c r="D183" s="11" t="s">
        <v>37</v>
      </c>
      <c r="E183" s="36" t="s">
        <v>1290</v>
      </c>
      <c r="F183" s="36" t="s">
        <v>1291</v>
      </c>
      <c r="G183" s="36" t="s">
        <v>1292</v>
      </c>
      <c r="H183" s="11" t="s">
        <v>45</v>
      </c>
      <c r="I183" s="11">
        <v>6.39209019607E11</v>
      </c>
      <c r="J183" s="37">
        <v>45588.0</v>
      </c>
      <c r="K183" s="18"/>
      <c r="L183" s="11">
        <v>2.0250331E7</v>
      </c>
    </row>
    <row r="184">
      <c r="A184" s="9" t="s">
        <v>249</v>
      </c>
      <c r="B184" s="11" t="s">
        <v>30</v>
      </c>
      <c r="C184" s="11" t="s">
        <v>35</v>
      </c>
      <c r="D184" s="11" t="s">
        <v>37</v>
      </c>
      <c r="E184" s="36" t="s">
        <v>1296</v>
      </c>
      <c r="F184" s="36" t="s">
        <v>1297</v>
      </c>
      <c r="G184" s="36" t="s">
        <v>1298</v>
      </c>
      <c r="H184" s="11" t="s">
        <v>45</v>
      </c>
      <c r="I184" s="11">
        <v>6.39285240767E11</v>
      </c>
      <c r="J184" s="37">
        <v>45588.0</v>
      </c>
      <c r="K184" s="18"/>
      <c r="L184" s="11">
        <v>2.0250331E7</v>
      </c>
    </row>
    <row r="185">
      <c r="A185" s="9" t="s">
        <v>249</v>
      </c>
      <c r="B185" s="11" t="s">
        <v>30</v>
      </c>
      <c r="C185" s="11" t="s">
        <v>35</v>
      </c>
      <c r="D185" s="11" t="s">
        <v>37</v>
      </c>
      <c r="E185" s="36" t="s">
        <v>1301</v>
      </c>
      <c r="F185" s="36" t="s">
        <v>1302</v>
      </c>
      <c r="G185" s="36" t="s">
        <v>1303</v>
      </c>
      <c r="H185" s="11" t="s">
        <v>45</v>
      </c>
      <c r="I185" s="11">
        <v>6.39189408678E11</v>
      </c>
      <c r="J185" s="37">
        <v>45588.0</v>
      </c>
      <c r="K185" s="18"/>
      <c r="L185" s="11">
        <v>2.0250331E7</v>
      </c>
    </row>
    <row r="186">
      <c r="A186" s="9" t="s">
        <v>249</v>
      </c>
      <c r="B186" s="11" t="s">
        <v>30</v>
      </c>
      <c r="C186" s="11" t="s">
        <v>35</v>
      </c>
      <c r="D186" s="11" t="s">
        <v>37</v>
      </c>
      <c r="E186" s="36" t="s">
        <v>1306</v>
      </c>
      <c r="F186" s="36" t="s">
        <v>1307</v>
      </c>
      <c r="G186" s="36" t="s">
        <v>1308</v>
      </c>
      <c r="H186" s="11" t="s">
        <v>45</v>
      </c>
      <c r="I186" s="11">
        <v>6.39189001367E11</v>
      </c>
      <c r="J186" s="37">
        <v>45588.0</v>
      </c>
      <c r="K186" s="18"/>
      <c r="L186" s="11">
        <v>2.0250331E7</v>
      </c>
    </row>
    <row r="187">
      <c r="A187" s="9" t="s">
        <v>249</v>
      </c>
      <c r="B187" s="11" t="s">
        <v>30</v>
      </c>
      <c r="C187" s="11" t="s">
        <v>35</v>
      </c>
      <c r="D187" s="11" t="s">
        <v>37</v>
      </c>
      <c r="E187" s="36" t="s">
        <v>1312</v>
      </c>
      <c r="F187" s="36" t="s">
        <v>1314</v>
      </c>
      <c r="G187" s="36" t="s">
        <v>1315</v>
      </c>
      <c r="H187" s="11" t="s">
        <v>45</v>
      </c>
      <c r="I187" s="11">
        <v>6.39189251399E11</v>
      </c>
      <c r="J187" s="37">
        <v>45588.0</v>
      </c>
      <c r="K187" s="18"/>
      <c r="L187" s="11">
        <v>2.0250331E7</v>
      </c>
    </row>
    <row r="188">
      <c r="A188" s="9" t="s">
        <v>249</v>
      </c>
      <c r="B188" s="11" t="s">
        <v>30</v>
      </c>
      <c r="C188" s="11" t="s">
        <v>35</v>
      </c>
      <c r="D188" s="11" t="s">
        <v>37</v>
      </c>
      <c r="E188" s="36" t="s">
        <v>1317</v>
      </c>
      <c r="F188" s="36" t="s">
        <v>1319</v>
      </c>
      <c r="G188" s="36" t="s">
        <v>1320</v>
      </c>
      <c r="H188" s="11" t="s">
        <v>45</v>
      </c>
      <c r="I188" s="11">
        <v>6.39209083317E11</v>
      </c>
      <c r="J188" s="37">
        <v>45588.0</v>
      </c>
      <c r="K188" s="18"/>
      <c r="L188" s="11">
        <v>2.0250331E7</v>
      </c>
    </row>
    <row r="189">
      <c r="A189" s="9" t="s">
        <v>249</v>
      </c>
      <c r="B189" s="11" t="s">
        <v>30</v>
      </c>
      <c r="C189" s="11" t="s">
        <v>35</v>
      </c>
      <c r="D189" s="11" t="s">
        <v>37</v>
      </c>
      <c r="E189" s="36" t="s">
        <v>1324</v>
      </c>
      <c r="F189" s="36" t="s">
        <v>1326</v>
      </c>
      <c r="G189" s="36" t="s">
        <v>1327</v>
      </c>
      <c r="H189" s="11" t="s">
        <v>45</v>
      </c>
      <c r="I189" s="11">
        <v>6.39189306637E11</v>
      </c>
      <c r="J189" s="37">
        <v>45588.0</v>
      </c>
      <c r="K189" s="18"/>
      <c r="L189" s="11">
        <v>2.0250331E7</v>
      </c>
    </row>
    <row r="190">
      <c r="A190" s="9" t="s">
        <v>249</v>
      </c>
      <c r="B190" s="11" t="s">
        <v>30</v>
      </c>
      <c r="C190" s="11" t="s">
        <v>35</v>
      </c>
      <c r="D190" s="11" t="s">
        <v>37</v>
      </c>
      <c r="E190" s="36" t="s">
        <v>1329</v>
      </c>
      <c r="F190" s="36" t="s">
        <v>1331</v>
      </c>
      <c r="G190" s="36" t="s">
        <v>1332</v>
      </c>
      <c r="H190" s="11" t="s">
        <v>45</v>
      </c>
      <c r="I190" s="11">
        <v>6.39209040579E11</v>
      </c>
      <c r="J190" s="37">
        <v>45588.0</v>
      </c>
      <c r="K190" s="18"/>
      <c r="L190" s="11">
        <v>2.0250331E7</v>
      </c>
    </row>
    <row r="191">
      <c r="A191" s="9" t="s">
        <v>249</v>
      </c>
      <c r="B191" s="11" t="s">
        <v>30</v>
      </c>
      <c r="C191" s="11" t="s">
        <v>35</v>
      </c>
      <c r="D191" s="11" t="s">
        <v>37</v>
      </c>
      <c r="E191" s="36" t="s">
        <v>1337</v>
      </c>
      <c r="F191" s="36" t="s">
        <v>1338</v>
      </c>
      <c r="G191" s="36" t="s">
        <v>1339</v>
      </c>
      <c r="H191" s="11" t="s">
        <v>45</v>
      </c>
      <c r="I191" s="11">
        <v>6.39189096358E11</v>
      </c>
      <c r="J191" s="37">
        <v>45588.0</v>
      </c>
      <c r="K191" s="18"/>
      <c r="L191" s="11">
        <v>2.0250331E7</v>
      </c>
    </row>
    <row r="192">
      <c r="A192" s="9" t="s">
        <v>249</v>
      </c>
      <c r="B192" s="11" t="s">
        <v>30</v>
      </c>
      <c r="C192" s="11" t="s">
        <v>35</v>
      </c>
      <c r="D192" s="11" t="s">
        <v>37</v>
      </c>
      <c r="E192" s="36" t="s">
        <v>1342</v>
      </c>
      <c r="F192" s="36" t="s">
        <v>1343</v>
      </c>
      <c r="G192" s="36" t="s">
        <v>1345</v>
      </c>
      <c r="H192" s="11" t="s">
        <v>45</v>
      </c>
      <c r="I192" s="11">
        <v>6.39209124049E11</v>
      </c>
      <c r="J192" s="37">
        <v>45588.0</v>
      </c>
      <c r="K192" s="18"/>
      <c r="L192" s="11">
        <v>2.0250331E7</v>
      </c>
    </row>
    <row r="193">
      <c r="A193" s="9" t="s">
        <v>249</v>
      </c>
      <c r="B193" s="11" t="s">
        <v>30</v>
      </c>
      <c r="C193" s="11" t="s">
        <v>35</v>
      </c>
      <c r="D193" s="11" t="s">
        <v>37</v>
      </c>
      <c r="E193" s="36" t="s">
        <v>1349</v>
      </c>
      <c r="F193" s="36" t="s">
        <v>1350</v>
      </c>
      <c r="G193" s="36" t="s">
        <v>1351</v>
      </c>
      <c r="H193" s="11" t="s">
        <v>45</v>
      </c>
      <c r="I193" s="11">
        <v>6.39209141373E11</v>
      </c>
      <c r="J193" s="37">
        <v>45588.0</v>
      </c>
      <c r="K193" s="18"/>
      <c r="L193" s="11">
        <v>2.0250331E7</v>
      </c>
    </row>
    <row r="194">
      <c r="A194" s="9" t="s">
        <v>249</v>
      </c>
      <c r="B194" s="11" t="s">
        <v>30</v>
      </c>
      <c r="C194" s="11" t="s">
        <v>35</v>
      </c>
      <c r="D194" s="11" t="s">
        <v>37</v>
      </c>
      <c r="E194" s="36" t="s">
        <v>1356</v>
      </c>
      <c r="F194" s="36" t="s">
        <v>1357</v>
      </c>
      <c r="G194" s="36" t="s">
        <v>1358</v>
      </c>
      <c r="H194" s="11" t="s">
        <v>45</v>
      </c>
      <c r="I194" s="11">
        <v>6.39189063849E11</v>
      </c>
      <c r="J194" s="37">
        <v>45588.0</v>
      </c>
      <c r="K194" s="18"/>
      <c r="L194" s="11">
        <v>2.0250331E7</v>
      </c>
    </row>
    <row r="195">
      <c r="A195" s="9" t="s">
        <v>249</v>
      </c>
      <c r="B195" s="11" t="s">
        <v>30</v>
      </c>
      <c r="C195" s="11" t="s">
        <v>35</v>
      </c>
      <c r="D195" s="11" t="s">
        <v>37</v>
      </c>
      <c r="E195" s="36" t="s">
        <v>1361</v>
      </c>
      <c r="F195" s="36" t="s">
        <v>1362</v>
      </c>
      <c r="G195" s="36" t="s">
        <v>1363</v>
      </c>
      <c r="H195" s="11" t="s">
        <v>45</v>
      </c>
      <c r="I195" s="11">
        <v>6.39189392833E11</v>
      </c>
      <c r="J195" s="37">
        <v>45588.0</v>
      </c>
      <c r="K195" s="18"/>
      <c r="L195" s="11">
        <v>2.0250331E7</v>
      </c>
    </row>
    <row r="196">
      <c r="A196" s="9" t="s">
        <v>249</v>
      </c>
      <c r="B196" s="11" t="s">
        <v>30</v>
      </c>
      <c r="C196" s="11" t="s">
        <v>35</v>
      </c>
      <c r="D196" s="11" t="s">
        <v>37</v>
      </c>
      <c r="E196" s="36" t="s">
        <v>1367</v>
      </c>
      <c r="F196" s="36" t="s">
        <v>1368</v>
      </c>
      <c r="G196" s="36" t="s">
        <v>1370</v>
      </c>
      <c r="H196" s="11" t="s">
        <v>45</v>
      </c>
      <c r="I196" s="11">
        <v>6.39209061366E11</v>
      </c>
      <c r="J196" s="37">
        <v>45588.0</v>
      </c>
      <c r="K196" s="18"/>
      <c r="L196" s="11">
        <v>2.0250331E7</v>
      </c>
    </row>
    <row r="197">
      <c r="A197" s="9" t="s">
        <v>249</v>
      </c>
      <c r="B197" s="11" t="s">
        <v>30</v>
      </c>
      <c r="C197" s="11" t="s">
        <v>35</v>
      </c>
      <c r="D197" s="11" t="s">
        <v>37</v>
      </c>
      <c r="E197" s="36" t="s">
        <v>1372</v>
      </c>
      <c r="F197" s="36" t="s">
        <v>1373</v>
      </c>
      <c r="G197" s="36" t="s">
        <v>1374</v>
      </c>
      <c r="H197" s="11" t="s">
        <v>45</v>
      </c>
      <c r="I197" s="11">
        <v>6.39209058559E11</v>
      </c>
      <c r="J197" s="37">
        <v>45588.0</v>
      </c>
      <c r="K197" s="18"/>
      <c r="L197" s="11">
        <v>2.0250331E7</v>
      </c>
    </row>
    <row r="198">
      <c r="A198" s="9" t="s">
        <v>249</v>
      </c>
      <c r="B198" s="11" t="s">
        <v>30</v>
      </c>
      <c r="C198" s="11" t="s">
        <v>35</v>
      </c>
      <c r="D198" s="11" t="s">
        <v>37</v>
      </c>
      <c r="E198" s="36" t="s">
        <v>1376</v>
      </c>
      <c r="F198" s="36" t="s">
        <v>1377</v>
      </c>
      <c r="G198" s="36" t="s">
        <v>1378</v>
      </c>
      <c r="H198" s="11" t="s">
        <v>45</v>
      </c>
      <c r="I198" s="11">
        <v>6.39189349657E11</v>
      </c>
      <c r="J198" s="37">
        <v>45588.0</v>
      </c>
      <c r="K198" s="18"/>
      <c r="L198" s="11">
        <v>2.0250331E7</v>
      </c>
    </row>
    <row r="199">
      <c r="A199" s="9" t="s">
        <v>249</v>
      </c>
      <c r="B199" s="11" t="s">
        <v>30</v>
      </c>
      <c r="C199" s="11" t="s">
        <v>35</v>
      </c>
      <c r="D199" s="11" t="s">
        <v>37</v>
      </c>
      <c r="E199" s="36" t="s">
        <v>1381</v>
      </c>
      <c r="F199" s="36" t="s">
        <v>1382</v>
      </c>
      <c r="G199" s="36" t="s">
        <v>1384</v>
      </c>
      <c r="H199" s="11" t="s">
        <v>45</v>
      </c>
      <c r="I199" s="11">
        <v>6.39209702329E11</v>
      </c>
      <c r="J199" s="37">
        <v>45588.0</v>
      </c>
      <c r="K199" s="18"/>
      <c r="L199" s="11">
        <v>2.0250331E7</v>
      </c>
    </row>
    <row r="200">
      <c r="A200" s="9" t="s">
        <v>249</v>
      </c>
      <c r="B200" s="11" t="s">
        <v>30</v>
      </c>
      <c r="C200" s="11" t="s">
        <v>35</v>
      </c>
      <c r="D200" s="11" t="s">
        <v>37</v>
      </c>
      <c r="E200" s="36" t="s">
        <v>1388</v>
      </c>
      <c r="F200" s="36" t="s">
        <v>1389</v>
      </c>
      <c r="G200" s="36" t="s">
        <v>1390</v>
      </c>
      <c r="H200" s="11" t="s">
        <v>45</v>
      </c>
      <c r="I200" s="11">
        <v>6.39209554183E11</v>
      </c>
      <c r="J200" s="37">
        <v>45588.0</v>
      </c>
      <c r="K200" s="18"/>
      <c r="L200" s="11">
        <v>2.0250331E7</v>
      </c>
    </row>
    <row r="201">
      <c r="A201" s="9" t="s">
        <v>249</v>
      </c>
      <c r="B201" s="11" t="s">
        <v>30</v>
      </c>
      <c r="C201" s="11" t="s">
        <v>35</v>
      </c>
      <c r="D201" s="11" t="s">
        <v>37</v>
      </c>
      <c r="E201" s="36" t="s">
        <v>1394</v>
      </c>
      <c r="F201" s="36" t="s">
        <v>1396</v>
      </c>
      <c r="G201" s="36" t="s">
        <v>1397</v>
      </c>
      <c r="H201" s="11" t="s">
        <v>45</v>
      </c>
      <c r="I201" s="11">
        <v>6.39209116798E11</v>
      </c>
      <c r="J201" s="37">
        <v>45588.0</v>
      </c>
      <c r="K201" s="18"/>
      <c r="L201" s="11">
        <v>2.0250331E7</v>
      </c>
    </row>
    <row r="202">
      <c r="A202" s="9" t="s">
        <v>249</v>
      </c>
      <c r="B202" s="11" t="s">
        <v>30</v>
      </c>
      <c r="C202" s="11" t="s">
        <v>35</v>
      </c>
      <c r="D202" s="11" t="s">
        <v>37</v>
      </c>
      <c r="E202" s="36" t="s">
        <v>1400</v>
      </c>
      <c r="F202" s="36" t="s">
        <v>1401</v>
      </c>
      <c r="G202" s="36" t="s">
        <v>1402</v>
      </c>
      <c r="H202" s="11" t="s">
        <v>45</v>
      </c>
      <c r="I202" s="11">
        <v>6.39199116021E11</v>
      </c>
      <c r="J202" s="37">
        <v>45588.0</v>
      </c>
      <c r="K202" s="18"/>
      <c r="L202" s="11">
        <v>2.0250331E7</v>
      </c>
    </row>
    <row r="203">
      <c r="A203" s="9" t="s">
        <v>249</v>
      </c>
      <c r="B203" s="11" t="s">
        <v>30</v>
      </c>
      <c r="C203" s="11" t="s">
        <v>35</v>
      </c>
      <c r="D203" s="11" t="s">
        <v>37</v>
      </c>
      <c r="E203" s="36" t="s">
        <v>1407</v>
      </c>
      <c r="F203" s="36" t="s">
        <v>1408</v>
      </c>
      <c r="G203" s="36" t="s">
        <v>1409</v>
      </c>
      <c r="H203" s="11" t="s">
        <v>45</v>
      </c>
      <c r="I203" s="11">
        <v>6.39189207825E11</v>
      </c>
      <c r="J203" s="37">
        <v>45588.0</v>
      </c>
      <c r="K203" s="18"/>
      <c r="L203" s="11">
        <v>2.0250331E7</v>
      </c>
    </row>
    <row r="204">
      <c r="A204" s="9" t="s">
        <v>249</v>
      </c>
      <c r="B204" s="11" t="s">
        <v>30</v>
      </c>
      <c r="C204" s="11" t="s">
        <v>35</v>
      </c>
      <c r="D204" s="11" t="s">
        <v>37</v>
      </c>
      <c r="E204" s="11" t="s">
        <v>1411</v>
      </c>
      <c r="F204" s="36" t="s">
        <v>1412</v>
      </c>
      <c r="G204" s="36" t="s">
        <v>1413</v>
      </c>
      <c r="H204" s="11" t="s">
        <v>45</v>
      </c>
      <c r="I204" s="11">
        <v>6.39189009479E11</v>
      </c>
      <c r="J204" s="37">
        <v>45588.0</v>
      </c>
      <c r="K204" s="18"/>
      <c r="L204" s="11">
        <v>2.0250331E7</v>
      </c>
    </row>
    <row r="205">
      <c r="A205" s="9" t="s">
        <v>249</v>
      </c>
      <c r="B205" s="11" t="s">
        <v>30</v>
      </c>
      <c r="C205" s="11" t="s">
        <v>35</v>
      </c>
      <c r="D205" s="11" t="s">
        <v>37</v>
      </c>
      <c r="E205" s="36" t="s">
        <v>1417</v>
      </c>
      <c r="F205" s="36" t="s">
        <v>1419</v>
      </c>
      <c r="G205" s="36" t="s">
        <v>1420</v>
      </c>
      <c r="H205" s="11" t="s">
        <v>45</v>
      </c>
      <c r="I205" s="11">
        <v>6.39189167246E11</v>
      </c>
      <c r="J205" s="37">
        <v>45588.0</v>
      </c>
      <c r="K205" s="18"/>
      <c r="L205" s="11">
        <v>2.0250331E7</v>
      </c>
    </row>
    <row r="206">
      <c r="A206" s="9" t="s">
        <v>249</v>
      </c>
      <c r="B206" s="11" t="s">
        <v>30</v>
      </c>
      <c r="C206" s="11" t="s">
        <v>35</v>
      </c>
      <c r="D206" s="11" t="s">
        <v>37</v>
      </c>
      <c r="E206" s="36" t="s">
        <v>1423</v>
      </c>
      <c r="F206" s="36" t="s">
        <v>1424</v>
      </c>
      <c r="G206" s="36" t="s">
        <v>1425</v>
      </c>
      <c r="H206" s="11" t="s">
        <v>45</v>
      </c>
      <c r="I206" s="11">
        <v>6.39209216455E11</v>
      </c>
      <c r="J206" s="37">
        <v>45588.0</v>
      </c>
      <c r="K206" s="18"/>
      <c r="L206" s="11">
        <v>2.0250331E7</v>
      </c>
    </row>
    <row r="207">
      <c r="A207" s="9" t="s">
        <v>249</v>
      </c>
      <c r="B207" s="11" t="s">
        <v>30</v>
      </c>
      <c r="C207" s="11" t="s">
        <v>35</v>
      </c>
      <c r="D207" s="11" t="s">
        <v>37</v>
      </c>
      <c r="E207" s="36" t="s">
        <v>1429</v>
      </c>
      <c r="F207" s="36" t="s">
        <v>1430</v>
      </c>
      <c r="G207" s="36" t="s">
        <v>1432</v>
      </c>
      <c r="H207" s="11" t="s">
        <v>45</v>
      </c>
      <c r="I207" s="11">
        <v>6.39189117988E11</v>
      </c>
      <c r="J207" s="37">
        <v>45588.0</v>
      </c>
      <c r="K207" s="18"/>
      <c r="L207" s="11">
        <v>2.0250331E7</v>
      </c>
    </row>
    <row r="208">
      <c r="A208" s="9" t="s">
        <v>249</v>
      </c>
      <c r="B208" s="11" t="s">
        <v>30</v>
      </c>
      <c r="C208" s="11" t="s">
        <v>35</v>
      </c>
      <c r="D208" s="11" t="s">
        <v>37</v>
      </c>
      <c r="E208" s="36" t="s">
        <v>1435</v>
      </c>
      <c r="F208" s="36" t="s">
        <v>1436</v>
      </c>
      <c r="G208" s="36" t="s">
        <v>1437</v>
      </c>
      <c r="H208" s="11" t="s">
        <v>45</v>
      </c>
      <c r="I208" s="11">
        <v>6.39088720358E11</v>
      </c>
      <c r="J208" s="37">
        <v>45588.0</v>
      </c>
      <c r="K208" s="18"/>
      <c r="L208" s="11">
        <v>2.0250331E7</v>
      </c>
    </row>
    <row r="209">
      <c r="A209" s="9" t="s">
        <v>249</v>
      </c>
      <c r="B209" s="11" t="s">
        <v>30</v>
      </c>
      <c r="C209" s="11" t="s">
        <v>35</v>
      </c>
      <c r="D209" s="11" t="s">
        <v>37</v>
      </c>
      <c r="E209" s="36" t="s">
        <v>1443</v>
      </c>
      <c r="F209" s="36" t="s">
        <v>1445</v>
      </c>
      <c r="G209" s="36" t="s">
        <v>1446</v>
      </c>
      <c r="H209" s="11" t="s">
        <v>45</v>
      </c>
      <c r="I209" s="11">
        <v>6.3908860084E11</v>
      </c>
      <c r="J209" s="37">
        <v>45588.0</v>
      </c>
      <c r="K209" s="18"/>
      <c r="L209" s="11">
        <v>2.0250331E7</v>
      </c>
    </row>
    <row r="210">
      <c r="A210" s="9" t="s">
        <v>249</v>
      </c>
      <c r="B210" s="11" t="s">
        <v>30</v>
      </c>
      <c r="C210" s="11" t="s">
        <v>35</v>
      </c>
      <c r="D210" s="11" t="s">
        <v>37</v>
      </c>
      <c r="E210" s="36" t="s">
        <v>1448</v>
      </c>
      <c r="F210" s="36" t="s">
        <v>1450</v>
      </c>
      <c r="G210" s="36" t="s">
        <v>1451</v>
      </c>
      <c r="H210" s="11" t="s">
        <v>45</v>
      </c>
      <c r="I210" s="11">
        <v>6.39285029887E11</v>
      </c>
      <c r="J210" s="37">
        <v>45588.0</v>
      </c>
      <c r="K210" s="18"/>
      <c r="L210" s="11">
        <v>2.0250331E7</v>
      </c>
    </row>
    <row r="211">
      <c r="A211" s="9" t="s">
        <v>249</v>
      </c>
      <c r="B211" s="11" t="s">
        <v>30</v>
      </c>
      <c r="C211" s="11" t="s">
        <v>35</v>
      </c>
      <c r="D211" s="11" t="s">
        <v>37</v>
      </c>
      <c r="E211" s="36" t="s">
        <v>1456</v>
      </c>
      <c r="F211" s="36" t="s">
        <v>1457</v>
      </c>
      <c r="G211" s="36" t="s">
        <v>1458</v>
      </c>
      <c r="H211" s="11" t="s">
        <v>45</v>
      </c>
      <c r="I211" s="11">
        <v>6.39209619623E11</v>
      </c>
      <c r="J211" s="37">
        <v>45588.0</v>
      </c>
      <c r="K211" s="18"/>
      <c r="L211" s="11">
        <v>2.0250331E7</v>
      </c>
    </row>
    <row r="212">
      <c r="A212" s="9" t="s">
        <v>249</v>
      </c>
      <c r="B212" s="11" t="s">
        <v>30</v>
      </c>
      <c r="C212" s="11" t="s">
        <v>35</v>
      </c>
      <c r="D212" s="11" t="s">
        <v>37</v>
      </c>
      <c r="E212" s="36" t="s">
        <v>1461</v>
      </c>
      <c r="F212" s="36" t="s">
        <v>1463</v>
      </c>
      <c r="G212" s="36" t="s">
        <v>1464</v>
      </c>
      <c r="H212" s="11" t="s">
        <v>45</v>
      </c>
      <c r="I212" s="11">
        <v>6.39209632287E11</v>
      </c>
      <c r="J212" s="37">
        <v>45588.0</v>
      </c>
      <c r="K212" s="18"/>
      <c r="L212" s="11">
        <v>2.0250331E7</v>
      </c>
    </row>
    <row r="213">
      <c r="A213" s="9" t="s">
        <v>249</v>
      </c>
      <c r="B213" s="11" t="s">
        <v>30</v>
      </c>
      <c r="C213" s="11" t="s">
        <v>35</v>
      </c>
      <c r="D213" s="11" t="s">
        <v>37</v>
      </c>
      <c r="E213" s="36" t="s">
        <v>1468</v>
      </c>
      <c r="F213" s="36" t="s">
        <v>1469</v>
      </c>
      <c r="G213" s="36" t="s">
        <v>1470</v>
      </c>
      <c r="H213" s="11" t="s">
        <v>45</v>
      </c>
      <c r="I213" s="11">
        <v>6.39189179769E11</v>
      </c>
      <c r="J213" s="37">
        <v>45588.0</v>
      </c>
      <c r="K213" s="18"/>
      <c r="L213" s="11">
        <v>2.0250331E7</v>
      </c>
    </row>
    <row r="214">
      <c r="A214" s="9" t="s">
        <v>249</v>
      </c>
      <c r="B214" s="11" t="s">
        <v>30</v>
      </c>
      <c r="C214" s="11" t="s">
        <v>35</v>
      </c>
      <c r="D214" s="11" t="s">
        <v>37</v>
      </c>
      <c r="E214" s="36" t="s">
        <v>1476</v>
      </c>
      <c r="F214" s="36" t="s">
        <v>1477</v>
      </c>
      <c r="G214" s="36" t="s">
        <v>1478</v>
      </c>
      <c r="H214" s="11" t="s">
        <v>45</v>
      </c>
      <c r="I214" s="11">
        <v>6.39209109139E11</v>
      </c>
      <c r="J214" s="37">
        <v>45588.0</v>
      </c>
      <c r="K214" s="18"/>
      <c r="L214" s="11">
        <v>2.0250331E7</v>
      </c>
    </row>
    <row r="215">
      <c r="A215" s="9" t="s">
        <v>249</v>
      </c>
      <c r="B215" s="11" t="s">
        <v>30</v>
      </c>
      <c r="C215" s="11" t="s">
        <v>35</v>
      </c>
      <c r="D215" s="11" t="s">
        <v>37</v>
      </c>
      <c r="E215" s="36" t="s">
        <v>1483</v>
      </c>
      <c r="F215" s="36" t="s">
        <v>1484</v>
      </c>
      <c r="G215" s="36" t="s">
        <v>1487</v>
      </c>
      <c r="H215" s="11" t="s">
        <v>45</v>
      </c>
      <c r="I215" s="11">
        <v>6.39399209694E11</v>
      </c>
      <c r="J215" s="37">
        <v>45588.0</v>
      </c>
      <c r="K215" s="18"/>
      <c r="L215" s="11">
        <v>2.0250331E7</v>
      </c>
    </row>
    <row r="216">
      <c r="A216" s="9" t="s">
        <v>249</v>
      </c>
      <c r="B216" s="11" t="s">
        <v>30</v>
      </c>
      <c r="C216" s="11" t="s">
        <v>35</v>
      </c>
      <c r="D216" s="11" t="s">
        <v>37</v>
      </c>
      <c r="E216" s="36" t="s">
        <v>1489</v>
      </c>
      <c r="F216" s="36" t="s">
        <v>1490</v>
      </c>
      <c r="G216" s="36" t="s">
        <v>1491</v>
      </c>
      <c r="H216" s="11" t="s">
        <v>45</v>
      </c>
      <c r="I216" s="11">
        <v>6.39189202866E11</v>
      </c>
      <c r="J216" s="37">
        <v>45588.0</v>
      </c>
      <c r="K216" s="18"/>
      <c r="L216" s="11">
        <v>2.0250331E7</v>
      </c>
    </row>
    <row r="217">
      <c r="A217" s="9" t="s">
        <v>249</v>
      </c>
      <c r="B217" s="11" t="s">
        <v>30</v>
      </c>
      <c r="C217" s="11" t="s">
        <v>35</v>
      </c>
      <c r="D217" s="11" t="s">
        <v>37</v>
      </c>
      <c r="E217" s="36" t="s">
        <v>1496</v>
      </c>
      <c r="F217" s="36" t="s">
        <v>1498</v>
      </c>
      <c r="G217" s="36" t="s">
        <v>1499</v>
      </c>
      <c r="H217" s="11" t="s">
        <v>45</v>
      </c>
      <c r="I217" s="11">
        <v>6.39209138063E11</v>
      </c>
      <c r="J217" s="37">
        <v>45588.0</v>
      </c>
      <c r="K217" s="18"/>
      <c r="L217" s="11">
        <v>2.0250331E7</v>
      </c>
    </row>
    <row r="218">
      <c r="A218" s="9" t="s">
        <v>249</v>
      </c>
      <c r="B218" s="11" t="s">
        <v>30</v>
      </c>
      <c r="C218" s="11" t="s">
        <v>35</v>
      </c>
      <c r="D218" s="11" t="s">
        <v>37</v>
      </c>
      <c r="E218" s="36" t="s">
        <v>1501</v>
      </c>
      <c r="F218" s="36" t="s">
        <v>1502</v>
      </c>
      <c r="G218" s="36" t="s">
        <v>1503</v>
      </c>
      <c r="H218" s="11" t="s">
        <v>45</v>
      </c>
      <c r="I218" s="11">
        <v>6.39209619786E11</v>
      </c>
      <c r="J218" s="37">
        <v>45588.0</v>
      </c>
      <c r="K218" s="18"/>
      <c r="L218" s="11">
        <v>2.0250331E7</v>
      </c>
    </row>
    <row r="219">
      <c r="A219" s="9" t="s">
        <v>249</v>
      </c>
      <c r="B219" s="11" t="s">
        <v>30</v>
      </c>
      <c r="C219" s="11" t="s">
        <v>35</v>
      </c>
      <c r="D219" s="11" t="s">
        <v>37</v>
      </c>
      <c r="E219" s="36" t="s">
        <v>1507</v>
      </c>
      <c r="F219" s="36" t="s">
        <v>1508</v>
      </c>
      <c r="G219" s="36" t="s">
        <v>1510</v>
      </c>
      <c r="H219" s="11" t="s">
        <v>45</v>
      </c>
      <c r="I219" s="11">
        <v>6.39189101749E11</v>
      </c>
      <c r="J219" s="37">
        <v>45588.0</v>
      </c>
      <c r="K219" s="18"/>
      <c r="L219" s="11">
        <v>2.0250331E7</v>
      </c>
    </row>
    <row r="220">
      <c r="A220" s="9" t="s">
        <v>249</v>
      </c>
      <c r="B220" s="11" t="s">
        <v>30</v>
      </c>
      <c r="C220" s="11" t="s">
        <v>35</v>
      </c>
      <c r="D220" s="11" t="s">
        <v>37</v>
      </c>
      <c r="E220" s="36" t="s">
        <v>1511</v>
      </c>
      <c r="F220" s="36" t="s">
        <v>1513</v>
      </c>
      <c r="G220" s="36" t="s">
        <v>1514</v>
      </c>
      <c r="H220" s="11" t="s">
        <v>45</v>
      </c>
      <c r="I220" s="11">
        <v>6.39189308409E11</v>
      </c>
      <c r="J220" s="37">
        <v>45588.0</v>
      </c>
      <c r="K220" s="18"/>
      <c r="L220" s="11">
        <v>2.0250331E7</v>
      </c>
    </row>
    <row r="221">
      <c r="A221" s="9" t="s">
        <v>249</v>
      </c>
      <c r="B221" s="11" t="s">
        <v>30</v>
      </c>
      <c r="C221" s="11" t="s">
        <v>35</v>
      </c>
      <c r="D221" s="11" t="s">
        <v>37</v>
      </c>
      <c r="E221" s="36" t="s">
        <v>1518</v>
      </c>
      <c r="F221" s="36" t="s">
        <v>1519</v>
      </c>
      <c r="G221" s="36" t="s">
        <v>1521</v>
      </c>
      <c r="H221" s="11" t="s">
        <v>45</v>
      </c>
      <c r="I221" s="11">
        <v>6.39189058417E11</v>
      </c>
      <c r="J221" s="37">
        <v>45588.0</v>
      </c>
      <c r="K221" s="18"/>
      <c r="L221" s="11">
        <v>2.0250331E7</v>
      </c>
    </row>
    <row r="222">
      <c r="A222" s="9" t="s">
        <v>249</v>
      </c>
      <c r="B222" s="11" t="s">
        <v>30</v>
      </c>
      <c r="C222" s="11" t="s">
        <v>35</v>
      </c>
      <c r="D222" s="11" t="s">
        <v>37</v>
      </c>
      <c r="E222" s="36" t="s">
        <v>1524</v>
      </c>
      <c r="F222" s="36" t="s">
        <v>1525</v>
      </c>
      <c r="G222" s="36" t="s">
        <v>1526</v>
      </c>
      <c r="H222" s="11" t="s">
        <v>45</v>
      </c>
      <c r="I222" s="11">
        <v>6.39189338171E11</v>
      </c>
      <c r="J222" s="37">
        <v>45588.0</v>
      </c>
      <c r="K222" s="18"/>
      <c r="L222" s="11">
        <v>2.0250331E7</v>
      </c>
    </row>
    <row r="223">
      <c r="A223" s="9" t="s">
        <v>249</v>
      </c>
      <c r="B223" s="11" t="s">
        <v>30</v>
      </c>
      <c r="C223" s="11" t="s">
        <v>35</v>
      </c>
      <c r="D223" s="11" t="s">
        <v>37</v>
      </c>
      <c r="E223" s="36" t="s">
        <v>1531</v>
      </c>
      <c r="F223" s="36" t="s">
        <v>1532</v>
      </c>
      <c r="G223" s="36" t="s">
        <v>1533</v>
      </c>
      <c r="H223" s="11" t="s">
        <v>45</v>
      </c>
      <c r="I223" s="11">
        <v>6.39189057256E11</v>
      </c>
      <c r="J223" s="37">
        <v>45588.0</v>
      </c>
      <c r="K223" s="18"/>
      <c r="L223" s="11">
        <v>2.0250331E7</v>
      </c>
    </row>
    <row r="224">
      <c r="A224" s="9" t="s">
        <v>249</v>
      </c>
      <c r="B224" s="11" t="s">
        <v>30</v>
      </c>
      <c r="C224" s="11" t="s">
        <v>35</v>
      </c>
      <c r="D224" s="11" t="s">
        <v>37</v>
      </c>
      <c r="E224" s="36" t="s">
        <v>1536</v>
      </c>
      <c r="F224" s="36" t="s">
        <v>1537</v>
      </c>
      <c r="G224" s="36" t="s">
        <v>1539</v>
      </c>
      <c r="H224" s="11" t="s">
        <v>45</v>
      </c>
      <c r="I224" s="11">
        <v>6.39209517076E11</v>
      </c>
      <c r="J224" s="37">
        <v>45588.0</v>
      </c>
      <c r="K224" s="18"/>
      <c r="L224" s="11">
        <v>2.0250331E7</v>
      </c>
    </row>
    <row r="225">
      <c r="A225" s="9" t="s">
        <v>249</v>
      </c>
      <c r="B225" s="11" t="s">
        <v>30</v>
      </c>
      <c r="C225" s="11" t="s">
        <v>35</v>
      </c>
      <c r="D225" s="11" t="s">
        <v>37</v>
      </c>
      <c r="E225" s="36" t="s">
        <v>1543</v>
      </c>
      <c r="F225" s="36" t="s">
        <v>1544</v>
      </c>
      <c r="G225" s="36" t="s">
        <v>1545</v>
      </c>
      <c r="H225" s="11" t="s">
        <v>45</v>
      </c>
      <c r="I225" s="11">
        <v>6.39209137455E11</v>
      </c>
      <c r="J225" s="37">
        <v>45588.0</v>
      </c>
      <c r="K225" s="18"/>
      <c r="L225" s="11">
        <v>2.0250331E7</v>
      </c>
    </row>
    <row r="226">
      <c r="A226" s="9" t="s">
        <v>249</v>
      </c>
      <c r="B226" s="11" t="s">
        <v>30</v>
      </c>
      <c r="C226" s="11" t="s">
        <v>35</v>
      </c>
      <c r="D226" s="11" t="s">
        <v>37</v>
      </c>
      <c r="E226" s="36" t="s">
        <v>1547</v>
      </c>
      <c r="F226" s="36" t="s">
        <v>1548</v>
      </c>
      <c r="G226" s="36" t="s">
        <v>1549</v>
      </c>
      <c r="H226" s="11" t="s">
        <v>45</v>
      </c>
      <c r="I226" s="11">
        <v>6.39209106319E11</v>
      </c>
      <c r="J226" s="37">
        <v>45588.0</v>
      </c>
      <c r="K226" s="18"/>
      <c r="L226" s="11">
        <v>2.0250331E7</v>
      </c>
    </row>
    <row r="227">
      <c r="A227" s="9" t="s">
        <v>249</v>
      </c>
      <c r="B227" s="11" t="s">
        <v>30</v>
      </c>
      <c r="C227" s="11" t="s">
        <v>35</v>
      </c>
      <c r="D227" s="11" t="s">
        <v>37</v>
      </c>
      <c r="E227" s="36" t="s">
        <v>1552</v>
      </c>
      <c r="F227" s="36" t="s">
        <v>1554</v>
      </c>
      <c r="G227" s="36" t="s">
        <v>1555</v>
      </c>
      <c r="H227" s="11" t="s">
        <v>45</v>
      </c>
      <c r="I227" s="11">
        <v>6.39209065885E11</v>
      </c>
      <c r="J227" s="37">
        <v>45588.0</v>
      </c>
      <c r="K227" s="18"/>
      <c r="L227" s="11">
        <v>2.0250331E7</v>
      </c>
    </row>
    <row r="228">
      <c r="A228" s="9" t="s">
        <v>249</v>
      </c>
      <c r="B228" s="11" t="s">
        <v>30</v>
      </c>
      <c r="C228" s="11" t="s">
        <v>35</v>
      </c>
      <c r="D228" s="11" t="s">
        <v>37</v>
      </c>
      <c r="E228" s="36" t="s">
        <v>1558</v>
      </c>
      <c r="F228" s="36" t="s">
        <v>1559</v>
      </c>
      <c r="G228" s="36" t="s">
        <v>1560</v>
      </c>
      <c r="H228" s="11" t="s">
        <v>45</v>
      </c>
      <c r="I228" s="11">
        <v>6.39285504729E11</v>
      </c>
      <c r="J228" s="37">
        <v>45588.0</v>
      </c>
      <c r="K228" s="18"/>
      <c r="L228" s="11">
        <v>2.0250331E7</v>
      </c>
    </row>
    <row r="229">
      <c r="A229" s="9" t="s">
        <v>249</v>
      </c>
      <c r="B229" s="11" t="s">
        <v>30</v>
      </c>
      <c r="C229" s="11" t="s">
        <v>35</v>
      </c>
      <c r="D229" s="11" t="s">
        <v>37</v>
      </c>
      <c r="E229" s="36" t="s">
        <v>1562</v>
      </c>
      <c r="F229" s="36" t="s">
        <v>1563</v>
      </c>
      <c r="G229" s="36" t="s">
        <v>1565</v>
      </c>
      <c r="H229" s="11" t="s">
        <v>45</v>
      </c>
      <c r="I229" s="11">
        <v>6.39189040845E11</v>
      </c>
      <c r="J229" s="37">
        <v>45588.0</v>
      </c>
      <c r="K229" s="18"/>
      <c r="L229" s="11">
        <v>2.0250331E7</v>
      </c>
    </row>
    <row r="230">
      <c r="A230" s="9" t="s">
        <v>249</v>
      </c>
      <c r="B230" s="11" t="s">
        <v>30</v>
      </c>
      <c r="C230" s="11" t="s">
        <v>35</v>
      </c>
      <c r="D230" s="11" t="s">
        <v>37</v>
      </c>
      <c r="E230" s="36" t="s">
        <v>1568</v>
      </c>
      <c r="F230" s="36" t="s">
        <v>1569</v>
      </c>
      <c r="G230" s="36" t="s">
        <v>1570</v>
      </c>
      <c r="H230" s="11" t="s">
        <v>45</v>
      </c>
      <c r="I230" s="11">
        <v>6.3918929853E11</v>
      </c>
      <c r="J230" s="37">
        <v>45588.0</v>
      </c>
      <c r="K230" s="18"/>
      <c r="L230" s="11">
        <v>2.0250331E7</v>
      </c>
    </row>
    <row r="231">
      <c r="A231" s="9" t="s">
        <v>249</v>
      </c>
      <c r="B231" s="11" t="s">
        <v>30</v>
      </c>
      <c r="C231" s="11" t="s">
        <v>35</v>
      </c>
      <c r="D231" s="11" t="s">
        <v>37</v>
      </c>
      <c r="E231" s="36" t="s">
        <v>1572</v>
      </c>
      <c r="F231" s="36" t="s">
        <v>1573</v>
      </c>
      <c r="G231" s="36" t="s">
        <v>1574</v>
      </c>
      <c r="H231" s="11" t="s">
        <v>45</v>
      </c>
      <c r="I231" s="11">
        <v>6.39189279578E11</v>
      </c>
      <c r="J231" s="37">
        <v>45588.0</v>
      </c>
      <c r="K231" s="18"/>
      <c r="L231" s="11">
        <v>2.0250331E7</v>
      </c>
    </row>
    <row r="232">
      <c r="A232" s="9" t="s">
        <v>249</v>
      </c>
      <c r="B232" s="11" t="s">
        <v>30</v>
      </c>
      <c r="C232" s="11" t="s">
        <v>35</v>
      </c>
      <c r="D232" s="11" t="s">
        <v>37</v>
      </c>
      <c r="E232" s="36" t="s">
        <v>1577</v>
      </c>
      <c r="F232" s="36" t="s">
        <v>1579</v>
      </c>
      <c r="G232" s="36" t="s">
        <v>1580</v>
      </c>
      <c r="H232" s="11" t="s">
        <v>45</v>
      </c>
      <c r="I232" s="11">
        <v>6.39209249447E11</v>
      </c>
      <c r="J232" s="37">
        <v>45588.0</v>
      </c>
      <c r="K232" s="18"/>
      <c r="L232" s="11">
        <v>2.0250331E7</v>
      </c>
    </row>
    <row r="233">
      <c r="A233" s="9" t="s">
        <v>249</v>
      </c>
      <c r="B233" s="11" t="s">
        <v>30</v>
      </c>
      <c r="C233" s="11" t="s">
        <v>35</v>
      </c>
      <c r="D233" s="11" t="s">
        <v>37</v>
      </c>
      <c r="E233" s="36" t="s">
        <v>1583</v>
      </c>
      <c r="F233" s="36" t="s">
        <v>1584</v>
      </c>
      <c r="G233" s="36" t="s">
        <v>1585</v>
      </c>
      <c r="H233" s="11" t="s">
        <v>45</v>
      </c>
      <c r="I233" s="11">
        <v>6.39189396386E11</v>
      </c>
      <c r="J233" s="37">
        <v>45588.0</v>
      </c>
      <c r="K233" s="18"/>
      <c r="L233" s="11">
        <v>2.0250331E7</v>
      </c>
    </row>
    <row r="234">
      <c r="A234" s="9" t="s">
        <v>249</v>
      </c>
      <c r="B234" s="11" t="s">
        <v>30</v>
      </c>
      <c r="C234" s="11" t="s">
        <v>35</v>
      </c>
      <c r="D234" s="11" t="s">
        <v>37</v>
      </c>
      <c r="E234" s="36" t="s">
        <v>1586</v>
      </c>
      <c r="F234" s="36" t="s">
        <v>1587</v>
      </c>
      <c r="G234" s="36" t="s">
        <v>1588</v>
      </c>
      <c r="H234" s="11" t="s">
        <v>45</v>
      </c>
      <c r="I234" s="11">
        <v>6.39209266586E11</v>
      </c>
      <c r="J234" s="37">
        <v>45588.0</v>
      </c>
      <c r="K234" s="18"/>
      <c r="L234" s="11">
        <v>2.0250331E7</v>
      </c>
    </row>
    <row r="235">
      <c r="A235" s="9" t="s">
        <v>249</v>
      </c>
      <c r="B235" s="11" t="s">
        <v>30</v>
      </c>
      <c r="C235" s="11" t="s">
        <v>35</v>
      </c>
      <c r="D235" s="11" t="s">
        <v>37</v>
      </c>
      <c r="E235" s="36" t="s">
        <v>1593</v>
      </c>
      <c r="F235" s="36" t="s">
        <v>1594</v>
      </c>
      <c r="G235" s="36" t="s">
        <v>1596</v>
      </c>
      <c r="H235" s="11" t="s">
        <v>45</v>
      </c>
      <c r="I235" s="11">
        <v>6.39209050352E11</v>
      </c>
      <c r="J235" s="37">
        <v>45588.0</v>
      </c>
      <c r="K235" s="18"/>
      <c r="L235" s="11">
        <v>2.0250331E7</v>
      </c>
    </row>
    <row r="236">
      <c r="A236" s="9" t="s">
        <v>249</v>
      </c>
      <c r="B236" s="11" t="s">
        <v>30</v>
      </c>
      <c r="C236" s="11" t="s">
        <v>35</v>
      </c>
      <c r="D236" s="11" t="s">
        <v>37</v>
      </c>
      <c r="E236" s="36" t="s">
        <v>1597</v>
      </c>
      <c r="F236" s="36" t="s">
        <v>1598</v>
      </c>
      <c r="G236" s="36" t="s">
        <v>1599</v>
      </c>
      <c r="H236" s="11" t="s">
        <v>45</v>
      </c>
      <c r="I236" s="11">
        <v>6.39189015723E11</v>
      </c>
      <c r="J236" s="37">
        <v>45588.0</v>
      </c>
      <c r="K236" s="18"/>
      <c r="L236" s="11">
        <v>2.0250331E7</v>
      </c>
    </row>
    <row r="237">
      <c r="A237" s="9" t="s">
        <v>249</v>
      </c>
      <c r="B237" s="11" t="s">
        <v>30</v>
      </c>
      <c r="C237" s="11" t="s">
        <v>35</v>
      </c>
      <c r="D237" s="11" t="s">
        <v>37</v>
      </c>
      <c r="E237" s="36" t="s">
        <v>1604</v>
      </c>
      <c r="F237" s="36" t="s">
        <v>1605</v>
      </c>
      <c r="G237" s="36" t="s">
        <v>1606</v>
      </c>
      <c r="H237" s="11" t="s">
        <v>45</v>
      </c>
      <c r="I237" s="11">
        <v>6.39209502943E11</v>
      </c>
      <c r="J237" s="37">
        <v>45588.0</v>
      </c>
      <c r="K237" s="18"/>
      <c r="L237" s="11">
        <v>2.0250331E7</v>
      </c>
    </row>
    <row r="238">
      <c r="A238" s="9" t="s">
        <v>249</v>
      </c>
      <c r="B238" s="11" t="s">
        <v>30</v>
      </c>
      <c r="C238" s="11" t="s">
        <v>35</v>
      </c>
      <c r="D238" s="11" t="s">
        <v>37</v>
      </c>
      <c r="E238" s="36" t="s">
        <v>1607</v>
      </c>
      <c r="F238" s="36" t="s">
        <v>1608</v>
      </c>
      <c r="G238" s="36" t="s">
        <v>1609</v>
      </c>
      <c r="H238" s="11" t="s">
        <v>45</v>
      </c>
      <c r="I238" s="11">
        <v>6.39189173862E11</v>
      </c>
      <c r="J238" s="37">
        <v>45588.0</v>
      </c>
      <c r="K238" s="18"/>
      <c r="L238" s="11">
        <v>2.0250331E7</v>
      </c>
    </row>
    <row r="239">
      <c r="A239" s="9" t="s">
        <v>249</v>
      </c>
      <c r="B239" s="11" t="s">
        <v>30</v>
      </c>
      <c r="C239" s="11" t="s">
        <v>35</v>
      </c>
      <c r="D239" s="11" t="s">
        <v>37</v>
      </c>
      <c r="E239" s="36" t="s">
        <v>1614</v>
      </c>
      <c r="F239" s="36" t="s">
        <v>1615</v>
      </c>
      <c r="G239" s="36" t="s">
        <v>1616</v>
      </c>
      <c r="H239" s="11" t="s">
        <v>45</v>
      </c>
      <c r="I239" s="11">
        <v>6.39209602632E11</v>
      </c>
      <c r="J239" s="37">
        <v>45588.0</v>
      </c>
      <c r="K239" s="18"/>
      <c r="L239" s="11">
        <v>2.0250331E7</v>
      </c>
    </row>
    <row r="240">
      <c r="A240" s="9" t="s">
        <v>249</v>
      </c>
      <c r="B240" s="11" t="s">
        <v>30</v>
      </c>
      <c r="C240" s="11" t="s">
        <v>35</v>
      </c>
      <c r="D240" s="11" t="s">
        <v>37</v>
      </c>
      <c r="E240" s="36" t="s">
        <v>1617</v>
      </c>
      <c r="F240" s="36" t="s">
        <v>1618</v>
      </c>
      <c r="G240" s="36" t="s">
        <v>1620</v>
      </c>
      <c r="H240" s="11" t="s">
        <v>45</v>
      </c>
      <c r="I240" s="11">
        <v>6.39209077038E11</v>
      </c>
      <c r="J240" s="37">
        <v>45588.0</v>
      </c>
      <c r="K240" s="18"/>
      <c r="L240" s="11">
        <v>2.0250331E7</v>
      </c>
    </row>
    <row r="241">
      <c r="A241" s="9" t="s">
        <v>249</v>
      </c>
      <c r="B241" s="11" t="s">
        <v>30</v>
      </c>
      <c r="C241" s="11" t="s">
        <v>35</v>
      </c>
      <c r="D241" s="11" t="s">
        <v>37</v>
      </c>
      <c r="E241" s="36" t="s">
        <v>1624</v>
      </c>
      <c r="F241" s="36" t="s">
        <v>1625</v>
      </c>
      <c r="G241" s="36" t="s">
        <v>1626</v>
      </c>
      <c r="H241" s="11" t="s">
        <v>45</v>
      </c>
      <c r="I241" s="11">
        <v>6.39189380377E11</v>
      </c>
      <c r="J241" s="37">
        <v>45588.0</v>
      </c>
      <c r="K241" s="18"/>
      <c r="L241" s="11">
        <v>2.0250331E7</v>
      </c>
    </row>
    <row r="242">
      <c r="A242" s="9" t="s">
        <v>249</v>
      </c>
      <c r="B242" s="11" t="s">
        <v>30</v>
      </c>
      <c r="C242" s="11" t="s">
        <v>35</v>
      </c>
      <c r="D242" s="11" t="s">
        <v>37</v>
      </c>
      <c r="E242" s="36" t="s">
        <v>1627</v>
      </c>
      <c r="F242" s="36" t="s">
        <v>1629</v>
      </c>
      <c r="G242" s="36" t="s">
        <v>1631</v>
      </c>
      <c r="H242" s="11" t="s">
        <v>45</v>
      </c>
      <c r="I242" s="11">
        <v>6.3918920475E11</v>
      </c>
      <c r="J242" s="37">
        <v>45588.0</v>
      </c>
      <c r="K242" s="18"/>
      <c r="L242" s="11">
        <v>2.0250331E7</v>
      </c>
    </row>
    <row r="243">
      <c r="A243" s="9" t="s">
        <v>249</v>
      </c>
      <c r="B243" s="11" t="s">
        <v>30</v>
      </c>
      <c r="C243" s="11" t="s">
        <v>35</v>
      </c>
      <c r="D243" s="11" t="s">
        <v>37</v>
      </c>
      <c r="E243" s="36" t="s">
        <v>1634</v>
      </c>
      <c r="F243" s="36" t="s">
        <v>1635</v>
      </c>
      <c r="G243" s="36" t="s">
        <v>1636</v>
      </c>
      <c r="H243" s="11" t="s">
        <v>45</v>
      </c>
      <c r="I243" s="11">
        <v>6.39209386918E11</v>
      </c>
      <c r="J243" s="37">
        <v>45588.0</v>
      </c>
      <c r="K243" s="18"/>
      <c r="L243" s="11">
        <v>2.0250331E7</v>
      </c>
    </row>
    <row r="244">
      <c r="A244" s="9" t="s">
        <v>249</v>
      </c>
      <c r="B244" s="11" t="s">
        <v>30</v>
      </c>
      <c r="C244" s="11" t="s">
        <v>35</v>
      </c>
      <c r="D244" s="11" t="s">
        <v>37</v>
      </c>
      <c r="E244" s="36" t="s">
        <v>1637</v>
      </c>
      <c r="F244" s="36" t="s">
        <v>1639</v>
      </c>
      <c r="G244" s="36" t="s">
        <v>1641</v>
      </c>
      <c r="H244" s="11" t="s">
        <v>45</v>
      </c>
      <c r="I244" s="11">
        <v>6.39189383919E11</v>
      </c>
      <c r="J244" s="37">
        <v>45588.0</v>
      </c>
      <c r="K244" s="18"/>
      <c r="L244" s="11">
        <v>2.0250331E7</v>
      </c>
    </row>
    <row r="245">
      <c r="A245" s="9" t="s">
        <v>249</v>
      </c>
      <c r="B245" s="11" t="s">
        <v>30</v>
      </c>
      <c r="C245" s="11" t="s">
        <v>35</v>
      </c>
      <c r="D245" s="11" t="s">
        <v>37</v>
      </c>
      <c r="E245" s="36" t="s">
        <v>1644</v>
      </c>
      <c r="F245" s="36" t="s">
        <v>1646</v>
      </c>
      <c r="G245" s="36" t="s">
        <v>1647</v>
      </c>
      <c r="H245" s="11" t="s">
        <v>45</v>
      </c>
      <c r="I245" s="11">
        <v>6.39209254384E11</v>
      </c>
      <c r="J245" s="37">
        <v>45588.0</v>
      </c>
      <c r="K245" s="18"/>
      <c r="L245" s="11">
        <v>2.0250331E7</v>
      </c>
    </row>
    <row r="246">
      <c r="A246" s="9" t="s">
        <v>249</v>
      </c>
      <c r="B246" s="11" t="s">
        <v>30</v>
      </c>
      <c r="C246" s="11" t="s">
        <v>35</v>
      </c>
      <c r="D246" s="11" t="s">
        <v>37</v>
      </c>
      <c r="E246" s="36" t="s">
        <v>1649</v>
      </c>
      <c r="F246" s="36" t="s">
        <v>1650</v>
      </c>
      <c r="G246" s="36" t="s">
        <v>1652</v>
      </c>
      <c r="H246" s="11" t="s">
        <v>45</v>
      </c>
      <c r="I246" s="11">
        <v>6.39189127442E11</v>
      </c>
      <c r="J246" s="37">
        <v>45588.0</v>
      </c>
      <c r="K246" s="18"/>
      <c r="L246" s="11">
        <v>2.0250331E7</v>
      </c>
    </row>
    <row r="247">
      <c r="A247" s="9" t="s">
        <v>249</v>
      </c>
      <c r="B247" s="11" t="s">
        <v>30</v>
      </c>
      <c r="C247" s="11" t="s">
        <v>35</v>
      </c>
      <c r="D247" s="11" t="s">
        <v>37</v>
      </c>
      <c r="E247" s="36" t="s">
        <v>1657</v>
      </c>
      <c r="F247" s="36" t="s">
        <v>1658</v>
      </c>
      <c r="G247" s="36" t="s">
        <v>1659</v>
      </c>
      <c r="H247" s="11" t="s">
        <v>45</v>
      </c>
      <c r="I247" s="11">
        <v>6.39189342612E11</v>
      </c>
      <c r="J247" s="37">
        <v>45588.0</v>
      </c>
      <c r="K247" s="18"/>
      <c r="L247" s="11">
        <v>2.0250331E7</v>
      </c>
    </row>
    <row r="248">
      <c r="A248" s="9" t="s">
        <v>249</v>
      </c>
      <c r="B248" s="11" t="s">
        <v>30</v>
      </c>
      <c r="C248" s="11" t="s">
        <v>35</v>
      </c>
      <c r="D248" s="11" t="s">
        <v>37</v>
      </c>
      <c r="E248" s="36" t="s">
        <v>1661</v>
      </c>
      <c r="F248" s="36" t="s">
        <v>1662</v>
      </c>
      <c r="G248" s="36" t="s">
        <v>1663</v>
      </c>
      <c r="H248" s="11" t="s">
        <v>45</v>
      </c>
      <c r="I248" s="11">
        <v>6.39189104042E11</v>
      </c>
      <c r="J248" s="37">
        <v>45588.0</v>
      </c>
      <c r="K248" s="18"/>
      <c r="L248" s="11">
        <v>2.0250331E7</v>
      </c>
    </row>
    <row r="249">
      <c r="A249" s="9" t="s">
        <v>249</v>
      </c>
      <c r="B249" s="11" t="s">
        <v>30</v>
      </c>
      <c r="C249" s="11" t="s">
        <v>35</v>
      </c>
      <c r="D249" s="11" t="s">
        <v>37</v>
      </c>
      <c r="E249" s="36" t="s">
        <v>1668</v>
      </c>
      <c r="F249" s="36" t="s">
        <v>1669</v>
      </c>
      <c r="G249" s="36" t="s">
        <v>1670</v>
      </c>
      <c r="H249" s="11" t="s">
        <v>45</v>
      </c>
      <c r="I249" s="11">
        <v>6.39189296486E11</v>
      </c>
      <c r="J249" s="37">
        <v>45588.0</v>
      </c>
      <c r="K249" s="18"/>
      <c r="L249" s="11">
        <v>2.0250331E7</v>
      </c>
    </row>
    <row r="250">
      <c r="A250" s="9" t="s">
        <v>249</v>
      </c>
      <c r="B250" s="11" t="s">
        <v>30</v>
      </c>
      <c r="C250" s="11" t="s">
        <v>35</v>
      </c>
      <c r="D250" s="11" t="s">
        <v>37</v>
      </c>
      <c r="E250" s="36" t="s">
        <v>1671</v>
      </c>
      <c r="F250" s="36" t="s">
        <v>1672</v>
      </c>
      <c r="G250" s="36" t="s">
        <v>1673</v>
      </c>
      <c r="H250" s="11" t="s">
        <v>45</v>
      </c>
      <c r="I250" s="11">
        <v>6.3918917627E11</v>
      </c>
      <c r="J250" s="37">
        <v>45588.0</v>
      </c>
      <c r="K250" s="18"/>
      <c r="L250" s="11">
        <v>2.0250331E7</v>
      </c>
    </row>
    <row r="251">
      <c r="A251" s="9" t="s">
        <v>249</v>
      </c>
      <c r="B251" s="11" t="s">
        <v>30</v>
      </c>
      <c r="C251" s="11" t="s">
        <v>35</v>
      </c>
      <c r="D251" s="11" t="s">
        <v>37</v>
      </c>
      <c r="E251" s="36" t="s">
        <v>1678</v>
      </c>
      <c r="F251" s="36" t="s">
        <v>1679</v>
      </c>
      <c r="G251" s="36" t="s">
        <v>1680</v>
      </c>
      <c r="H251" s="11" t="s">
        <v>45</v>
      </c>
      <c r="I251" s="11">
        <v>6.39189191697E11</v>
      </c>
      <c r="J251" s="37">
        <v>45588.0</v>
      </c>
      <c r="K251" s="18"/>
      <c r="L251" s="11">
        <v>2.0250331E7</v>
      </c>
    </row>
    <row r="252">
      <c r="A252" s="9" t="s">
        <v>249</v>
      </c>
      <c r="B252" s="11" t="s">
        <v>30</v>
      </c>
      <c r="C252" s="11" t="s">
        <v>35</v>
      </c>
      <c r="D252" s="11" t="s">
        <v>37</v>
      </c>
      <c r="E252" s="36" t="s">
        <v>1681</v>
      </c>
      <c r="F252" s="36" t="s">
        <v>1682</v>
      </c>
      <c r="G252" s="36" t="s">
        <v>1684</v>
      </c>
      <c r="H252" s="11" t="s">
        <v>45</v>
      </c>
      <c r="I252" s="11">
        <v>6.39189005723E11</v>
      </c>
      <c r="J252" s="37">
        <v>45588.0</v>
      </c>
      <c r="K252" s="18"/>
      <c r="L252" s="11">
        <v>2.0250331E7</v>
      </c>
    </row>
    <row r="253">
      <c r="A253" s="9" t="s">
        <v>249</v>
      </c>
      <c r="B253" s="11" t="s">
        <v>30</v>
      </c>
      <c r="C253" s="11" t="s">
        <v>35</v>
      </c>
      <c r="D253" s="11" t="s">
        <v>37</v>
      </c>
      <c r="E253" s="36" t="s">
        <v>1688</v>
      </c>
      <c r="F253" s="36" t="s">
        <v>1689</v>
      </c>
      <c r="G253" s="36" t="s">
        <v>1690</v>
      </c>
      <c r="H253" s="11" t="s">
        <v>45</v>
      </c>
      <c r="I253" s="11">
        <v>6.39209214223E11</v>
      </c>
      <c r="J253" s="37">
        <v>45588.0</v>
      </c>
      <c r="K253" s="18"/>
      <c r="L253" s="11">
        <v>2.0250331E7</v>
      </c>
    </row>
    <row r="254">
      <c r="A254" s="9" t="s">
        <v>249</v>
      </c>
      <c r="B254" s="11" t="s">
        <v>30</v>
      </c>
      <c r="C254" s="11" t="s">
        <v>35</v>
      </c>
      <c r="D254" s="11" t="s">
        <v>37</v>
      </c>
      <c r="E254" s="36" t="s">
        <v>1693</v>
      </c>
      <c r="F254" s="36" t="s">
        <v>1695</v>
      </c>
      <c r="G254" s="36" t="s">
        <v>1696</v>
      </c>
      <c r="H254" s="11" t="s">
        <v>45</v>
      </c>
      <c r="I254" s="11">
        <v>6.39209128613E11</v>
      </c>
      <c r="J254" s="37">
        <v>45588.0</v>
      </c>
      <c r="K254" s="18"/>
      <c r="L254" s="11">
        <v>2.0250331E7</v>
      </c>
    </row>
    <row r="255">
      <c r="A255" s="9" t="s">
        <v>249</v>
      </c>
      <c r="B255" s="11" t="s">
        <v>30</v>
      </c>
      <c r="C255" s="11" t="s">
        <v>35</v>
      </c>
      <c r="D255" s="11" t="s">
        <v>37</v>
      </c>
      <c r="E255" s="36" t="s">
        <v>1698</v>
      </c>
      <c r="F255" s="36" t="s">
        <v>1699</v>
      </c>
      <c r="G255" s="36" t="s">
        <v>1700</v>
      </c>
      <c r="H255" s="11" t="s">
        <v>45</v>
      </c>
      <c r="I255" s="11">
        <v>6.39190704234E11</v>
      </c>
      <c r="J255" s="37">
        <v>45588.0</v>
      </c>
      <c r="K255" s="18"/>
      <c r="L255" s="11">
        <v>2.0250331E7</v>
      </c>
    </row>
    <row r="256">
      <c r="A256" s="9" t="s">
        <v>249</v>
      </c>
      <c r="B256" s="11" t="s">
        <v>30</v>
      </c>
      <c r="C256" s="11" t="s">
        <v>35</v>
      </c>
      <c r="D256" s="11" t="s">
        <v>37</v>
      </c>
      <c r="E256" s="36" t="s">
        <v>1704</v>
      </c>
      <c r="F256" s="36" t="s">
        <v>1706</v>
      </c>
      <c r="G256" s="36" t="s">
        <v>1707</v>
      </c>
      <c r="H256" s="11" t="s">
        <v>45</v>
      </c>
      <c r="I256" s="11">
        <v>6.39209726397E11</v>
      </c>
      <c r="J256" s="37">
        <v>45588.0</v>
      </c>
      <c r="K256" s="18"/>
      <c r="L256" s="11">
        <v>2.0250331E7</v>
      </c>
    </row>
    <row r="257">
      <c r="A257" s="9" t="s">
        <v>249</v>
      </c>
      <c r="B257" s="11" t="s">
        <v>30</v>
      </c>
      <c r="C257" s="11" t="s">
        <v>35</v>
      </c>
      <c r="D257" s="11" t="s">
        <v>37</v>
      </c>
      <c r="E257" s="36" t="s">
        <v>1708</v>
      </c>
      <c r="F257" s="36" t="s">
        <v>1713</v>
      </c>
      <c r="G257" s="36" t="s">
        <v>1714</v>
      </c>
      <c r="H257" s="11" t="s">
        <v>45</v>
      </c>
      <c r="I257" s="11">
        <v>6.39189918742E11</v>
      </c>
      <c r="J257" s="37">
        <v>45588.0</v>
      </c>
      <c r="K257" s="18"/>
      <c r="L257" s="11">
        <v>2.0250331E7</v>
      </c>
    </row>
    <row r="258">
      <c r="A258" s="9" t="s">
        <v>249</v>
      </c>
      <c r="B258" s="11" t="s">
        <v>30</v>
      </c>
      <c r="C258" s="11" t="s">
        <v>35</v>
      </c>
      <c r="D258" s="11" t="s">
        <v>37</v>
      </c>
      <c r="E258" s="36" t="s">
        <v>1716</v>
      </c>
      <c r="F258" s="36" t="s">
        <v>1717</v>
      </c>
      <c r="G258" s="36" t="s">
        <v>1718</v>
      </c>
      <c r="H258" s="11" t="s">
        <v>45</v>
      </c>
      <c r="I258" s="11">
        <v>6.39189254724E11</v>
      </c>
      <c r="J258" s="37">
        <v>45588.0</v>
      </c>
      <c r="K258" s="18"/>
      <c r="L258" s="11">
        <v>2.0250331E7</v>
      </c>
    </row>
    <row r="259">
      <c r="A259" s="9" t="s">
        <v>249</v>
      </c>
      <c r="B259" s="11" t="s">
        <v>30</v>
      </c>
      <c r="C259" s="11" t="s">
        <v>35</v>
      </c>
      <c r="D259" s="11" t="s">
        <v>37</v>
      </c>
      <c r="E259" s="36" t="s">
        <v>1721</v>
      </c>
      <c r="F259" s="36" t="s">
        <v>1722</v>
      </c>
      <c r="G259" s="36" t="s">
        <v>1724</v>
      </c>
      <c r="H259" s="11" t="s">
        <v>45</v>
      </c>
      <c r="I259" s="11">
        <v>6.39209142259E11</v>
      </c>
      <c r="J259" s="37">
        <v>45588.0</v>
      </c>
      <c r="K259" s="18"/>
      <c r="L259" s="11">
        <v>2.0250331E7</v>
      </c>
    </row>
    <row r="260">
      <c r="A260" s="9" t="s">
        <v>249</v>
      </c>
      <c r="B260" s="11" t="s">
        <v>30</v>
      </c>
      <c r="C260" s="11" t="s">
        <v>35</v>
      </c>
      <c r="D260" s="11" t="s">
        <v>37</v>
      </c>
      <c r="E260" s="36" t="s">
        <v>1727</v>
      </c>
      <c r="F260" s="36" t="s">
        <v>1728</v>
      </c>
      <c r="G260" s="36" t="s">
        <v>1729</v>
      </c>
      <c r="H260" s="11" t="s">
        <v>45</v>
      </c>
      <c r="I260" s="11">
        <v>6.39189370084E11</v>
      </c>
      <c r="J260" s="37">
        <v>45588.0</v>
      </c>
      <c r="K260" s="18"/>
      <c r="L260" s="11">
        <v>2.0250331E7</v>
      </c>
    </row>
    <row r="261">
      <c r="A261" s="9" t="s">
        <v>249</v>
      </c>
      <c r="B261" s="11" t="s">
        <v>30</v>
      </c>
      <c r="C261" s="11" t="s">
        <v>35</v>
      </c>
      <c r="D261" s="11" t="s">
        <v>37</v>
      </c>
      <c r="E261" s="36" t="s">
        <v>1734</v>
      </c>
      <c r="F261" s="36" t="s">
        <v>1735</v>
      </c>
      <c r="G261" s="36" t="s">
        <v>1736</v>
      </c>
      <c r="H261" s="11" t="s">
        <v>45</v>
      </c>
      <c r="I261" s="11">
        <v>6.39209285714E11</v>
      </c>
      <c r="J261" s="37">
        <v>45588.0</v>
      </c>
      <c r="K261" s="18"/>
      <c r="L261" s="11">
        <v>2.0250331E7</v>
      </c>
    </row>
    <row r="262">
      <c r="A262" s="9" t="s">
        <v>249</v>
      </c>
      <c r="B262" s="11" t="s">
        <v>30</v>
      </c>
      <c r="C262" s="11" t="s">
        <v>35</v>
      </c>
      <c r="D262" s="11" t="s">
        <v>37</v>
      </c>
      <c r="E262" s="36" t="s">
        <v>1737</v>
      </c>
      <c r="F262" s="36" t="s">
        <v>1738</v>
      </c>
      <c r="G262" s="36" t="s">
        <v>1739</v>
      </c>
      <c r="H262" s="11" t="s">
        <v>45</v>
      </c>
      <c r="I262" s="11">
        <v>6.39190898121E11</v>
      </c>
      <c r="J262" s="37">
        <v>45588.0</v>
      </c>
      <c r="K262" s="18"/>
      <c r="L262" s="11">
        <v>2.0250331E7</v>
      </c>
    </row>
    <row r="263">
      <c r="A263" s="9" t="s">
        <v>249</v>
      </c>
      <c r="B263" s="11" t="s">
        <v>30</v>
      </c>
      <c r="C263" s="11" t="s">
        <v>35</v>
      </c>
      <c r="D263" s="11" t="s">
        <v>37</v>
      </c>
      <c r="E263" s="36" t="s">
        <v>1745</v>
      </c>
      <c r="F263" s="36" t="s">
        <v>1746</v>
      </c>
      <c r="G263" s="36" t="s">
        <v>1747</v>
      </c>
      <c r="H263" s="11" t="s">
        <v>45</v>
      </c>
      <c r="I263" s="11">
        <v>6.39985902457E11</v>
      </c>
      <c r="J263" s="37">
        <v>45588.0</v>
      </c>
      <c r="K263" s="18"/>
      <c r="L263" s="11">
        <v>2.0250331E7</v>
      </c>
    </row>
    <row r="264">
      <c r="A264" s="9" t="s">
        <v>249</v>
      </c>
      <c r="B264" s="11" t="s">
        <v>30</v>
      </c>
      <c r="C264" s="11" t="s">
        <v>35</v>
      </c>
      <c r="D264" s="11" t="s">
        <v>37</v>
      </c>
      <c r="E264" s="36" t="s">
        <v>1749</v>
      </c>
      <c r="F264" s="36" t="s">
        <v>1750</v>
      </c>
      <c r="G264" s="36" t="s">
        <v>1752</v>
      </c>
      <c r="H264" s="11" t="s">
        <v>45</v>
      </c>
      <c r="I264" s="11">
        <v>6.39189159667E11</v>
      </c>
      <c r="J264" s="37">
        <v>45588.0</v>
      </c>
      <c r="K264" s="18"/>
      <c r="L264" s="11">
        <v>2.0250331E7</v>
      </c>
    </row>
    <row r="265">
      <c r="A265" s="9" t="s">
        <v>249</v>
      </c>
      <c r="B265" s="11" t="s">
        <v>30</v>
      </c>
      <c r="C265" s="11" t="s">
        <v>35</v>
      </c>
      <c r="D265" s="11" t="s">
        <v>37</v>
      </c>
      <c r="E265" s="36" t="s">
        <v>1756</v>
      </c>
      <c r="F265" s="36" t="s">
        <v>1757</v>
      </c>
      <c r="G265" s="36" t="s">
        <v>1758</v>
      </c>
      <c r="H265" s="11" t="s">
        <v>45</v>
      </c>
      <c r="I265" s="11">
        <v>6.39189235484E11</v>
      </c>
      <c r="J265" s="37">
        <v>45588.0</v>
      </c>
      <c r="K265" s="18"/>
      <c r="L265" s="11">
        <v>2.0250331E7</v>
      </c>
    </row>
    <row r="266">
      <c r="A266" s="9" t="s">
        <v>249</v>
      </c>
      <c r="B266" s="11" t="s">
        <v>30</v>
      </c>
      <c r="C266" s="11" t="s">
        <v>35</v>
      </c>
      <c r="D266" s="11" t="s">
        <v>37</v>
      </c>
      <c r="E266" s="36" t="s">
        <v>1761</v>
      </c>
      <c r="F266" s="36" t="s">
        <v>1763</v>
      </c>
      <c r="G266" s="36" t="s">
        <v>1764</v>
      </c>
      <c r="H266" s="11" t="s">
        <v>45</v>
      </c>
      <c r="I266" s="11">
        <v>6.39190812309E11</v>
      </c>
      <c r="J266" s="37">
        <v>45588.0</v>
      </c>
      <c r="K266" s="18"/>
      <c r="L266" s="11">
        <v>2.0250331E7</v>
      </c>
    </row>
    <row r="267">
      <c r="A267" s="9" t="s">
        <v>249</v>
      </c>
      <c r="B267" s="11" t="s">
        <v>30</v>
      </c>
      <c r="C267" s="11" t="s">
        <v>35</v>
      </c>
      <c r="D267" s="11" t="s">
        <v>37</v>
      </c>
      <c r="E267" s="36" t="s">
        <v>1766</v>
      </c>
      <c r="F267" s="36" t="s">
        <v>1767</v>
      </c>
      <c r="G267" s="36" t="s">
        <v>1768</v>
      </c>
      <c r="H267" s="11" t="s">
        <v>45</v>
      </c>
      <c r="I267" s="11">
        <v>6.39209482041E11</v>
      </c>
      <c r="J267" s="37">
        <v>45588.0</v>
      </c>
      <c r="K267" s="18"/>
      <c r="L267" s="11">
        <v>2.0250331E7</v>
      </c>
    </row>
    <row r="268">
      <c r="A268" s="9" t="s">
        <v>249</v>
      </c>
      <c r="B268" s="11" t="s">
        <v>30</v>
      </c>
      <c r="C268" s="11" t="s">
        <v>35</v>
      </c>
      <c r="D268" s="11" t="s">
        <v>37</v>
      </c>
      <c r="E268" s="36" t="s">
        <v>1772</v>
      </c>
      <c r="F268" s="36" t="s">
        <v>1773</v>
      </c>
      <c r="G268" s="36" t="s">
        <v>1775</v>
      </c>
      <c r="H268" s="11" t="s">
        <v>45</v>
      </c>
      <c r="I268" s="11">
        <v>6.39189007041E11</v>
      </c>
      <c r="J268" s="37">
        <v>45588.0</v>
      </c>
      <c r="K268" s="18"/>
      <c r="L268" s="11">
        <v>2.0250331E7</v>
      </c>
    </row>
    <row r="269">
      <c r="A269" s="9" t="s">
        <v>249</v>
      </c>
      <c r="B269" s="11" t="s">
        <v>30</v>
      </c>
      <c r="C269" s="11" t="s">
        <v>35</v>
      </c>
      <c r="D269" s="11" t="s">
        <v>37</v>
      </c>
      <c r="E269" s="36" t="s">
        <v>1776</v>
      </c>
      <c r="F269" s="36" t="s">
        <v>1777</v>
      </c>
      <c r="G269" s="36" t="s">
        <v>1778</v>
      </c>
      <c r="H269" s="11" t="s">
        <v>45</v>
      </c>
      <c r="I269" s="11">
        <v>6.39209064895E11</v>
      </c>
      <c r="J269" s="37">
        <v>45588.0</v>
      </c>
      <c r="K269" s="18"/>
      <c r="L269" s="11">
        <v>2.0250331E7</v>
      </c>
    </row>
    <row r="270">
      <c r="A270" s="9" t="s">
        <v>249</v>
      </c>
      <c r="B270" s="11" t="s">
        <v>30</v>
      </c>
      <c r="C270" s="11" t="s">
        <v>35</v>
      </c>
      <c r="D270" s="11" t="s">
        <v>37</v>
      </c>
      <c r="E270" s="36" t="s">
        <v>1782</v>
      </c>
      <c r="F270" s="36" t="s">
        <v>1783</v>
      </c>
      <c r="G270" s="36" t="s">
        <v>1785</v>
      </c>
      <c r="H270" s="11" t="s">
        <v>45</v>
      </c>
      <c r="I270" s="11">
        <v>6.39209625868E11</v>
      </c>
      <c r="J270" s="37">
        <v>45588.0</v>
      </c>
      <c r="K270" s="18"/>
      <c r="L270" s="11">
        <v>2.0250331E7</v>
      </c>
    </row>
    <row r="271">
      <c r="A271" s="9" t="s">
        <v>249</v>
      </c>
      <c r="B271" s="11" t="s">
        <v>30</v>
      </c>
      <c r="C271" s="11" t="s">
        <v>35</v>
      </c>
      <c r="D271" s="11" t="s">
        <v>37</v>
      </c>
      <c r="E271" s="36" t="s">
        <v>1787</v>
      </c>
      <c r="F271" s="36" t="s">
        <v>1788</v>
      </c>
      <c r="G271" s="36" t="s">
        <v>1789</v>
      </c>
      <c r="H271" s="11" t="s">
        <v>45</v>
      </c>
      <c r="I271" s="11">
        <v>6.39189035258E11</v>
      </c>
      <c r="J271" s="37">
        <v>45588.0</v>
      </c>
      <c r="K271" s="18"/>
      <c r="L271" s="11">
        <v>2.0250331E7</v>
      </c>
    </row>
    <row r="272">
      <c r="A272" s="9" t="s">
        <v>249</v>
      </c>
      <c r="B272" s="11" t="s">
        <v>30</v>
      </c>
      <c r="C272" s="11" t="s">
        <v>35</v>
      </c>
      <c r="D272" s="11" t="s">
        <v>37</v>
      </c>
      <c r="E272" s="36" t="s">
        <v>1793</v>
      </c>
      <c r="F272" s="36" t="s">
        <v>1794</v>
      </c>
      <c r="G272" s="36" t="s">
        <v>1796</v>
      </c>
      <c r="H272" s="11" t="s">
        <v>45</v>
      </c>
      <c r="I272" s="11">
        <v>6.39209607793E11</v>
      </c>
      <c r="J272" s="37">
        <v>45588.0</v>
      </c>
      <c r="K272" s="18"/>
      <c r="L272" s="11">
        <v>2.0250331E7</v>
      </c>
    </row>
    <row r="273">
      <c r="A273" s="9" t="s">
        <v>249</v>
      </c>
      <c r="B273" s="11" t="s">
        <v>30</v>
      </c>
      <c r="C273" s="11" t="s">
        <v>35</v>
      </c>
      <c r="D273" s="11" t="s">
        <v>37</v>
      </c>
      <c r="E273" s="36" t="s">
        <v>1798</v>
      </c>
      <c r="F273" s="36" t="s">
        <v>1799</v>
      </c>
      <c r="G273" s="36" t="s">
        <v>1800</v>
      </c>
      <c r="H273" s="11" t="s">
        <v>45</v>
      </c>
      <c r="I273" s="11">
        <v>6.39189115323E11</v>
      </c>
      <c r="J273" s="37">
        <v>45588.0</v>
      </c>
      <c r="K273" s="18"/>
      <c r="L273" s="11">
        <v>2.0250331E7</v>
      </c>
    </row>
    <row r="274">
      <c r="A274" s="9" t="s">
        <v>249</v>
      </c>
      <c r="B274" s="11" t="s">
        <v>30</v>
      </c>
      <c r="C274" s="11" t="s">
        <v>35</v>
      </c>
      <c r="D274" s="11" t="s">
        <v>37</v>
      </c>
      <c r="E274" s="36" t="s">
        <v>1804</v>
      </c>
      <c r="F274" s="36" t="s">
        <v>1806</v>
      </c>
      <c r="G274" s="36" t="s">
        <v>1807</v>
      </c>
      <c r="H274" s="11" t="s">
        <v>45</v>
      </c>
      <c r="I274" s="11">
        <v>6.39189050341E11</v>
      </c>
      <c r="J274" s="37">
        <v>45588.0</v>
      </c>
      <c r="K274" s="18"/>
      <c r="L274" s="11">
        <v>2.0250331E7</v>
      </c>
    </row>
    <row r="275">
      <c r="A275" s="9" t="s">
        <v>249</v>
      </c>
      <c r="B275" s="11" t="s">
        <v>30</v>
      </c>
      <c r="C275" s="11" t="s">
        <v>35</v>
      </c>
      <c r="D275" s="11" t="s">
        <v>37</v>
      </c>
      <c r="E275" s="36" t="s">
        <v>1808</v>
      </c>
      <c r="F275" s="36" t="s">
        <v>1809</v>
      </c>
      <c r="G275" s="36" t="s">
        <v>1810</v>
      </c>
      <c r="H275" s="11" t="s">
        <v>45</v>
      </c>
      <c r="I275" s="11">
        <v>6.39190743975E11</v>
      </c>
      <c r="J275" s="37">
        <v>45588.0</v>
      </c>
      <c r="K275" s="18"/>
      <c r="L275" s="11">
        <v>2.0250331E7</v>
      </c>
    </row>
    <row r="276">
      <c r="A276" s="9" t="s">
        <v>249</v>
      </c>
      <c r="B276" s="11" t="s">
        <v>30</v>
      </c>
      <c r="C276" s="11" t="s">
        <v>35</v>
      </c>
      <c r="D276" s="11" t="s">
        <v>37</v>
      </c>
      <c r="E276" s="36" t="s">
        <v>1811</v>
      </c>
      <c r="F276" s="36" t="s">
        <v>1812</v>
      </c>
      <c r="G276" s="36" t="s">
        <v>1813</v>
      </c>
      <c r="H276" s="11" t="s">
        <v>45</v>
      </c>
      <c r="I276" s="11">
        <v>6.39189358856E11</v>
      </c>
      <c r="J276" s="37">
        <v>45588.0</v>
      </c>
      <c r="K276" s="18"/>
      <c r="L276" s="11">
        <v>2.0250331E7</v>
      </c>
    </row>
    <row r="277">
      <c r="A277" s="9" t="s">
        <v>249</v>
      </c>
      <c r="B277" s="11" t="s">
        <v>30</v>
      </c>
      <c r="C277" s="11" t="s">
        <v>35</v>
      </c>
      <c r="D277" s="11" t="s">
        <v>37</v>
      </c>
      <c r="E277" s="36" t="s">
        <v>1814</v>
      </c>
      <c r="F277" s="36" t="s">
        <v>1815</v>
      </c>
      <c r="G277" s="36" t="s">
        <v>1817</v>
      </c>
      <c r="H277" s="11" t="s">
        <v>45</v>
      </c>
      <c r="I277" s="11">
        <v>6.39189011545E11</v>
      </c>
      <c r="J277" s="37">
        <v>45588.0</v>
      </c>
      <c r="K277" s="18"/>
      <c r="L277" s="11">
        <v>2.0250331E7</v>
      </c>
    </row>
    <row r="278">
      <c r="A278" s="9" t="s">
        <v>249</v>
      </c>
      <c r="B278" s="11" t="s">
        <v>30</v>
      </c>
      <c r="C278" s="11" t="s">
        <v>35</v>
      </c>
      <c r="D278" s="11" t="s">
        <v>37</v>
      </c>
      <c r="E278" s="36" t="s">
        <v>1821</v>
      </c>
      <c r="F278" s="36" t="s">
        <v>1822</v>
      </c>
      <c r="G278" s="36" t="s">
        <v>1823</v>
      </c>
      <c r="H278" s="11" t="s">
        <v>45</v>
      </c>
      <c r="I278" s="11">
        <v>6.39209045242E11</v>
      </c>
      <c r="J278" s="37">
        <v>45588.0</v>
      </c>
      <c r="K278" s="18"/>
      <c r="L278" s="11">
        <v>2.0250331E7</v>
      </c>
    </row>
    <row r="279">
      <c r="A279" s="9" t="s">
        <v>249</v>
      </c>
      <c r="B279" s="11" t="s">
        <v>30</v>
      </c>
      <c r="C279" s="11" t="s">
        <v>35</v>
      </c>
      <c r="D279" s="11" t="s">
        <v>37</v>
      </c>
      <c r="E279" s="36" t="s">
        <v>1826</v>
      </c>
      <c r="F279" s="36" t="s">
        <v>1827</v>
      </c>
      <c r="G279" s="36" t="s">
        <v>1828</v>
      </c>
      <c r="H279" s="11" t="s">
        <v>45</v>
      </c>
      <c r="I279" s="11">
        <v>6.39189115244E11</v>
      </c>
      <c r="J279" s="37">
        <v>45588.0</v>
      </c>
      <c r="K279" s="18"/>
      <c r="L279" s="11">
        <v>2.0250331E7</v>
      </c>
    </row>
    <row r="280">
      <c r="A280" s="9" t="s">
        <v>249</v>
      </c>
      <c r="B280" s="11" t="s">
        <v>30</v>
      </c>
      <c r="C280" s="11" t="s">
        <v>35</v>
      </c>
      <c r="D280" s="11" t="s">
        <v>37</v>
      </c>
      <c r="E280" s="36" t="s">
        <v>1833</v>
      </c>
      <c r="F280" s="36" t="s">
        <v>1835</v>
      </c>
      <c r="G280" s="36" t="s">
        <v>1836</v>
      </c>
      <c r="H280" s="11" t="s">
        <v>45</v>
      </c>
      <c r="I280" s="11">
        <v>6.39190868193E11</v>
      </c>
      <c r="J280" s="37">
        <v>45588.0</v>
      </c>
      <c r="K280" s="18"/>
      <c r="L280" s="11">
        <v>2.0250331E7</v>
      </c>
    </row>
    <row r="281">
      <c r="A281" s="9" t="s">
        <v>249</v>
      </c>
      <c r="B281" s="11" t="s">
        <v>30</v>
      </c>
      <c r="C281" s="11" t="s">
        <v>35</v>
      </c>
      <c r="D281" s="11" t="s">
        <v>37</v>
      </c>
      <c r="E281" s="36" t="s">
        <v>1838</v>
      </c>
      <c r="F281" s="36" t="s">
        <v>1839</v>
      </c>
      <c r="G281" s="36" t="s">
        <v>1841</v>
      </c>
      <c r="H281" s="11" t="s">
        <v>45</v>
      </c>
      <c r="I281" s="11">
        <v>6.39189172946E11</v>
      </c>
      <c r="J281" s="37">
        <v>45588.0</v>
      </c>
      <c r="K281" s="18"/>
      <c r="L281" s="11">
        <v>2.0250331E7</v>
      </c>
    </row>
    <row r="282">
      <c r="A282" s="9" t="s">
        <v>249</v>
      </c>
      <c r="B282" s="11" t="s">
        <v>30</v>
      </c>
      <c r="C282" s="11" t="s">
        <v>35</v>
      </c>
      <c r="D282" s="11" t="s">
        <v>37</v>
      </c>
      <c r="E282" s="36" t="s">
        <v>1845</v>
      </c>
      <c r="F282" s="36" t="s">
        <v>1846</v>
      </c>
      <c r="G282" s="36" t="s">
        <v>1847</v>
      </c>
      <c r="H282" s="11" t="s">
        <v>45</v>
      </c>
      <c r="I282" s="11">
        <v>6.39189017828E11</v>
      </c>
      <c r="J282" s="37">
        <v>45588.0</v>
      </c>
      <c r="K282" s="18"/>
      <c r="L282" s="11">
        <v>2.0250331E7</v>
      </c>
    </row>
    <row r="283">
      <c r="A283" s="9" t="s">
        <v>249</v>
      </c>
      <c r="B283" s="11" t="s">
        <v>30</v>
      </c>
      <c r="C283" s="11" t="s">
        <v>35</v>
      </c>
      <c r="D283" s="11" t="s">
        <v>37</v>
      </c>
      <c r="E283" s="36" t="s">
        <v>1848</v>
      </c>
      <c r="F283" s="36" t="s">
        <v>1850</v>
      </c>
      <c r="G283" s="36" t="s">
        <v>1852</v>
      </c>
      <c r="H283" s="11" t="s">
        <v>45</v>
      </c>
      <c r="I283" s="11">
        <v>6.39209143887E11</v>
      </c>
      <c r="J283" s="37">
        <v>45588.0</v>
      </c>
      <c r="K283" s="18"/>
      <c r="L283" s="11">
        <v>2.0250331E7</v>
      </c>
    </row>
    <row r="284">
      <c r="A284" s="9" t="s">
        <v>249</v>
      </c>
      <c r="B284" s="11" t="s">
        <v>30</v>
      </c>
      <c r="C284" s="11" t="s">
        <v>35</v>
      </c>
      <c r="D284" s="11" t="s">
        <v>37</v>
      </c>
      <c r="E284" s="36" t="s">
        <v>1856</v>
      </c>
      <c r="F284" s="36" t="s">
        <v>1857</v>
      </c>
      <c r="G284" s="36" t="s">
        <v>1858</v>
      </c>
      <c r="H284" s="11" t="s">
        <v>45</v>
      </c>
      <c r="I284" s="11">
        <v>6.39189019082E11</v>
      </c>
      <c r="J284" s="37">
        <v>45588.0</v>
      </c>
      <c r="K284" s="18"/>
      <c r="L284" s="11">
        <v>2.0250331E7</v>
      </c>
    </row>
    <row r="285">
      <c r="A285" s="9" t="s">
        <v>249</v>
      </c>
      <c r="B285" s="11" t="s">
        <v>30</v>
      </c>
      <c r="C285" s="11" t="s">
        <v>35</v>
      </c>
      <c r="D285" s="11" t="s">
        <v>37</v>
      </c>
      <c r="E285" s="36" t="s">
        <v>1859</v>
      </c>
      <c r="F285" s="36" t="s">
        <v>1860</v>
      </c>
      <c r="G285" s="36" t="s">
        <v>1861</v>
      </c>
      <c r="H285" s="11" t="s">
        <v>45</v>
      </c>
      <c r="I285" s="11">
        <v>6.39189109413E11</v>
      </c>
      <c r="J285" s="37">
        <v>45588.0</v>
      </c>
      <c r="K285" s="18"/>
      <c r="L285" s="11">
        <v>2.0250331E7</v>
      </c>
    </row>
    <row r="286">
      <c r="A286" s="9" t="s">
        <v>249</v>
      </c>
      <c r="B286" s="11" t="s">
        <v>30</v>
      </c>
      <c r="C286" s="11" t="s">
        <v>35</v>
      </c>
      <c r="D286" s="11" t="s">
        <v>37</v>
      </c>
      <c r="E286" s="36" t="s">
        <v>1866</v>
      </c>
      <c r="F286" s="36" t="s">
        <v>1867</v>
      </c>
      <c r="G286" s="36" t="s">
        <v>1869</v>
      </c>
      <c r="H286" s="11" t="s">
        <v>45</v>
      </c>
      <c r="I286" s="11">
        <v>6.39189361943E11</v>
      </c>
      <c r="J286" s="37">
        <v>45588.0</v>
      </c>
      <c r="K286" s="18"/>
      <c r="L286" s="11">
        <v>2.0250331E7</v>
      </c>
    </row>
    <row r="287">
      <c r="A287" s="9" t="s">
        <v>249</v>
      </c>
      <c r="B287" s="11" t="s">
        <v>30</v>
      </c>
      <c r="C287" s="11" t="s">
        <v>35</v>
      </c>
      <c r="D287" s="11" t="s">
        <v>37</v>
      </c>
      <c r="E287" s="36" t="s">
        <v>1871</v>
      </c>
      <c r="F287" s="36" t="s">
        <v>1872</v>
      </c>
      <c r="G287" s="36" t="s">
        <v>1873</v>
      </c>
      <c r="H287" s="11" t="s">
        <v>45</v>
      </c>
      <c r="I287" s="11">
        <v>6.39189239311E11</v>
      </c>
      <c r="J287" s="37">
        <v>45588.0</v>
      </c>
      <c r="K287" s="18"/>
      <c r="L287" s="11">
        <v>2.0250331E7</v>
      </c>
    </row>
    <row r="288">
      <c r="A288" s="9" t="s">
        <v>249</v>
      </c>
      <c r="B288" s="11" t="s">
        <v>30</v>
      </c>
      <c r="C288" s="11" t="s">
        <v>35</v>
      </c>
      <c r="D288" s="11" t="s">
        <v>37</v>
      </c>
      <c r="E288" s="36" t="s">
        <v>1876</v>
      </c>
      <c r="F288" s="36" t="s">
        <v>1878</v>
      </c>
      <c r="G288" s="36" t="s">
        <v>1879</v>
      </c>
      <c r="H288" s="11" t="s">
        <v>45</v>
      </c>
      <c r="I288" s="11">
        <v>6.39189293155E11</v>
      </c>
      <c r="J288" s="37">
        <v>45588.0</v>
      </c>
      <c r="K288" s="18"/>
      <c r="L288" s="11">
        <v>2.0250331E7</v>
      </c>
    </row>
    <row r="289">
      <c r="A289" s="9" t="s">
        <v>249</v>
      </c>
      <c r="B289" s="11" t="s">
        <v>30</v>
      </c>
      <c r="C289" s="11" t="s">
        <v>35</v>
      </c>
      <c r="D289" s="11" t="s">
        <v>37</v>
      </c>
      <c r="E289" s="36" t="s">
        <v>1883</v>
      </c>
      <c r="F289" s="36" t="s">
        <v>1884</v>
      </c>
      <c r="G289" s="36" t="s">
        <v>1885</v>
      </c>
      <c r="H289" s="11" t="s">
        <v>45</v>
      </c>
      <c r="I289" s="11">
        <v>6.39209098699E11</v>
      </c>
      <c r="J289" s="37">
        <v>45588.0</v>
      </c>
      <c r="K289" s="18"/>
      <c r="L289" s="11">
        <v>2.0250331E7</v>
      </c>
    </row>
    <row r="290">
      <c r="A290" s="9" t="s">
        <v>249</v>
      </c>
      <c r="B290" s="11" t="s">
        <v>30</v>
      </c>
      <c r="C290" s="11" t="s">
        <v>35</v>
      </c>
      <c r="D290" s="11" t="s">
        <v>37</v>
      </c>
      <c r="E290" s="36" t="s">
        <v>1888</v>
      </c>
      <c r="F290" s="36" t="s">
        <v>1889</v>
      </c>
      <c r="G290" s="36" t="s">
        <v>1891</v>
      </c>
      <c r="H290" s="11" t="s">
        <v>45</v>
      </c>
      <c r="I290" s="11">
        <v>6.3918922989E11</v>
      </c>
      <c r="J290" s="37">
        <v>45588.0</v>
      </c>
      <c r="K290" s="18"/>
      <c r="L290" s="11">
        <v>2.0250331E7</v>
      </c>
    </row>
    <row r="291">
      <c r="A291" s="9" t="s">
        <v>249</v>
      </c>
      <c r="B291" s="11" t="s">
        <v>30</v>
      </c>
      <c r="C291" s="11" t="s">
        <v>35</v>
      </c>
      <c r="D291" s="11" t="s">
        <v>37</v>
      </c>
      <c r="E291" s="36" t="s">
        <v>1894</v>
      </c>
      <c r="F291" s="36" t="s">
        <v>1895</v>
      </c>
      <c r="G291" s="36" t="s">
        <v>1896</v>
      </c>
      <c r="H291" s="11" t="s">
        <v>45</v>
      </c>
      <c r="I291" s="11">
        <v>6.3920905886E11</v>
      </c>
      <c r="J291" s="37">
        <v>45588.0</v>
      </c>
      <c r="K291" s="18"/>
      <c r="L291" s="11">
        <v>2.0250331E7</v>
      </c>
    </row>
    <row r="292">
      <c r="A292" s="9" t="s">
        <v>249</v>
      </c>
      <c r="B292" s="11" t="s">
        <v>30</v>
      </c>
      <c r="C292" s="11" t="s">
        <v>35</v>
      </c>
      <c r="D292" s="11" t="s">
        <v>37</v>
      </c>
      <c r="E292" s="36" t="s">
        <v>1900</v>
      </c>
      <c r="F292" s="36" t="s">
        <v>1902</v>
      </c>
      <c r="G292" s="36" t="s">
        <v>1903</v>
      </c>
      <c r="H292" s="11" t="s">
        <v>45</v>
      </c>
      <c r="I292" s="11">
        <v>6.39209494365E11</v>
      </c>
      <c r="J292" s="37">
        <v>45588.0</v>
      </c>
      <c r="K292" s="18"/>
      <c r="L292" s="11">
        <v>2.0250331E7</v>
      </c>
    </row>
    <row r="293">
      <c r="A293" s="9" t="s">
        <v>249</v>
      </c>
      <c r="B293" s="11" t="s">
        <v>30</v>
      </c>
      <c r="C293" s="11" t="s">
        <v>35</v>
      </c>
      <c r="D293" s="11" t="s">
        <v>37</v>
      </c>
      <c r="E293" s="36" t="s">
        <v>1904</v>
      </c>
      <c r="F293" s="36" t="s">
        <v>1905</v>
      </c>
      <c r="G293" s="36" t="s">
        <v>1906</v>
      </c>
      <c r="H293" s="11" t="s">
        <v>45</v>
      </c>
      <c r="I293" s="11">
        <v>6.3920902361E11</v>
      </c>
      <c r="J293" s="37">
        <v>45588.0</v>
      </c>
      <c r="K293" s="18"/>
      <c r="L293" s="11">
        <v>2.0250331E7</v>
      </c>
    </row>
    <row r="294">
      <c r="A294" s="9" t="s">
        <v>249</v>
      </c>
      <c r="B294" s="11" t="s">
        <v>30</v>
      </c>
      <c r="C294" s="11" t="s">
        <v>35</v>
      </c>
      <c r="D294" s="11" t="s">
        <v>37</v>
      </c>
      <c r="E294" s="36" t="s">
        <v>1911</v>
      </c>
      <c r="F294" s="36" t="s">
        <v>1912</v>
      </c>
      <c r="G294" s="36" t="s">
        <v>1913</v>
      </c>
      <c r="H294" s="11" t="s">
        <v>45</v>
      </c>
      <c r="I294" s="11">
        <v>6.39209509651E11</v>
      </c>
      <c r="J294" s="37">
        <v>45588.0</v>
      </c>
      <c r="K294" s="18"/>
      <c r="L294" s="11">
        <v>2.0250331E7</v>
      </c>
    </row>
    <row r="295">
      <c r="A295" s="9" t="s">
        <v>249</v>
      </c>
      <c r="B295" s="11" t="s">
        <v>30</v>
      </c>
      <c r="C295" s="11" t="s">
        <v>35</v>
      </c>
      <c r="D295" s="11" t="s">
        <v>37</v>
      </c>
      <c r="E295" s="36" t="s">
        <v>1914</v>
      </c>
      <c r="F295" s="36" t="s">
        <v>1915</v>
      </c>
      <c r="G295" s="36" t="s">
        <v>1916</v>
      </c>
      <c r="H295" s="11" t="s">
        <v>45</v>
      </c>
      <c r="I295" s="11">
        <v>6.39189066397E11</v>
      </c>
      <c r="J295" s="37">
        <v>45588.0</v>
      </c>
      <c r="K295" s="18"/>
      <c r="L295" s="11">
        <v>2.0250331E7</v>
      </c>
    </row>
    <row r="296">
      <c r="A296" s="9" t="s">
        <v>249</v>
      </c>
      <c r="B296" s="11" t="s">
        <v>30</v>
      </c>
      <c r="C296" s="11" t="s">
        <v>35</v>
      </c>
      <c r="D296" s="11" t="s">
        <v>37</v>
      </c>
      <c r="E296" s="36" t="s">
        <v>1921</v>
      </c>
      <c r="F296" s="36" t="s">
        <v>1922</v>
      </c>
      <c r="G296" s="36" t="s">
        <v>1923</v>
      </c>
      <c r="H296" s="11" t="s">
        <v>45</v>
      </c>
      <c r="I296" s="11">
        <v>6.39189290138E11</v>
      </c>
      <c r="J296" s="37">
        <v>45588.0</v>
      </c>
      <c r="K296" s="18"/>
      <c r="L296" s="11">
        <v>2.0250331E7</v>
      </c>
    </row>
    <row r="297">
      <c r="A297" s="9" t="s">
        <v>249</v>
      </c>
      <c r="B297" s="11" t="s">
        <v>30</v>
      </c>
      <c r="C297" s="11" t="s">
        <v>35</v>
      </c>
      <c r="D297" s="11" t="s">
        <v>37</v>
      </c>
      <c r="E297" s="36" t="s">
        <v>1924</v>
      </c>
      <c r="F297" s="36" t="s">
        <v>1925</v>
      </c>
      <c r="G297" s="36" t="s">
        <v>1927</v>
      </c>
      <c r="H297" s="11" t="s">
        <v>45</v>
      </c>
      <c r="I297" s="11">
        <v>6.39189297886E11</v>
      </c>
      <c r="J297" s="37">
        <v>45588.0</v>
      </c>
      <c r="K297" s="18"/>
      <c r="L297" s="11">
        <v>2.0250331E7</v>
      </c>
    </row>
    <row r="298">
      <c r="A298" s="9" t="s">
        <v>249</v>
      </c>
      <c r="B298" s="11" t="s">
        <v>30</v>
      </c>
      <c r="C298" s="11" t="s">
        <v>35</v>
      </c>
      <c r="D298" s="11" t="s">
        <v>37</v>
      </c>
      <c r="E298" s="36" t="s">
        <v>1931</v>
      </c>
      <c r="F298" s="36" t="s">
        <v>1932</v>
      </c>
      <c r="G298" s="36" t="s">
        <v>1933</v>
      </c>
      <c r="H298" s="11" t="s">
        <v>45</v>
      </c>
      <c r="I298" s="11">
        <v>6.3920956656E11</v>
      </c>
      <c r="J298" s="37">
        <v>45588.0</v>
      </c>
      <c r="K298" s="18"/>
      <c r="L298" s="11">
        <v>2.0250331E7</v>
      </c>
    </row>
    <row r="299">
      <c r="A299" s="9" t="s">
        <v>249</v>
      </c>
      <c r="B299" s="11" t="s">
        <v>30</v>
      </c>
      <c r="C299" s="11" t="s">
        <v>35</v>
      </c>
      <c r="D299" s="11" t="s">
        <v>37</v>
      </c>
      <c r="E299" s="36" t="s">
        <v>1934</v>
      </c>
      <c r="F299" s="36" t="s">
        <v>1935</v>
      </c>
      <c r="G299" s="36" t="s">
        <v>1937</v>
      </c>
      <c r="H299" s="11" t="s">
        <v>45</v>
      </c>
      <c r="I299" s="11">
        <v>6.39209050462E11</v>
      </c>
      <c r="J299" s="37">
        <v>45588.0</v>
      </c>
      <c r="K299" s="18"/>
      <c r="L299" s="11">
        <v>2.0250331E7</v>
      </c>
    </row>
    <row r="300">
      <c r="A300" s="9" t="s">
        <v>249</v>
      </c>
      <c r="B300" s="11" t="s">
        <v>30</v>
      </c>
      <c r="C300" s="11" t="s">
        <v>35</v>
      </c>
      <c r="D300" s="11" t="s">
        <v>37</v>
      </c>
      <c r="E300" s="36" t="s">
        <v>1941</v>
      </c>
      <c r="F300" s="36" t="s">
        <v>1943</v>
      </c>
      <c r="G300" s="36" t="s">
        <v>1944</v>
      </c>
      <c r="H300" s="11" t="s">
        <v>45</v>
      </c>
      <c r="I300" s="11">
        <v>6.39209475213E11</v>
      </c>
      <c r="J300" s="37">
        <v>45588.0</v>
      </c>
      <c r="K300" s="18"/>
      <c r="L300" s="11">
        <v>2.0250331E7</v>
      </c>
    </row>
    <row r="301">
      <c r="A301" s="9" t="s">
        <v>249</v>
      </c>
      <c r="B301" s="11" t="s">
        <v>30</v>
      </c>
      <c r="C301" s="11" t="s">
        <v>35</v>
      </c>
      <c r="D301" s="11" t="s">
        <v>37</v>
      </c>
      <c r="E301" s="36" t="s">
        <v>1946</v>
      </c>
      <c r="F301" s="36" t="s">
        <v>1947</v>
      </c>
      <c r="G301" s="36" t="s">
        <v>1948</v>
      </c>
      <c r="H301" s="11" t="s">
        <v>45</v>
      </c>
      <c r="I301" s="11">
        <v>6.39209500357E11</v>
      </c>
      <c r="J301" s="37">
        <v>45588.0</v>
      </c>
      <c r="K301" s="18"/>
      <c r="L301" s="11">
        <v>2.0250331E7</v>
      </c>
    </row>
    <row r="302">
      <c r="A302" s="9" t="s">
        <v>249</v>
      </c>
      <c r="B302" s="11" t="s">
        <v>30</v>
      </c>
      <c r="C302" s="11" t="s">
        <v>35</v>
      </c>
      <c r="D302" s="11" t="s">
        <v>37</v>
      </c>
      <c r="E302" s="36" t="s">
        <v>1952</v>
      </c>
      <c r="F302" s="36" t="s">
        <v>1954</v>
      </c>
      <c r="G302" s="36" t="s">
        <v>1955</v>
      </c>
      <c r="H302" s="11" t="s">
        <v>45</v>
      </c>
      <c r="I302" s="11">
        <v>6.39399352803E11</v>
      </c>
      <c r="J302" s="37">
        <v>45588.0</v>
      </c>
      <c r="K302" s="18"/>
      <c r="L302" s="11">
        <v>2.0250331E7</v>
      </c>
    </row>
    <row r="303">
      <c r="A303" s="9" t="s">
        <v>249</v>
      </c>
      <c r="B303" s="11" t="s">
        <v>30</v>
      </c>
      <c r="C303" s="11" t="s">
        <v>35</v>
      </c>
      <c r="D303" s="11" t="s">
        <v>37</v>
      </c>
      <c r="E303" s="36" t="s">
        <v>1956</v>
      </c>
      <c r="F303" s="36" t="s">
        <v>1957</v>
      </c>
      <c r="G303" s="36" t="s">
        <v>1958</v>
      </c>
      <c r="H303" s="11" t="s">
        <v>45</v>
      </c>
      <c r="I303" s="11">
        <v>6.39209691458E11</v>
      </c>
      <c r="J303" s="37">
        <v>45588.0</v>
      </c>
      <c r="K303" s="18"/>
      <c r="L303" s="11">
        <v>2.0250331E7</v>
      </c>
    </row>
    <row r="304">
      <c r="A304" s="9" t="s">
        <v>249</v>
      </c>
      <c r="B304" s="11" t="s">
        <v>30</v>
      </c>
      <c r="C304" s="11" t="s">
        <v>35</v>
      </c>
      <c r="D304" s="11" t="s">
        <v>37</v>
      </c>
      <c r="E304" s="36" t="s">
        <v>1961</v>
      </c>
      <c r="F304" s="36" t="s">
        <v>1963</v>
      </c>
      <c r="G304" s="36" t="s">
        <v>1964</v>
      </c>
      <c r="H304" s="11" t="s">
        <v>45</v>
      </c>
      <c r="I304" s="11">
        <v>6.39189275227E11</v>
      </c>
      <c r="J304" s="37">
        <v>45588.0</v>
      </c>
      <c r="K304" s="18"/>
      <c r="L304" s="11">
        <v>2.0250331E7</v>
      </c>
    </row>
    <row r="305">
      <c r="A305" s="9" t="s">
        <v>249</v>
      </c>
      <c r="B305" s="11" t="s">
        <v>30</v>
      </c>
      <c r="C305" s="11" t="s">
        <v>35</v>
      </c>
      <c r="D305" s="11" t="s">
        <v>37</v>
      </c>
      <c r="E305" s="36" t="s">
        <v>1966</v>
      </c>
      <c r="F305" s="36" t="s">
        <v>1967</v>
      </c>
      <c r="G305" s="36" t="s">
        <v>1968</v>
      </c>
      <c r="H305" s="11" t="s">
        <v>45</v>
      </c>
      <c r="I305" s="11">
        <v>6.39189038572E11</v>
      </c>
      <c r="J305" s="37">
        <v>45588.0</v>
      </c>
      <c r="K305" s="18"/>
      <c r="L305" s="11">
        <v>2.0250331E7</v>
      </c>
    </row>
    <row r="306">
      <c r="A306" s="9" t="s">
        <v>249</v>
      </c>
      <c r="B306" s="11" t="s">
        <v>30</v>
      </c>
      <c r="C306" s="11" t="s">
        <v>35</v>
      </c>
      <c r="D306" s="11" t="s">
        <v>37</v>
      </c>
      <c r="E306" s="36" t="s">
        <v>1970</v>
      </c>
      <c r="F306" s="36" t="s">
        <v>1971</v>
      </c>
      <c r="G306" s="36" t="s">
        <v>1973</v>
      </c>
      <c r="H306" s="11" t="s">
        <v>45</v>
      </c>
      <c r="I306" s="11">
        <v>6.3918930125E11</v>
      </c>
      <c r="J306" s="37">
        <v>45588.0</v>
      </c>
      <c r="K306" s="18"/>
      <c r="L306" s="11">
        <v>2.0250331E7</v>
      </c>
    </row>
    <row r="307">
      <c r="A307" s="9" t="s">
        <v>249</v>
      </c>
      <c r="B307" s="11" t="s">
        <v>30</v>
      </c>
      <c r="C307" s="11" t="s">
        <v>35</v>
      </c>
      <c r="D307" s="11" t="s">
        <v>37</v>
      </c>
      <c r="E307" s="36" t="s">
        <v>1976</v>
      </c>
      <c r="F307" s="36" t="s">
        <v>1977</v>
      </c>
      <c r="G307" s="36" t="s">
        <v>1978</v>
      </c>
      <c r="H307" s="11" t="s">
        <v>45</v>
      </c>
      <c r="I307" s="11">
        <v>6.39209143745E11</v>
      </c>
      <c r="J307" s="37">
        <v>45588.0</v>
      </c>
      <c r="K307" s="18"/>
      <c r="L307" s="11">
        <v>2.0250331E7</v>
      </c>
    </row>
    <row r="308">
      <c r="A308" s="9" t="s">
        <v>249</v>
      </c>
      <c r="B308" s="11" t="s">
        <v>30</v>
      </c>
      <c r="C308" s="11" t="s">
        <v>35</v>
      </c>
      <c r="D308" s="11" t="s">
        <v>37</v>
      </c>
      <c r="E308" s="36" t="s">
        <v>1981</v>
      </c>
      <c r="F308" s="36" t="s">
        <v>1982</v>
      </c>
      <c r="G308" s="36" t="s">
        <v>1983</v>
      </c>
      <c r="H308" s="11" t="s">
        <v>45</v>
      </c>
      <c r="I308" s="11">
        <v>6.3920903696E11</v>
      </c>
      <c r="J308" s="37">
        <v>45588.0</v>
      </c>
      <c r="K308" s="18"/>
      <c r="L308" s="11">
        <v>2.0250331E7</v>
      </c>
    </row>
    <row r="309">
      <c r="A309" s="9" t="s">
        <v>249</v>
      </c>
      <c r="B309" s="11" t="s">
        <v>30</v>
      </c>
      <c r="C309" s="11" t="s">
        <v>35</v>
      </c>
      <c r="D309" s="11" t="s">
        <v>37</v>
      </c>
      <c r="E309" s="36" t="s">
        <v>1986</v>
      </c>
      <c r="F309" s="36" t="s">
        <v>1987</v>
      </c>
      <c r="G309" s="36" t="s">
        <v>1988</v>
      </c>
      <c r="H309" s="11" t="s">
        <v>45</v>
      </c>
      <c r="I309" s="11">
        <v>6.39209136028E11</v>
      </c>
      <c r="J309" s="37">
        <v>45588.0</v>
      </c>
      <c r="K309" s="18"/>
      <c r="L309" s="11">
        <v>2.0250331E7</v>
      </c>
    </row>
    <row r="310">
      <c r="A310" s="9" t="s">
        <v>249</v>
      </c>
      <c r="B310" s="11" t="s">
        <v>30</v>
      </c>
      <c r="C310" s="11" t="s">
        <v>35</v>
      </c>
      <c r="D310" s="11" t="s">
        <v>37</v>
      </c>
      <c r="E310" s="36" t="s">
        <v>1989</v>
      </c>
      <c r="F310" s="36" t="s">
        <v>1990</v>
      </c>
      <c r="G310" s="36" t="s">
        <v>1991</v>
      </c>
      <c r="H310" s="11" t="s">
        <v>45</v>
      </c>
      <c r="I310" s="11">
        <v>6.39189397387E11</v>
      </c>
      <c r="J310" s="37">
        <v>45588.0</v>
      </c>
      <c r="K310" s="18"/>
      <c r="L310" s="11">
        <v>2.0250331E7</v>
      </c>
    </row>
    <row r="311">
      <c r="A311" s="9" t="s">
        <v>249</v>
      </c>
      <c r="B311" s="11" t="s">
        <v>30</v>
      </c>
      <c r="C311" s="11" t="s">
        <v>35</v>
      </c>
      <c r="D311" s="11" t="s">
        <v>37</v>
      </c>
      <c r="E311" s="36" t="s">
        <v>1996</v>
      </c>
      <c r="F311" s="36" t="s">
        <v>1997</v>
      </c>
      <c r="G311" s="36" t="s">
        <v>1998</v>
      </c>
      <c r="H311" s="11" t="s">
        <v>45</v>
      </c>
      <c r="I311" s="11">
        <v>6.39190867549E11</v>
      </c>
      <c r="J311" s="37">
        <v>45588.0</v>
      </c>
      <c r="K311" s="18"/>
      <c r="L311" s="11">
        <v>2.0250331E7</v>
      </c>
    </row>
    <row r="312">
      <c r="A312" s="9" t="s">
        <v>249</v>
      </c>
      <c r="B312" s="11" t="s">
        <v>30</v>
      </c>
      <c r="C312" s="11" t="s">
        <v>35</v>
      </c>
      <c r="D312" s="11" t="s">
        <v>37</v>
      </c>
      <c r="E312" s="36" t="s">
        <v>1999</v>
      </c>
      <c r="F312" s="36" t="s">
        <v>2000</v>
      </c>
      <c r="G312" s="36" t="s">
        <v>2001</v>
      </c>
      <c r="H312" s="11" t="s">
        <v>45</v>
      </c>
      <c r="I312" s="11">
        <v>6.39189169512E11</v>
      </c>
      <c r="J312" s="37">
        <v>45588.0</v>
      </c>
      <c r="K312" s="18"/>
      <c r="L312" s="11">
        <v>2.0250331E7</v>
      </c>
    </row>
    <row r="313">
      <c r="A313" s="9" t="s">
        <v>249</v>
      </c>
      <c r="B313" s="11" t="s">
        <v>30</v>
      </c>
      <c r="C313" s="11" t="s">
        <v>35</v>
      </c>
      <c r="D313" s="11" t="s">
        <v>37</v>
      </c>
      <c r="E313" s="36" t="s">
        <v>2005</v>
      </c>
      <c r="F313" s="36" t="s">
        <v>2006</v>
      </c>
      <c r="G313" s="36" t="s">
        <v>2008</v>
      </c>
      <c r="H313" s="11" t="s">
        <v>45</v>
      </c>
      <c r="I313" s="11">
        <v>6.39189303732E11</v>
      </c>
      <c r="J313" s="37">
        <v>45588.0</v>
      </c>
      <c r="K313" s="18"/>
      <c r="L313" s="11">
        <v>2.0250331E7</v>
      </c>
    </row>
    <row r="314">
      <c r="A314" s="9" t="s">
        <v>249</v>
      </c>
      <c r="B314" s="11" t="s">
        <v>30</v>
      </c>
      <c r="C314" s="11" t="s">
        <v>35</v>
      </c>
      <c r="D314" s="11" t="s">
        <v>37</v>
      </c>
      <c r="E314" s="36" t="s">
        <v>2009</v>
      </c>
      <c r="F314" s="36" t="s">
        <v>2010</v>
      </c>
      <c r="G314" s="36" t="s">
        <v>2011</v>
      </c>
      <c r="H314" s="11" t="s">
        <v>45</v>
      </c>
      <c r="I314" s="11">
        <v>6.39088778425E11</v>
      </c>
      <c r="J314" s="37">
        <v>45588.0</v>
      </c>
      <c r="K314" s="18"/>
      <c r="L314" s="11">
        <v>2.0250331E7</v>
      </c>
    </row>
    <row r="315">
      <c r="A315" s="9" t="s">
        <v>249</v>
      </c>
      <c r="B315" s="11" t="s">
        <v>30</v>
      </c>
      <c r="C315" s="11" t="s">
        <v>35</v>
      </c>
      <c r="D315" s="11" t="s">
        <v>37</v>
      </c>
      <c r="E315" s="36" t="s">
        <v>2012</v>
      </c>
      <c r="F315" s="36" t="s">
        <v>2013</v>
      </c>
      <c r="G315" s="36" t="s">
        <v>2014</v>
      </c>
      <c r="H315" s="11" t="s">
        <v>45</v>
      </c>
      <c r="I315" s="11">
        <v>6.39209266331E11</v>
      </c>
      <c r="J315" s="37">
        <v>45588.0</v>
      </c>
      <c r="K315" s="18"/>
      <c r="L315" s="11">
        <v>2.0250331E7</v>
      </c>
    </row>
    <row r="316">
      <c r="A316" s="9" t="s">
        <v>249</v>
      </c>
      <c r="B316" s="11" t="s">
        <v>30</v>
      </c>
      <c r="C316" s="11" t="s">
        <v>35</v>
      </c>
      <c r="D316" s="11" t="s">
        <v>37</v>
      </c>
      <c r="E316" s="36" t="s">
        <v>2017</v>
      </c>
      <c r="F316" s="36" t="s">
        <v>2018</v>
      </c>
      <c r="G316" s="36" t="s">
        <v>2020</v>
      </c>
      <c r="H316" s="11" t="s">
        <v>45</v>
      </c>
      <c r="I316" s="11">
        <v>6.39285046414E11</v>
      </c>
      <c r="J316" s="37">
        <v>45588.0</v>
      </c>
      <c r="K316" s="18"/>
      <c r="L316" s="11">
        <v>2.0250331E7</v>
      </c>
    </row>
    <row r="317">
      <c r="A317" s="9" t="s">
        <v>249</v>
      </c>
      <c r="B317" s="11" t="s">
        <v>30</v>
      </c>
      <c r="C317" s="11" t="s">
        <v>35</v>
      </c>
      <c r="D317" s="11" t="s">
        <v>37</v>
      </c>
      <c r="E317" s="36" t="s">
        <v>2023</v>
      </c>
      <c r="F317" s="36" t="s">
        <v>2024</v>
      </c>
      <c r="G317" s="36" t="s">
        <v>2025</v>
      </c>
      <c r="H317" s="11" t="s">
        <v>45</v>
      </c>
      <c r="I317" s="11">
        <v>6.39189905536E11</v>
      </c>
      <c r="J317" s="37">
        <v>45588.0</v>
      </c>
      <c r="K317" s="18"/>
      <c r="L317" s="11">
        <v>2.0250331E7</v>
      </c>
    </row>
    <row r="318">
      <c r="A318" s="9" t="s">
        <v>249</v>
      </c>
      <c r="B318" s="11" t="s">
        <v>30</v>
      </c>
      <c r="C318" s="11" t="s">
        <v>35</v>
      </c>
      <c r="D318" s="11" t="s">
        <v>37</v>
      </c>
      <c r="E318" s="36" t="s">
        <v>2028</v>
      </c>
      <c r="F318" s="36" t="s">
        <v>2029</v>
      </c>
      <c r="G318" s="36" t="s">
        <v>2031</v>
      </c>
      <c r="H318" s="11" t="s">
        <v>45</v>
      </c>
      <c r="I318" s="11">
        <v>6.39189790548E11</v>
      </c>
      <c r="J318" s="37">
        <v>45588.0</v>
      </c>
      <c r="K318" s="18"/>
      <c r="L318" s="11">
        <v>2.0250331E7</v>
      </c>
    </row>
    <row r="319">
      <c r="A319" s="9" t="s">
        <v>249</v>
      </c>
      <c r="B319" s="11" t="s">
        <v>30</v>
      </c>
      <c r="C319" s="11" t="s">
        <v>35</v>
      </c>
      <c r="D319" s="11" t="s">
        <v>37</v>
      </c>
      <c r="E319" s="36" t="s">
        <v>2033</v>
      </c>
      <c r="F319" s="36" t="s">
        <v>2034</v>
      </c>
      <c r="G319" s="36" t="s">
        <v>2035</v>
      </c>
      <c r="H319" s="11" t="s">
        <v>45</v>
      </c>
      <c r="I319" s="11">
        <v>6.39189397894E11</v>
      </c>
      <c r="J319" s="37">
        <v>45588.0</v>
      </c>
      <c r="K319" s="18"/>
      <c r="L319" s="11">
        <v>2.0250331E7</v>
      </c>
    </row>
    <row r="320">
      <c r="A320" s="9" t="s">
        <v>249</v>
      </c>
      <c r="B320" s="11" t="s">
        <v>30</v>
      </c>
      <c r="C320" s="11" t="s">
        <v>35</v>
      </c>
      <c r="D320" s="11" t="s">
        <v>37</v>
      </c>
      <c r="E320" s="36" t="s">
        <v>2038</v>
      </c>
      <c r="F320" s="36" t="s">
        <v>2040</v>
      </c>
      <c r="G320" s="36" t="s">
        <v>2041</v>
      </c>
      <c r="H320" s="11" t="s">
        <v>45</v>
      </c>
      <c r="I320" s="11">
        <v>6.39199115079E11</v>
      </c>
      <c r="J320" s="37">
        <v>45588.0</v>
      </c>
      <c r="K320" s="18"/>
      <c r="L320" s="11">
        <v>2.0250331E7</v>
      </c>
    </row>
    <row r="321">
      <c r="A321" s="9" t="s">
        <v>249</v>
      </c>
      <c r="B321" s="11" t="s">
        <v>30</v>
      </c>
      <c r="C321" s="11" t="s">
        <v>35</v>
      </c>
      <c r="D321" s="11" t="s">
        <v>37</v>
      </c>
      <c r="E321" s="36" t="s">
        <v>2043</v>
      </c>
      <c r="F321" s="36" t="s">
        <v>2044</v>
      </c>
      <c r="G321" s="36" t="s">
        <v>2045</v>
      </c>
      <c r="H321" s="11" t="s">
        <v>45</v>
      </c>
      <c r="I321" s="11">
        <v>6.3918944023E11</v>
      </c>
      <c r="J321" s="37">
        <v>45588.0</v>
      </c>
      <c r="K321" s="18"/>
      <c r="L321" s="11">
        <v>2.0250331E7</v>
      </c>
    </row>
    <row r="322">
      <c r="A322" s="9" t="s">
        <v>249</v>
      </c>
      <c r="B322" s="11" t="s">
        <v>30</v>
      </c>
      <c r="C322" s="11" t="s">
        <v>35</v>
      </c>
      <c r="D322" s="11" t="s">
        <v>37</v>
      </c>
      <c r="E322" s="36" t="s">
        <v>2048</v>
      </c>
      <c r="F322" s="36" t="s">
        <v>2050</v>
      </c>
      <c r="G322" s="36" t="s">
        <v>2051</v>
      </c>
      <c r="H322" s="11" t="s">
        <v>45</v>
      </c>
      <c r="I322" s="11">
        <v>6.39498812582E11</v>
      </c>
      <c r="J322" s="37">
        <v>45588.0</v>
      </c>
      <c r="K322" s="18"/>
      <c r="L322" s="11">
        <v>2.0250331E7</v>
      </c>
    </row>
    <row r="323">
      <c r="A323" s="9" t="s">
        <v>249</v>
      </c>
      <c r="B323" s="11" t="s">
        <v>30</v>
      </c>
      <c r="C323" s="11" t="s">
        <v>35</v>
      </c>
      <c r="D323" s="11" t="s">
        <v>37</v>
      </c>
      <c r="E323" s="36" t="s">
        <v>2053</v>
      </c>
      <c r="F323" s="36" t="s">
        <v>2054</v>
      </c>
      <c r="G323" s="36" t="s">
        <v>2055</v>
      </c>
      <c r="H323" s="11" t="s">
        <v>45</v>
      </c>
      <c r="I323" s="11">
        <v>6.39209381766E11</v>
      </c>
      <c r="J323" s="37">
        <v>45588.0</v>
      </c>
      <c r="K323" s="18"/>
      <c r="L323" s="11">
        <v>2.0250331E7</v>
      </c>
    </row>
    <row r="324">
      <c r="A324" s="9" t="s">
        <v>249</v>
      </c>
      <c r="B324" s="11" t="s">
        <v>30</v>
      </c>
      <c r="C324" s="11" t="s">
        <v>35</v>
      </c>
      <c r="D324" s="11" t="s">
        <v>37</v>
      </c>
      <c r="E324" s="36" t="s">
        <v>2060</v>
      </c>
      <c r="F324" s="36" t="s">
        <v>2061</v>
      </c>
      <c r="G324" s="36" t="s">
        <v>2062</v>
      </c>
      <c r="H324" s="11" t="s">
        <v>45</v>
      </c>
      <c r="I324" s="11">
        <v>6.39209073506E11</v>
      </c>
      <c r="J324" s="37">
        <v>45588.0</v>
      </c>
      <c r="K324" s="18"/>
      <c r="L324" s="11">
        <v>2.0250331E7</v>
      </c>
    </row>
    <row r="325">
      <c r="A325" s="9" t="s">
        <v>249</v>
      </c>
      <c r="B325" s="11" t="s">
        <v>30</v>
      </c>
      <c r="C325" s="11" t="s">
        <v>35</v>
      </c>
      <c r="D325" s="11" t="s">
        <v>37</v>
      </c>
      <c r="E325" s="36" t="s">
        <v>2063</v>
      </c>
      <c r="F325" s="36" t="s">
        <v>2064</v>
      </c>
      <c r="G325" s="36" t="s">
        <v>2065</v>
      </c>
      <c r="H325" s="11" t="s">
        <v>45</v>
      </c>
      <c r="I325" s="11">
        <v>6.39209624038E11</v>
      </c>
      <c r="J325" s="37">
        <v>45588.0</v>
      </c>
      <c r="K325" s="18"/>
      <c r="L325" s="11">
        <v>2.0250331E7</v>
      </c>
    </row>
    <row r="326">
      <c r="A326" s="9" t="s">
        <v>249</v>
      </c>
      <c r="B326" s="11" t="s">
        <v>30</v>
      </c>
      <c r="C326" s="11" t="s">
        <v>35</v>
      </c>
      <c r="D326" s="11" t="s">
        <v>37</v>
      </c>
      <c r="E326" s="36" t="s">
        <v>2070</v>
      </c>
      <c r="F326" s="36" t="s">
        <v>2071</v>
      </c>
      <c r="G326" s="36" t="s">
        <v>2073</v>
      </c>
      <c r="H326" s="11" t="s">
        <v>45</v>
      </c>
      <c r="I326" s="11">
        <v>6.39189087974E11</v>
      </c>
      <c r="J326" s="37">
        <v>45588.0</v>
      </c>
      <c r="K326" s="18"/>
      <c r="L326" s="11">
        <v>2.0250331E7</v>
      </c>
    </row>
    <row r="327">
      <c r="A327" s="9" t="s">
        <v>249</v>
      </c>
      <c r="B327" s="11" t="s">
        <v>30</v>
      </c>
      <c r="C327" s="11" t="s">
        <v>35</v>
      </c>
      <c r="D327" s="11" t="s">
        <v>37</v>
      </c>
      <c r="E327" s="36" t="s">
        <v>2075</v>
      </c>
      <c r="F327" s="36" t="s">
        <v>2076</v>
      </c>
      <c r="G327" s="36" t="s">
        <v>2077</v>
      </c>
      <c r="H327" s="11" t="s">
        <v>45</v>
      </c>
      <c r="I327" s="11">
        <v>6.39285054133E11</v>
      </c>
      <c r="J327" s="37">
        <v>45588.0</v>
      </c>
      <c r="K327" s="18"/>
      <c r="L327" s="11">
        <v>2.0250331E7</v>
      </c>
    </row>
    <row r="328">
      <c r="A328" s="9" t="s">
        <v>249</v>
      </c>
      <c r="B328" s="11" t="s">
        <v>30</v>
      </c>
      <c r="C328" s="11" t="s">
        <v>35</v>
      </c>
      <c r="D328" s="11" t="s">
        <v>37</v>
      </c>
      <c r="E328" s="36" t="s">
        <v>2082</v>
      </c>
      <c r="F328" s="36" t="s">
        <v>2083</v>
      </c>
      <c r="G328" s="36" t="s">
        <v>2084</v>
      </c>
      <c r="H328" s="11" t="s">
        <v>45</v>
      </c>
      <c r="I328" s="11">
        <v>6.39189042243E11</v>
      </c>
      <c r="J328" s="37">
        <v>45588.0</v>
      </c>
      <c r="K328" s="18"/>
      <c r="L328" s="11">
        <v>2.0250331E7</v>
      </c>
    </row>
    <row r="329">
      <c r="A329" s="9" t="s">
        <v>249</v>
      </c>
      <c r="B329" s="11" t="s">
        <v>30</v>
      </c>
      <c r="C329" s="11" t="s">
        <v>35</v>
      </c>
      <c r="D329" s="11" t="s">
        <v>37</v>
      </c>
      <c r="E329" s="36" t="s">
        <v>2085</v>
      </c>
      <c r="F329" s="36" t="s">
        <v>2086</v>
      </c>
      <c r="G329" s="36" t="s">
        <v>2088</v>
      </c>
      <c r="H329" s="11" t="s">
        <v>45</v>
      </c>
      <c r="I329" s="11">
        <v>6.39209254498E11</v>
      </c>
      <c r="J329" s="37">
        <v>45588.0</v>
      </c>
      <c r="K329" s="18"/>
      <c r="L329" s="11">
        <v>2.0250331E7</v>
      </c>
    </row>
    <row r="330">
      <c r="A330" s="9" t="s">
        <v>249</v>
      </c>
      <c r="B330" s="11" t="s">
        <v>30</v>
      </c>
      <c r="C330" s="11" t="s">
        <v>35</v>
      </c>
      <c r="D330" s="11" t="s">
        <v>37</v>
      </c>
      <c r="E330" s="36" t="s">
        <v>2092</v>
      </c>
      <c r="F330" s="36" t="s">
        <v>2093</v>
      </c>
      <c r="G330" s="36" t="s">
        <v>2094</v>
      </c>
      <c r="H330" s="11" t="s">
        <v>45</v>
      </c>
      <c r="I330" s="11">
        <v>6.39209553561E11</v>
      </c>
      <c r="J330" s="37">
        <v>45588.0</v>
      </c>
      <c r="K330" s="18"/>
      <c r="L330" s="11">
        <v>2.0250331E7</v>
      </c>
    </row>
    <row r="331">
      <c r="A331" s="9" t="s">
        <v>249</v>
      </c>
      <c r="B331" s="11" t="s">
        <v>30</v>
      </c>
      <c r="C331" s="11" t="s">
        <v>35</v>
      </c>
      <c r="D331" s="11" t="s">
        <v>37</v>
      </c>
      <c r="E331" s="36" t="s">
        <v>2095</v>
      </c>
      <c r="F331" s="36" t="s">
        <v>2097</v>
      </c>
      <c r="G331" s="36" t="s">
        <v>2099</v>
      </c>
      <c r="H331" s="11" t="s">
        <v>45</v>
      </c>
      <c r="I331" s="11">
        <v>6.39189246916E11</v>
      </c>
      <c r="J331" s="37">
        <v>45588.0</v>
      </c>
      <c r="K331" s="18"/>
      <c r="L331" s="11">
        <v>2.0250331E7</v>
      </c>
    </row>
    <row r="332">
      <c r="A332" s="9" t="s">
        <v>249</v>
      </c>
      <c r="B332" s="11" t="s">
        <v>30</v>
      </c>
      <c r="C332" s="11" t="s">
        <v>35</v>
      </c>
      <c r="D332" s="11" t="s">
        <v>37</v>
      </c>
      <c r="E332" s="36" t="s">
        <v>2102</v>
      </c>
      <c r="F332" s="36" t="s">
        <v>2103</v>
      </c>
      <c r="G332" s="36" t="s">
        <v>2104</v>
      </c>
      <c r="H332" s="11" t="s">
        <v>45</v>
      </c>
      <c r="I332" s="11">
        <v>6.39189108997E11</v>
      </c>
      <c r="J332" s="37">
        <v>45588.0</v>
      </c>
      <c r="K332" s="18"/>
      <c r="L332" s="11">
        <v>2.0250331E7</v>
      </c>
    </row>
    <row r="333">
      <c r="A333" s="9" t="s">
        <v>249</v>
      </c>
      <c r="B333" s="11" t="s">
        <v>30</v>
      </c>
      <c r="C333" s="11" t="s">
        <v>35</v>
      </c>
      <c r="D333" s="11" t="s">
        <v>37</v>
      </c>
      <c r="E333" s="36" t="s">
        <v>2105</v>
      </c>
      <c r="F333" s="36" t="s">
        <v>2106</v>
      </c>
      <c r="G333" s="36" t="s">
        <v>2108</v>
      </c>
      <c r="H333" s="11" t="s">
        <v>45</v>
      </c>
      <c r="I333" s="11">
        <v>6.39209229544E11</v>
      </c>
      <c r="J333" s="37">
        <v>45588.0</v>
      </c>
      <c r="K333" s="18"/>
      <c r="L333" s="11">
        <v>2.0250331E7</v>
      </c>
    </row>
    <row r="334">
      <c r="A334" s="9" t="s">
        <v>249</v>
      </c>
      <c r="B334" s="11" t="s">
        <v>30</v>
      </c>
      <c r="C334" s="11" t="s">
        <v>35</v>
      </c>
      <c r="D334" s="11" t="s">
        <v>37</v>
      </c>
      <c r="E334" s="36" t="s">
        <v>2112</v>
      </c>
      <c r="F334" s="36" t="s">
        <v>2113</v>
      </c>
      <c r="G334" s="36" t="s">
        <v>2114</v>
      </c>
      <c r="H334" s="11" t="s">
        <v>45</v>
      </c>
      <c r="I334" s="11">
        <v>6.39189413012E11</v>
      </c>
      <c r="J334" s="37">
        <v>45588.0</v>
      </c>
      <c r="K334" s="18"/>
      <c r="L334" s="11">
        <v>2.0250331E7</v>
      </c>
    </row>
    <row r="335">
      <c r="A335" s="9" t="s">
        <v>249</v>
      </c>
      <c r="B335" s="11" t="s">
        <v>30</v>
      </c>
      <c r="C335" s="11" t="s">
        <v>35</v>
      </c>
      <c r="D335" s="11" t="s">
        <v>37</v>
      </c>
      <c r="E335" s="36" t="s">
        <v>2117</v>
      </c>
      <c r="F335" s="36" t="s">
        <v>2118</v>
      </c>
      <c r="G335" s="36" t="s">
        <v>2119</v>
      </c>
      <c r="H335" s="11" t="s">
        <v>45</v>
      </c>
      <c r="I335" s="11">
        <v>6.3918963322E11</v>
      </c>
      <c r="J335" s="37">
        <v>45588.0</v>
      </c>
      <c r="K335" s="18"/>
      <c r="L335" s="11">
        <v>2.0250331E7</v>
      </c>
    </row>
    <row r="336">
      <c r="A336" s="9" t="s">
        <v>249</v>
      </c>
      <c r="B336" s="11" t="s">
        <v>30</v>
      </c>
      <c r="C336" s="11" t="s">
        <v>35</v>
      </c>
      <c r="D336" s="11" t="s">
        <v>37</v>
      </c>
      <c r="E336" s="36" t="s">
        <v>2124</v>
      </c>
      <c r="F336" s="36" t="s">
        <v>2125</v>
      </c>
      <c r="G336" s="36" t="s">
        <v>2126</v>
      </c>
      <c r="H336" s="11" t="s">
        <v>45</v>
      </c>
      <c r="I336" s="11">
        <v>6.39209785416E11</v>
      </c>
      <c r="J336" s="37">
        <v>45588.0</v>
      </c>
      <c r="K336" s="18"/>
      <c r="L336" s="11">
        <v>2.0250331E7</v>
      </c>
    </row>
    <row r="337">
      <c r="A337" s="9" t="s">
        <v>249</v>
      </c>
      <c r="B337" s="11" t="s">
        <v>30</v>
      </c>
      <c r="C337" s="11" t="s">
        <v>35</v>
      </c>
      <c r="D337" s="11" t="s">
        <v>37</v>
      </c>
      <c r="E337" s="36" t="s">
        <v>2128</v>
      </c>
      <c r="F337" s="36" t="s">
        <v>2129</v>
      </c>
      <c r="G337" s="36" t="s">
        <v>2130</v>
      </c>
      <c r="H337" s="11" t="s">
        <v>45</v>
      </c>
      <c r="I337" s="11">
        <v>6.39189228616E11</v>
      </c>
      <c r="J337" s="37">
        <v>45588.0</v>
      </c>
      <c r="K337" s="18"/>
      <c r="L337" s="11">
        <v>2.0250331E7</v>
      </c>
    </row>
    <row r="338">
      <c r="A338" s="9" t="s">
        <v>249</v>
      </c>
      <c r="B338" s="11" t="s">
        <v>30</v>
      </c>
      <c r="C338" s="11" t="s">
        <v>35</v>
      </c>
      <c r="D338" s="11" t="s">
        <v>37</v>
      </c>
      <c r="E338" s="36" t="s">
        <v>2131</v>
      </c>
      <c r="F338" s="36" t="s">
        <v>2132</v>
      </c>
      <c r="G338" s="36" t="s">
        <v>2133</v>
      </c>
      <c r="H338" s="11" t="s">
        <v>45</v>
      </c>
      <c r="I338" s="11">
        <v>6.39209241152E11</v>
      </c>
      <c r="J338" s="37">
        <v>45588.0</v>
      </c>
      <c r="K338" s="18"/>
      <c r="L338" s="11">
        <v>2.0250331E7</v>
      </c>
    </row>
    <row r="339">
      <c r="A339" s="9" t="s">
        <v>249</v>
      </c>
      <c r="B339" s="11" t="s">
        <v>30</v>
      </c>
      <c r="C339" s="11" t="s">
        <v>35</v>
      </c>
      <c r="D339" s="11" t="s">
        <v>37</v>
      </c>
      <c r="E339" s="36" t="s">
        <v>2137</v>
      </c>
      <c r="F339" s="36" t="s">
        <v>2139</v>
      </c>
      <c r="G339" s="36" t="s">
        <v>2140</v>
      </c>
      <c r="H339" s="11" t="s">
        <v>45</v>
      </c>
      <c r="I339" s="11">
        <v>6.39189219765E11</v>
      </c>
      <c r="J339" s="37">
        <v>45588.0</v>
      </c>
      <c r="K339" s="18"/>
      <c r="L339" s="11">
        <v>2.0250331E7</v>
      </c>
    </row>
    <row r="340">
      <c r="A340" s="9" t="s">
        <v>249</v>
      </c>
      <c r="B340" s="11" t="s">
        <v>30</v>
      </c>
      <c r="C340" s="11" t="s">
        <v>35</v>
      </c>
      <c r="D340" s="11" t="s">
        <v>37</v>
      </c>
      <c r="E340" s="36" t="s">
        <v>2143</v>
      </c>
      <c r="F340" s="36" t="s">
        <v>2144</v>
      </c>
      <c r="G340" s="36" t="s">
        <v>2145</v>
      </c>
      <c r="H340" s="11" t="s">
        <v>45</v>
      </c>
      <c r="I340" s="11">
        <v>6.39189061032E11</v>
      </c>
      <c r="J340" s="37">
        <v>45588.0</v>
      </c>
      <c r="K340" s="18"/>
      <c r="L340" s="11">
        <v>2.0250331E7</v>
      </c>
    </row>
    <row r="341">
      <c r="A341" s="9" t="s">
        <v>249</v>
      </c>
      <c r="B341" s="11" t="s">
        <v>30</v>
      </c>
      <c r="C341" s="11" t="s">
        <v>35</v>
      </c>
      <c r="D341" s="11" t="s">
        <v>37</v>
      </c>
      <c r="E341" s="36" t="s">
        <v>2146</v>
      </c>
      <c r="F341" s="36" t="s">
        <v>2147</v>
      </c>
      <c r="G341" s="36" t="s">
        <v>2149</v>
      </c>
      <c r="H341" s="11" t="s">
        <v>45</v>
      </c>
      <c r="I341" s="11">
        <v>6.39209157957E11</v>
      </c>
      <c r="J341" s="37">
        <v>45588.0</v>
      </c>
      <c r="K341" s="18"/>
      <c r="L341" s="11">
        <v>2.0250331E7</v>
      </c>
    </row>
    <row r="342">
      <c r="A342" s="9" t="s">
        <v>249</v>
      </c>
      <c r="B342" s="11" t="s">
        <v>30</v>
      </c>
      <c r="C342" s="11" t="s">
        <v>35</v>
      </c>
      <c r="D342" s="11" t="s">
        <v>37</v>
      </c>
      <c r="E342" s="36" t="s">
        <v>2153</v>
      </c>
      <c r="F342" s="36" t="s">
        <v>2154</v>
      </c>
      <c r="G342" s="36" t="s">
        <v>2155</v>
      </c>
      <c r="H342" s="11" t="s">
        <v>45</v>
      </c>
      <c r="I342" s="11">
        <v>6.39209527435E11</v>
      </c>
      <c r="J342" s="37">
        <v>45588.0</v>
      </c>
      <c r="K342" s="18"/>
      <c r="L342" s="11">
        <v>2.0250331E7</v>
      </c>
    </row>
    <row r="343">
      <c r="A343" s="9" t="s">
        <v>249</v>
      </c>
      <c r="B343" s="11" t="s">
        <v>30</v>
      </c>
      <c r="C343" s="11" t="s">
        <v>35</v>
      </c>
      <c r="D343" s="11" t="s">
        <v>37</v>
      </c>
      <c r="E343" s="36" t="s">
        <v>2156</v>
      </c>
      <c r="F343" s="36" t="s">
        <v>2157</v>
      </c>
      <c r="G343" s="36" t="s">
        <v>2158</v>
      </c>
      <c r="H343" s="11" t="s">
        <v>45</v>
      </c>
      <c r="I343" s="11">
        <v>6.39209226246E11</v>
      </c>
      <c r="J343" s="37">
        <v>45588.0</v>
      </c>
      <c r="K343" s="18"/>
      <c r="L343" s="11">
        <v>2.0250331E7</v>
      </c>
    </row>
    <row r="344">
      <c r="A344" s="9" t="s">
        <v>249</v>
      </c>
      <c r="B344" s="11" t="s">
        <v>30</v>
      </c>
      <c r="C344" s="11" t="s">
        <v>35</v>
      </c>
      <c r="D344" s="11" t="s">
        <v>37</v>
      </c>
      <c r="E344" s="36" t="s">
        <v>2163</v>
      </c>
      <c r="F344" s="36" t="s">
        <v>2164</v>
      </c>
      <c r="G344" s="36" t="s">
        <v>2165</v>
      </c>
      <c r="H344" s="11" t="s">
        <v>45</v>
      </c>
      <c r="I344" s="11">
        <v>6.39189235884E11</v>
      </c>
      <c r="J344" s="37">
        <v>45588.0</v>
      </c>
      <c r="K344" s="18"/>
      <c r="L344" s="11">
        <v>2.0250331E7</v>
      </c>
    </row>
    <row r="345">
      <c r="A345" s="9" t="s">
        <v>249</v>
      </c>
      <c r="B345" s="11" t="s">
        <v>30</v>
      </c>
      <c r="C345" s="11" t="s">
        <v>35</v>
      </c>
      <c r="D345" s="11" t="s">
        <v>37</v>
      </c>
      <c r="E345" s="36" t="s">
        <v>2166</v>
      </c>
      <c r="F345" s="36" t="s">
        <v>2167</v>
      </c>
      <c r="G345" s="36" t="s">
        <v>2168</v>
      </c>
      <c r="H345" s="11" t="s">
        <v>45</v>
      </c>
      <c r="I345" s="11">
        <v>6.39189340264E11</v>
      </c>
      <c r="J345" s="37">
        <v>45588.0</v>
      </c>
      <c r="K345" s="18"/>
      <c r="L345" s="11">
        <v>2.0250331E7</v>
      </c>
    </row>
    <row r="346">
      <c r="A346" s="9" t="s">
        <v>249</v>
      </c>
      <c r="B346" s="11" t="s">
        <v>30</v>
      </c>
      <c r="C346" s="11" t="s">
        <v>35</v>
      </c>
      <c r="D346" s="11" t="s">
        <v>37</v>
      </c>
      <c r="E346" s="36" t="s">
        <v>2172</v>
      </c>
      <c r="F346" s="36" t="s">
        <v>2173</v>
      </c>
      <c r="G346" s="36" t="s">
        <v>2174</v>
      </c>
      <c r="H346" s="11" t="s">
        <v>45</v>
      </c>
      <c r="I346" s="11">
        <v>6.3920923568E11</v>
      </c>
      <c r="J346" s="37">
        <v>45588.0</v>
      </c>
      <c r="K346" s="18"/>
      <c r="L346" s="11">
        <v>2.0250331E7</v>
      </c>
    </row>
    <row r="347">
      <c r="A347" s="9" t="s">
        <v>249</v>
      </c>
      <c r="B347" s="11" t="s">
        <v>30</v>
      </c>
      <c r="C347" s="11" t="s">
        <v>35</v>
      </c>
      <c r="D347" s="11" t="s">
        <v>37</v>
      </c>
      <c r="E347" s="36" t="s">
        <v>2176</v>
      </c>
      <c r="F347" s="36" t="s">
        <v>2177</v>
      </c>
      <c r="G347" s="36" t="s">
        <v>2178</v>
      </c>
      <c r="H347" s="11" t="s">
        <v>45</v>
      </c>
      <c r="I347" s="11">
        <v>6.39209268779E11</v>
      </c>
      <c r="J347" s="37">
        <v>45588.0</v>
      </c>
      <c r="K347" s="18"/>
      <c r="L347" s="11">
        <v>2.0250331E7</v>
      </c>
    </row>
    <row r="348">
      <c r="A348" s="9" t="s">
        <v>249</v>
      </c>
      <c r="B348" s="11" t="s">
        <v>30</v>
      </c>
      <c r="C348" s="11" t="s">
        <v>35</v>
      </c>
      <c r="D348" s="11" t="s">
        <v>37</v>
      </c>
      <c r="E348" s="36" t="s">
        <v>2182</v>
      </c>
      <c r="F348" s="36" t="s">
        <v>2183</v>
      </c>
      <c r="G348" s="36" t="s">
        <v>2184</v>
      </c>
      <c r="H348" s="11" t="s">
        <v>45</v>
      </c>
      <c r="I348" s="11">
        <v>6.39209517093E11</v>
      </c>
      <c r="J348" s="37">
        <v>45588.0</v>
      </c>
      <c r="K348" s="18"/>
      <c r="L348" s="11">
        <v>2.0250331E7</v>
      </c>
    </row>
    <row r="349">
      <c r="A349" s="9" t="s">
        <v>249</v>
      </c>
      <c r="B349" s="11" t="s">
        <v>30</v>
      </c>
      <c r="C349" s="11" t="s">
        <v>35</v>
      </c>
      <c r="D349" s="11" t="s">
        <v>37</v>
      </c>
      <c r="E349" s="36" t="s">
        <v>2186</v>
      </c>
      <c r="F349" s="36" t="s">
        <v>2187</v>
      </c>
      <c r="G349" s="36" t="s">
        <v>2188</v>
      </c>
      <c r="H349" s="11" t="s">
        <v>45</v>
      </c>
      <c r="I349" s="11">
        <v>6.39209401421E11</v>
      </c>
      <c r="J349" s="37">
        <v>45588.0</v>
      </c>
      <c r="K349" s="18"/>
      <c r="L349" s="11">
        <v>2.0250331E7</v>
      </c>
    </row>
    <row r="350">
      <c r="A350" s="9" t="s">
        <v>249</v>
      </c>
      <c r="B350" s="11" t="s">
        <v>30</v>
      </c>
      <c r="C350" s="11" t="s">
        <v>35</v>
      </c>
      <c r="D350" s="11" t="s">
        <v>37</v>
      </c>
      <c r="E350" s="36" t="s">
        <v>2189</v>
      </c>
      <c r="F350" s="36" t="s">
        <v>2190</v>
      </c>
      <c r="G350" s="36" t="s">
        <v>2191</v>
      </c>
      <c r="H350" s="11" t="s">
        <v>45</v>
      </c>
      <c r="I350" s="11">
        <v>6.39399335345E11</v>
      </c>
      <c r="J350" s="37">
        <v>45588.0</v>
      </c>
      <c r="K350" s="18"/>
      <c r="L350" s="11">
        <v>2.0250331E7</v>
      </c>
    </row>
    <row r="351">
      <c r="A351" s="9" t="s">
        <v>249</v>
      </c>
      <c r="B351" s="11" t="s">
        <v>30</v>
      </c>
      <c r="C351" s="11" t="s">
        <v>35</v>
      </c>
      <c r="D351" s="11" t="s">
        <v>37</v>
      </c>
      <c r="E351" s="36" t="s">
        <v>2196</v>
      </c>
      <c r="F351" s="36" t="s">
        <v>2197</v>
      </c>
      <c r="G351" s="36" t="s">
        <v>2198</v>
      </c>
      <c r="H351" s="11" t="s">
        <v>45</v>
      </c>
      <c r="I351" s="11">
        <v>6.39209228026E11</v>
      </c>
      <c r="J351" s="37">
        <v>45588.0</v>
      </c>
      <c r="K351" s="18"/>
      <c r="L351" s="11">
        <v>2.0250331E7</v>
      </c>
    </row>
    <row r="352">
      <c r="A352" s="9" t="s">
        <v>249</v>
      </c>
      <c r="B352" s="11" t="s">
        <v>30</v>
      </c>
      <c r="C352" s="11" t="s">
        <v>35</v>
      </c>
      <c r="D352" s="11" t="s">
        <v>37</v>
      </c>
      <c r="E352" s="36" t="s">
        <v>2201</v>
      </c>
      <c r="F352" s="36" t="s">
        <v>2202</v>
      </c>
      <c r="G352" s="36" t="s">
        <v>2203</v>
      </c>
      <c r="H352" s="11" t="s">
        <v>45</v>
      </c>
      <c r="I352" s="11">
        <v>6.39209540357E11</v>
      </c>
      <c r="J352" s="37">
        <v>45588.0</v>
      </c>
      <c r="K352" s="18"/>
      <c r="L352" s="11">
        <v>2.0250331E7</v>
      </c>
    </row>
    <row r="353">
      <c r="A353" s="9" t="s">
        <v>249</v>
      </c>
      <c r="B353" s="11" t="s">
        <v>30</v>
      </c>
      <c r="C353" s="11" t="s">
        <v>35</v>
      </c>
      <c r="D353" s="11" t="s">
        <v>37</v>
      </c>
      <c r="E353" s="36" t="s">
        <v>2208</v>
      </c>
      <c r="F353" s="36" t="s">
        <v>2209</v>
      </c>
      <c r="G353" s="36" t="s">
        <v>2210</v>
      </c>
      <c r="H353" s="11" t="s">
        <v>45</v>
      </c>
      <c r="I353" s="11">
        <v>6.39189179304E11</v>
      </c>
      <c r="J353" s="37">
        <v>45588.0</v>
      </c>
      <c r="K353" s="18"/>
      <c r="L353" s="11">
        <v>2.0250331E7</v>
      </c>
    </row>
    <row r="354">
      <c r="A354" s="9" t="s">
        <v>249</v>
      </c>
      <c r="B354" s="11" t="s">
        <v>30</v>
      </c>
      <c r="C354" s="11" t="s">
        <v>35</v>
      </c>
      <c r="D354" s="11" t="s">
        <v>37</v>
      </c>
      <c r="E354" s="36" t="s">
        <v>2213</v>
      </c>
      <c r="F354" s="36" t="s">
        <v>2214</v>
      </c>
      <c r="G354" s="36" t="s">
        <v>2216</v>
      </c>
      <c r="H354" s="11" t="s">
        <v>45</v>
      </c>
      <c r="I354" s="11">
        <v>6.39989971858E11</v>
      </c>
      <c r="J354" s="37">
        <v>45588.0</v>
      </c>
      <c r="K354" s="18"/>
      <c r="L354" s="11">
        <v>2.0250331E7</v>
      </c>
    </row>
    <row r="355">
      <c r="A355" s="9" t="s">
        <v>249</v>
      </c>
      <c r="B355" s="11" t="s">
        <v>30</v>
      </c>
      <c r="C355" s="11" t="s">
        <v>35</v>
      </c>
      <c r="D355" s="11" t="s">
        <v>37</v>
      </c>
      <c r="E355" s="36" t="s">
        <v>2218</v>
      </c>
      <c r="F355" s="36" t="s">
        <v>2219</v>
      </c>
      <c r="G355" s="36" t="s">
        <v>2220</v>
      </c>
      <c r="H355" s="11" t="s">
        <v>45</v>
      </c>
      <c r="I355" s="11">
        <v>6.39189388108E11</v>
      </c>
      <c r="J355" s="37">
        <v>45588.0</v>
      </c>
      <c r="K355" s="18"/>
      <c r="L355" s="11">
        <v>2.0250331E7</v>
      </c>
    </row>
    <row r="356">
      <c r="A356" s="9" t="s">
        <v>249</v>
      </c>
      <c r="B356" s="11" t="s">
        <v>30</v>
      </c>
      <c r="C356" s="11" t="s">
        <v>35</v>
      </c>
      <c r="D356" s="11" t="s">
        <v>37</v>
      </c>
      <c r="E356" s="36" t="s">
        <v>2223</v>
      </c>
      <c r="F356" s="36" t="s">
        <v>2225</v>
      </c>
      <c r="G356" s="36" t="s">
        <v>2226</v>
      </c>
      <c r="H356" s="11" t="s">
        <v>45</v>
      </c>
      <c r="I356" s="11">
        <v>6.39399235056E11</v>
      </c>
      <c r="J356" s="37">
        <v>45588.0</v>
      </c>
      <c r="K356" s="11"/>
      <c r="L356" s="11">
        <v>2.0250331E7</v>
      </c>
    </row>
    <row r="357">
      <c r="A357" s="9" t="s">
        <v>249</v>
      </c>
      <c r="B357" s="11" t="s">
        <v>30</v>
      </c>
      <c r="C357" s="11" t="s">
        <v>35</v>
      </c>
      <c r="D357" s="11" t="s">
        <v>37</v>
      </c>
      <c r="E357" s="36" t="s">
        <v>2228</v>
      </c>
      <c r="F357" s="36" t="s">
        <v>2229</v>
      </c>
      <c r="G357" s="36" t="s">
        <v>2230</v>
      </c>
      <c r="H357" s="11" t="s">
        <v>45</v>
      </c>
      <c r="I357" s="11">
        <v>6.39209785662E11</v>
      </c>
      <c r="J357" s="37">
        <v>45588.0</v>
      </c>
      <c r="K357" s="18"/>
      <c r="L357" s="11">
        <v>2.0250331E7</v>
      </c>
    </row>
    <row r="358">
      <c r="A358" s="9" t="s">
        <v>249</v>
      </c>
      <c r="B358" s="11" t="s">
        <v>30</v>
      </c>
      <c r="C358" s="11" t="s">
        <v>35</v>
      </c>
      <c r="D358" s="11" t="s">
        <v>37</v>
      </c>
      <c r="E358" s="36" t="s">
        <v>2235</v>
      </c>
      <c r="F358" s="36" t="s">
        <v>2236</v>
      </c>
      <c r="G358" s="36" t="s">
        <v>2237</v>
      </c>
      <c r="H358" s="11" t="s">
        <v>45</v>
      </c>
      <c r="I358" s="11">
        <v>6.39189192677E11</v>
      </c>
      <c r="J358" s="37">
        <v>45588.0</v>
      </c>
      <c r="K358" s="18"/>
      <c r="L358" s="11">
        <v>2.0250331E7</v>
      </c>
    </row>
    <row r="359">
      <c r="A359" s="9" t="s">
        <v>249</v>
      </c>
      <c r="B359" s="11" t="s">
        <v>30</v>
      </c>
      <c r="C359" s="11" t="s">
        <v>35</v>
      </c>
      <c r="D359" s="11" t="s">
        <v>37</v>
      </c>
      <c r="E359" s="36" t="s">
        <v>2238</v>
      </c>
      <c r="F359" s="36" t="s">
        <v>2240</v>
      </c>
      <c r="G359" s="36" t="s">
        <v>2241</v>
      </c>
      <c r="H359" s="11" t="s">
        <v>45</v>
      </c>
      <c r="I359" s="11">
        <v>6.39209509322E11</v>
      </c>
      <c r="J359" s="37">
        <v>45588.0</v>
      </c>
      <c r="K359" s="18"/>
      <c r="L359" s="11">
        <v>2.0250331E7</v>
      </c>
    </row>
    <row r="360">
      <c r="A360" s="9" t="s">
        <v>249</v>
      </c>
      <c r="B360" s="11" t="s">
        <v>30</v>
      </c>
      <c r="C360" s="11" t="s">
        <v>35</v>
      </c>
      <c r="D360" s="11" t="s">
        <v>37</v>
      </c>
      <c r="E360" s="36" t="s">
        <v>2245</v>
      </c>
      <c r="F360" s="36" t="s">
        <v>2246</v>
      </c>
      <c r="G360" s="36" t="s">
        <v>2247</v>
      </c>
      <c r="H360" s="11" t="s">
        <v>45</v>
      </c>
      <c r="I360" s="11">
        <v>6.39189069714E11</v>
      </c>
      <c r="J360" s="37">
        <v>45588.0</v>
      </c>
      <c r="K360" s="18"/>
      <c r="L360" s="11">
        <v>2.0250331E7</v>
      </c>
    </row>
    <row r="361">
      <c r="A361" s="9" t="s">
        <v>249</v>
      </c>
      <c r="B361" s="11" t="s">
        <v>30</v>
      </c>
      <c r="C361" s="11" t="s">
        <v>35</v>
      </c>
      <c r="D361" s="11" t="s">
        <v>37</v>
      </c>
      <c r="E361" s="36" t="s">
        <v>2248</v>
      </c>
      <c r="F361" s="36" t="s">
        <v>2249</v>
      </c>
      <c r="G361" s="36" t="s">
        <v>2250</v>
      </c>
      <c r="H361" s="11" t="s">
        <v>45</v>
      </c>
      <c r="I361" s="11">
        <v>6.39189039023E11</v>
      </c>
      <c r="J361" s="37">
        <v>45588.0</v>
      </c>
      <c r="K361" s="18"/>
      <c r="L361" s="11">
        <v>2.0250331E7</v>
      </c>
    </row>
    <row r="362">
      <c r="A362" s="9" t="s">
        <v>249</v>
      </c>
      <c r="B362" s="11" t="s">
        <v>30</v>
      </c>
      <c r="C362" s="11" t="s">
        <v>35</v>
      </c>
      <c r="D362" s="11" t="s">
        <v>37</v>
      </c>
      <c r="E362" s="36" t="s">
        <v>2255</v>
      </c>
      <c r="F362" s="36" t="s">
        <v>2256</v>
      </c>
      <c r="G362" s="36" t="s">
        <v>2257</v>
      </c>
      <c r="H362" s="11" t="s">
        <v>45</v>
      </c>
      <c r="I362" s="11">
        <v>6.39189486831E11</v>
      </c>
      <c r="J362" s="37">
        <v>45588.0</v>
      </c>
      <c r="K362" s="18"/>
      <c r="L362" s="11">
        <v>2.0250331E7</v>
      </c>
    </row>
    <row r="363">
      <c r="A363" s="9" t="s">
        <v>249</v>
      </c>
      <c r="B363" s="11" t="s">
        <v>30</v>
      </c>
      <c r="C363" s="11" t="s">
        <v>35</v>
      </c>
      <c r="D363" s="11" t="s">
        <v>37</v>
      </c>
      <c r="E363" s="36" t="s">
        <v>2258</v>
      </c>
      <c r="F363" s="36" t="s">
        <v>2259</v>
      </c>
      <c r="G363" s="36" t="s">
        <v>2261</v>
      </c>
      <c r="H363" s="11" t="s">
        <v>45</v>
      </c>
      <c r="I363" s="11">
        <v>6.39190094598E11</v>
      </c>
      <c r="J363" s="37">
        <v>45588.0</v>
      </c>
      <c r="K363" s="18"/>
      <c r="L363" s="11">
        <v>2.0250331E7</v>
      </c>
    </row>
    <row r="364">
      <c r="A364" s="9" t="s">
        <v>249</v>
      </c>
      <c r="B364" s="11" t="s">
        <v>30</v>
      </c>
      <c r="C364" s="11" t="s">
        <v>35</v>
      </c>
      <c r="D364" s="11" t="s">
        <v>37</v>
      </c>
      <c r="E364" s="36" t="s">
        <v>2265</v>
      </c>
      <c r="F364" s="36" t="s">
        <v>2266</v>
      </c>
      <c r="G364" s="36" t="s">
        <v>2267</v>
      </c>
      <c r="H364" s="11" t="s">
        <v>45</v>
      </c>
      <c r="I364" s="11">
        <v>6.39209008791E11</v>
      </c>
      <c r="J364" s="37">
        <v>45588.0</v>
      </c>
      <c r="K364" s="18"/>
      <c r="L364" s="11">
        <v>2.0250331E7</v>
      </c>
    </row>
    <row r="365">
      <c r="A365" s="9" t="s">
        <v>249</v>
      </c>
      <c r="B365" s="11" t="s">
        <v>30</v>
      </c>
      <c r="C365" s="11" t="s">
        <v>35</v>
      </c>
      <c r="D365" s="11" t="s">
        <v>37</v>
      </c>
      <c r="E365" s="36" t="s">
        <v>2268</v>
      </c>
      <c r="F365" s="36" t="s">
        <v>2269</v>
      </c>
      <c r="G365" s="36" t="s">
        <v>2271</v>
      </c>
      <c r="H365" s="11" t="s">
        <v>45</v>
      </c>
      <c r="I365" s="11">
        <v>6.39189149774E11</v>
      </c>
      <c r="J365" s="37">
        <v>45588.0</v>
      </c>
      <c r="K365" s="18"/>
      <c r="L365" s="11">
        <v>2.0250331E7</v>
      </c>
    </row>
    <row r="366">
      <c r="A366" s="9" t="s">
        <v>249</v>
      </c>
      <c r="B366" s="11" t="s">
        <v>30</v>
      </c>
      <c r="C366" s="11" t="s">
        <v>35</v>
      </c>
      <c r="D366" s="11" t="s">
        <v>37</v>
      </c>
      <c r="E366" s="36" t="s">
        <v>2275</v>
      </c>
      <c r="F366" s="36" t="s">
        <v>2276</v>
      </c>
      <c r="G366" s="36" t="s">
        <v>2277</v>
      </c>
      <c r="H366" s="11" t="s">
        <v>45</v>
      </c>
      <c r="I366" s="11">
        <v>6.39189108896E11</v>
      </c>
      <c r="J366" s="37">
        <v>45588.0</v>
      </c>
      <c r="K366" s="18"/>
      <c r="L366" s="11">
        <v>2.0250331E7</v>
      </c>
    </row>
    <row r="367">
      <c r="A367" s="9" t="s">
        <v>249</v>
      </c>
      <c r="B367" s="11" t="s">
        <v>30</v>
      </c>
      <c r="C367" s="11" t="s">
        <v>35</v>
      </c>
      <c r="D367" s="11" t="s">
        <v>37</v>
      </c>
      <c r="E367" s="36" t="s">
        <v>2278</v>
      </c>
      <c r="F367" s="36" t="s">
        <v>2280</v>
      </c>
      <c r="G367" s="36" t="s">
        <v>2281</v>
      </c>
      <c r="H367" s="11" t="s">
        <v>45</v>
      </c>
      <c r="I367" s="11">
        <v>6.39209699553E11</v>
      </c>
      <c r="J367" s="37">
        <v>45588.0</v>
      </c>
      <c r="K367" s="18"/>
      <c r="L367" s="11">
        <v>2.0250331E7</v>
      </c>
    </row>
    <row r="368">
      <c r="A368" s="9" t="s">
        <v>249</v>
      </c>
      <c r="B368" s="11" t="s">
        <v>30</v>
      </c>
      <c r="C368" s="11" t="s">
        <v>35</v>
      </c>
      <c r="D368" s="11" t="s">
        <v>37</v>
      </c>
      <c r="E368" s="36" t="s">
        <v>2285</v>
      </c>
      <c r="F368" s="36" t="s">
        <v>2286</v>
      </c>
      <c r="G368" s="36" t="s">
        <v>2287</v>
      </c>
      <c r="H368" s="11" t="s">
        <v>45</v>
      </c>
      <c r="I368" s="11">
        <v>6.39209564699E11</v>
      </c>
      <c r="J368" s="37">
        <v>45588.0</v>
      </c>
      <c r="K368" s="18"/>
      <c r="L368" s="11">
        <v>2.0250331E7</v>
      </c>
    </row>
    <row r="369">
      <c r="A369" s="9" t="s">
        <v>249</v>
      </c>
      <c r="B369" s="11" t="s">
        <v>30</v>
      </c>
      <c r="C369" s="11" t="s">
        <v>35</v>
      </c>
      <c r="D369" s="11" t="s">
        <v>37</v>
      </c>
      <c r="E369" s="36" t="s">
        <v>2288</v>
      </c>
      <c r="F369" s="36" t="s">
        <v>2289</v>
      </c>
      <c r="G369" s="36" t="s">
        <v>2290</v>
      </c>
      <c r="H369" s="11" t="s">
        <v>45</v>
      </c>
      <c r="I369" s="11">
        <v>6.39189392838E11</v>
      </c>
      <c r="J369" s="37">
        <v>45588.0</v>
      </c>
      <c r="K369" s="18"/>
      <c r="L369" s="11">
        <v>2.0250331E7</v>
      </c>
    </row>
    <row r="370">
      <c r="A370" s="9" t="s">
        <v>249</v>
      </c>
      <c r="B370" s="11" t="s">
        <v>30</v>
      </c>
      <c r="C370" s="11" t="s">
        <v>35</v>
      </c>
      <c r="D370" s="11" t="s">
        <v>37</v>
      </c>
      <c r="E370" s="36" t="s">
        <v>2291</v>
      </c>
      <c r="F370" s="36" t="s">
        <v>2293</v>
      </c>
      <c r="G370" s="36" t="s">
        <v>2294</v>
      </c>
      <c r="H370" s="11" t="s">
        <v>45</v>
      </c>
      <c r="I370" s="11">
        <v>6.39189145422E11</v>
      </c>
      <c r="J370" s="37">
        <v>45588.0</v>
      </c>
      <c r="K370" s="18"/>
      <c r="L370" s="11">
        <v>2.0250331E7</v>
      </c>
    </row>
    <row r="371">
      <c r="A371" s="9" t="s">
        <v>249</v>
      </c>
      <c r="B371" s="11" t="s">
        <v>30</v>
      </c>
      <c r="C371" s="11" t="s">
        <v>35</v>
      </c>
      <c r="D371" s="11" t="s">
        <v>37</v>
      </c>
      <c r="E371" s="36" t="s">
        <v>2298</v>
      </c>
      <c r="F371" s="36" t="s">
        <v>2299</v>
      </c>
      <c r="G371" s="36" t="s">
        <v>2300</v>
      </c>
      <c r="H371" s="11" t="s">
        <v>45</v>
      </c>
      <c r="I371" s="11">
        <v>6.39209039258E11</v>
      </c>
      <c r="J371" s="37">
        <v>45588.0</v>
      </c>
      <c r="K371" s="18"/>
      <c r="L371" s="11">
        <v>2.0250331E7</v>
      </c>
    </row>
    <row r="372">
      <c r="A372" s="9" t="s">
        <v>249</v>
      </c>
      <c r="B372" s="11" t="s">
        <v>30</v>
      </c>
      <c r="C372" s="11" t="s">
        <v>35</v>
      </c>
      <c r="D372" s="11" t="s">
        <v>37</v>
      </c>
      <c r="E372" s="36" t="s">
        <v>2301</v>
      </c>
      <c r="F372" s="36" t="s">
        <v>2302</v>
      </c>
      <c r="G372" s="36" t="s">
        <v>2303</v>
      </c>
      <c r="H372" s="11" t="s">
        <v>45</v>
      </c>
      <c r="I372" s="11">
        <v>6.39209232117E11</v>
      </c>
      <c r="J372" s="37">
        <v>45588.0</v>
      </c>
      <c r="K372" s="18"/>
      <c r="L372" s="11">
        <v>2.0250331E7</v>
      </c>
    </row>
    <row r="373">
      <c r="A373" s="9" t="s">
        <v>249</v>
      </c>
      <c r="B373" s="11" t="s">
        <v>30</v>
      </c>
      <c r="C373" s="11" t="s">
        <v>35</v>
      </c>
      <c r="D373" s="11" t="s">
        <v>37</v>
      </c>
      <c r="E373" s="36" t="s">
        <v>2307</v>
      </c>
      <c r="F373" s="36" t="s">
        <v>2308</v>
      </c>
      <c r="G373" s="36" t="s">
        <v>2310</v>
      </c>
      <c r="H373" s="11" t="s">
        <v>45</v>
      </c>
      <c r="I373" s="11">
        <v>6.39189158296E11</v>
      </c>
      <c r="J373" s="37">
        <v>45588.0</v>
      </c>
      <c r="K373" s="18"/>
      <c r="L373" s="11">
        <v>2.0250331E7</v>
      </c>
    </row>
    <row r="374">
      <c r="A374" s="9" t="s">
        <v>249</v>
      </c>
      <c r="B374" s="11" t="s">
        <v>30</v>
      </c>
      <c r="C374" s="11" t="s">
        <v>35</v>
      </c>
      <c r="D374" s="11" t="s">
        <v>37</v>
      </c>
      <c r="E374" s="36" t="s">
        <v>2313</v>
      </c>
      <c r="F374" s="36" t="s">
        <v>2314</v>
      </c>
      <c r="G374" s="36" t="s">
        <v>2315</v>
      </c>
      <c r="H374" s="11" t="s">
        <v>45</v>
      </c>
      <c r="I374" s="11">
        <v>6.39209077468E11</v>
      </c>
      <c r="J374" s="37">
        <v>45588.0</v>
      </c>
      <c r="K374" s="18"/>
      <c r="L374" s="11">
        <v>2.0250331E7</v>
      </c>
    </row>
    <row r="375">
      <c r="A375" s="9" t="s">
        <v>249</v>
      </c>
      <c r="B375" s="11" t="s">
        <v>30</v>
      </c>
      <c r="C375" s="11" t="s">
        <v>35</v>
      </c>
      <c r="D375" s="11" t="s">
        <v>37</v>
      </c>
      <c r="E375" s="36" t="s">
        <v>2316</v>
      </c>
      <c r="F375" s="36" t="s">
        <v>2317</v>
      </c>
      <c r="G375" s="36" t="s">
        <v>2318</v>
      </c>
      <c r="H375" s="11" t="s">
        <v>45</v>
      </c>
      <c r="I375" s="11">
        <v>6.39189002836E11</v>
      </c>
      <c r="J375" s="37">
        <v>45588.0</v>
      </c>
      <c r="K375" s="18"/>
      <c r="L375" s="11">
        <v>2.0250331E7</v>
      </c>
    </row>
    <row r="376">
      <c r="A376" s="9" t="s">
        <v>249</v>
      </c>
      <c r="B376" s="11" t="s">
        <v>30</v>
      </c>
      <c r="C376" s="11" t="s">
        <v>35</v>
      </c>
      <c r="D376" s="11" t="s">
        <v>37</v>
      </c>
      <c r="E376" s="36" t="s">
        <v>2322</v>
      </c>
      <c r="F376" s="36" t="s">
        <v>2324</v>
      </c>
      <c r="G376" s="36" t="s">
        <v>2325</v>
      </c>
      <c r="H376" s="11" t="s">
        <v>45</v>
      </c>
      <c r="I376" s="11">
        <v>6.39209007258E11</v>
      </c>
      <c r="J376" s="37">
        <v>45588.0</v>
      </c>
      <c r="K376" s="18"/>
      <c r="L376" s="11">
        <v>2.0250331E7</v>
      </c>
    </row>
    <row r="377">
      <c r="A377" s="9" t="s">
        <v>249</v>
      </c>
      <c r="B377" s="11" t="s">
        <v>30</v>
      </c>
      <c r="C377" s="11" t="s">
        <v>35</v>
      </c>
      <c r="D377" s="11" t="s">
        <v>37</v>
      </c>
      <c r="E377" s="36" t="s">
        <v>2328</v>
      </c>
      <c r="F377" s="36" t="s">
        <v>2329</v>
      </c>
      <c r="G377" s="36" t="s">
        <v>2330</v>
      </c>
      <c r="H377" s="11" t="s">
        <v>45</v>
      </c>
      <c r="I377" s="11">
        <v>6.39209541736E11</v>
      </c>
      <c r="J377" s="37">
        <v>45588.0</v>
      </c>
      <c r="K377" s="18"/>
      <c r="L377" s="11">
        <v>2.0250331E7</v>
      </c>
    </row>
    <row r="378">
      <c r="A378" s="9" t="s">
        <v>249</v>
      </c>
      <c r="B378" s="11" t="s">
        <v>30</v>
      </c>
      <c r="C378" s="11" t="s">
        <v>35</v>
      </c>
      <c r="D378" s="11" t="s">
        <v>37</v>
      </c>
      <c r="E378" s="36" t="s">
        <v>2335</v>
      </c>
      <c r="F378" s="36" t="s">
        <v>2336</v>
      </c>
      <c r="G378" s="36" t="s">
        <v>2337</v>
      </c>
      <c r="H378" s="11" t="s">
        <v>45</v>
      </c>
      <c r="I378" s="11">
        <v>6.39189356339E11</v>
      </c>
      <c r="J378" s="37">
        <v>45588.0</v>
      </c>
      <c r="K378" s="18"/>
      <c r="L378" s="11">
        <v>2.0250331E7</v>
      </c>
    </row>
    <row r="379">
      <c r="A379" s="9" t="s">
        <v>249</v>
      </c>
      <c r="B379" s="11" t="s">
        <v>30</v>
      </c>
      <c r="C379" s="11" t="s">
        <v>35</v>
      </c>
      <c r="D379" s="11" t="s">
        <v>37</v>
      </c>
      <c r="E379" s="36" t="s">
        <v>2340</v>
      </c>
      <c r="F379" s="36" t="s">
        <v>2341</v>
      </c>
      <c r="G379" s="36" t="s">
        <v>2343</v>
      </c>
      <c r="H379" s="11" t="s">
        <v>45</v>
      </c>
      <c r="I379" s="11">
        <v>6.39209510976E11</v>
      </c>
      <c r="J379" s="37">
        <v>45588.0</v>
      </c>
      <c r="K379" s="18"/>
      <c r="L379" s="11">
        <v>2.0250331E7</v>
      </c>
    </row>
    <row r="380">
      <c r="A380" s="9" t="s">
        <v>249</v>
      </c>
      <c r="B380" s="11" t="s">
        <v>30</v>
      </c>
      <c r="C380" s="11" t="s">
        <v>35</v>
      </c>
      <c r="D380" s="11" t="s">
        <v>37</v>
      </c>
      <c r="E380" s="36" t="s">
        <v>2345</v>
      </c>
      <c r="F380" s="36" t="s">
        <v>2346</v>
      </c>
      <c r="G380" s="36" t="s">
        <v>2347</v>
      </c>
      <c r="H380" s="11" t="s">
        <v>45</v>
      </c>
      <c r="I380" s="11">
        <v>6.39189116617E11</v>
      </c>
      <c r="J380" s="37">
        <v>45588.0</v>
      </c>
      <c r="K380" s="18"/>
      <c r="L380" s="11">
        <v>2.0250331E7</v>
      </c>
    </row>
    <row r="381">
      <c r="A381" s="9" t="s">
        <v>249</v>
      </c>
      <c r="B381" s="11" t="s">
        <v>30</v>
      </c>
      <c r="C381" s="11" t="s">
        <v>35</v>
      </c>
      <c r="D381" s="11" t="s">
        <v>37</v>
      </c>
      <c r="E381" s="36" t="s">
        <v>2348</v>
      </c>
      <c r="F381" s="36" t="s">
        <v>2349</v>
      </c>
      <c r="G381" s="36" t="s">
        <v>2352</v>
      </c>
      <c r="H381" s="11" t="s">
        <v>45</v>
      </c>
      <c r="I381" s="11">
        <v>6.39189003658E11</v>
      </c>
      <c r="J381" s="37">
        <v>45588.0</v>
      </c>
      <c r="K381" s="18"/>
      <c r="L381" s="11">
        <v>2.0250331E7</v>
      </c>
    </row>
    <row r="382">
      <c r="A382" s="9" t="s">
        <v>249</v>
      </c>
      <c r="B382" s="11" t="s">
        <v>30</v>
      </c>
      <c r="C382" s="11" t="s">
        <v>35</v>
      </c>
      <c r="D382" s="11" t="s">
        <v>37</v>
      </c>
      <c r="E382" s="36" t="s">
        <v>2355</v>
      </c>
      <c r="F382" s="36" t="s">
        <v>2356</v>
      </c>
      <c r="G382" s="36" t="s">
        <v>2357</v>
      </c>
      <c r="H382" s="11" t="s">
        <v>45</v>
      </c>
      <c r="I382" s="11">
        <v>6.39190706244E11</v>
      </c>
      <c r="J382" s="37">
        <v>45588.0</v>
      </c>
      <c r="K382" s="18"/>
      <c r="L382" s="11">
        <v>2.0250331E7</v>
      </c>
    </row>
    <row r="383">
      <c r="A383" s="9" t="s">
        <v>249</v>
      </c>
      <c r="B383" s="11" t="s">
        <v>30</v>
      </c>
      <c r="C383" s="11" t="s">
        <v>35</v>
      </c>
      <c r="D383" s="11" t="s">
        <v>37</v>
      </c>
      <c r="E383" s="36" t="s">
        <v>2358</v>
      </c>
      <c r="F383" s="36" t="s">
        <v>2359</v>
      </c>
      <c r="G383" s="36" t="s">
        <v>2360</v>
      </c>
      <c r="H383" s="11" t="s">
        <v>45</v>
      </c>
      <c r="I383" s="11">
        <v>6.39209513931E11</v>
      </c>
      <c r="J383" s="37">
        <v>45588.0</v>
      </c>
      <c r="K383" s="18"/>
      <c r="L383" s="11">
        <v>2.0250331E7</v>
      </c>
    </row>
    <row r="384">
      <c r="A384" s="9" t="s">
        <v>249</v>
      </c>
      <c r="B384" s="11" t="s">
        <v>30</v>
      </c>
      <c r="C384" s="11" t="s">
        <v>35</v>
      </c>
      <c r="D384" s="11" t="s">
        <v>37</v>
      </c>
      <c r="E384" s="36" t="s">
        <v>2363</v>
      </c>
      <c r="F384" s="36" t="s">
        <v>2364</v>
      </c>
      <c r="G384" s="36" t="s">
        <v>2365</v>
      </c>
      <c r="H384" s="11" t="s">
        <v>45</v>
      </c>
      <c r="I384" s="11">
        <v>6.39189131264E11</v>
      </c>
      <c r="J384" s="37">
        <v>45588.0</v>
      </c>
      <c r="K384" s="18"/>
      <c r="L384" s="11">
        <v>2.0250331E7</v>
      </c>
    </row>
    <row r="385">
      <c r="A385" s="9" t="s">
        <v>249</v>
      </c>
      <c r="B385" s="11" t="s">
        <v>30</v>
      </c>
      <c r="C385" s="11" t="s">
        <v>35</v>
      </c>
      <c r="D385" s="11" t="s">
        <v>37</v>
      </c>
      <c r="E385" s="36" t="s">
        <v>2368</v>
      </c>
      <c r="F385" s="36" t="s">
        <v>2369</v>
      </c>
      <c r="G385" s="36" t="s">
        <v>2370</v>
      </c>
      <c r="H385" s="11" t="s">
        <v>45</v>
      </c>
      <c r="I385" s="11">
        <v>6.39209589148E11</v>
      </c>
      <c r="J385" s="37">
        <v>45588.0</v>
      </c>
      <c r="K385" s="18"/>
      <c r="L385" s="11">
        <v>2.0250331E7</v>
      </c>
    </row>
    <row r="386">
      <c r="A386" s="9" t="s">
        <v>249</v>
      </c>
      <c r="B386" s="11" t="s">
        <v>30</v>
      </c>
      <c r="C386" s="11" t="s">
        <v>35</v>
      </c>
      <c r="D386" s="11" t="s">
        <v>37</v>
      </c>
      <c r="E386" s="36" t="s">
        <v>2371</v>
      </c>
      <c r="F386" s="36" t="s">
        <v>2372</v>
      </c>
      <c r="G386" s="36" t="s">
        <v>2373</v>
      </c>
      <c r="H386" s="11" t="s">
        <v>45</v>
      </c>
      <c r="I386" s="11">
        <v>6.39209009661E11</v>
      </c>
      <c r="J386" s="37">
        <v>45588.0</v>
      </c>
      <c r="K386" s="18"/>
      <c r="L386" s="11">
        <v>2.0250331E7</v>
      </c>
    </row>
    <row r="387">
      <c r="A387" s="9" t="s">
        <v>249</v>
      </c>
      <c r="B387" s="11" t="s">
        <v>30</v>
      </c>
      <c r="C387" s="11" t="s">
        <v>35</v>
      </c>
      <c r="D387" s="11" t="s">
        <v>37</v>
      </c>
      <c r="E387" s="36" t="s">
        <v>2375</v>
      </c>
      <c r="F387" s="36" t="s">
        <v>2377</v>
      </c>
      <c r="G387" s="36" t="s">
        <v>2378</v>
      </c>
      <c r="H387" s="11" t="s">
        <v>45</v>
      </c>
      <c r="I387" s="11">
        <v>6.39209517262E11</v>
      </c>
      <c r="J387" s="37">
        <v>45588.0</v>
      </c>
      <c r="K387" s="18"/>
      <c r="L387" s="11">
        <v>2.0250331E7</v>
      </c>
    </row>
    <row r="388">
      <c r="A388" s="9" t="s">
        <v>249</v>
      </c>
      <c r="B388" s="11" t="s">
        <v>30</v>
      </c>
      <c r="C388" s="11" t="s">
        <v>35</v>
      </c>
      <c r="D388" s="11" t="s">
        <v>37</v>
      </c>
      <c r="E388" s="36" t="s">
        <v>2381</v>
      </c>
      <c r="F388" s="36" t="s">
        <v>2382</v>
      </c>
      <c r="G388" s="36" t="s">
        <v>2383</v>
      </c>
      <c r="H388" s="11" t="s">
        <v>45</v>
      </c>
      <c r="I388" s="11">
        <v>6.39189132948E11</v>
      </c>
      <c r="J388" s="37">
        <v>45588.0</v>
      </c>
      <c r="K388" s="18"/>
      <c r="L388" s="11">
        <v>2.0250331E7</v>
      </c>
    </row>
    <row r="389">
      <c r="A389" s="9" t="s">
        <v>249</v>
      </c>
      <c r="B389" s="11" t="s">
        <v>30</v>
      </c>
      <c r="C389" s="11" t="s">
        <v>35</v>
      </c>
      <c r="D389" s="11" t="s">
        <v>37</v>
      </c>
      <c r="E389" s="36" t="s">
        <v>2386</v>
      </c>
      <c r="F389" s="36" t="s">
        <v>2387</v>
      </c>
      <c r="G389" s="36" t="s">
        <v>2388</v>
      </c>
      <c r="H389" s="11" t="s">
        <v>45</v>
      </c>
      <c r="I389" s="11">
        <v>6.3920945681E11</v>
      </c>
      <c r="J389" s="37">
        <v>45588.0</v>
      </c>
      <c r="K389" s="18"/>
      <c r="L389" s="11">
        <v>2.0250331E7</v>
      </c>
    </row>
    <row r="390">
      <c r="A390" s="9" t="s">
        <v>249</v>
      </c>
      <c r="B390" s="11" t="s">
        <v>30</v>
      </c>
      <c r="C390" s="11" t="s">
        <v>35</v>
      </c>
      <c r="D390" s="11" t="s">
        <v>37</v>
      </c>
      <c r="E390" s="36" t="s">
        <v>2392</v>
      </c>
      <c r="F390" s="36" t="s">
        <v>2393</v>
      </c>
      <c r="G390" s="36" t="s">
        <v>2394</v>
      </c>
      <c r="H390" s="11" t="s">
        <v>45</v>
      </c>
      <c r="I390" s="11">
        <v>6.3918934979E11</v>
      </c>
      <c r="J390" s="37">
        <v>45588.0</v>
      </c>
      <c r="K390" s="18"/>
      <c r="L390" s="11">
        <v>2.0250331E7</v>
      </c>
    </row>
    <row r="391">
      <c r="A391" s="9" t="s">
        <v>249</v>
      </c>
      <c r="B391" s="11" t="s">
        <v>30</v>
      </c>
      <c r="C391" s="11" t="s">
        <v>35</v>
      </c>
      <c r="D391" s="11" t="s">
        <v>37</v>
      </c>
      <c r="E391" s="36" t="s">
        <v>2396</v>
      </c>
      <c r="F391" s="36" t="s">
        <v>2397</v>
      </c>
      <c r="G391" s="36" t="s">
        <v>2398</v>
      </c>
      <c r="H391" s="11" t="s">
        <v>45</v>
      </c>
      <c r="I391" s="11">
        <v>6.39209257267E11</v>
      </c>
      <c r="J391" s="37">
        <v>45588.0</v>
      </c>
      <c r="K391" s="18"/>
      <c r="L391" s="11">
        <v>2.0250331E7</v>
      </c>
    </row>
    <row r="392">
      <c r="A392" s="9" t="s">
        <v>249</v>
      </c>
      <c r="B392" s="11" t="s">
        <v>30</v>
      </c>
      <c r="C392" s="11" t="s">
        <v>35</v>
      </c>
      <c r="D392" s="11" t="s">
        <v>37</v>
      </c>
      <c r="E392" s="36" t="s">
        <v>2403</v>
      </c>
      <c r="F392" s="36" t="s">
        <v>2404</v>
      </c>
      <c r="G392" s="36" t="s">
        <v>2405</v>
      </c>
      <c r="H392" s="11" t="s">
        <v>45</v>
      </c>
      <c r="I392" s="11">
        <v>6.39189068923E11</v>
      </c>
      <c r="J392" s="37">
        <v>45588.0</v>
      </c>
      <c r="K392" s="18"/>
      <c r="L392" s="11">
        <v>2.0250331E7</v>
      </c>
    </row>
    <row r="393">
      <c r="A393" s="9" t="s">
        <v>249</v>
      </c>
      <c r="B393" s="11" t="s">
        <v>30</v>
      </c>
      <c r="C393" s="11" t="s">
        <v>35</v>
      </c>
      <c r="D393" s="11" t="s">
        <v>37</v>
      </c>
      <c r="E393" s="36" t="s">
        <v>2406</v>
      </c>
      <c r="F393" s="36" t="s">
        <v>2407</v>
      </c>
      <c r="G393" s="36" t="s">
        <v>2408</v>
      </c>
      <c r="H393" s="11" t="s">
        <v>45</v>
      </c>
      <c r="I393" s="11">
        <v>6.39209255184E11</v>
      </c>
      <c r="J393" s="37">
        <v>45588.0</v>
      </c>
      <c r="K393" s="18"/>
      <c r="L393" s="11">
        <v>2.0250331E7</v>
      </c>
    </row>
    <row r="394">
      <c r="A394" s="9" t="s">
        <v>249</v>
      </c>
      <c r="B394" s="11" t="s">
        <v>30</v>
      </c>
      <c r="C394" s="11" t="s">
        <v>35</v>
      </c>
      <c r="D394" s="11" t="s">
        <v>37</v>
      </c>
      <c r="E394" s="36" t="s">
        <v>2411</v>
      </c>
      <c r="F394" s="36" t="s">
        <v>2413</v>
      </c>
      <c r="G394" s="36" t="s">
        <v>2414</v>
      </c>
      <c r="H394" s="11" t="s">
        <v>45</v>
      </c>
      <c r="I394" s="11">
        <v>6.39209021807E11</v>
      </c>
      <c r="J394" s="37">
        <v>45588.0</v>
      </c>
      <c r="K394" s="18"/>
      <c r="L394" s="11">
        <v>2.0250331E7</v>
      </c>
    </row>
    <row r="395">
      <c r="A395" s="9" t="s">
        <v>249</v>
      </c>
      <c r="B395" s="11" t="s">
        <v>30</v>
      </c>
      <c r="C395" s="11" t="s">
        <v>35</v>
      </c>
      <c r="D395" s="11" t="s">
        <v>37</v>
      </c>
      <c r="E395" s="36" t="s">
        <v>2417</v>
      </c>
      <c r="F395" s="36" t="s">
        <v>2418</v>
      </c>
      <c r="G395" s="36" t="s">
        <v>2420</v>
      </c>
      <c r="H395" s="11" t="s">
        <v>45</v>
      </c>
      <c r="I395" s="11">
        <v>6.39209547759E11</v>
      </c>
      <c r="J395" s="37">
        <v>45588.0</v>
      </c>
      <c r="K395" s="18"/>
      <c r="L395" s="11">
        <v>2.0250331E7</v>
      </c>
    </row>
    <row r="396">
      <c r="A396" s="9" t="s">
        <v>249</v>
      </c>
      <c r="B396" s="11" t="s">
        <v>30</v>
      </c>
      <c r="C396" s="11" t="s">
        <v>35</v>
      </c>
      <c r="D396" s="11" t="s">
        <v>37</v>
      </c>
      <c r="E396" s="36" t="s">
        <v>2421</v>
      </c>
      <c r="F396" s="36" t="s">
        <v>2422</v>
      </c>
      <c r="G396" s="36" t="s">
        <v>2423</v>
      </c>
      <c r="H396" s="11" t="s">
        <v>45</v>
      </c>
      <c r="I396" s="11">
        <v>6.39190036091E11</v>
      </c>
      <c r="J396" s="37">
        <v>45588.0</v>
      </c>
      <c r="K396" s="18"/>
      <c r="L396" s="11">
        <v>2.0250331E7</v>
      </c>
    </row>
    <row r="397">
      <c r="A397" s="9" t="s">
        <v>249</v>
      </c>
      <c r="B397" s="11" t="s">
        <v>30</v>
      </c>
      <c r="C397" s="11" t="s">
        <v>35</v>
      </c>
      <c r="D397" s="11" t="s">
        <v>37</v>
      </c>
      <c r="E397" s="36" t="s">
        <v>2427</v>
      </c>
      <c r="F397" s="36" t="s">
        <v>2428</v>
      </c>
      <c r="G397" s="36" t="s">
        <v>2430</v>
      </c>
      <c r="H397" s="11" t="s">
        <v>45</v>
      </c>
      <c r="I397" s="11">
        <v>6.3920907337E11</v>
      </c>
      <c r="J397" s="37">
        <v>45588.0</v>
      </c>
      <c r="K397" s="18"/>
      <c r="L397" s="11">
        <v>2.0250331E7</v>
      </c>
    </row>
    <row r="398">
      <c r="A398" s="9" t="s">
        <v>249</v>
      </c>
      <c r="B398" s="11" t="s">
        <v>30</v>
      </c>
      <c r="C398" s="11" t="s">
        <v>35</v>
      </c>
      <c r="D398" s="11" t="s">
        <v>37</v>
      </c>
      <c r="E398" s="36" t="s">
        <v>2433</v>
      </c>
      <c r="F398" s="36" t="s">
        <v>2434</v>
      </c>
      <c r="G398" s="36" t="s">
        <v>2436</v>
      </c>
      <c r="H398" s="11" t="s">
        <v>45</v>
      </c>
      <c r="I398" s="11">
        <v>6.39189382987E11</v>
      </c>
      <c r="J398" s="37">
        <v>45588.0</v>
      </c>
      <c r="K398" s="18"/>
      <c r="L398" s="11">
        <v>2.0250331E7</v>
      </c>
    </row>
    <row r="399">
      <c r="A399" s="9" t="s">
        <v>249</v>
      </c>
      <c r="B399" s="11" t="s">
        <v>30</v>
      </c>
      <c r="C399" s="11" t="s">
        <v>35</v>
      </c>
      <c r="D399" s="11" t="s">
        <v>37</v>
      </c>
      <c r="E399" s="36" t="s">
        <v>2440</v>
      </c>
      <c r="F399" s="36" t="s">
        <v>2441</v>
      </c>
      <c r="G399" s="36" t="s">
        <v>2442</v>
      </c>
      <c r="H399" s="11" t="s">
        <v>45</v>
      </c>
      <c r="I399" s="11">
        <v>6.39189306399E11</v>
      </c>
      <c r="J399" s="37">
        <v>45588.0</v>
      </c>
      <c r="K399" s="18"/>
      <c r="L399" s="11">
        <v>2.0250331E7</v>
      </c>
    </row>
    <row r="400">
      <c r="A400" s="9" t="s">
        <v>249</v>
      </c>
      <c r="B400" s="11" t="s">
        <v>30</v>
      </c>
      <c r="C400" s="11" t="s">
        <v>35</v>
      </c>
      <c r="D400" s="11" t="s">
        <v>37</v>
      </c>
      <c r="E400" s="36" t="s">
        <v>2443</v>
      </c>
      <c r="F400" s="36" t="s">
        <v>2445</v>
      </c>
      <c r="G400" s="36" t="s">
        <v>2447</v>
      </c>
      <c r="H400" s="11" t="s">
        <v>45</v>
      </c>
      <c r="I400" s="11">
        <v>6.39189178268E11</v>
      </c>
      <c r="J400" s="37">
        <v>45588.0</v>
      </c>
      <c r="K400" s="18"/>
      <c r="L400" s="11">
        <v>2.0250331E7</v>
      </c>
    </row>
    <row r="401">
      <c r="A401" s="9" t="s">
        <v>249</v>
      </c>
      <c r="B401" s="11" t="s">
        <v>30</v>
      </c>
      <c r="C401" s="11" t="s">
        <v>35</v>
      </c>
      <c r="D401" s="11" t="s">
        <v>37</v>
      </c>
      <c r="E401" s="36" t="s">
        <v>2450</v>
      </c>
      <c r="F401" s="36" t="s">
        <v>2451</v>
      </c>
      <c r="G401" s="36" t="s">
        <v>2452</v>
      </c>
      <c r="H401" s="11" t="s">
        <v>45</v>
      </c>
      <c r="I401" s="11">
        <v>6.39189016483E11</v>
      </c>
      <c r="J401" s="37">
        <v>45588.0</v>
      </c>
      <c r="K401" s="18"/>
      <c r="L401" s="11">
        <v>2.0250331E7</v>
      </c>
    </row>
    <row r="402">
      <c r="A402" s="9" t="s">
        <v>249</v>
      </c>
      <c r="B402" s="11" t="s">
        <v>30</v>
      </c>
      <c r="C402" s="11" t="s">
        <v>35</v>
      </c>
      <c r="D402" s="11" t="s">
        <v>37</v>
      </c>
      <c r="E402" s="36" t="s">
        <v>2453</v>
      </c>
      <c r="F402" s="36" t="s">
        <v>2454</v>
      </c>
      <c r="G402" s="36" t="s">
        <v>2455</v>
      </c>
      <c r="H402" s="11" t="s">
        <v>45</v>
      </c>
      <c r="I402" s="11">
        <v>6.39209240691E11</v>
      </c>
      <c r="J402" s="37">
        <v>45588.0</v>
      </c>
      <c r="K402" s="18"/>
      <c r="L402" s="11">
        <v>2.0250331E7</v>
      </c>
    </row>
    <row r="403">
      <c r="A403" s="9" t="s">
        <v>249</v>
      </c>
      <c r="B403" s="11" t="s">
        <v>30</v>
      </c>
      <c r="C403" s="11" t="s">
        <v>35</v>
      </c>
      <c r="D403" s="11" t="s">
        <v>37</v>
      </c>
      <c r="E403" s="36" t="s">
        <v>2458</v>
      </c>
      <c r="F403" s="36" t="s">
        <v>2460</v>
      </c>
      <c r="G403" s="36" t="s">
        <v>2461</v>
      </c>
      <c r="H403" s="11" t="s">
        <v>45</v>
      </c>
      <c r="I403" s="11">
        <v>6.39209611745E11</v>
      </c>
      <c r="J403" s="37">
        <v>45588.0</v>
      </c>
      <c r="K403" s="18"/>
      <c r="L403" s="11">
        <v>2.0250331E7</v>
      </c>
    </row>
    <row r="404">
      <c r="A404" s="9" t="s">
        <v>249</v>
      </c>
      <c r="B404" s="11" t="s">
        <v>30</v>
      </c>
      <c r="C404" s="11" t="s">
        <v>35</v>
      </c>
      <c r="D404" s="11" t="s">
        <v>37</v>
      </c>
      <c r="E404" s="36" t="s">
        <v>2463</v>
      </c>
      <c r="F404" s="36" t="s">
        <v>2464</v>
      </c>
      <c r="G404" s="36" t="s">
        <v>2465</v>
      </c>
      <c r="H404" s="11" t="s">
        <v>45</v>
      </c>
      <c r="I404" s="11">
        <v>6.39189048007E11</v>
      </c>
      <c r="J404" s="37">
        <v>45588.0</v>
      </c>
      <c r="K404" s="18"/>
      <c r="L404" s="11">
        <v>2.0250331E7</v>
      </c>
    </row>
    <row r="405">
      <c r="A405" s="9" t="s">
        <v>249</v>
      </c>
      <c r="B405" s="11" t="s">
        <v>30</v>
      </c>
      <c r="C405" s="11" t="s">
        <v>35</v>
      </c>
      <c r="D405" s="11" t="s">
        <v>37</v>
      </c>
      <c r="E405" s="36" t="s">
        <v>2466</v>
      </c>
      <c r="F405" s="36" t="s">
        <v>2467</v>
      </c>
      <c r="G405" s="36" t="s">
        <v>2468</v>
      </c>
      <c r="H405" s="11" t="s">
        <v>45</v>
      </c>
      <c r="I405" s="11">
        <v>6.39189132694E11</v>
      </c>
      <c r="J405" s="37">
        <v>45588.0</v>
      </c>
      <c r="K405" s="18"/>
      <c r="L405" s="11">
        <v>2.0250331E7</v>
      </c>
    </row>
    <row r="406">
      <c r="A406" s="9" t="s">
        <v>249</v>
      </c>
      <c r="B406" s="11" t="s">
        <v>30</v>
      </c>
      <c r="C406" s="11" t="s">
        <v>35</v>
      </c>
      <c r="D406" s="11" t="s">
        <v>37</v>
      </c>
      <c r="E406" s="36" t="s">
        <v>2471</v>
      </c>
      <c r="F406" s="36" t="s">
        <v>2473</v>
      </c>
      <c r="G406" s="36" t="s">
        <v>2474</v>
      </c>
      <c r="H406" s="11" t="s">
        <v>45</v>
      </c>
      <c r="I406" s="11">
        <v>6.39189418782E11</v>
      </c>
      <c r="J406" s="37">
        <v>45588.0</v>
      </c>
      <c r="K406" s="18"/>
      <c r="L406" s="11">
        <v>2.0250331E7</v>
      </c>
    </row>
    <row r="407">
      <c r="A407" s="9" t="s">
        <v>249</v>
      </c>
      <c r="B407" s="11" t="s">
        <v>30</v>
      </c>
      <c r="C407" s="11" t="s">
        <v>35</v>
      </c>
      <c r="D407" s="11" t="s">
        <v>37</v>
      </c>
      <c r="E407" s="36" t="s">
        <v>2476</v>
      </c>
      <c r="F407" s="36" t="s">
        <v>2477</v>
      </c>
      <c r="G407" s="36" t="s">
        <v>2478</v>
      </c>
      <c r="H407" s="11" t="s">
        <v>45</v>
      </c>
      <c r="I407" s="11">
        <v>6.3918909859E11</v>
      </c>
      <c r="J407" s="37">
        <v>45588.0</v>
      </c>
      <c r="K407" s="18"/>
      <c r="L407" s="11">
        <v>2.0250331E7</v>
      </c>
    </row>
    <row r="408">
      <c r="A408" s="9" t="s">
        <v>249</v>
      </c>
      <c r="B408" s="11" t="s">
        <v>30</v>
      </c>
      <c r="C408" s="11" t="s">
        <v>35</v>
      </c>
      <c r="D408" s="11" t="s">
        <v>37</v>
      </c>
      <c r="E408" s="36" t="s">
        <v>2479</v>
      </c>
      <c r="F408" s="36" t="s">
        <v>2480</v>
      </c>
      <c r="G408" s="36" t="s">
        <v>2481</v>
      </c>
      <c r="H408" s="11" t="s">
        <v>45</v>
      </c>
      <c r="I408" s="11">
        <v>6.39199113576E11</v>
      </c>
      <c r="J408" s="37">
        <v>45588.0</v>
      </c>
      <c r="K408" s="18"/>
      <c r="L408" s="11">
        <v>2.0250331E7</v>
      </c>
    </row>
    <row r="409">
      <c r="A409" s="9" t="s">
        <v>249</v>
      </c>
      <c r="B409" s="11" t="s">
        <v>30</v>
      </c>
      <c r="C409" s="11" t="s">
        <v>35</v>
      </c>
      <c r="D409" s="11" t="s">
        <v>37</v>
      </c>
      <c r="E409" s="36" t="s">
        <v>2485</v>
      </c>
      <c r="F409" s="36" t="s">
        <v>2486</v>
      </c>
      <c r="G409" s="36" t="s">
        <v>2487</v>
      </c>
      <c r="H409" s="11" t="s">
        <v>45</v>
      </c>
      <c r="I409" s="11">
        <v>6.39189352902E11</v>
      </c>
      <c r="J409" s="37">
        <v>45588.0</v>
      </c>
      <c r="K409" s="18"/>
      <c r="L409" s="11">
        <v>2.0250331E7</v>
      </c>
    </row>
    <row r="410">
      <c r="A410" s="9" t="s">
        <v>249</v>
      </c>
      <c r="B410" s="11" t="s">
        <v>30</v>
      </c>
      <c r="C410" s="11" t="s">
        <v>35</v>
      </c>
      <c r="D410" s="11" t="s">
        <v>37</v>
      </c>
      <c r="E410" s="36" t="s">
        <v>2489</v>
      </c>
      <c r="F410" s="36" t="s">
        <v>2490</v>
      </c>
      <c r="G410" s="36" t="s">
        <v>2491</v>
      </c>
      <c r="H410" s="11" t="s">
        <v>45</v>
      </c>
      <c r="I410" s="11">
        <v>6.39189106594E11</v>
      </c>
      <c r="J410" s="37">
        <v>45588.0</v>
      </c>
      <c r="K410" s="18"/>
      <c r="L410" s="11">
        <v>2.0250331E7</v>
      </c>
    </row>
    <row r="411">
      <c r="A411" s="9" t="s">
        <v>249</v>
      </c>
      <c r="B411" s="11" t="s">
        <v>30</v>
      </c>
      <c r="C411" s="11" t="s">
        <v>35</v>
      </c>
      <c r="D411" s="11" t="s">
        <v>37</v>
      </c>
      <c r="E411" s="36" t="s">
        <v>2492</v>
      </c>
      <c r="F411" s="36" t="s">
        <v>2493</v>
      </c>
      <c r="G411" s="36" t="s">
        <v>2494</v>
      </c>
      <c r="H411" s="11" t="s">
        <v>45</v>
      </c>
      <c r="I411" s="11">
        <v>6.39189073938E11</v>
      </c>
      <c r="J411" s="37">
        <v>45588.0</v>
      </c>
      <c r="K411" s="18"/>
      <c r="L411" s="11">
        <v>2.0250331E7</v>
      </c>
    </row>
    <row r="412">
      <c r="A412" s="9" t="s">
        <v>249</v>
      </c>
      <c r="B412" s="11" t="s">
        <v>30</v>
      </c>
      <c r="C412" s="11" t="s">
        <v>35</v>
      </c>
      <c r="D412" s="11" t="s">
        <v>37</v>
      </c>
      <c r="E412" s="36" t="s">
        <v>2499</v>
      </c>
      <c r="F412" s="36" t="s">
        <v>2500</v>
      </c>
      <c r="G412" s="36" t="s">
        <v>2501</v>
      </c>
      <c r="H412" s="11" t="s">
        <v>45</v>
      </c>
      <c r="I412" s="11">
        <v>6.39209493911E11</v>
      </c>
      <c r="J412" s="37">
        <v>45588.0</v>
      </c>
      <c r="K412" s="18"/>
      <c r="L412" s="11">
        <v>2.0250331E7</v>
      </c>
    </row>
    <row r="413">
      <c r="A413" s="9" t="s">
        <v>249</v>
      </c>
      <c r="B413" s="11" t="s">
        <v>30</v>
      </c>
      <c r="C413" s="11" t="s">
        <v>35</v>
      </c>
      <c r="D413" s="11" t="s">
        <v>37</v>
      </c>
      <c r="E413" s="36" t="s">
        <v>2502</v>
      </c>
      <c r="F413" s="36" t="s">
        <v>2503</v>
      </c>
      <c r="G413" s="36" t="s">
        <v>2504</v>
      </c>
      <c r="H413" s="11" t="s">
        <v>45</v>
      </c>
      <c r="I413" s="11">
        <v>6.39209525507E11</v>
      </c>
      <c r="J413" s="37">
        <v>45588.0</v>
      </c>
      <c r="K413" s="18"/>
      <c r="L413" s="11">
        <v>2.0250331E7</v>
      </c>
    </row>
    <row r="414">
      <c r="A414" s="9" t="s">
        <v>249</v>
      </c>
      <c r="B414" s="11" t="s">
        <v>30</v>
      </c>
      <c r="C414" s="11" t="s">
        <v>35</v>
      </c>
      <c r="D414" s="11" t="s">
        <v>37</v>
      </c>
      <c r="E414" s="36" t="s">
        <v>2507</v>
      </c>
      <c r="F414" s="36" t="s">
        <v>2508</v>
      </c>
      <c r="G414" s="36" t="s">
        <v>2510</v>
      </c>
      <c r="H414" s="11" t="s">
        <v>45</v>
      </c>
      <c r="I414" s="11">
        <v>6.39399293719E11</v>
      </c>
      <c r="J414" s="37">
        <v>45588.0</v>
      </c>
      <c r="K414" s="18"/>
      <c r="L414" s="11">
        <v>2.0250331E7</v>
      </c>
    </row>
    <row r="415">
      <c r="A415" s="9" t="s">
        <v>249</v>
      </c>
      <c r="B415" s="11" t="s">
        <v>30</v>
      </c>
      <c r="C415" s="11" t="s">
        <v>35</v>
      </c>
      <c r="D415" s="11" t="s">
        <v>37</v>
      </c>
      <c r="E415" s="36" t="s">
        <v>2512</v>
      </c>
      <c r="F415" s="36" t="s">
        <v>2513</v>
      </c>
      <c r="G415" s="36" t="s">
        <v>2515</v>
      </c>
      <c r="H415" s="11" t="s">
        <v>45</v>
      </c>
      <c r="I415" s="11">
        <v>6.3920913371E11</v>
      </c>
      <c r="J415" s="37">
        <v>45588.0</v>
      </c>
      <c r="K415" s="18"/>
      <c r="L415" s="11">
        <v>2.0250331E7</v>
      </c>
    </row>
    <row r="416">
      <c r="A416" s="9" t="s">
        <v>249</v>
      </c>
      <c r="B416" s="11" t="s">
        <v>30</v>
      </c>
      <c r="C416" s="11" t="s">
        <v>35</v>
      </c>
      <c r="D416" s="11" t="s">
        <v>37</v>
      </c>
      <c r="E416" s="36" t="s">
        <v>2517</v>
      </c>
      <c r="F416" s="36" t="s">
        <v>2518</v>
      </c>
      <c r="G416" s="36" t="s">
        <v>2519</v>
      </c>
      <c r="H416" s="11" t="s">
        <v>45</v>
      </c>
      <c r="I416" s="11">
        <v>6.39209100954E11</v>
      </c>
      <c r="J416" s="37">
        <v>45588.0</v>
      </c>
      <c r="K416" s="18"/>
      <c r="L416" s="11">
        <v>2.0250331E7</v>
      </c>
    </row>
    <row r="417">
      <c r="A417" s="9" t="s">
        <v>249</v>
      </c>
      <c r="B417" s="11" t="s">
        <v>30</v>
      </c>
      <c r="C417" s="11" t="s">
        <v>35</v>
      </c>
      <c r="D417" s="11" t="s">
        <v>37</v>
      </c>
      <c r="E417" s="36" t="s">
        <v>2520</v>
      </c>
      <c r="F417" s="36" t="s">
        <v>2521</v>
      </c>
      <c r="G417" s="36" t="s">
        <v>2522</v>
      </c>
      <c r="H417" s="11" t="s">
        <v>45</v>
      </c>
      <c r="I417" s="11">
        <v>6.39189284374E11</v>
      </c>
      <c r="J417" s="37">
        <v>45588.0</v>
      </c>
      <c r="K417" s="18"/>
      <c r="L417" s="11">
        <v>2.0250331E7</v>
      </c>
    </row>
    <row r="418">
      <c r="A418" s="9" t="s">
        <v>249</v>
      </c>
      <c r="B418" s="11" t="s">
        <v>30</v>
      </c>
      <c r="C418" s="11" t="s">
        <v>35</v>
      </c>
      <c r="D418" s="11" t="s">
        <v>37</v>
      </c>
      <c r="E418" s="36" t="s">
        <v>2526</v>
      </c>
      <c r="F418" s="36" t="s">
        <v>2528</v>
      </c>
      <c r="G418" s="36" t="s">
        <v>2529</v>
      </c>
      <c r="H418" s="11" t="s">
        <v>45</v>
      </c>
      <c r="I418" s="11">
        <v>6.3918924133E11</v>
      </c>
      <c r="J418" s="37">
        <v>45588.0</v>
      </c>
      <c r="K418" s="18"/>
      <c r="L418" s="11">
        <v>2.0250331E7</v>
      </c>
    </row>
    <row r="419">
      <c r="A419" s="9" t="s">
        <v>249</v>
      </c>
      <c r="B419" s="11" t="s">
        <v>30</v>
      </c>
      <c r="C419" s="11" t="s">
        <v>35</v>
      </c>
      <c r="D419" s="11" t="s">
        <v>37</v>
      </c>
      <c r="E419" s="36" t="s">
        <v>2530</v>
      </c>
      <c r="F419" s="36" t="s">
        <v>2531</v>
      </c>
      <c r="G419" s="36" t="s">
        <v>2532</v>
      </c>
      <c r="H419" s="11" t="s">
        <v>45</v>
      </c>
      <c r="I419" s="11">
        <v>6.39189161844E11</v>
      </c>
      <c r="J419" s="37">
        <v>45588.0</v>
      </c>
      <c r="K419" s="18"/>
      <c r="L419" s="11">
        <v>2.0250331E7</v>
      </c>
    </row>
    <row r="420">
      <c r="A420" s="9" t="s">
        <v>249</v>
      </c>
      <c r="B420" s="11" t="s">
        <v>30</v>
      </c>
      <c r="C420" s="11" t="s">
        <v>35</v>
      </c>
      <c r="D420" s="11" t="s">
        <v>37</v>
      </c>
      <c r="E420" s="36" t="s">
        <v>2533</v>
      </c>
      <c r="F420" s="36" t="s">
        <v>2534</v>
      </c>
      <c r="G420" s="36" t="s">
        <v>2535</v>
      </c>
      <c r="H420" s="11" t="s">
        <v>45</v>
      </c>
      <c r="I420" s="11">
        <v>6.39209239793E11</v>
      </c>
      <c r="J420" s="37">
        <v>45588.0</v>
      </c>
      <c r="K420" s="18"/>
      <c r="L420" s="11">
        <v>2.0250331E7</v>
      </c>
    </row>
    <row r="421">
      <c r="A421" s="9" t="s">
        <v>249</v>
      </c>
      <c r="B421" s="11" t="s">
        <v>30</v>
      </c>
      <c r="C421" s="11" t="s">
        <v>35</v>
      </c>
      <c r="D421" s="11" t="s">
        <v>37</v>
      </c>
      <c r="E421" s="36" t="s">
        <v>2540</v>
      </c>
      <c r="F421" s="36" t="s">
        <v>2541</v>
      </c>
      <c r="G421" s="36" t="s">
        <v>2542</v>
      </c>
      <c r="H421" s="11" t="s">
        <v>45</v>
      </c>
      <c r="I421" s="11">
        <v>6.3918905914E11</v>
      </c>
      <c r="J421" s="37">
        <v>45588.0</v>
      </c>
      <c r="K421" s="18"/>
      <c r="L421" s="11">
        <v>2.0250331E7</v>
      </c>
    </row>
    <row r="422">
      <c r="A422" s="9" t="s">
        <v>249</v>
      </c>
      <c r="B422" s="11" t="s">
        <v>30</v>
      </c>
      <c r="C422" s="11" t="s">
        <v>35</v>
      </c>
      <c r="D422" s="11" t="s">
        <v>37</v>
      </c>
      <c r="E422" s="36" t="s">
        <v>2543</v>
      </c>
      <c r="F422" s="36" t="s">
        <v>2544</v>
      </c>
      <c r="G422" s="36" t="s">
        <v>2546</v>
      </c>
      <c r="H422" s="11" t="s">
        <v>45</v>
      </c>
      <c r="I422" s="11">
        <v>6.39209612478E11</v>
      </c>
      <c r="J422" s="37">
        <v>45588.0</v>
      </c>
      <c r="K422" s="18"/>
      <c r="L422" s="11">
        <v>2.0250331E7</v>
      </c>
    </row>
    <row r="423">
      <c r="A423" s="9" t="s">
        <v>249</v>
      </c>
      <c r="B423" s="11" t="s">
        <v>30</v>
      </c>
      <c r="C423" s="11" t="s">
        <v>35</v>
      </c>
      <c r="D423" s="11" t="s">
        <v>37</v>
      </c>
      <c r="E423" s="36" t="s">
        <v>2550</v>
      </c>
      <c r="F423" s="36" t="s">
        <v>2551</v>
      </c>
      <c r="G423" s="36" t="s">
        <v>2552</v>
      </c>
      <c r="H423" s="11" t="s">
        <v>45</v>
      </c>
      <c r="I423" s="11">
        <v>6.39189066895E11</v>
      </c>
      <c r="J423" s="37">
        <v>45588.0</v>
      </c>
      <c r="K423" s="18"/>
      <c r="L423" s="11">
        <v>2.0250331E7</v>
      </c>
    </row>
    <row r="424">
      <c r="A424" s="9" t="s">
        <v>249</v>
      </c>
      <c r="B424" s="11" t="s">
        <v>30</v>
      </c>
      <c r="C424" s="11" t="s">
        <v>35</v>
      </c>
      <c r="D424" s="11" t="s">
        <v>37</v>
      </c>
      <c r="E424" s="36" t="s">
        <v>2553</v>
      </c>
      <c r="F424" s="36" t="s">
        <v>2554</v>
      </c>
      <c r="G424" s="36" t="s">
        <v>2555</v>
      </c>
      <c r="H424" s="11" t="s">
        <v>45</v>
      </c>
      <c r="I424" s="11">
        <v>6.39189910572E11</v>
      </c>
      <c r="J424" s="37">
        <v>45588.0</v>
      </c>
      <c r="K424" s="18"/>
      <c r="L424" s="11">
        <v>2.0250331E7</v>
      </c>
    </row>
    <row r="425">
      <c r="A425" s="9" t="s">
        <v>249</v>
      </c>
      <c r="B425" s="11" t="s">
        <v>30</v>
      </c>
      <c r="C425" s="11" t="s">
        <v>35</v>
      </c>
      <c r="D425" s="11" t="s">
        <v>37</v>
      </c>
      <c r="E425" s="36" t="s">
        <v>2558</v>
      </c>
      <c r="F425" s="36" t="s">
        <v>2559</v>
      </c>
      <c r="G425" s="36" t="s">
        <v>2560</v>
      </c>
      <c r="H425" s="11" t="s">
        <v>45</v>
      </c>
      <c r="I425" s="11">
        <v>6.39189209239E11</v>
      </c>
      <c r="J425" s="37">
        <v>45588.0</v>
      </c>
      <c r="K425" s="18"/>
      <c r="L425" s="11">
        <v>2.0250331E7</v>
      </c>
    </row>
    <row r="426">
      <c r="A426" s="9" t="s">
        <v>249</v>
      </c>
      <c r="B426" s="11" t="s">
        <v>30</v>
      </c>
      <c r="C426" s="11" t="s">
        <v>35</v>
      </c>
      <c r="D426" s="11" t="s">
        <v>37</v>
      </c>
      <c r="E426" s="36" t="s">
        <v>2563</v>
      </c>
      <c r="F426" s="36" t="s">
        <v>2564</v>
      </c>
      <c r="G426" s="36" t="s">
        <v>2565</v>
      </c>
      <c r="H426" s="11" t="s">
        <v>45</v>
      </c>
      <c r="I426" s="11">
        <v>6.39189334895E11</v>
      </c>
      <c r="J426" s="37">
        <v>45588.0</v>
      </c>
      <c r="K426" s="18"/>
      <c r="L426" s="11">
        <v>2.0250331E7</v>
      </c>
    </row>
    <row r="427">
      <c r="A427" s="9" t="s">
        <v>249</v>
      </c>
      <c r="B427" s="11" t="s">
        <v>30</v>
      </c>
      <c r="C427" s="11" t="s">
        <v>35</v>
      </c>
      <c r="D427" s="11" t="s">
        <v>37</v>
      </c>
      <c r="E427" s="36" t="s">
        <v>2566</v>
      </c>
      <c r="F427" s="36" t="s">
        <v>2567</v>
      </c>
      <c r="G427" s="36" t="s">
        <v>2569</v>
      </c>
      <c r="H427" s="11" t="s">
        <v>45</v>
      </c>
      <c r="I427" s="11">
        <v>6.39399214423E11</v>
      </c>
      <c r="J427" s="37">
        <v>45588.0</v>
      </c>
      <c r="K427" s="18"/>
      <c r="L427" s="11">
        <v>2.0250331E7</v>
      </c>
    </row>
    <row r="428">
      <c r="A428" s="9" t="s">
        <v>249</v>
      </c>
      <c r="B428" s="11" t="s">
        <v>30</v>
      </c>
      <c r="C428" s="11" t="s">
        <v>35</v>
      </c>
      <c r="D428" s="11" t="s">
        <v>37</v>
      </c>
      <c r="E428" s="36" t="s">
        <v>2573</v>
      </c>
      <c r="F428" s="36" t="s">
        <v>2574</v>
      </c>
      <c r="G428" s="36" t="s">
        <v>2575</v>
      </c>
      <c r="H428" s="11" t="s">
        <v>45</v>
      </c>
      <c r="I428" s="11">
        <v>6.39209701775E11</v>
      </c>
      <c r="J428" s="37">
        <v>45588.0</v>
      </c>
      <c r="K428" s="18"/>
      <c r="L428" s="11">
        <v>2.0250331E7</v>
      </c>
    </row>
    <row r="429">
      <c r="A429" s="9" t="s">
        <v>249</v>
      </c>
      <c r="B429" s="11" t="s">
        <v>30</v>
      </c>
      <c r="C429" s="11" t="s">
        <v>35</v>
      </c>
      <c r="D429" s="11" t="s">
        <v>37</v>
      </c>
      <c r="E429" s="36" t="s">
        <v>2576</v>
      </c>
      <c r="F429" s="36" t="s">
        <v>2577</v>
      </c>
      <c r="G429" s="36" t="s">
        <v>2578</v>
      </c>
      <c r="H429" s="11" t="s">
        <v>45</v>
      </c>
      <c r="I429" s="11">
        <v>6.39189095313E11</v>
      </c>
      <c r="J429" s="37">
        <v>45588.0</v>
      </c>
      <c r="K429" s="18"/>
      <c r="L429" s="11">
        <v>2.0250331E7</v>
      </c>
    </row>
    <row r="430">
      <c r="A430" s="9" t="s">
        <v>249</v>
      </c>
      <c r="B430" s="11" t="s">
        <v>30</v>
      </c>
      <c r="C430" s="11" t="s">
        <v>35</v>
      </c>
      <c r="D430" s="11" t="s">
        <v>37</v>
      </c>
      <c r="E430" s="36" t="s">
        <v>2581</v>
      </c>
      <c r="F430" s="36" t="s">
        <v>2582</v>
      </c>
      <c r="G430" s="36" t="s">
        <v>2584</v>
      </c>
      <c r="H430" s="11" t="s">
        <v>45</v>
      </c>
      <c r="I430" s="11">
        <v>6.39189049689E11</v>
      </c>
      <c r="J430" s="37">
        <v>45588.0</v>
      </c>
      <c r="K430" s="18"/>
      <c r="L430" s="11">
        <v>2.0250331E7</v>
      </c>
    </row>
    <row r="431">
      <c r="A431" s="9" t="s">
        <v>249</v>
      </c>
      <c r="B431" s="11" t="s">
        <v>30</v>
      </c>
      <c r="C431" s="11" t="s">
        <v>35</v>
      </c>
      <c r="D431" s="11" t="s">
        <v>37</v>
      </c>
      <c r="E431" s="36" t="s">
        <v>2588</v>
      </c>
      <c r="F431" s="36" t="s">
        <v>2589</v>
      </c>
      <c r="G431" s="36" t="s">
        <v>2590</v>
      </c>
      <c r="H431" s="11" t="s">
        <v>45</v>
      </c>
      <c r="I431" s="11">
        <v>6.39189286209E11</v>
      </c>
      <c r="J431" s="37">
        <v>45588.0</v>
      </c>
      <c r="K431" s="18"/>
      <c r="L431" s="11">
        <v>2.0250331E7</v>
      </c>
    </row>
    <row r="432">
      <c r="A432" s="9" t="s">
        <v>249</v>
      </c>
      <c r="B432" s="11" t="s">
        <v>30</v>
      </c>
      <c r="C432" s="11" t="s">
        <v>35</v>
      </c>
      <c r="D432" s="11" t="s">
        <v>37</v>
      </c>
      <c r="E432" s="36" t="s">
        <v>2594</v>
      </c>
      <c r="F432" s="36" t="s">
        <v>2595</v>
      </c>
      <c r="G432" s="36" t="s">
        <v>2597</v>
      </c>
      <c r="H432" s="11" t="s">
        <v>45</v>
      </c>
      <c r="I432" s="11">
        <v>6.39189298644E11</v>
      </c>
      <c r="J432" s="37">
        <v>45588.0</v>
      </c>
      <c r="K432" s="18"/>
      <c r="L432" s="11">
        <v>2.0250331E7</v>
      </c>
    </row>
    <row r="433">
      <c r="A433" s="9" t="s">
        <v>249</v>
      </c>
      <c r="B433" s="11" t="s">
        <v>30</v>
      </c>
      <c r="C433" s="11" t="s">
        <v>35</v>
      </c>
      <c r="D433" s="11" t="s">
        <v>37</v>
      </c>
      <c r="E433" s="36" t="s">
        <v>2598</v>
      </c>
      <c r="F433" s="36" t="s">
        <v>2599</v>
      </c>
      <c r="G433" s="36" t="s">
        <v>2600</v>
      </c>
      <c r="H433" s="11" t="s">
        <v>45</v>
      </c>
      <c r="I433" s="11">
        <v>6.39189194917E11</v>
      </c>
      <c r="J433" s="37">
        <v>45588.0</v>
      </c>
      <c r="K433" s="18"/>
      <c r="L433" s="11">
        <v>2.0250331E7</v>
      </c>
    </row>
    <row r="434">
      <c r="A434" s="9" t="s">
        <v>249</v>
      </c>
      <c r="B434" s="11" t="s">
        <v>30</v>
      </c>
      <c r="C434" s="11" t="s">
        <v>35</v>
      </c>
      <c r="D434" s="11" t="s">
        <v>37</v>
      </c>
      <c r="E434" s="36" t="s">
        <v>2601</v>
      </c>
      <c r="F434" s="36" t="s">
        <v>2602</v>
      </c>
      <c r="G434" s="36" t="s">
        <v>2604</v>
      </c>
      <c r="H434" s="11" t="s">
        <v>45</v>
      </c>
      <c r="I434" s="11">
        <v>6.39209265421E11</v>
      </c>
      <c r="J434" s="37">
        <v>45588.0</v>
      </c>
      <c r="K434" s="18"/>
      <c r="L434" s="11">
        <v>2.0250331E7</v>
      </c>
    </row>
    <row r="435">
      <c r="A435" s="9" t="s">
        <v>249</v>
      </c>
      <c r="B435" s="11" t="s">
        <v>30</v>
      </c>
      <c r="C435" s="11" t="s">
        <v>35</v>
      </c>
      <c r="D435" s="11" t="s">
        <v>37</v>
      </c>
      <c r="E435" s="36" t="s">
        <v>2608</v>
      </c>
      <c r="F435" s="36" t="s">
        <v>2609</v>
      </c>
      <c r="G435" s="36" t="s">
        <v>2610</v>
      </c>
      <c r="H435" s="11" t="s">
        <v>45</v>
      </c>
      <c r="I435" s="11">
        <v>6.39189203758E11</v>
      </c>
      <c r="J435" s="37">
        <v>45588.0</v>
      </c>
      <c r="K435" s="18"/>
      <c r="L435" s="11">
        <v>2.0250331E7</v>
      </c>
    </row>
    <row r="436">
      <c r="A436" s="9" t="s">
        <v>249</v>
      </c>
      <c r="B436" s="11" t="s">
        <v>30</v>
      </c>
      <c r="C436" s="11" t="s">
        <v>35</v>
      </c>
      <c r="D436" s="11" t="s">
        <v>37</v>
      </c>
      <c r="E436" s="36" t="s">
        <v>2612</v>
      </c>
      <c r="F436" s="36" t="s">
        <v>2613</v>
      </c>
      <c r="G436" s="36" t="s">
        <v>2614</v>
      </c>
      <c r="H436" s="11" t="s">
        <v>45</v>
      </c>
      <c r="I436" s="11">
        <v>6.3939982847E11</v>
      </c>
      <c r="J436" s="37">
        <v>45588.0</v>
      </c>
      <c r="K436" s="18"/>
      <c r="L436" s="11">
        <v>2.0250331E7</v>
      </c>
    </row>
    <row r="437">
      <c r="A437" s="9" t="s">
        <v>249</v>
      </c>
      <c r="B437" s="11" t="s">
        <v>30</v>
      </c>
      <c r="C437" s="11" t="s">
        <v>35</v>
      </c>
      <c r="D437" s="11" t="s">
        <v>37</v>
      </c>
      <c r="E437" s="36" t="s">
        <v>2615</v>
      </c>
      <c r="F437" s="36" t="s">
        <v>2616</v>
      </c>
      <c r="G437" s="36" t="s">
        <v>2618</v>
      </c>
      <c r="H437" s="11" t="s">
        <v>45</v>
      </c>
      <c r="I437" s="11">
        <v>6.39189016164E11</v>
      </c>
      <c r="J437" s="37">
        <v>45588.0</v>
      </c>
      <c r="K437" s="18"/>
      <c r="L437" s="11">
        <v>2.0250331E7</v>
      </c>
    </row>
    <row r="438">
      <c r="A438" s="9" t="s">
        <v>249</v>
      </c>
      <c r="B438" s="11" t="s">
        <v>30</v>
      </c>
      <c r="C438" s="11" t="s">
        <v>35</v>
      </c>
      <c r="D438" s="11" t="s">
        <v>37</v>
      </c>
      <c r="E438" s="36" t="s">
        <v>2623</v>
      </c>
      <c r="F438" s="36" t="s">
        <v>2624</v>
      </c>
      <c r="G438" s="36" t="s">
        <v>2625</v>
      </c>
      <c r="H438" s="11" t="s">
        <v>45</v>
      </c>
      <c r="I438" s="11">
        <v>6.39209048498E11</v>
      </c>
      <c r="J438" s="37">
        <v>45588.0</v>
      </c>
      <c r="K438" s="18"/>
      <c r="L438" s="11">
        <v>2.0250331E7</v>
      </c>
    </row>
    <row r="439">
      <c r="A439" s="9" t="s">
        <v>249</v>
      </c>
      <c r="B439" s="11" t="s">
        <v>30</v>
      </c>
      <c r="C439" s="11" t="s">
        <v>35</v>
      </c>
      <c r="D439" s="11" t="s">
        <v>37</v>
      </c>
      <c r="E439" s="36" t="s">
        <v>2626</v>
      </c>
      <c r="F439" s="36" t="s">
        <v>2627</v>
      </c>
      <c r="G439" s="36" t="s">
        <v>2628</v>
      </c>
      <c r="H439" s="11" t="s">
        <v>45</v>
      </c>
      <c r="I439" s="11">
        <v>6.39189061412E11</v>
      </c>
      <c r="J439" s="37">
        <v>45588.0</v>
      </c>
      <c r="K439" s="18"/>
      <c r="L439" s="11">
        <v>2.0250331E7</v>
      </c>
    </row>
    <row r="440">
      <c r="A440" s="9" t="s">
        <v>249</v>
      </c>
      <c r="B440" s="11" t="s">
        <v>30</v>
      </c>
      <c r="C440" s="11" t="s">
        <v>35</v>
      </c>
      <c r="D440" s="11" t="s">
        <v>37</v>
      </c>
      <c r="E440" s="36" t="s">
        <v>2630</v>
      </c>
      <c r="F440" s="36" t="s">
        <v>2632</v>
      </c>
      <c r="G440" s="36" t="s">
        <v>2633</v>
      </c>
      <c r="H440" s="11" t="s">
        <v>45</v>
      </c>
      <c r="I440" s="11">
        <v>6.39209152698E11</v>
      </c>
      <c r="J440" s="37">
        <v>45588.0</v>
      </c>
      <c r="K440" s="18"/>
      <c r="L440" s="11">
        <v>2.0250331E7</v>
      </c>
    </row>
    <row r="441">
      <c r="A441" s="9" t="s">
        <v>249</v>
      </c>
      <c r="B441" s="11" t="s">
        <v>30</v>
      </c>
      <c r="C441" s="11" t="s">
        <v>35</v>
      </c>
      <c r="D441" s="11" t="s">
        <v>37</v>
      </c>
      <c r="E441" s="36" t="s">
        <v>2636</v>
      </c>
      <c r="F441" s="36" t="s">
        <v>2637</v>
      </c>
      <c r="G441" s="36" t="s">
        <v>2639</v>
      </c>
      <c r="H441" s="11" t="s">
        <v>45</v>
      </c>
      <c r="I441" s="11">
        <v>6.39189106778E11</v>
      </c>
      <c r="J441" s="37">
        <v>45588.0</v>
      </c>
      <c r="K441" s="18"/>
      <c r="L441" s="11">
        <v>2.0250331E7</v>
      </c>
    </row>
    <row r="442">
      <c r="A442" s="9" t="s">
        <v>249</v>
      </c>
      <c r="B442" s="11" t="s">
        <v>30</v>
      </c>
      <c r="C442" s="11" t="s">
        <v>35</v>
      </c>
      <c r="D442" s="11" t="s">
        <v>37</v>
      </c>
      <c r="E442" s="36" t="s">
        <v>2640</v>
      </c>
      <c r="F442" s="36" t="s">
        <v>2641</v>
      </c>
      <c r="G442" s="36" t="s">
        <v>2642</v>
      </c>
      <c r="H442" s="11" t="s">
        <v>45</v>
      </c>
      <c r="I442" s="11">
        <v>6.39209015173E11</v>
      </c>
      <c r="J442" s="37">
        <v>45588.0</v>
      </c>
      <c r="K442" s="18"/>
      <c r="L442" s="11">
        <v>2.0250331E7</v>
      </c>
    </row>
    <row r="443">
      <c r="A443" s="9" t="s">
        <v>249</v>
      </c>
      <c r="B443" s="11" t="s">
        <v>30</v>
      </c>
      <c r="C443" s="11" t="s">
        <v>35</v>
      </c>
      <c r="D443" s="11" t="s">
        <v>37</v>
      </c>
      <c r="E443" s="36" t="s">
        <v>2644</v>
      </c>
      <c r="F443" s="36" t="s">
        <v>2646</v>
      </c>
      <c r="G443" s="36" t="s">
        <v>2647</v>
      </c>
      <c r="H443" s="11" t="s">
        <v>45</v>
      </c>
      <c r="I443" s="11">
        <v>6.39209047949E11</v>
      </c>
      <c r="J443" s="37">
        <v>45588.0</v>
      </c>
      <c r="K443" s="18"/>
      <c r="L443" s="11">
        <v>2.0250331E7</v>
      </c>
    </row>
    <row r="444">
      <c r="A444" s="9" t="s">
        <v>249</v>
      </c>
      <c r="B444" s="11" t="s">
        <v>30</v>
      </c>
      <c r="C444" s="11" t="s">
        <v>35</v>
      </c>
      <c r="D444" s="11" t="s">
        <v>37</v>
      </c>
      <c r="E444" s="36" t="s">
        <v>2650</v>
      </c>
      <c r="F444" s="36" t="s">
        <v>2651</v>
      </c>
      <c r="G444" s="36" t="s">
        <v>2652</v>
      </c>
      <c r="H444" s="11" t="s">
        <v>45</v>
      </c>
      <c r="I444" s="11">
        <v>6.39209216171E11</v>
      </c>
      <c r="J444" s="37">
        <v>45588.0</v>
      </c>
      <c r="K444" s="18"/>
      <c r="L444" s="11">
        <v>2.0250331E7</v>
      </c>
    </row>
    <row r="445">
      <c r="A445" s="9" t="s">
        <v>249</v>
      </c>
      <c r="B445" s="11" t="s">
        <v>30</v>
      </c>
      <c r="C445" s="11" t="s">
        <v>35</v>
      </c>
      <c r="D445" s="11" t="s">
        <v>37</v>
      </c>
      <c r="E445" s="36" t="s">
        <v>2657</v>
      </c>
      <c r="F445" s="36" t="s">
        <v>2659</v>
      </c>
      <c r="G445" s="36" t="s">
        <v>2660</v>
      </c>
      <c r="H445" s="11" t="s">
        <v>45</v>
      </c>
      <c r="I445" s="11">
        <v>6.39209061073E11</v>
      </c>
      <c r="J445" s="37">
        <v>45588.0</v>
      </c>
      <c r="K445" s="18"/>
      <c r="L445" s="11">
        <v>2.0250331E7</v>
      </c>
    </row>
    <row r="446">
      <c r="A446" s="9" t="s">
        <v>249</v>
      </c>
      <c r="B446" s="11" t="s">
        <v>30</v>
      </c>
      <c r="C446" s="11" t="s">
        <v>35</v>
      </c>
      <c r="D446" s="11" t="s">
        <v>37</v>
      </c>
      <c r="E446" s="36" t="s">
        <v>2661</v>
      </c>
      <c r="F446" s="36" t="s">
        <v>2662</v>
      </c>
      <c r="G446" s="36" t="s">
        <v>2664</v>
      </c>
      <c r="H446" s="11" t="s">
        <v>45</v>
      </c>
      <c r="I446" s="11">
        <v>6.39285590075E11</v>
      </c>
      <c r="J446" s="37">
        <v>45588.0</v>
      </c>
      <c r="K446" s="18"/>
      <c r="L446" s="11">
        <v>2.0250331E7</v>
      </c>
    </row>
    <row r="447">
      <c r="A447" s="9" t="s">
        <v>249</v>
      </c>
      <c r="B447" s="11" t="s">
        <v>30</v>
      </c>
      <c r="C447" s="11" t="s">
        <v>35</v>
      </c>
      <c r="D447" s="11" t="s">
        <v>37</v>
      </c>
      <c r="E447" s="36" t="s">
        <v>2670</v>
      </c>
      <c r="F447" s="36" t="s">
        <v>2671</v>
      </c>
      <c r="G447" s="36" t="s">
        <v>2672</v>
      </c>
      <c r="H447" s="11" t="s">
        <v>45</v>
      </c>
      <c r="I447" s="11">
        <v>6.3918933097E11</v>
      </c>
      <c r="J447" s="37">
        <v>45588.0</v>
      </c>
      <c r="K447" s="18"/>
      <c r="L447" s="11">
        <v>2.0250331E7</v>
      </c>
    </row>
    <row r="448">
      <c r="A448" s="9" t="s">
        <v>249</v>
      </c>
      <c r="B448" s="11" t="s">
        <v>30</v>
      </c>
      <c r="C448" s="11" t="s">
        <v>35</v>
      </c>
      <c r="D448" s="11" t="s">
        <v>37</v>
      </c>
      <c r="E448" s="36" t="s">
        <v>2675</v>
      </c>
      <c r="F448" s="36" t="s">
        <v>2676</v>
      </c>
      <c r="G448" s="36" t="s">
        <v>2678</v>
      </c>
      <c r="H448" s="11" t="s">
        <v>45</v>
      </c>
      <c r="I448" s="11">
        <v>6.39189133453E11</v>
      </c>
      <c r="J448" s="37">
        <v>45588.0</v>
      </c>
      <c r="K448" s="18"/>
      <c r="L448" s="11">
        <v>2.0250331E7</v>
      </c>
    </row>
    <row r="449">
      <c r="A449" s="9" t="s">
        <v>249</v>
      </c>
      <c r="B449" s="11" t="s">
        <v>30</v>
      </c>
      <c r="C449" s="11" t="s">
        <v>35</v>
      </c>
      <c r="D449" s="11" t="s">
        <v>37</v>
      </c>
      <c r="E449" s="36" t="s">
        <v>2681</v>
      </c>
      <c r="F449" s="36" t="s">
        <v>2682</v>
      </c>
      <c r="G449" s="36" t="s">
        <v>2683</v>
      </c>
      <c r="H449" s="11" t="s">
        <v>45</v>
      </c>
      <c r="I449" s="11">
        <v>6.39189128389E11</v>
      </c>
      <c r="J449" s="37">
        <v>45588.0</v>
      </c>
      <c r="K449" s="18"/>
      <c r="L449" s="11">
        <v>2.0250331E7</v>
      </c>
    </row>
    <row r="450">
      <c r="A450" s="9" t="s">
        <v>249</v>
      </c>
      <c r="B450" s="11" t="s">
        <v>30</v>
      </c>
      <c r="C450" s="11" t="s">
        <v>35</v>
      </c>
      <c r="D450" s="11" t="s">
        <v>37</v>
      </c>
      <c r="E450" s="36" t="s">
        <v>2684</v>
      </c>
      <c r="F450" s="36" t="s">
        <v>2685</v>
      </c>
      <c r="G450" s="36" t="s">
        <v>2687</v>
      </c>
      <c r="H450" s="11" t="s">
        <v>45</v>
      </c>
      <c r="I450" s="11">
        <v>6.39209063982E11</v>
      </c>
      <c r="J450" s="37">
        <v>45588.0</v>
      </c>
      <c r="K450" s="18"/>
      <c r="L450" s="11">
        <v>2.0250331E7</v>
      </c>
    </row>
    <row r="451">
      <c r="A451" s="9" t="s">
        <v>249</v>
      </c>
      <c r="B451" s="11" t="s">
        <v>30</v>
      </c>
      <c r="C451" s="11" t="s">
        <v>35</v>
      </c>
      <c r="D451" s="11" t="s">
        <v>37</v>
      </c>
      <c r="E451" s="36" t="s">
        <v>2691</v>
      </c>
      <c r="F451" s="36" t="s">
        <v>2692</v>
      </c>
      <c r="G451" s="36" t="s">
        <v>2693</v>
      </c>
      <c r="H451" s="11" t="s">
        <v>45</v>
      </c>
      <c r="I451" s="11">
        <v>6.39992212772E11</v>
      </c>
      <c r="J451" s="37">
        <v>45588.0</v>
      </c>
      <c r="K451" s="18"/>
      <c r="L451" s="11">
        <v>2.0250331E7</v>
      </c>
    </row>
    <row r="452">
      <c r="A452" s="9" t="s">
        <v>249</v>
      </c>
      <c r="B452" s="11" t="s">
        <v>30</v>
      </c>
      <c r="C452" s="11" t="s">
        <v>35</v>
      </c>
      <c r="D452" s="11" t="s">
        <v>37</v>
      </c>
      <c r="E452" s="36" t="s">
        <v>2697</v>
      </c>
      <c r="F452" s="36" t="s">
        <v>2698</v>
      </c>
      <c r="G452" s="36" t="s">
        <v>2700</v>
      </c>
      <c r="H452" s="11" t="s">
        <v>45</v>
      </c>
      <c r="I452" s="11">
        <v>6.3920960943E11</v>
      </c>
      <c r="J452" s="37">
        <v>45588.0</v>
      </c>
      <c r="K452" s="18"/>
      <c r="L452" s="11">
        <v>2.0250331E7</v>
      </c>
    </row>
    <row r="453">
      <c r="A453" s="9" t="s">
        <v>249</v>
      </c>
      <c r="B453" s="11" t="s">
        <v>30</v>
      </c>
      <c r="C453" s="11" t="s">
        <v>35</v>
      </c>
      <c r="D453" s="11" t="s">
        <v>37</v>
      </c>
      <c r="E453" s="36" t="s">
        <v>2701</v>
      </c>
      <c r="F453" s="36" t="s">
        <v>2702</v>
      </c>
      <c r="G453" s="36" t="s">
        <v>2703</v>
      </c>
      <c r="H453" s="11" t="s">
        <v>45</v>
      </c>
      <c r="I453" s="11">
        <v>6.39209252924E11</v>
      </c>
      <c r="J453" s="37">
        <v>45588.0</v>
      </c>
      <c r="K453" s="18"/>
      <c r="L453" s="11">
        <v>2.0250331E7</v>
      </c>
    </row>
    <row r="454">
      <c r="A454" s="9" t="s">
        <v>249</v>
      </c>
      <c r="B454" s="11" t="s">
        <v>30</v>
      </c>
      <c r="C454" s="11" t="s">
        <v>35</v>
      </c>
      <c r="D454" s="11" t="s">
        <v>37</v>
      </c>
      <c r="E454" s="36" t="s">
        <v>2708</v>
      </c>
      <c r="F454" s="36" t="s">
        <v>2709</v>
      </c>
      <c r="G454" s="36" t="s">
        <v>2710</v>
      </c>
      <c r="H454" s="11" t="s">
        <v>45</v>
      </c>
      <c r="I454" s="11">
        <v>6.3918923469E11</v>
      </c>
      <c r="J454" s="37">
        <v>45588.0</v>
      </c>
      <c r="K454" s="18"/>
      <c r="L454" s="11">
        <v>2.0250331E7</v>
      </c>
    </row>
    <row r="455">
      <c r="A455" s="9" t="s">
        <v>249</v>
      </c>
      <c r="B455" s="11" t="s">
        <v>30</v>
      </c>
      <c r="C455" s="11" t="s">
        <v>35</v>
      </c>
      <c r="D455" s="11" t="s">
        <v>37</v>
      </c>
      <c r="E455" s="36" t="s">
        <v>2711</v>
      </c>
      <c r="F455" s="36" t="s">
        <v>2714</v>
      </c>
      <c r="G455" s="36" t="s">
        <v>2717</v>
      </c>
      <c r="H455" s="11" t="s">
        <v>45</v>
      </c>
      <c r="I455" s="11">
        <v>6.39209607647E11</v>
      </c>
      <c r="J455" s="37">
        <v>45588.0</v>
      </c>
      <c r="K455" s="18"/>
      <c r="L455" s="11">
        <v>2.0250331E7</v>
      </c>
    </row>
    <row r="456">
      <c r="A456" s="9" t="s">
        <v>249</v>
      </c>
      <c r="B456" s="11" t="s">
        <v>30</v>
      </c>
      <c r="C456" s="11" t="s">
        <v>35</v>
      </c>
      <c r="D456" s="11" t="s">
        <v>37</v>
      </c>
      <c r="E456" s="36" t="s">
        <v>2718</v>
      </c>
      <c r="F456" s="36" t="s">
        <v>2719</v>
      </c>
      <c r="G456" s="36" t="s">
        <v>2720</v>
      </c>
      <c r="H456" s="11" t="s">
        <v>45</v>
      </c>
      <c r="I456" s="11">
        <v>6.39209151794E11</v>
      </c>
      <c r="J456" s="37">
        <v>45588.0</v>
      </c>
      <c r="K456" s="18"/>
      <c r="L456" s="11">
        <v>2.0250331E7</v>
      </c>
    </row>
    <row r="457">
      <c r="A457" s="9" t="s">
        <v>249</v>
      </c>
      <c r="B457" s="11" t="s">
        <v>30</v>
      </c>
      <c r="C457" s="11" t="s">
        <v>35</v>
      </c>
      <c r="D457" s="11" t="s">
        <v>37</v>
      </c>
      <c r="E457" s="36" t="s">
        <v>2725</v>
      </c>
      <c r="F457" s="36" t="s">
        <v>2726</v>
      </c>
      <c r="G457" s="36" t="s">
        <v>2727</v>
      </c>
      <c r="H457" s="11" t="s">
        <v>45</v>
      </c>
      <c r="I457" s="11">
        <v>6.3918940932E11</v>
      </c>
      <c r="J457" s="37">
        <v>45588.0</v>
      </c>
      <c r="K457" s="18"/>
      <c r="L457" s="11">
        <v>2.0250331E7</v>
      </c>
    </row>
    <row r="458">
      <c r="A458" s="9" t="s">
        <v>249</v>
      </c>
      <c r="B458" s="11" t="s">
        <v>30</v>
      </c>
      <c r="C458" s="11" t="s">
        <v>35</v>
      </c>
      <c r="D458" s="11" t="s">
        <v>37</v>
      </c>
      <c r="E458" s="36" t="s">
        <v>2729</v>
      </c>
      <c r="F458" s="36" t="s">
        <v>2731</v>
      </c>
      <c r="G458" s="36" t="s">
        <v>2732</v>
      </c>
      <c r="H458" s="11" t="s">
        <v>45</v>
      </c>
      <c r="I458" s="11">
        <v>6.39209528659E11</v>
      </c>
      <c r="J458" s="37">
        <v>45588.0</v>
      </c>
      <c r="K458" s="18"/>
      <c r="L458" s="11">
        <v>2.0250331E7</v>
      </c>
    </row>
    <row r="459">
      <c r="A459" s="9" t="s">
        <v>249</v>
      </c>
      <c r="B459" s="11" t="s">
        <v>30</v>
      </c>
      <c r="C459" s="11" t="s">
        <v>35</v>
      </c>
      <c r="D459" s="11" t="s">
        <v>37</v>
      </c>
      <c r="E459" s="36" t="s">
        <v>2735</v>
      </c>
      <c r="F459" s="36" t="s">
        <v>2736</v>
      </c>
      <c r="G459" s="36" t="s">
        <v>2738</v>
      </c>
      <c r="H459" s="11" t="s">
        <v>45</v>
      </c>
      <c r="I459" s="11">
        <v>6.39209704546E11</v>
      </c>
      <c r="J459" s="37">
        <v>45588.0</v>
      </c>
      <c r="K459" s="18"/>
      <c r="L459" s="11">
        <v>2.0250331E7</v>
      </c>
    </row>
    <row r="460">
      <c r="A460" s="9" t="s">
        <v>249</v>
      </c>
      <c r="B460" s="11" t="s">
        <v>30</v>
      </c>
      <c r="C460" s="11" t="s">
        <v>35</v>
      </c>
      <c r="D460" s="11" t="s">
        <v>37</v>
      </c>
      <c r="E460" s="36" t="s">
        <v>2742</v>
      </c>
      <c r="F460" s="36" t="s">
        <v>2743</v>
      </c>
      <c r="G460" s="36" t="s">
        <v>2744</v>
      </c>
      <c r="H460" s="11" t="s">
        <v>45</v>
      </c>
      <c r="I460" s="11">
        <v>6.39189254709E11</v>
      </c>
      <c r="J460" s="37">
        <v>45588.0</v>
      </c>
      <c r="K460" s="18"/>
      <c r="L460" s="11">
        <v>2.0250331E7</v>
      </c>
    </row>
    <row r="461">
      <c r="A461" s="9" t="s">
        <v>249</v>
      </c>
      <c r="B461" s="11" t="s">
        <v>30</v>
      </c>
      <c r="C461" s="11" t="s">
        <v>35</v>
      </c>
      <c r="D461" s="11" t="s">
        <v>37</v>
      </c>
      <c r="E461" s="36" t="s">
        <v>2747</v>
      </c>
      <c r="F461" s="36" t="s">
        <v>2749</v>
      </c>
      <c r="G461" s="36" t="s">
        <v>2750</v>
      </c>
      <c r="H461" s="11" t="s">
        <v>45</v>
      </c>
      <c r="I461" s="11">
        <v>6.39189177845E11</v>
      </c>
      <c r="J461" s="37">
        <v>45588.0</v>
      </c>
      <c r="K461" s="18"/>
      <c r="L461" s="11">
        <v>2.0250331E7</v>
      </c>
    </row>
    <row r="462">
      <c r="A462" s="9" t="s">
        <v>249</v>
      </c>
      <c r="B462" s="11" t="s">
        <v>30</v>
      </c>
      <c r="C462" s="11" t="s">
        <v>35</v>
      </c>
      <c r="D462" s="11" t="s">
        <v>37</v>
      </c>
      <c r="E462" s="36" t="s">
        <v>2752</v>
      </c>
      <c r="F462" s="36" t="s">
        <v>2753</v>
      </c>
      <c r="G462" s="36" t="s">
        <v>2754</v>
      </c>
      <c r="H462" s="11" t="s">
        <v>45</v>
      </c>
      <c r="I462" s="11">
        <v>6.39399347949E11</v>
      </c>
      <c r="J462" s="37">
        <v>45588.0</v>
      </c>
      <c r="K462" s="18"/>
      <c r="L462" s="11">
        <v>2.0250331E7</v>
      </c>
    </row>
    <row r="463">
      <c r="A463" s="9" t="s">
        <v>249</v>
      </c>
      <c r="B463" s="11" t="s">
        <v>30</v>
      </c>
      <c r="C463" s="11" t="s">
        <v>35</v>
      </c>
      <c r="D463" s="11" t="s">
        <v>37</v>
      </c>
      <c r="E463" s="36" t="s">
        <v>2759</v>
      </c>
      <c r="F463" s="36" t="s">
        <v>2760</v>
      </c>
      <c r="G463" s="36" t="s">
        <v>2761</v>
      </c>
      <c r="H463" s="11" t="s">
        <v>45</v>
      </c>
      <c r="I463" s="11">
        <v>6.39209027957E11</v>
      </c>
      <c r="J463" s="37">
        <v>45588.0</v>
      </c>
      <c r="K463" s="18"/>
      <c r="L463" s="11">
        <v>2.0250331E7</v>
      </c>
    </row>
    <row r="464">
      <c r="A464" s="9" t="s">
        <v>249</v>
      </c>
      <c r="B464" s="11" t="s">
        <v>30</v>
      </c>
      <c r="C464" s="11" t="s">
        <v>35</v>
      </c>
      <c r="D464" s="11" t="s">
        <v>37</v>
      </c>
      <c r="E464" s="36" t="s">
        <v>2762</v>
      </c>
      <c r="F464" s="36" t="s">
        <v>2764</v>
      </c>
      <c r="G464" s="36" t="s">
        <v>2766</v>
      </c>
      <c r="H464" s="11" t="s">
        <v>45</v>
      </c>
      <c r="I464" s="11">
        <v>6.39498818583E11</v>
      </c>
      <c r="J464" s="37">
        <v>45588.0</v>
      </c>
      <c r="K464" s="18"/>
      <c r="L464" s="11">
        <v>2.0250331E7</v>
      </c>
    </row>
    <row r="465">
      <c r="A465" s="9" t="s">
        <v>249</v>
      </c>
      <c r="B465" s="11" t="s">
        <v>30</v>
      </c>
      <c r="C465" s="11" t="s">
        <v>35</v>
      </c>
      <c r="D465" s="11" t="s">
        <v>37</v>
      </c>
      <c r="E465" s="36" t="s">
        <v>2770</v>
      </c>
      <c r="F465" s="36" t="s">
        <v>2771</v>
      </c>
      <c r="G465" s="36" t="s">
        <v>2772</v>
      </c>
      <c r="H465" s="11" t="s">
        <v>45</v>
      </c>
      <c r="I465" s="11">
        <v>6.3918901345E11</v>
      </c>
      <c r="J465" s="37">
        <v>45588.0</v>
      </c>
      <c r="K465" s="18"/>
      <c r="L465" s="11">
        <v>2.0250331E7</v>
      </c>
    </row>
    <row r="466">
      <c r="A466" s="9" t="s">
        <v>249</v>
      </c>
      <c r="B466" s="11" t="s">
        <v>30</v>
      </c>
      <c r="C466" s="11" t="s">
        <v>35</v>
      </c>
      <c r="D466" s="11" t="s">
        <v>37</v>
      </c>
      <c r="E466" s="36" t="s">
        <v>2776</v>
      </c>
      <c r="F466" s="36" t="s">
        <v>2777</v>
      </c>
      <c r="G466" s="36" t="s">
        <v>2778</v>
      </c>
      <c r="H466" s="11" t="s">
        <v>45</v>
      </c>
      <c r="I466" s="11">
        <v>6.39209248707E11</v>
      </c>
      <c r="J466" s="37">
        <v>45588.0</v>
      </c>
      <c r="K466" s="18"/>
      <c r="L466" s="11">
        <v>2.0250331E7</v>
      </c>
    </row>
    <row r="467">
      <c r="A467" s="9" t="s">
        <v>249</v>
      </c>
      <c r="B467" s="11" t="s">
        <v>30</v>
      </c>
      <c r="C467" s="11" t="s">
        <v>35</v>
      </c>
      <c r="D467" s="11" t="s">
        <v>37</v>
      </c>
      <c r="E467" s="36" t="s">
        <v>2780</v>
      </c>
      <c r="F467" s="36" t="s">
        <v>2781</v>
      </c>
      <c r="G467" s="36" t="s">
        <v>2782</v>
      </c>
      <c r="H467" s="11" t="s">
        <v>45</v>
      </c>
      <c r="I467" s="11">
        <v>6.39189399827E11</v>
      </c>
      <c r="J467" s="37">
        <v>45588.0</v>
      </c>
      <c r="K467" s="18"/>
      <c r="L467" s="11">
        <v>2.0250331E7</v>
      </c>
    </row>
    <row r="468">
      <c r="A468" s="9" t="s">
        <v>249</v>
      </c>
      <c r="B468" s="11" t="s">
        <v>30</v>
      </c>
      <c r="C468" s="11" t="s">
        <v>35</v>
      </c>
      <c r="D468" s="11" t="s">
        <v>37</v>
      </c>
      <c r="E468" s="36" t="s">
        <v>2787</v>
      </c>
      <c r="F468" s="36" t="s">
        <v>2788</v>
      </c>
      <c r="G468" s="36" t="s">
        <v>2789</v>
      </c>
      <c r="H468" s="11" t="s">
        <v>45</v>
      </c>
      <c r="I468" s="11">
        <v>6.39189179411E11</v>
      </c>
      <c r="J468" s="37">
        <v>45588.0</v>
      </c>
      <c r="K468" s="18"/>
      <c r="L468" s="11">
        <v>2.0250331E7</v>
      </c>
    </row>
    <row r="469">
      <c r="A469" s="9" t="s">
        <v>249</v>
      </c>
      <c r="B469" s="11" t="s">
        <v>30</v>
      </c>
      <c r="C469" s="11" t="s">
        <v>35</v>
      </c>
      <c r="D469" s="11" t="s">
        <v>37</v>
      </c>
      <c r="E469" s="36" t="s">
        <v>2791</v>
      </c>
      <c r="F469" s="36" t="s">
        <v>2793</v>
      </c>
      <c r="G469" s="36" t="s">
        <v>2794</v>
      </c>
      <c r="H469" s="11" t="s">
        <v>45</v>
      </c>
      <c r="I469" s="11">
        <v>6.39189097684E11</v>
      </c>
      <c r="J469" s="37">
        <v>45588.0</v>
      </c>
      <c r="K469" s="18"/>
      <c r="L469" s="11">
        <v>2.0250331E7</v>
      </c>
    </row>
    <row r="470">
      <c r="A470" s="9" t="s">
        <v>249</v>
      </c>
      <c r="B470" s="11" t="s">
        <v>30</v>
      </c>
      <c r="C470" s="11" t="s">
        <v>35</v>
      </c>
      <c r="D470" s="11" t="s">
        <v>37</v>
      </c>
      <c r="E470" s="36" t="s">
        <v>2798</v>
      </c>
      <c r="F470" s="36" t="s">
        <v>2799</v>
      </c>
      <c r="G470" s="36" t="s">
        <v>2800</v>
      </c>
      <c r="H470" s="11" t="s">
        <v>45</v>
      </c>
      <c r="I470" s="11">
        <v>6.39209076962E11</v>
      </c>
      <c r="J470" s="37">
        <v>45588.0</v>
      </c>
      <c r="K470" s="18"/>
      <c r="L470" s="11">
        <v>2.0250331E7</v>
      </c>
    </row>
    <row r="471">
      <c r="A471" s="9" t="s">
        <v>249</v>
      </c>
      <c r="B471" s="11" t="s">
        <v>30</v>
      </c>
      <c r="C471" s="11" t="s">
        <v>35</v>
      </c>
      <c r="D471" s="11" t="s">
        <v>37</v>
      </c>
      <c r="E471" s="36" t="s">
        <v>2803</v>
      </c>
      <c r="F471" s="36" t="s">
        <v>2805</v>
      </c>
      <c r="G471" s="36" t="s">
        <v>2806</v>
      </c>
      <c r="H471" s="11" t="s">
        <v>45</v>
      </c>
      <c r="I471" s="11">
        <v>6.39209270232E11</v>
      </c>
      <c r="J471" s="37">
        <v>45588.0</v>
      </c>
      <c r="K471" s="18"/>
      <c r="L471" s="11">
        <v>2.0250331E7</v>
      </c>
    </row>
    <row r="472">
      <c r="A472" s="9" t="s">
        <v>249</v>
      </c>
      <c r="B472" s="11" t="s">
        <v>30</v>
      </c>
      <c r="C472" s="11" t="s">
        <v>35</v>
      </c>
      <c r="D472" s="11" t="s">
        <v>37</v>
      </c>
      <c r="E472" s="36" t="s">
        <v>2810</v>
      </c>
      <c r="F472" s="36" t="s">
        <v>2811</v>
      </c>
      <c r="G472" s="36" t="s">
        <v>2812</v>
      </c>
      <c r="H472" s="11" t="s">
        <v>45</v>
      </c>
      <c r="I472" s="11">
        <v>6.39189047648E11</v>
      </c>
      <c r="J472" s="37">
        <v>45588.0</v>
      </c>
      <c r="K472" s="11"/>
      <c r="L472" s="11">
        <v>2.0250331E7</v>
      </c>
    </row>
    <row r="473">
      <c r="A473" s="9" t="s">
        <v>249</v>
      </c>
      <c r="B473" s="11" t="s">
        <v>30</v>
      </c>
      <c r="C473" s="11" t="s">
        <v>35</v>
      </c>
      <c r="D473" s="11" t="s">
        <v>37</v>
      </c>
      <c r="E473" s="36" t="s">
        <v>2814</v>
      </c>
      <c r="F473" s="36" t="s">
        <v>2816</v>
      </c>
      <c r="G473" s="36" t="s">
        <v>2817</v>
      </c>
      <c r="H473" s="11" t="s">
        <v>45</v>
      </c>
      <c r="I473" s="11">
        <v>6.39209113761E11</v>
      </c>
      <c r="J473" s="37">
        <v>45588.0</v>
      </c>
      <c r="K473" s="11"/>
      <c r="L473" s="11">
        <v>2.0250331E7</v>
      </c>
    </row>
    <row r="474">
      <c r="A474" s="9" t="s">
        <v>249</v>
      </c>
      <c r="B474" s="11" t="s">
        <v>136</v>
      </c>
      <c r="C474" s="11" t="s">
        <v>35</v>
      </c>
      <c r="D474" s="11" t="s">
        <v>37</v>
      </c>
      <c r="E474" s="36" t="s">
        <v>2820</v>
      </c>
      <c r="F474" s="36" t="s">
        <v>2821</v>
      </c>
      <c r="G474" s="36" t="s">
        <v>2822</v>
      </c>
      <c r="H474" s="11" t="s">
        <v>45</v>
      </c>
      <c r="I474" s="11">
        <v>6.39209714207E11</v>
      </c>
      <c r="J474" s="37">
        <v>45588.0</v>
      </c>
      <c r="K474" s="11"/>
      <c r="L474" s="11">
        <v>2.0250331E7</v>
      </c>
    </row>
    <row r="475">
      <c r="A475" s="9" t="s">
        <v>249</v>
      </c>
      <c r="B475" s="11" t="s">
        <v>136</v>
      </c>
      <c r="C475" s="11" t="s">
        <v>35</v>
      </c>
      <c r="D475" s="11" t="s">
        <v>37</v>
      </c>
      <c r="E475" s="36" t="s">
        <v>2828</v>
      </c>
      <c r="F475" s="36" t="s">
        <v>2829</v>
      </c>
      <c r="G475" s="36" t="s">
        <v>2831</v>
      </c>
      <c r="H475" s="11" t="s">
        <v>45</v>
      </c>
      <c r="I475" s="11">
        <v>6.39189408105E11</v>
      </c>
      <c r="J475" s="37">
        <v>45588.0</v>
      </c>
      <c r="K475" s="11"/>
      <c r="L475" s="11">
        <v>2.0250331E7</v>
      </c>
    </row>
    <row r="476">
      <c r="A476" s="9" t="s">
        <v>249</v>
      </c>
      <c r="B476" s="11" t="s">
        <v>136</v>
      </c>
      <c r="C476" s="11" t="s">
        <v>35</v>
      </c>
      <c r="D476" s="11" t="s">
        <v>37</v>
      </c>
      <c r="E476" s="11" t="s">
        <v>2835</v>
      </c>
      <c r="F476" s="11">
        <v>8.63406074393179E14</v>
      </c>
      <c r="G476" s="11" t="s">
        <v>2837</v>
      </c>
      <c r="H476" s="11" t="s">
        <v>45</v>
      </c>
      <c r="I476" s="11">
        <v>6.39189108875E11</v>
      </c>
      <c r="J476" s="37">
        <v>45588.0</v>
      </c>
      <c r="K476" s="11"/>
      <c r="L476" s="11">
        <v>2.0250331E7</v>
      </c>
    </row>
    <row r="477">
      <c r="A477" s="9" t="s">
        <v>249</v>
      </c>
      <c r="B477" s="11" t="s">
        <v>136</v>
      </c>
      <c r="C477" s="11" t="s">
        <v>35</v>
      </c>
      <c r="D477" s="11" t="s">
        <v>37</v>
      </c>
      <c r="E477" s="11" t="s">
        <v>2840</v>
      </c>
      <c r="F477" s="11">
        <v>8.63406074394854E14</v>
      </c>
      <c r="G477" s="11" t="s">
        <v>2842</v>
      </c>
      <c r="H477" s="11" t="s">
        <v>45</v>
      </c>
      <c r="I477" s="11">
        <v>6.39209252871E11</v>
      </c>
      <c r="J477" s="37">
        <v>45588.0</v>
      </c>
      <c r="K477" s="11"/>
      <c r="L477" s="11">
        <v>2.0250331E7</v>
      </c>
    </row>
    <row r="478">
      <c r="A478" s="9" t="s">
        <v>249</v>
      </c>
      <c r="B478" s="11" t="s">
        <v>2844</v>
      </c>
      <c r="C478" s="11" t="s">
        <v>35</v>
      </c>
      <c r="D478" s="11" t="s">
        <v>37</v>
      </c>
      <c r="E478" s="36" t="s">
        <v>2846</v>
      </c>
      <c r="F478" s="36" t="s">
        <v>2847</v>
      </c>
      <c r="G478" s="36" t="s">
        <v>2848</v>
      </c>
      <c r="H478" s="11" t="s">
        <v>45</v>
      </c>
      <c r="I478" s="11">
        <v>6.39189383046E11</v>
      </c>
      <c r="J478" s="37">
        <v>45588.0</v>
      </c>
      <c r="K478" s="11"/>
      <c r="L478" s="11">
        <v>2.0250331E7</v>
      </c>
    </row>
    <row r="479">
      <c r="A479" s="9" t="s">
        <v>249</v>
      </c>
      <c r="B479" s="11" t="s">
        <v>2844</v>
      </c>
      <c r="C479" s="11" t="s">
        <v>35</v>
      </c>
      <c r="D479" s="11" t="s">
        <v>37</v>
      </c>
      <c r="E479" s="36" t="s">
        <v>2849</v>
      </c>
      <c r="F479" s="36" t="s">
        <v>2852</v>
      </c>
      <c r="G479" s="36" t="s">
        <v>2853</v>
      </c>
      <c r="H479" s="11" t="s">
        <v>45</v>
      </c>
      <c r="I479" s="11">
        <v>6.39498812974E11</v>
      </c>
      <c r="J479" s="37">
        <v>45588.0</v>
      </c>
      <c r="K479" s="11"/>
      <c r="L479" s="11">
        <v>2.0250331E7</v>
      </c>
    </row>
    <row r="480">
      <c r="A480" s="9" t="s">
        <v>249</v>
      </c>
      <c r="B480" s="11" t="s">
        <v>2844</v>
      </c>
      <c r="C480" s="11" t="s">
        <v>35</v>
      </c>
      <c r="D480" s="11" t="s">
        <v>37</v>
      </c>
      <c r="E480" s="36" t="s">
        <v>2856</v>
      </c>
      <c r="F480" s="36" t="s">
        <v>2858</v>
      </c>
      <c r="G480" s="36" t="s">
        <v>2860</v>
      </c>
      <c r="H480" s="11" t="s">
        <v>45</v>
      </c>
      <c r="I480" s="11">
        <v>6.39189486767E11</v>
      </c>
      <c r="J480" s="37">
        <v>45588.0</v>
      </c>
      <c r="K480" s="11"/>
      <c r="L480" s="11">
        <v>2.0250331E7</v>
      </c>
    </row>
    <row r="481">
      <c r="A481" s="9" t="s">
        <v>249</v>
      </c>
      <c r="B481" s="11" t="s">
        <v>2844</v>
      </c>
      <c r="C481" s="11" t="s">
        <v>35</v>
      </c>
      <c r="D481" s="11" t="s">
        <v>37</v>
      </c>
      <c r="E481" s="36" t="s">
        <v>2863</v>
      </c>
      <c r="F481" s="36" t="s">
        <v>2864</v>
      </c>
      <c r="G481" s="36" t="s">
        <v>2865</v>
      </c>
      <c r="H481" s="11" t="s">
        <v>45</v>
      </c>
      <c r="I481" s="11">
        <v>6.39189173117E11</v>
      </c>
      <c r="J481" s="37">
        <v>45588.0</v>
      </c>
      <c r="K481" s="11"/>
      <c r="L481" s="11">
        <v>2.0250331E7</v>
      </c>
    </row>
    <row r="482">
      <c r="A482" s="9" t="s">
        <v>249</v>
      </c>
      <c r="B482" s="11" t="s">
        <v>2844</v>
      </c>
      <c r="C482" s="11" t="s">
        <v>35</v>
      </c>
      <c r="D482" s="11" t="s">
        <v>37</v>
      </c>
      <c r="E482" s="36" t="s">
        <v>2869</v>
      </c>
      <c r="F482" s="36" t="s">
        <v>2871</v>
      </c>
      <c r="G482" s="36" t="s">
        <v>2872</v>
      </c>
      <c r="H482" s="11" t="s">
        <v>45</v>
      </c>
      <c r="I482" s="11">
        <v>6.39189077634E11</v>
      </c>
      <c r="J482" s="37">
        <v>45588.0</v>
      </c>
      <c r="K482" s="11"/>
      <c r="L482" s="11">
        <v>2.0250331E7</v>
      </c>
    </row>
    <row r="483">
      <c r="A483" s="9" t="s">
        <v>249</v>
      </c>
      <c r="B483" s="11" t="s">
        <v>2844</v>
      </c>
      <c r="C483" s="11" t="s">
        <v>35</v>
      </c>
      <c r="D483" s="11" t="s">
        <v>37</v>
      </c>
      <c r="E483" s="36" t="s">
        <v>2873</v>
      </c>
      <c r="F483" s="36" t="s">
        <v>2874</v>
      </c>
      <c r="G483" s="36" t="s">
        <v>2875</v>
      </c>
      <c r="H483" s="11" t="s">
        <v>45</v>
      </c>
      <c r="I483" s="11">
        <v>6.3918901918E11</v>
      </c>
      <c r="J483" s="37">
        <v>45588.0</v>
      </c>
      <c r="K483" s="11"/>
      <c r="L483" s="11">
        <v>2.0250331E7</v>
      </c>
    </row>
    <row r="484">
      <c r="A484" s="9" t="s">
        <v>249</v>
      </c>
      <c r="B484" s="11" t="s">
        <v>2844</v>
      </c>
      <c r="C484" s="11" t="s">
        <v>35</v>
      </c>
      <c r="D484" s="11" t="s">
        <v>37</v>
      </c>
      <c r="E484" s="36" t="s">
        <v>2880</v>
      </c>
      <c r="F484" s="36" t="s">
        <v>2881</v>
      </c>
      <c r="G484" s="36" t="s">
        <v>2882</v>
      </c>
      <c r="H484" s="11" t="s">
        <v>45</v>
      </c>
      <c r="I484" s="11">
        <v>6.39189276311E11</v>
      </c>
      <c r="J484" s="37">
        <v>45588.0</v>
      </c>
      <c r="K484" s="11"/>
      <c r="L484" s="11">
        <v>2.0250331E7</v>
      </c>
    </row>
    <row r="485">
      <c r="A485" s="9" t="s">
        <v>249</v>
      </c>
      <c r="B485" s="11" t="s">
        <v>2844</v>
      </c>
      <c r="C485" s="11" t="s">
        <v>35</v>
      </c>
      <c r="D485" s="11" t="s">
        <v>37</v>
      </c>
      <c r="E485" s="36" t="s">
        <v>2887</v>
      </c>
      <c r="F485" s="36" t="s">
        <v>2888</v>
      </c>
      <c r="G485" s="36" t="s">
        <v>2889</v>
      </c>
      <c r="H485" s="11" t="s">
        <v>45</v>
      </c>
      <c r="I485" s="11">
        <v>6.39209552549E11</v>
      </c>
      <c r="J485" s="37">
        <v>45588.0</v>
      </c>
      <c r="K485" s="11"/>
      <c r="L485" s="11">
        <v>2.0250331E7</v>
      </c>
    </row>
    <row r="486">
      <c r="A486" s="9" t="s">
        <v>249</v>
      </c>
      <c r="B486" s="11" t="s">
        <v>2844</v>
      </c>
      <c r="C486" s="11" t="s">
        <v>35</v>
      </c>
      <c r="D486" s="11" t="s">
        <v>37</v>
      </c>
      <c r="E486" s="36" t="s">
        <v>2890</v>
      </c>
      <c r="F486" s="36" t="s">
        <v>2891</v>
      </c>
      <c r="G486" s="36" t="s">
        <v>2892</v>
      </c>
      <c r="H486" s="11" t="s">
        <v>45</v>
      </c>
      <c r="I486" s="11">
        <v>6.39189415857E11</v>
      </c>
      <c r="J486" s="37">
        <v>45588.0</v>
      </c>
      <c r="K486" s="11"/>
      <c r="L486" s="11">
        <v>2.0250331E7</v>
      </c>
    </row>
    <row r="487">
      <c r="A487" s="9" t="s">
        <v>249</v>
      </c>
      <c r="B487" s="11" t="s">
        <v>2844</v>
      </c>
      <c r="C487" s="11" t="s">
        <v>35</v>
      </c>
      <c r="D487" s="11" t="s">
        <v>37</v>
      </c>
      <c r="E487" s="36" t="s">
        <v>2896</v>
      </c>
      <c r="F487" s="36" t="s">
        <v>2897</v>
      </c>
      <c r="G487" s="36" t="s">
        <v>2898</v>
      </c>
      <c r="H487" s="11" t="s">
        <v>45</v>
      </c>
      <c r="I487" s="11">
        <v>6.3918939164E11</v>
      </c>
      <c r="J487" s="37">
        <v>45588.0</v>
      </c>
      <c r="K487" s="11"/>
      <c r="L487" s="11">
        <v>2.0250331E7</v>
      </c>
    </row>
    <row r="488">
      <c r="A488" s="9" t="s">
        <v>249</v>
      </c>
      <c r="B488" s="11" t="s">
        <v>2844</v>
      </c>
      <c r="C488" s="11" t="s">
        <v>35</v>
      </c>
      <c r="D488" s="11" t="s">
        <v>37</v>
      </c>
      <c r="E488" s="36" t="s">
        <v>2901</v>
      </c>
      <c r="F488" s="36" t="s">
        <v>2902</v>
      </c>
      <c r="G488" s="36" t="s">
        <v>2903</v>
      </c>
      <c r="H488" s="11" t="s">
        <v>45</v>
      </c>
      <c r="I488" s="11">
        <v>6.39209798012E11</v>
      </c>
      <c r="J488" s="37">
        <v>45588.0</v>
      </c>
      <c r="K488" s="11"/>
      <c r="L488" s="11">
        <v>2.0250331E7</v>
      </c>
    </row>
    <row r="489">
      <c r="A489" s="9" t="s">
        <v>249</v>
      </c>
      <c r="B489" s="11" t="s">
        <v>2844</v>
      </c>
      <c r="C489" s="11" t="s">
        <v>35</v>
      </c>
      <c r="D489" s="11" t="s">
        <v>37</v>
      </c>
      <c r="E489" s="36" t="s">
        <v>2907</v>
      </c>
      <c r="F489" s="36" t="s">
        <v>2908</v>
      </c>
      <c r="G489" s="36" t="s">
        <v>2909</v>
      </c>
      <c r="H489" s="11" t="s">
        <v>45</v>
      </c>
      <c r="I489" s="11">
        <v>6.39189305841E11</v>
      </c>
      <c r="J489" s="37">
        <v>45588.0</v>
      </c>
      <c r="K489" s="11"/>
      <c r="L489" s="11">
        <v>2.0250331E7</v>
      </c>
    </row>
    <row r="490">
      <c r="A490" s="9" t="s">
        <v>249</v>
      </c>
      <c r="B490" s="11" t="s">
        <v>2844</v>
      </c>
      <c r="C490" s="11" t="s">
        <v>35</v>
      </c>
      <c r="D490" s="11" t="s">
        <v>37</v>
      </c>
      <c r="E490" s="36" t="s">
        <v>2913</v>
      </c>
      <c r="F490" s="36" t="s">
        <v>2914</v>
      </c>
      <c r="G490" s="36" t="s">
        <v>2915</v>
      </c>
      <c r="H490" s="11" t="s">
        <v>45</v>
      </c>
      <c r="I490" s="11">
        <v>6.39189356825E11</v>
      </c>
      <c r="J490" s="37">
        <v>45588.0</v>
      </c>
      <c r="K490" s="11"/>
      <c r="L490" s="11">
        <v>2.0250331E7</v>
      </c>
    </row>
    <row r="491">
      <c r="A491" s="9" t="s">
        <v>249</v>
      </c>
      <c r="B491" s="11" t="s">
        <v>2844</v>
      </c>
      <c r="C491" s="11" t="s">
        <v>35</v>
      </c>
      <c r="D491" s="11" t="s">
        <v>37</v>
      </c>
      <c r="E491" s="36" t="s">
        <v>2918</v>
      </c>
      <c r="F491" s="36" t="s">
        <v>2920</v>
      </c>
      <c r="G491" s="36" t="s">
        <v>2921</v>
      </c>
      <c r="H491" s="11" t="s">
        <v>45</v>
      </c>
      <c r="I491" s="11">
        <v>6.3920906016E11</v>
      </c>
      <c r="J491" s="37">
        <v>45588.0</v>
      </c>
      <c r="K491" s="11"/>
      <c r="L491" s="11">
        <v>2.0250331E7</v>
      </c>
    </row>
    <row r="492">
      <c r="A492" s="9" t="s">
        <v>249</v>
      </c>
      <c r="B492" s="11" t="s">
        <v>2844</v>
      </c>
      <c r="C492" s="11" t="s">
        <v>35</v>
      </c>
      <c r="D492" s="11" t="s">
        <v>37</v>
      </c>
      <c r="E492" s="36" t="s">
        <v>2924</v>
      </c>
      <c r="F492" s="36" t="s">
        <v>2925</v>
      </c>
      <c r="G492" s="36" t="s">
        <v>2926</v>
      </c>
      <c r="H492" s="11" t="s">
        <v>45</v>
      </c>
      <c r="I492" s="11">
        <v>6.39209115676E11</v>
      </c>
      <c r="J492" s="37">
        <v>45588.0</v>
      </c>
      <c r="K492" s="11"/>
      <c r="L492" s="11">
        <v>2.0250331E7</v>
      </c>
    </row>
    <row r="493">
      <c r="A493" s="9" t="s">
        <v>249</v>
      </c>
      <c r="B493" s="11" t="s">
        <v>2844</v>
      </c>
      <c r="C493" s="11" t="s">
        <v>35</v>
      </c>
      <c r="D493" s="11" t="s">
        <v>37</v>
      </c>
      <c r="E493" s="36" t="s">
        <v>2931</v>
      </c>
      <c r="F493" s="36" t="s">
        <v>2932</v>
      </c>
      <c r="G493" s="36" t="s">
        <v>2933</v>
      </c>
      <c r="H493" s="11" t="s">
        <v>45</v>
      </c>
      <c r="I493" s="11">
        <v>6.39189204541E11</v>
      </c>
      <c r="J493" s="37">
        <v>45588.0</v>
      </c>
      <c r="K493" s="11"/>
      <c r="L493" s="11">
        <v>2.0250331E7</v>
      </c>
    </row>
    <row r="494">
      <c r="A494" s="9" t="s">
        <v>249</v>
      </c>
      <c r="B494" s="11" t="s">
        <v>2844</v>
      </c>
      <c r="C494" s="11" t="s">
        <v>35</v>
      </c>
      <c r="D494" s="11" t="s">
        <v>37</v>
      </c>
      <c r="E494" s="36" t="s">
        <v>2938</v>
      </c>
      <c r="F494" s="36" t="s">
        <v>2939</v>
      </c>
      <c r="G494" s="36" t="s">
        <v>2940</v>
      </c>
      <c r="H494" s="11" t="s">
        <v>45</v>
      </c>
      <c r="I494" s="11">
        <v>6.39189256403E11</v>
      </c>
      <c r="J494" s="37">
        <v>45588.0</v>
      </c>
      <c r="K494" s="11"/>
      <c r="L494" s="11">
        <v>2.0250331E7</v>
      </c>
    </row>
    <row r="495">
      <c r="A495" s="9" t="s">
        <v>249</v>
      </c>
      <c r="B495" s="11" t="s">
        <v>2844</v>
      </c>
      <c r="C495" s="11" t="s">
        <v>35</v>
      </c>
      <c r="D495" s="11" t="s">
        <v>37</v>
      </c>
      <c r="E495" s="36" t="s">
        <v>2941</v>
      </c>
      <c r="F495" s="36" t="s">
        <v>2942</v>
      </c>
      <c r="G495" s="36" t="s">
        <v>2943</v>
      </c>
      <c r="H495" s="11" t="s">
        <v>45</v>
      </c>
      <c r="I495" s="11">
        <v>6.39399762966E11</v>
      </c>
      <c r="J495" s="37">
        <v>45588.0</v>
      </c>
      <c r="K495" s="11"/>
      <c r="L495" s="11">
        <v>2.0250331E7</v>
      </c>
    </row>
    <row r="496">
      <c r="A496" s="9" t="s">
        <v>249</v>
      </c>
      <c r="B496" s="11" t="s">
        <v>2844</v>
      </c>
      <c r="C496" s="11" t="s">
        <v>35</v>
      </c>
      <c r="D496" s="11" t="s">
        <v>37</v>
      </c>
      <c r="E496" s="36" t="s">
        <v>2944</v>
      </c>
      <c r="F496" s="36" t="s">
        <v>2945</v>
      </c>
      <c r="G496" s="36" t="s">
        <v>2946</v>
      </c>
      <c r="H496" s="11" t="s">
        <v>45</v>
      </c>
      <c r="I496" s="11">
        <v>6.39088688471E11</v>
      </c>
      <c r="J496" s="37">
        <v>45588.0</v>
      </c>
      <c r="K496" s="11"/>
      <c r="L496" s="11">
        <v>2.0250331E7</v>
      </c>
    </row>
    <row r="497">
      <c r="A497" s="9" t="s">
        <v>249</v>
      </c>
      <c r="B497" s="11" t="s">
        <v>2844</v>
      </c>
      <c r="C497" s="11" t="s">
        <v>35</v>
      </c>
      <c r="D497" s="11" t="s">
        <v>37</v>
      </c>
      <c r="E497" s="36" t="s">
        <v>2952</v>
      </c>
      <c r="F497" s="36" t="s">
        <v>2953</v>
      </c>
      <c r="G497" s="36" t="s">
        <v>2955</v>
      </c>
      <c r="H497" s="11" t="s">
        <v>45</v>
      </c>
      <c r="I497" s="11">
        <v>6.39209389159E11</v>
      </c>
      <c r="J497" s="37">
        <v>45588.0</v>
      </c>
      <c r="K497" s="11"/>
      <c r="L497" s="11">
        <v>2.0250331E7</v>
      </c>
    </row>
    <row r="498">
      <c r="A498" s="9" t="s">
        <v>249</v>
      </c>
      <c r="B498" s="11" t="s">
        <v>2844</v>
      </c>
      <c r="C498" s="11" t="s">
        <v>35</v>
      </c>
      <c r="D498" s="11" t="s">
        <v>37</v>
      </c>
      <c r="E498" s="36" t="s">
        <v>2958</v>
      </c>
      <c r="F498" s="36" t="s">
        <v>2959</v>
      </c>
      <c r="G498" s="36" t="s">
        <v>2961</v>
      </c>
      <c r="H498" s="11" t="s">
        <v>45</v>
      </c>
      <c r="I498" s="11">
        <v>6.39189227243E11</v>
      </c>
      <c r="J498" s="37">
        <v>45588.0</v>
      </c>
      <c r="K498" s="11"/>
      <c r="L498" s="11">
        <v>2.0250331E7</v>
      </c>
    </row>
    <row r="499">
      <c r="A499" s="9" t="s">
        <v>249</v>
      </c>
      <c r="B499" s="11" t="s">
        <v>2844</v>
      </c>
      <c r="C499" s="11" t="s">
        <v>35</v>
      </c>
      <c r="D499" s="11" t="s">
        <v>37</v>
      </c>
      <c r="E499" s="36" t="s">
        <v>2964</v>
      </c>
      <c r="F499" s="36" t="s">
        <v>2965</v>
      </c>
      <c r="G499" s="36" t="s">
        <v>2966</v>
      </c>
      <c r="H499" s="11" t="s">
        <v>45</v>
      </c>
      <c r="I499" s="11">
        <v>6.39209289042E11</v>
      </c>
      <c r="J499" s="37">
        <v>45588.0</v>
      </c>
      <c r="K499" s="11"/>
      <c r="L499" s="11">
        <v>2.0250331E7</v>
      </c>
    </row>
    <row r="500">
      <c r="A500" s="9" t="s">
        <v>249</v>
      </c>
      <c r="B500" s="11" t="s">
        <v>2844</v>
      </c>
      <c r="C500" s="11" t="s">
        <v>35</v>
      </c>
      <c r="D500" s="11" t="s">
        <v>37</v>
      </c>
      <c r="E500" s="36" t="s">
        <v>2971</v>
      </c>
      <c r="F500" s="36" t="s">
        <v>2972</v>
      </c>
      <c r="G500" s="36" t="s">
        <v>2973</v>
      </c>
      <c r="H500" s="11" t="s">
        <v>45</v>
      </c>
      <c r="I500" s="11">
        <v>6.39189365453E11</v>
      </c>
      <c r="J500" s="37">
        <v>45588.0</v>
      </c>
      <c r="K500" s="11"/>
      <c r="L500" s="11">
        <v>2.0250331E7</v>
      </c>
    </row>
    <row r="501">
      <c r="A501" s="9" t="s">
        <v>249</v>
      </c>
      <c r="B501" s="11" t="s">
        <v>2844</v>
      </c>
      <c r="C501" s="11" t="s">
        <v>35</v>
      </c>
      <c r="D501" s="11" t="s">
        <v>37</v>
      </c>
      <c r="E501" s="36" t="s">
        <v>2974</v>
      </c>
      <c r="F501" s="36" t="s">
        <v>2975</v>
      </c>
      <c r="G501" s="36" t="s">
        <v>2976</v>
      </c>
      <c r="H501" s="11" t="s">
        <v>45</v>
      </c>
      <c r="I501" s="11">
        <v>6.39985894703E11</v>
      </c>
      <c r="J501" s="37">
        <v>45588.0</v>
      </c>
      <c r="K501" s="11"/>
      <c r="L501" s="11">
        <v>2.0250331E7</v>
      </c>
    </row>
    <row r="502">
      <c r="A502" s="9" t="s">
        <v>249</v>
      </c>
      <c r="B502" s="11" t="s">
        <v>2844</v>
      </c>
      <c r="C502" s="11" t="s">
        <v>35</v>
      </c>
      <c r="D502" s="11" t="s">
        <v>37</v>
      </c>
      <c r="E502" s="36" t="s">
        <v>2977</v>
      </c>
      <c r="F502" s="36" t="s">
        <v>2979</v>
      </c>
      <c r="G502" s="36" t="s">
        <v>2981</v>
      </c>
      <c r="H502" s="11" t="s">
        <v>45</v>
      </c>
      <c r="I502" s="11">
        <v>6.39209706046E11</v>
      </c>
      <c r="J502" s="37">
        <v>45588.0</v>
      </c>
      <c r="K502" s="11"/>
      <c r="L502" s="11">
        <v>2.0250331E7</v>
      </c>
    </row>
    <row r="503">
      <c r="A503" s="9" t="s">
        <v>249</v>
      </c>
      <c r="B503" s="11" t="s">
        <v>2844</v>
      </c>
      <c r="C503" s="11" t="s">
        <v>35</v>
      </c>
      <c r="D503" s="11" t="s">
        <v>37</v>
      </c>
      <c r="E503" s="36" t="s">
        <v>2984</v>
      </c>
      <c r="F503" s="36" t="s">
        <v>2985</v>
      </c>
      <c r="G503" s="36" t="s">
        <v>2986</v>
      </c>
      <c r="H503" s="11" t="s">
        <v>45</v>
      </c>
      <c r="I503" s="11">
        <v>6.3920903786E11</v>
      </c>
      <c r="J503" s="37">
        <v>45588.0</v>
      </c>
      <c r="K503" s="11"/>
      <c r="L503" s="11">
        <v>2.0250331E7</v>
      </c>
    </row>
    <row r="504">
      <c r="A504" s="9" t="s">
        <v>249</v>
      </c>
      <c r="B504" s="11" t="s">
        <v>2844</v>
      </c>
      <c r="C504" s="11" t="s">
        <v>35</v>
      </c>
      <c r="D504" s="11" t="s">
        <v>37</v>
      </c>
      <c r="E504" s="36" t="s">
        <v>2991</v>
      </c>
      <c r="F504" s="36" t="s">
        <v>2992</v>
      </c>
      <c r="G504" s="36" t="s">
        <v>2993</v>
      </c>
      <c r="H504" s="11" t="s">
        <v>45</v>
      </c>
      <c r="I504" s="11">
        <v>6.39209115294E11</v>
      </c>
      <c r="J504" s="37">
        <v>45588.0</v>
      </c>
      <c r="K504" s="11"/>
      <c r="L504" s="11">
        <v>2.0250331E7</v>
      </c>
    </row>
    <row r="505">
      <c r="A505" s="9" t="s">
        <v>249</v>
      </c>
      <c r="B505" s="11" t="s">
        <v>2844</v>
      </c>
      <c r="C505" s="11" t="s">
        <v>35</v>
      </c>
      <c r="D505" s="11" t="s">
        <v>37</v>
      </c>
      <c r="E505" s="36" t="s">
        <v>2997</v>
      </c>
      <c r="F505" s="36" t="s">
        <v>2999</v>
      </c>
      <c r="G505" s="36" t="s">
        <v>3000</v>
      </c>
      <c r="H505" s="11" t="s">
        <v>45</v>
      </c>
      <c r="I505" s="11">
        <v>6.39985129071E11</v>
      </c>
      <c r="J505" s="37">
        <v>45588.0</v>
      </c>
      <c r="K505" s="11"/>
      <c r="L505" s="11">
        <v>2.0250331E7</v>
      </c>
    </row>
    <row r="506">
      <c r="A506" s="9" t="s">
        <v>249</v>
      </c>
      <c r="B506" s="11" t="s">
        <v>2844</v>
      </c>
      <c r="C506" s="11" t="s">
        <v>35</v>
      </c>
      <c r="D506" s="11" t="s">
        <v>37</v>
      </c>
      <c r="E506" s="36" t="s">
        <v>3002</v>
      </c>
      <c r="F506" s="36" t="s">
        <v>3003</v>
      </c>
      <c r="G506" s="36" t="s">
        <v>3005</v>
      </c>
      <c r="H506" s="11" t="s">
        <v>45</v>
      </c>
      <c r="I506" s="11">
        <v>6.39209386293E11</v>
      </c>
      <c r="J506" s="37">
        <v>45588.0</v>
      </c>
      <c r="K506" s="11"/>
      <c r="L506" s="11">
        <v>2.0250331E7</v>
      </c>
    </row>
    <row r="507">
      <c r="A507" s="9" t="s">
        <v>249</v>
      </c>
      <c r="B507" s="11" t="s">
        <v>2844</v>
      </c>
      <c r="C507" s="11" t="s">
        <v>35</v>
      </c>
      <c r="D507" s="11" t="s">
        <v>37</v>
      </c>
      <c r="E507" s="36" t="s">
        <v>3009</v>
      </c>
      <c r="F507" s="36" t="s">
        <v>3010</v>
      </c>
      <c r="G507" s="36" t="s">
        <v>3011</v>
      </c>
      <c r="H507" s="11" t="s">
        <v>45</v>
      </c>
      <c r="I507" s="11">
        <v>6.39189175354E11</v>
      </c>
      <c r="J507" s="37">
        <v>45588.0</v>
      </c>
      <c r="K507" s="11"/>
      <c r="L507" s="11">
        <v>2.0250331E7</v>
      </c>
    </row>
    <row r="508">
      <c r="A508" s="9" t="s">
        <v>249</v>
      </c>
      <c r="B508" s="11" t="s">
        <v>2844</v>
      </c>
      <c r="C508" s="11" t="s">
        <v>35</v>
      </c>
      <c r="D508" s="11" t="s">
        <v>37</v>
      </c>
      <c r="E508" s="36" t="s">
        <v>3013</v>
      </c>
      <c r="F508" s="36" t="s">
        <v>3015</v>
      </c>
      <c r="G508" s="36" t="s">
        <v>3017</v>
      </c>
      <c r="H508" s="11" t="s">
        <v>45</v>
      </c>
      <c r="I508" s="11">
        <v>6.39209129503E11</v>
      </c>
      <c r="J508" s="37">
        <v>45588.0</v>
      </c>
      <c r="K508" s="11"/>
      <c r="L508" s="11">
        <v>2.0250331E7</v>
      </c>
    </row>
    <row r="509">
      <c r="A509" s="9" t="s">
        <v>249</v>
      </c>
      <c r="B509" s="11" t="s">
        <v>2844</v>
      </c>
      <c r="C509" s="11" t="s">
        <v>35</v>
      </c>
      <c r="D509" s="11" t="s">
        <v>37</v>
      </c>
      <c r="E509" s="36" t="s">
        <v>3019</v>
      </c>
      <c r="F509" s="36" t="s">
        <v>3020</v>
      </c>
      <c r="G509" s="36" t="s">
        <v>3021</v>
      </c>
      <c r="H509" s="11" t="s">
        <v>45</v>
      </c>
      <c r="I509" s="11">
        <v>6.39209158508E11</v>
      </c>
      <c r="J509" s="37">
        <v>45588.0</v>
      </c>
      <c r="K509" s="11"/>
      <c r="L509" s="11">
        <v>2.0250331E7</v>
      </c>
    </row>
    <row r="510">
      <c r="A510" s="9" t="s">
        <v>249</v>
      </c>
      <c r="B510" s="11" t="s">
        <v>2844</v>
      </c>
      <c r="C510" s="11" t="s">
        <v>35</v>
      </c>
      <c r="D510" s="11" t="s">
        <v>37</v>
      </c>
      <c r="E510" s="36" t="s">
        <v>3024</v>
      </c>
      <c r="F510" s="36" t="s">
        <v>3026</v>
      </c>
      <c r="G510" s="36" t="s">
        <v>3027</v>
      </c>
      <c r="H510" s="11" t="s">
        <v>45</v>
      </c>
      <c r="I510" s="11">
        <v>6.39189373704E11</v>
      </c>
      <c r="J510" s="37">
        <v>45588.0</v>
      </c>
      <c r="K510" s="11"/>
      <c r="L510" s="11">
        <v>2.0250331E7</v>
      </c>
    </row>
    <row r="511">
      <c r="A511" s="9" t="s">
        <v>249</v>
      </c>
      <c r="B511" s="11" t="s">
        <v>2844</v>
      </c>
      <c r="C511" s="11" t="s">
        <v>35</v>
      </c>
      <c r="D511" s="11" t="s">
        <v>37</v>
      </c>
      <c r="E511" s="36" t="s">
        <v>3029</v>
      </c>
      <c r="F511" s="36" t="s">
        <v>3030</v>
      </c>
      <c r="G511" s="36" t="s">
        <v>3033</v>
      </c>
      <c r="H511" s="11" t="s">
        <v>45</v>
      </c>
      <c r="I511" s="11">
        <v>6.39209329287E11</v>
      </c>
      <c r="J511" s="37">
        <v>45588.0</v>
      </c>
      <c r="K511" s="11"/>
      <c r="L511" s="11">
        <v>2.0250331E7</v>
      </c>
    </row>
    <row r="512">
      <c r="A512" s="9" t="s">
        <v>249</v>
      </c>
      <c r="B512" s="11" t="s">
        <v>2844</v>
      </c>
      <c r="C512" s="11" t="s">
        <v>35</v>
      </c>
      <c r="D512" s="11" t="s">
        <v>37</v>
      </c>
      <c r="E512" s="36" t="s">
        <v>3037</v>
      </c>
      <c r="F512" s="36" t="s">
        <v>3038</v>
      </c>
      <c r="G512" s="36" t="s">
        <v>3039</v>
      </c>
      <c r="H512" s="11" t="s">
        <v>45</v>
      </c>
      <c r="I512" s="11">
        <v>6.39209066723E11</v>
      </c>
      <c r="J512" s="37">
        <v>45588.0</v>
      </c>
      <c r="K512" s="11"/>
      <c r="L512" s="11">
        <v>2.0250331E7</v>
      </c>
    </row>
    <row r="513">
      <c r="A513" s="9" t="s">
        <v>249</v>
      </c>
      <c r="B513" s="11" t="s">
        <v>2844</v>
      </c>
      <c r="C513" s="11" t="s">
        <v>35</v>
      </c>
      <c r="D513" s="11" t="s">
        <v>37</v>
      </c>
      <c r="E513" s="36" t="s">
        <v>3042</v>
      </c>
      <c r="F513" s="36" t="s">
        <v>3044</v>
      </c>
      <c r="G513" s="36" t="s">
        <v>3045</v>
      </c>
      <c r="H513" s="11" t="s">
        <v>45</v>
      </c>
      <c r="I513" s="11">
        <v>6.39209069867E11</v>
      </c>
      <c r="J513" s="37">
        <v>45588.0</v>
      </c>
      <c r="K513" s="11"/>
      <c r="L513" s="11">
        <v>2.0250331E7</v>
      </c>
    </row>
    <row r="514">
      <c r="A514" s="9" t="s">
        <v>249</v>
      </c>
      <c r="B514" s="11" t="s">
        <v>2844</v>
      </c>
      <c r="C514" s="11" t="s">
        <v>35</v>
      </c>
      <c r="D514" s="11" t="s">
        <v>37</v>
      </c>
      <c r="E514" s="36" t="s">
        <v>3047</v>
      </c>
      <c r="F514" s="36" t="s">
        <v>3048</v>
      </c>
      <c r="G514" s="36" t="s">
        <v>3049</v>
      </c>
      <c r="H514" s="11" t="s">
        <v>45</v>
      </c>
      <c r="I514" s="11">
        <v>6.39189365762E11</v>
      </c>
      <c r="J514" s="37">
        <v>45588.0</v>
      </c>
      <c r="K514" s="11"/>
      <c r="L514" s="11">
        <v>2.0250331E7</v>
      </c>
    </row>
    <row r="515">
      <c r="A515" s="9" t="s">
        <v>249</v>
      </c>
      <c r="B515" s="11" t="s">
        <v>2844</v>
      </c>
      <c r="C515" s="11" t="s">
        <v>35</v>
      </c>
      <c r="D515" s="11" t="s">
        <v>37</v>
      </c>
      <c r="E515" s="36" t="s">
        <v>3050</v>
      </c>
      <c r="F515" s="36" t="s">
        <v>3052</v>
      </c>
      <c r="G515" s="36" t="s">
        <v>3054</v>
      </c>
      <c r="H515" s="11" t="s">
        <v>45</v>
      </c>
      <c r="I515" s="11">
        <v>6.39189342715E11</v>
      </c>
      <c r="J515" s="37">
        <v>45588.0</v>
      </c>
      <c r="K515" s="11"/>
      <c r="L515" s="11">
        <v>2.0250331E7</v>
      </c>
    </row>
    <row r="516">
      <c r="A516" s="9" t="s">
        <v>249</v>
      </c>
      <c r="B516" s="11" t="s">
        <v>2844</v>
      </c>
      <c r="C516" s="11" t="s">
        <v>35</v>
      </c>
      <c r="D516" s="11" t="s">
        <v>37</v>
      </c>
      <c r="E516" s="36" t="s">
        <v>3059</v>
      </c>
      <c r="F516" s="36" t="s">
        <v>3060</v>
      </c>
      <c r="G516" s="36" t="s">
        <v>3061</v>
      </c>
      <c r="H516" s="11" t="s">
        <v>45</v>
      </c>
      <c r="I516" s="11">
        <v>6.39209233445E11</v>
      </c>
      <c r="J516" s="37">
        <v>45588.0</v>
      </c>
      <c r="K516" s="11"/>
      <c r="L516" s="11">
        <v>2.0250331E7</v>
      </c>
    </row>
    <row r="517">
      <c r="A517" s="9" t="s">
        <v>249</v>
      </c>
      <c r="B517" s="11" t="s">
        <v>2844</v>
      </c>
      <c r="C517" s="11" t="s">
        <v>35</v>
      </c>
      <c r="D517" s="11" t="s">
        <v>37</v>
      </c>
      <c r="E517" s="36" t="s">
        <v>3066</v>
      </c>
      <c r="F517" s="36" t="s">
        <v>3067</v>
      </c>
      <c r="G517" s="36" t="s">
        <v>3069</v>
      </c>
      <c r="H517" s="11" t="s">
        <v>45</v>
      </c>
      <c r="I517" s="11">
        <v>6.39189054125E11</v>
      </c>
      <c r="J517" s="37">
        <v>45588.0</v>
      </c>
      <c r="K517" s="11"/>
      <c r="L517" s="11">
        <v>2.0250331E7</v>
      </c>
    </row>
    <row r="518">
      <c r="A518" s="9" t="s">
        <v>249</v>
      </c>
      <c r="B518" s="11" t="s">
        <v>2844</v>
      </c>
      <c r="C518" s="11" t="s">
        <v>35</v>
      </c>
      <c r="D518" s="11" t="s">
        <v>37</v>
      </c>
      <c r="E518" s="36" t="s">
        <v>3071</v>
      </c>
      <c r="F518" s="36" t="s">
        <v>3072</v>
      </c>
      <c r="G518" s="36" t="s">
        <v>3073</v>
      </c>
      <c r="H518" s="11" t="s">
        <v>45</v>
      </c>
      <c r="I518" s="11">
        <v>6.39189158447E11</v>
      </c>
      <c r="J518" s="37">
        <v>45588.0</v>
      </c>
      <c r="K518" s="11"/>
      <c r="L518" s="11">
        <v>2.0250331E7</v>
      </c>
    </row>
    <row r="519">
      <c r="A519" s="9" t="s">
        <v>249</v>
      </c>
      <c r="B519" s="11" t="s">
        <v>2844</v>
      </c>
      <c r="C519" s="11" t="s">
        <v>35</v>
      </c>
      <c r="D519" s="11" t="s">
        <v>37</v>
      </c>
      <c r="E519" s="36" t="s">
        <v>3078</v>
      </c>
      <c r="F519" s="36" t="s">
        <v>3079</v>
      </c>
      <c r="G519" s="36" t="s">
        <v>3080</v>
      </c>
      <c r="H519" s="11" t="s">
        <v>45</v>
      </c>
      <c r="I519" s="11">
        <v>6.39189657893E11</v>
      </c>
      <c r="J519" s="37">
        <v>45588.0</v>
      </c>
      <c r="K519" s="11"/>
      <c r="L519" s="11">
        <v>2.0250331E7</v>
      </c>
    </row>
    <row r="520">
      <c r="A520" s="9" t="s">
        <v>249</v>
      </c>
      <c r="B520" s="11" t="s">
        <v>2844</v>
      </c>
      <c r="C520" s="11" t="s">
        <v>35</v>
      </c>
      <c r="D520" s="11" t="s">
        <v>37</v>
      </c>
      <c r="E520" s="36" t="s">
        <v>3081</v>
      </c>
      <c r="F520" s="36" t="s">
        <v>3082</v>
      </c>
      <c r="G520" s="36" t="s">
        <v>3083</v>
      </c>
      <c r="H520" s="11" t="s">
        <v>45</v>
      </c>
      <c r="I520" s="11">
        <v>6.39209067715E11</v>
      </c>
      <c r="J520" s="37">
        <v>45588.0</v>
      </c>
      <c r="K520" s="11"/>
      <c r="L520" s="11">
        <v>2.0250331E7</v>
      </c>
    </row>
    <row r="521">
      <c r="A521" s="9" t="s">
        <v>249</v>
      </c>
      <c r="B521" s="11" t="s">
        <v>2844</v>
      </c>
      <c r="C521" s="11" t="s">
        <v>35</v>
      </c>
      <c r="D521" s="11" t="s">
        <v>37</v>
      </c>
      <c r="E521" s="36" t="s">
        <v>3086</v>
      </c>
      <c r="F521" s="36" t="s">
        <v>3087</v>
      </c>
      <c r="G521" s="36" t="s">
        <v>3089</v>
      </c>
      <c r="H521" s="11" t="s">
        <v>45</v>
      </c>
      <c r="I521" s="11">
        <v>6.39209492506E11</v>
      </c>
      <c r="J521" s="37">
        <v>45588.0</v>
      </c>
      <c r="K521" s="11"/>
      <c r="L521" s="11">
        <v>2.0250331E7</v>
      </c>
    </row>
    <row r="522">
      <c r="A522" s="9" t="s">
        <v>249</v>
      </c>
      <c r="B522" s="11" t="s">
        <v>2844</v>
      </c>
      <c r="C522" s="11" t="s">
        <v>35</v>
      </c>
      <c r="D522" s="11" t="s">
        <v>37</v>
      </c>
      <c r="E522" s="36" t="s">
        <v>3091</v>
      </c>
      <c r="F522" s="36" t="s">
        <v>3092</v>
      </c>
      <c r="G522" s="36" t="s">
        <v>3093</v>
      </c>
      <c r="H522" s="11" t="s">
        <v>45</v>
      </c>
      <c r="I522" s="11">
        <v>6.39209228854E11</v>
      </c>
      <c r="J522" s="37">
        <v>45588.0</v>
      </c>
      <c r="K522" s="11"/>
      <c r="L522" s="11">
        <v>2.0250331E7</v>
      </c>
    </row>
    <row r="523">
      <c r="A523" s="9" t="s">
        <v>249</v>
      </c>
      <c r="B523" s="11" t="s">
        <v>2844</v>
      </c>
      <c r="C523" s="11" t="s">
        <v>35</v>
      </c>
      <c r="D523" s="11" t="s">
        <v>37</v>
      </c>
      <c r="E523" s="36" t="s">
        <v>3094</v>
      </c>
      <c r="F523" s="36" t="s">
        <v>3096</v>
      </c>
      <c r="G523" s="36" t="s">
        <v>3097</v>
      </c>
      <c r="H523" s="11" t="s">
        <v>45</v>
      </c>
      <c r="I523" s="11">
        <v>6.39209549418E11</v>
      </c>
      <c r="J523" s="37">
        <v>45588.0</v>
      </c>
      <c r="K523" s="11"/>
      <c r="L523" s="11">
        <v>2.0250331E7</v>
      </c>
    </row>
    <row r="524">
      <c r="A524" s="9" t="s">
        <v>249</v>
      </c>
      <c r="B524" s="11" t="s">
        <v>2844</v>
      </c>
      <c r="C524" s="11" t="s">
        <v>35</v>
      </c>
      <c r="D524" s="11" t="s">
        <v>37</v>
      </c>
      <c r="E524" s="36" t="s">
        <v>3101</v>
      </c>
      <c r="F524" s="36" t="s">
        <v>3102</v>
      </c>
      <c r="G524" s="36" t="s">
        <v>3103</v>
      </c>
      <c r="H524" s="11" t="s">
        <v>45</v>
      </c>
      <c r="I524" s="11">
        <v>6.39209720753E11</v>
      </c>
      <c r="J524" s="37">
        <v>45588.0</v>
      </c>
      <c r="K524" s="11"/>
      <c r="L524" s="11">
        <v>2.0250331E7</v>
      </c>
    </row>
    <row r="525">
      <c r="A525" s="9" t="s">
        <v>249</v>
      </c>
      <c r="B525" s="11" t="s">
        <v>2844</v>
      </c>
      <c r="C525" s="11" t="s">
        <v>35</v>
      </c>
      <c r="D525" s="11" t="s">
        <v>37</v>
      </c>
      <c r="E525" s="36" t="s">
        <v>3104</v>
      </c>
      <c r="F525" s="36" t="s">
        <v>3105</v>
      </c>
      <c r="G525" s="36" t="s">
        <v>3106</v>
      </c>
      <c r="H525" s="11" t="s">
        <v>45</v>
      </c>
      <c r="I525" s="11">
        <v>6.3918938949E11</v>
      </c>
      <c r="J525" s="37">
        <v>45588.0</v>
      </c>
      <c r="K525" s="11"/>
      <c r="L525" s="11">
        <v>2.0250331E7</v>
      </c>
    </row>
    <row r="526">
      <c r="A526" s="9" t="s">
        <v>249</v>
      </c>
      <c r="B526" s="11" t="s">
        <v>2844</v>
      </c>
      <c r="C526" s="11" t="s">
        <v>35</v>
      </c>
      <c r="D526" s="11" t="s">
        <v>37</v>
      </c>
      <c r="E526" s="36" t="s">
        <v>3110</v>
      </c>
      <c r="F526" s="36" t="s">
        <v>3111</v>
      </c>
      <c r="G526" s="36" t="s">
        <v>3113</v>
      </c>
      <c r="H526" s="11" t="s">
        <v>45</v>
      </c>
      <c r="I526" s="11">
        <v>6.39189486737E11</v>
      </c>
      <c r="J526" s="37">
        <v>45588.0</v>
      </c>
      <c r="K526" s="11"/>
      <c r="L526" s="11">
        <v>2.0250331E7</v>
      </c>
    </row>
    <row r="527">
      <c r="A527" s="9" t="s">
        <v>249</v>
      </c>
      <c r="B527" s="11" t="s">
        <v>2844</v>
      </c>
      <c r="C527" s="11" t="s">
        <v>35</v>
      </c>
      <c r="D527" s="11" t="s">
        <v>37</v>
      </c>
      <c r="E527" s="36" t="s">
        <v>3114</v>
      </c>
      <c r="F527" s="36" t="s">
        <v>3115</v>
      </c>
      <c r="G527" s="36" t="s">
        <v>3116</v>
      </c>
      <c r="H527" s="11" t="s">
        <v>45</v>
      </c>
      <c r="I527" s="11">
        <v>6.39209640868E11</v>
      </c>
      <c r="J527" s="37">
        <v>45588.0</v>
      </c>
      <c r="K527" s="11"/>
      <c r="L527" s="11">
        <v>2.0250331E7</v>
      </c>
    </row>
    <row r="528">
      <c r="A528" s="9" t="s">
        <v>249</v>
      </c>
      <c r="B528" s="11" t="s">
        <v>2844</v>
      </c>
      <c r="C528" s="11" t="s">
        <v>35</v>
      </c>
      <c r="D528" s="11" t="s">
        <v>37</v>
      </c>
      <c r="E528" s="36" t="s">
        <v>3119</v>
      </c>
      <c r="F528" s="36" t="s">
        <v>3120</v>
      </c>
      <c r="G528" s="36" t="s">
        <v>3122</v>
      </c>
      <c r="H528" s="11" t="s">
        <v>45</v>
      </c>
      <c r="I528" s="11">
        <v>6.3920954254E11</v>
      </c>
      <c r="J528" s="37">
        <v>45588.0</v>
      </c>
      <c r="K528" s="11"/>
      <c r="L528" s="11">
        <v>2.0250331E7</v>
      </c>
    </row>
    <row r="529">
      <c r="A529" s="9" t="s">
        <v>249</v>
      </c>
      <c r="B529" s="11" t="s">
        <v>2844</v>
      </c>
      <c r="C529" s="11" t="s">
        <v>35</v>
      </c>
      <c r="D529" s="11" t="s">
        <v>37</v>
      </c>
      <c r="E529" s="36" t="s">
        <v>3124</v>
      </c>
      <c r="F529" s="36" t="s">
        <v>3125</v>
      </c>
      <c r="G529" s="36" t="s">
        <v>3126</v>
      </c>
      <c r="H529" s="11" t="s">
        <v>45</v>
      </c>
      <c r="I529" s="11">
        <v>6.39209250365E11</v>
      </c>
      <c r="J529" s="37">
        <v>45588.0</v>
      </c>
      <c r="K529" s="11"/>
      <c r="L529" s="11">
        <v>2.0250331E7</v>
      </c>
    </row>
    <row r="530">
      <c r="A530" s="9" t="s">
        <v>249</v>
      </c>
      <c r="B530" s="11" t="s">
        <v>2844</v>
      </c>
      <c r="C530" s="11" t="s">
        <v>35</v>
      </c>
      <c r="D530" s="11" t="s">
        <v>37</v>
      </c>
      <c r="E530" s="36" t="s">
        <v>3131</v>
      </c>
      <c r="F530" s="36" t="s">
        <v>3132</v>
      </c>
      <c r="G530" s="36" t="s">
        <v>3133</v>
      </c>
      <c r="H530" s="11" t="s">
        <v>45</v>
      </c>
      <c r="I530" s="11">
        <v>6.39209225813E11</v>
      </c>
      <c r="J530" s="37">
        <v>45588.0</v>
      </c>
      <c r="K530" s="11"/>
      <c r="L530" s="11">
        <v>2.0250331E7</v>
      </c>
    </row>
    <row r="531">
      <c r="A531" s="9" t="s">
        <v>249</v>
      </c>
      <c r="B531" s="11" t="s">
        <v>2844</v>
      </c>
      <c r="C531" s="11" t="s">
        <v>35</v>
      </c>
      <c r="D531" s="11" t="s">
        <v>37</v>
      </c>
      <c r="E531" s="36" t="s">
        <v>3138</v>
      </c>
      <c r="F531" s="36" t="s">
        <v>3139</v>
      </c>
      <c r="G531" s="36" t="s">
        <v>3140</v>
      </c>
      <c r="H531" s="11" t="s">
        <v>45</v>
      </c>
      <c r="I531" s="11">
        <v>6.39209078191E11</v>
      </c>
      <c r="J531" s="37">
        <v>45588.0</v>
      </c>
      <c r="K531" s="11"/>
      <c r="L531" s="11">
        <v>2.0250331E7</v>
      </c>
    </row>
    <row r="532">
      <c r="A532" s="9" t="s">
        <v>249</v>
      </c>
      <c r="B532" s="11" t="s">
        <v>2844</v>
      </c>
      <c r="C532" s="11" t="s">
        <v>35</v>
      </c>
      <c r="D532" s="11" t="s">
        <v>37</v>
      </c>
      <c r="E532" s="36" t="s">
        <v>3141</v>
      </c>
      <c r="F532" s="36" t="s">
        <v>3142</v>
      </c>
      <c r="G532" s="36" t="s">
        <v>3144</v>
      </c>
      <c r="H532" s="11" t="s">
        <v>45</v>
      </c>
      <c r="I532" s="11">
        <v>6.3918936206E11</v>
      </c>
      <c r="J532" s="37">
        <v>45588.0</v>
      </c>
      <c r="K532" s="11"/>
      <c r="L532" s="11">
        <v>2.0250331E7</v>
      </c>
    </row>
    <row r="533">
      <c r="A533" s="9" t="s">
        <v>249</v>
      </c>
      <c r="B533" s="11" t="s">
        <v>2844</v>
      </c>
      <c r="C533" s="11" t="s">
        <v>35</v>
      </c>
      <c r="D533" s="11" t="s">
        <v>37</v>
      </c>
      <c r="E533" s="36" t="s">
        <v>3149</v>
      </c>
      <c r="F533" s="36" t="s">
        <v>3150</v>
      </c>
      <c r="G533" s="36" t="s">
        <v>3151</v>
      </c>
      <c r="H533" s="11" t="s">
        <v>45</v>
      </c>
      <c r="I533" s="11">
        <v>6.39209151833E11</v>
      </c>
      <c r="J533" s="37">
        <v>45588.0</v>
      </c>
      <c r="K533" s="11"/>
      <c r="L533" s="11">
        <v>2.0250331E7</v>
      </c>
    </row>
    <row r="534">
      <c r="A534" s="9" t="s">
        <v>249</v>
      </c>
      <c r="B534" s="11" t="s">
        <v>2844</v>
      </c>
      <c r="C534" s="11" t="s">
        <v>35</v>
      </c>
      <c r="D534" s="11" t="s">
        <v>37</v>
      </c>
      <c r="E534" s="36" t="s">
        <v>3152</v>
      </c>
      <c r="F534" s="36" t="s">
        <v>3153</v>
      </c>
      <c r="G534" s="36" t="s">
        <v>3157</v>
      </c>
      <c r="H534" s="11" t="s">
        <v>45</v>
      </c>
      <c r="I534" s="11">
        <v>6.39209509908E11</v>
      </c>
      <c r="J534" s="37">
        <v>45588.0</v>
      </c>
      <c r="K534" s="11"/>
      <c r="L534" s="11">
        <v>2.0250331E7</v>
      </c>
    </row>
    <row r="535">
      <c r="A535" s="9" t="s">
        <v>249</v>
      </c>
      <c r="B535" s="11" t="s">
        <v>2844</v>
      </c>
      <c r="C535" s="11" t="s">
        <v>35</v>
      </c>
      <c r="D535" s="11" t="s">
        <v>37</v>
      </c>
      <c r="E535" s="36" t="s">
        <v>3159</v>
      </c>
      <c r="F535" s="36" t="s">
        <v>3160</v>
      </c>
      <c r="G535" s="36" t="s">
        <v>3161</v>
      </c>
      <c r="H535" s="11" t="s">
        <v>45</v>
      </c>
      <c r="I535" s="11">
        <v>6.39209124906E11</v>
      </c>
      <c r="J535" s="37">
        <v>45588.0</v>
      </c>
      <c r="K535" s="11"/>
      <c r="L535" s="11">
        <v>2.0250331E7</v>
      </c>
    </row>
    <row r="536">
      <c r="A536" s="9" t="s">
        <v>249</v>
      </c>
      <c r="B536" s="11" t="s">
        <v>2844</v>
      </c>
      <c r="C536" s="11" t="s">
        <v>35</v>
      </c>
      <c r="D536" s="11" t="s">
        <v>37</v>
      </c>
      <c r="E536" s="36" t="s">
        <v>3165</v>
      </c>
      <c r="F536" s="36" t="s">
        <v>3166</v>
      </c>
      <c r="G536" s="36" t="s">
        <v>3167</v>
      </c>
      <c r="H536" s="11" t="s">
        <v>45</v>
      </c>
      <c r="I536" s="11">
        <v>6.39189797046E11</v>
      </c>
      <c r="J536" s="37">
        <v>45588.0</v>
      </c>
      <c r="K536" s="11"/>
      <c r="L536" s="11">
        <v>2.0250331E7</v>
      </c>
    </row>
    <row r="537">
      <c r="A537" s="9" t="s">
        <v>249</v>
      </c>
      <c r="B537" s="11" t="s">
        <v>2844</v>
      </c>
      <c r="C537" s="11" t="s">
        <v>35</v>
      </c>
      <c r="D537" s="11" t="s">
        <v>37</v>
      </c>
      <c r="E537" s="36" t="s">
        <v>3169</v>
      </c>
      <c r="F537" s="36" t="s">
        <v>3170</v>
      </c>
      <c r="G537" s="36" t="s">
        <v>3171</v>
      </c>
      <c r="H537" s="11" t="s">
        <v>45</v>
      </c>
      <c r="I537" s="11">
        <v>6.39189109447E11</v>
      </c>
      <c r="J537" s="37">
        <v>45588.0</v>
      </c>
      <c r="K537" s="11"/>
      <c r="L537" s="11">
        <v>2.0250331E7</v>
      </c>
    </row>
    <row r="538">
      <c r="A538" s="9" t="s">
        <v>249</v>
      </c>
      <c r="B538" s="11" t="s">
        <v>2844</v>
      </c>
      <c r="C538" s="11" t="s">
        <v>35</v>
      </c>
      <c r="D538" s="11" t="s">
        <v>37</v>
      </c>
      <c r="E538" s="36" t="s">
        <v>3175</v>
      </c>
      <c r="F538" s="36" t="s">
        <v>3177</v>
      </c>
      <c r="G538" s="36" t="s">
        <v>3178</v>
      </c>
      <c r="H538" s="11" t="s">
        <v>45</v>
      </c>
      <c r="I538" s="11">
        <v>6.3920953438E11</v>
      </c>
      <c r="J538" s="37">
        <v>45588.0</v>
      </c>
      <c r="K538" s="11"/>
      <c r="L538" s="11">
        <v>2.0250331E7</v>
      </c>
    </row>
    <row r="539">
      <c r="A539" s="9" t="s">
        <v>249</v>
      </c>
      <c r="B539" s="11" t="s">
        <v>2844</v>
      </c>
      <c r="C539" s="11" t="s">
        <v>35</v>
      </c>
      <c r="D539" s="11" t="s">
        <v>37</v>
      </c>
      <c r="E539" s="36" t="s">
        <v>3179</v>
      </c>
      <c r="F539" s="36" t="s">
        <v>3180</v>
      </c>
      <c r="G539" s="36" t="s">
        <v>3181</v>
      </c>
      <c r="H539" s="11" t="s">
        <v>45</v>
      </c>
      <c r="I539" s="11">
        <v>6.39189396106E11</v>
      </c>
      <c r="J539" s="37">
        <v>45588.0</v>
      </c>
      <c r="K539" s="11"/>
      <c r="L539" s="11">
        <v>2.0250331E7</v>
      </c>
    </row>
    <row r="540">
      <c r="A540" s="9" t="s">
        <v>249</v>
      </c>
      <c r="B540" s="11" t="s">
        <v>2844</v>
      </c>
      <c r="C540" s="11" t="s">
        <v>35</v>
      </c>
      <c r="D540" s="11" t="s">
        <v>37</v>
      </c>
      <c r="E540" s="36" t="s">
        <v>3186</v>
      </c>
      <c r="F540" s="36" t="s">
        <v>3187</v>
      </c>
      <c r="G540" s="36" t="s">
        <v>3188</v>
      </c>
      <c r="H540" s="11" t="s">
        <v>45</v>
      </c>
      <c r="I540" s="11">
        <v>6.39189401182E11</v>
      </c>
      <c r="J540" s="37">
        <v>45588.0</v>
      </c>
      <c r="K540" s="11"/>
      <c r="L540" s="11">
        <v>2.0250331E7</v>
      </c>
    </row>
    <row r="541">
      <c r="A541" s="9" t="s">
        <v>249</v>
      </c>
      <c r="B541" s="11" t="s">
        <v>2844</v>
      </c>
      <c r="C541" s="11" t="s">
        <v>35</v>
      </c>
      <c r="D541" s="11" t="s">
        <v>37</v>
      </c>
      <c r="E541" s="36" t="s">
        <v>3189</v>
      </c>
      <c r="F541" s="36" t="s">
        <v>3190</v>
      </c>
      <c r="G541" s="36" t="s">
        <v>3191</v>
      </c>
      <c r="H541" s="11" t="s">
        <v>45</v>
      </c>
      <c r="I541" s="11">
        <v>6.39189123357E11</v>
      </c>
      <c r="J541" s="37">
        <v>45588.0</v>
      </c>
      <c r="K541" s="11"/>
      <c r="L541" s="11">
        <v>2.0250331E7</v>
      </c>
    </row>
    <row r="542">
      <c r="A542" s="9" t="s">
        <v>249</v>
      </c>
      <c r="B542" s="11" t="s">
        <v>2844</v>
      </c>
      <c r="C542" s="11" t="s">
        <v>35</v>
      </c>
      <c r="D542" s="11" t="s">
        <v>37</v>
      </c>
      <c r="E542" s="36" t="s">
        <v>3196</v>
      </c>
      <c r="F542" s="36" t="s">
        <v>3197</v>
      </c>
      <c r="G542" s="36" t="s">
        <v>3199</v>
      </c>
      <c r="H542" s="11" t="s">
        <v>45</v>
      </c>
      <c r="I542" s="11">
        <v>6.39209607926E11</v>
      </c>
      <c r="J542" s="37">
        <v>45588.0</v>
      </c>
      <c r="K542" s="11"/>
      <c r="L542" s="11">
        <v>2.0250331E7</v>
      </c>
    </row>
    <row r="543">
      <c r="A543" s="9" t="s">
        <v>249</v>
      </c>
      <c r="B543" s="11" t="s">
        <v>2844</v>
      </c>
      <c r="C543" s="11" t="s">
        <v>35</v>
      </c>
      <c r="D543" s="11" t="s">
        <v>37</v>
      </c>
      <c r="E543" s="36" t="s">
        <v>3202</v>
      </c>
      <c r="F543" s="36" t="s">
        <v>3204</v>
      </c>
      <c r="G543" s="36" t="s">
        <v>3205</v>
      </c>
      <c r="H543" s="11" t="s">
        <v>45</v>
      </c>
      <c r="I543" s="11">
        <v>6.39189414834E11</v>
      </c>
      <c r="J543" s="37">
        <v>45588.0</v>
      </c>
      <c r="K543" s="11"/>
      <c r="L543" s="11">
        <v>2.0250331E7</v>
      </c>
    </row>
    <row r="544">
      <c r="A544" s="9" t="s">
        <v>249</v>
      </c>
      <c r="B544" s="11" t="s">
        <v>2844</v>
      </c>
      <c r="C544" s="11" t="s">
        <v>35</v>
      </c>
      <c r="D544" s="11" t="s">
        <v>37</v>
      </c>
      <c r="E544" s="36" t="s">
        <v>3209</v>
      </c>
      <c r="F544" s="36" t="s">
        <v>3210</v>
      </c>
      <c r="G544" s="36" t="s">
        <v>3211</v>
      </c>
      <c r="H544" s="11" t="s">
        <v>45</v>
      </c>
      <c r="I544" s="11">
        <v>6.39189445567E11</v>
      </c>
      <c r="J544" s="37">
        <v>45588.0</v>
      </c>
      <c r="K544" s="11"/>
      <c r="L544" s="11">
        <v>2.0250331E7</v>
      </c>
    </row>
    <row r="545">
      <c r="A545" s="9" t="s">
        <v>249</v>
      </c>
      <c r="B545" s="11" t="s">
        <v>2844</v>
      </c>
      <c r="C545" s="11" t="s">
        <v>35</v>
      </c>
      <c r="D545" s="11" t="s">
        <v>37</v>
      </c>
      <c r="E545" s="36" t="s">
        <v>3216</v>
      </c>
      <c r="F545" s="36" t="s">
        <v>3217</v>
      </c>
      <c r="G545" s="36" t="s">
        <v>3218</v>
      </c>
      <c r="H545" s="11" t="s">
        <v>45</v>
      </c>
      <c r="I545" s="11">
        <v>6.39189255754E11</v>
      </c>
      <c r="J545" s="37">
        <v>45588.0</v>
      </c>
      <c r="K545" s="11"/>
      <c r="L545" s="11">
        <v>2.0250331E7</v>
      </c>
    </row>
    <row r="546">
      <c r="A546" s="9" t="s">
        <v>249</v>
      </c>
      <c r="B546" s="11" t="s">
        <v>2844</v>
      </c>
      <c r="C546" s="11" t="s">
        <v>35</v>
      </c>
      <c r="D546" s="11" t="s">
        <v>37</v>
      </c>
      <c r="E546" s="36" t="s">
        <v>3223</v>
      </c>
      <c r="F546" s="36" t="s">
        <v>3224</v>
      </c>
      <c r="G546" s="36" t="s">
        <v>3225</v>
      </c>
      <c r="H546" s="11" t="s">
        <v>45</v>
      </c>
      <c r="I546" s="11">
        <v>6.3918963566E11</v>
      </c>
      <c r="J546" s="37">
        <v>45588.0</v>
      </c>
      <c r="K546" s="11"/>
      <c r="L546" s="11">
        <v>2.0250331E7</v>
      </c>
    </row>
    <row r="547">
      <c r="A547" s="9" t="s">
        <v>249</v>
      </c>
      <c r="B547" s="11" t="s">
        <v>2844</v>
      </c>
      <c r="C547" s="11" t="s">
        <v>35</v>
      </c>
      <c r="D547" s="11" t="s">
        <v>37</v>
      </c>
      <c r="E547" s="36" t="s">
        <v>3226</v>
      </c>
      <c r="F547" s="36" t="s">
        <v>3227</v>
      </c>
      <c r="G547" s="36" t="s">
        <v>3228</v>
      </c>
      <c r="H547" s="11" t="s">
        <v>45</v>
      </c>
      <c r="I547" s="11">
        <v>6.39209705129E11</v>
      </c>
      <c r="J547" s="37">
        <v>45588.0</v>
      </c>
      <c r="K547" s="11"/>
      <c r="L547" s="11">
        <v>2.0250331E7</v>
      </c>
    </row>
    <row r="548">
      <c r="A548" s="9" t="s">
        <v>249</v>
      </c>
      <c r="B548" s="11" t="s">
        <v>2844</v>
      </c>
      <c r="C548" s="11" t="s">
        <v>35</v>
      </c>
      <c r="D548" s="11" t="s">
        <v>37</v>
      </c>
      <c r="E548" s="36" t="s">
        <v>3233</v>
      </c>
      <c r="F548" s="36" t="s">
        <v>3234</v>
      </c>
      <c r="G548" s="36" t="s">
        <v>3235</v>
      </c>
      <c r="H548" s="11" t="s">
        <v>45</v>
      </c>
      <c r="I548" s="11">
        <v>6.39988547422E11</v>
      </c>
      <c r="J548" s="37">
        <v>45588.0</v>
      </c>
      <c r="K548" s="11"/>
      <c r="L548" s="11">
        <v>2.0250331E7</v>
      </c>
    </row>
    <row r="549">
      <c r="A549" s="9" t="s">
        <v>249</v>
      </c>
      <c r="B549" s="11" t="s">
        <v>2844</v>
      </c>
      <c r="C549" s="11" t="s">
        <v>35</v>
      </c>
      <c r="D549" s="11" t="s">
        <v>37</v>
      </c>
      <c r="E549" s="36" t="s">
        <v>3239</v>
      </c>
      <c r="F549" s="36" t="s">
        <v>3240</v>
      </c>
      <c r="G549" s="36" t="s">
        <v>3241</v>
      </c>
      <c r="H549" s="11" t="s">
        <v>45</v>
      </c>
      <c r="I549" s="11">
        <v>6.39189121535E11</v>
      </c>
      <c r="J549" s="37">
        <v>45588.0</v>
      </c>
      <c r="K549" s="11"/>
      <c r="L549" s="11">
        <v>2.0250331E7</v>
      </c>
    </row>
    <row r="550">
      <c r="A550" s="9" t="s">
        <v>249</v>
      </c>
      <c r="B550" s="11" t="s">
        <v>2844</v>
      </c>
      <c r="C550" s="11" t="s">
        <v>35</v>
      </c>
      <c r="D550" s="11" t="s">
        <v>37</v>
      </c>
      <c r="E550" s="36" t="s">
        <v>3243</v>
      </c>
      <c r="F550" s="36" t="s">
        <v>3244</v>
      </c>
      <c r="G550" s="36" t="s">
        <v>3246</v>
      </c>
      <c r="H550" s="11" t="s">
        <v>45</v>
      </c>
      <c r="I550" s="11">
        <v>6.39209004149E11</v>
      </c>
      <c r="J550" s="37">
        <v>45588.0</v>
      </c>
      <c r="K550" s="11"/>
      <c r="L550" s="11">
        <v>2.0250331E7</v>
      </c>
    </row>
    <row r="551">
      <c r="A551" s="9" t="s">
        <v>249</v>
      </c>
      <c r="B551" s="11" t="s">
        <v>2844</v>
      </c>
      <c r="C551" s="11" t="s">
        <v>35</v>
      </c>
      <c r="D551" s="11" t="s">
        <v>37</v>
      </c>
      <c r="E551" s="36" t="s">
        <v>3248</v>
      </c>
      <c r="F551" s="36" t="s">
        <v>3249</v>
      </c>
      <c r="G551" s="36" t="s">
        <v>3250</v>
      </c>
      <c r="H551" s="11" t="s">
        <v>45</v>
      </c>
      <c r="I551" s="11">
        <v>6.39399322983E11</v>
      </c>
      <c r="J551" s="37">
        <v>45588.0</v>
      </c>
      <c r="K551" s="11"/>
      <c r="L551" s="11">
        <v>2.0250331E7</v>
      </c>
    </row>
    <row r="552">
      <c r="A552" s="9" t="s">
        <v>249</v>
      </c>
      <c r="B552" s="11" t="s">
        <v>2844</v>
      </c>
      <c r="C552" s="11" t="s">
        <v>35</v>
      </c>
      <c r="D552" s="11" t="s">
        <v>37</v>
      </c>
      <c r="E552" s="36" t="s">
        <v>3252</v>
      </c>
      <c r="F552" s="36" t="s">
        <v>3253</v>
      </c>
      <c r="G552" s="36" t="s">
        <v>3254</v>
      </c>
      <c r="H552" s="11" t="s">
        <v>45</v>
      </c>
      <c r="I552" s="11">
        <v>6.39189030694E11</v>
      </c>
      <c r="J552" s="37">
        <v>45588.0</v>
      </c>
      <c r="K552" s="11"/>
      <c r="L552" s="11">
        <v>2.0250331E7</v>
      </c>
    </row>
    <row r="553">
      <c r="A553" s="9" t="s">
        <v>249</v>
      </c>
      <c r="B553" s="11" t="s">
        <v>2844</v>
      </c>
      <c r="C553" s="11" t="s">
        <v>35</v>
      </c>
      <c r="D553" s="11" t="s">
        <v>37</v>
      </c>
      <c r="E553" s="36" t="s">
        <v>3257</v>
      </c>
      <c r="F553" s="36" t="s">
        <v>3258</v>
      </c>
      <c r="G553" s="36" t="s">
        <v>3259</v>
      </c>
      <c r="H553" s="11" t="s">
        <v>45</v>
      </c>
      <c r="I553" s="11">
        <v>6.39209157919E11</v>
      </c>
      <c r="J553" s="37">
        <v>45588.0</v>
      </c>
      <c r="K553" s="11"/>
      <c r="L553" s="11">
        <v>2.0250331E7</v>
      </c>
    </row>
    <row r="554">
      <c r="A554" s="9" t="s">
        <v>249</v>
      </c>
      <c r="B554" s="11" t="s">
        <v>2844</v>
      </c>
      <c r="C554" s="11" t="s">
        <v>35</v>
      </c>
      <c r="D554" s="11" t="s">
        <v>37</v>
      </c>
      <c r="E554" s="36" t="s">
        <v>3260</v>
      </c>
      <c r="F554" s="36" t="s">
        <v>3261</v>
      </c>
      <c r="G554" s="36" t="s">
        <v>3262</v>
      </c>
      <c r="H554" s="11" t="s">
        <v>45</v>
      </c>
      <c r="I554" s="11">
        <v>6.39189206335E11</v>
      </c>
      <c r="J554" s="37">
        <v>45588.0</v>
      </c>
      <c r="K554" s="11"/>
      <c r="L554" s="11">
        <v>2.0250331E7</v>
      </c>
    </row>
    <row r="555">
      <c r="A555" s="9" t="s">
        <v>249</v>
      </c>
      <c r="B555" s="11" t="s">
        <v>2844</v>
      </c>
      <c r="C555" s="11" t="s">
        <v>35</v>
      </c>
      <c r="D555" s="11" t="s">
        <v>37</v>
      </c>
      <c r="E555" s="36" t="s">
        <v>3263</v>
      </c>
      <c r="F555" s="36" t="s">
        <v>3264</v>
      </c>
      <c r="G555" s="36" t="s">
        <v>3266</v>
      </c>
      <c r="H555" s="11" t="s">
        <v>45</v>
      </c>
      <c r="I555" s="11">
        <v>6.39209029081E11</v>
      </c>
      <c r="J555" s="37">
        <v>45588.0</v>
      </c>
      <c r="K555" s="11"/>
      <c r="L555" s="11">
        <v>2.0250331E7</v>
      </c>
    </row>
    <row r="556">
      <c r="A556" s="9" t="s">
        <v>249</v>
      </c>
      <c r="B556" s="11" t="s">
        <v>2844</v>
      </c>
      <c r="C556" s="11" t="s">
        <v>35</v>
      </c>
      <c r="D556" s="11" t="s">
        <v>37</v>
      </c>
      <c r="E556" s="36" t="s">
        <v>3267</v>
      </c>
      <c r="F556" s="36" t="s">
        <v>3268</v>
      </c>
      <c r="G556" s="36" t="s">
        <v>3270</v>
      </c>
      <c r="H556" s="11" t="s">
        <v>45</v>
      </c>
      <c r="I556" s="11">
        <v>6.39209125427E11</v>
      </c>
      <c r="J556" s="37">
        <v>45588.0</v>
      </c>
      <c r="K556" s="11"/>
      <c r="L556" s="11">
        <v>2.0250331E7</v>
      </c>
    </row>
    <row r="557">
      <c r="A557" s="9" t="s">
        <v>249</v>
      </c>
      <c r="B557" s="11" t="s">
        <v>2844</v>
      </c>
      <c r="C557" s="11" t="s">
        <v>35</v>
      </c>
      <c r="D557" s="11" t="s">
        <v>37</v>
      </c>
      <c r="E557" s="36" t="s">
        <v>3271</v>
      </c>
      <c r="F557" s="36" t="s">
        <v>3272</v>
      </c>
      <c r="G557" s="36" t="s">
        <v>3273</v>
      </c>
      <c r="H557" s="11" t="s">
        <v>45</v>
      </c>
      <c r="I557" s="11">
        <v>6.39189365125E11</v>
      </c>
      <c r="J557" s="37">
        <v>45588.0</v>
      </c>
      <c r="K557" s="11"/>
      <c r="L557" s="11">
        <v>2.0250331E7</v>
      </c>
    </row>
    <row r="558">
      <c r="A558" s="9" t="s">
        <v>249</v>
      </c>
      <c r="B558" s="11" t="s">
        <v>2844</v>
      </c>
      <c r="C558" s="11" t="s">
        <v>35</v>
      </c>
      <c r="D558" s="11" t="s">
        <v>37</v>
      </c>
      <c r="E558" s="36" t="s">
        <v>3276</v>
      </c>
      <c r="F558" s="36" t="s">
        <v>3277</v>
      </c>
      <c r="G558" s="36" t="s">
        <v>3279</v>
      </c>
      <c r="H558" s="11" t="s">
        <v>45</v>
      </c>
      <c r="I558" s="11">
        <v>6.39189023932E11</v>
      </c>
      <c r="J558" s="37">
        <v>45588.0</v>
      </c>
      <c r="K558" s="11"/>
      <c r="L558" s="11">
        <v>2.0250331E7</v>
      </c>
    </row>
    <row r="559">
      <c r="A559" s="9" t="s">
        <v>249</v>
      </c>
      <c r="B559" s="11" t="s">
        <v>2844</v>
      </c>
      <c r="C559" s="11" t="s">
        <v>35</v>
      </c>
      <c r="D559" s="11" t="s">
        <v>37</v>
      </c>
      <c r="E559" s="36" t="s">
        <v>3282</v>
      </c>
      <c r="F559" s="36" t="s">
        <v>3283</v>
      </c>
      <c r="G559" s="36" t="s">
        <v>3284</v>
      </c>
      <c r="H559" s="11" t="s">
        <v>45</v>
      </c>
      <c r="I559" s="11">
        <v>6.39189141709E11</v>
      </c>
      <c r="J559" s="37">
        <v>45588.0</v>
      </c>
      <c r="K559" s="11"/>
      <c r="L559" s="11">
        <v>2.0250331E7</v>
      </c>
    </row>
    <row r="560">
      <c r="A560" s="9" t="s">
        <v>249</v>
      </c>
      <c r="B560" s="11" t="s">
        <v>2844</v>
      </c>
      <c r="C560" s="11" t="s">
        <v>35</v>
      </c>
      <c r="D560" s="11" t="s">
        <v>37</v>
      </c>
      <c r="E560" s="36" t="s">
        <v>3288</v>
      </c>
      <c r="F560" s="36" t="s">
        <v>3289</v>
      </c>
      <c r="G560" s="36" t="s">
        <v>3290</v>
      </c>
      <c r="H560" s="11" t="s">
        <v>45</v>
      </c>
      <c r="I560" s="11">
        <v>6.39189400852E11</v>
      </c>
      <c r="J560" s="37">
        <v>45588.0</v>
      </c>
      <c r="K560" s="11"/>
      <c r="L560" s="11">
        <v>2.0250331E7</v>
      </c>
    </row>
    <row r="561">
      <c r="A561" s="9" t="s">
        <v>249</v>
      </c>
      <c r="B561" s="11" t="s">
        <v>2844</v>
      </c>
      <c r="C561" s="11" t="s">
        <v>35</v>
      </c>
      <c r="D561" s="11" t="s">
        <v>37</v>
      </c>
      <c r="E561" s="36" t="s">
        <v>3294</v>
      </c>
      <c r="F561" s="36" t="s">
        <v>3295</v>
      </c>
      <c r="G561" s="36" t="s">
        <v>3296</v>
      </c>
      <c r="H561" s="11" t="s">
        <v>45</v>
      </c>
      <c r="I561" s="11">
        <v>6.3918903779E11</v>
      </c>
      <c r="J561" s="37">
        <v>45588.0</v>
      </c>
      <c r="K561" s="11"/>
      <c r="L561" s="11">
        <v>2.0250331E7</v>
      </c>
    </row>
    <row r="562">
      <c r="A562" s="9" t="s">
        <v>249</v>
      </c>
      <c r="B562" s="11" t="s">
        <v>2844</v>
      </c>
      <c r="C562" s="11" t="s">
        <v>35</v>
      </c>
      <c r="D562" s="11" t="s">
        <v>37</v>
      </c>
      <c r="E562" s="36" t="s">
        <v>3297</v>
      </c>
      <c r="F562" s="36" t="s">
        <v>3298</v>
      </c>
      <c r="G562" s="36" t="s">
        <v>3299</v>
      </c>
      <c r="H562" s="11" t="s">
        <v>45</v>
      </c>
      <c r="I562" s="11">
        <v>6.39985860303E11</v>
      </c>
      <c r="J562" s="37">
        <v>45588.0</v>
      </c>
      <c r="K562" s="11"/>
      <c r="L562" s="11">
        <v>2.0250331E7</v>
      </c>
    </row>
    <row r="563">
      <c r="A563" s="9" t="s">
        <v>249</v>
      </c>
      <c r="B563" s="11" t="s">
        <v>2844</v>
      </c>
      <c r="C563" s="11" t="s">
        <v>35</v>
      </c>
      <c r="D563" s="11" t="s">
        <v>37</v>
      </c>
      <c r="E563" s="36" t="s">
        <v>3302</v>
      </c>
      <c r="F563" s="36" t="s">
        <v>3303</v>
      </c>
      <c r="G563" s="36" t="s">
        <v>3305</v>
      </c>
      <c r="H563" s="11" t="s">
        <v>45</v>
      </c>
      <c r="I563" s="11">
        <v>6.39285017801E11</v>
      </c>
      <c r="J563" s="37">
        <v>45588.0</v>
      </c>
      <c r="K563" s="11"/>
      <c r="L563" s="11">
        <v>2.0250331E7</v>
      </c>
    </row>
    <row r="564">
      <c r="A564" s="9" t="s">
        <v>249</v>
      </c>
      <c r="B564" s="11" t="s">
        <v>2844</v>
      </c>
      <c r="C564" s="11" t="s">
        <v>35</v>
      </c>
      <c r="D564" s="11" t="s">
        <v>37</v>
      </c>
      <c r="E564" s="36" t="s">
        <v>3308</v>
      </c>
      <c r="F564" s="36" t="s">
        <v>3309</v>
      </c>
      <c r="G564" s="36" t="s">
        <v>3310</v>
      </c>
      <c r="H564" s="11" t="s">
        <v>45</v>
      </c>
      <c r="I564" s="11">
        <v>6.39189043623E11</v>
      </c>
      <c r="J564" s="37">
        <v>45588.0</v>
      </c>
      <c r="K564" s="11"/>
      <c r="L564" s="11">
        <v>2.0250331E7</v>
      </c>
    </row>
    <row r="565">
      <c r="A565" s="9" t="s">
        <v>249</v>
      </c>
      <c r="B565" s="11" t="s">
        <v>2844</v>
      </c>
      <c r="C565" s="11" t="s">
        <v>35</v>
      </c>
      <c r="D565" s="11" t="s">
        <v>37</v>
      </c>
      <c r="E565" s="36" t="s">
        <v>3311</v>
      </c>
      <c r="F565" s="36" t="s">
        <v>3312</v>
      </c>
      <c r="G565" s="36" t="s">
        <v>3313</v>
      </c>
      <c r="H565" s="11" t="s">
        <v>45</v>
      </c>
      <c r="I565" s="11">
        <v>6.39209607871E11</v>
      </c>
      <c r="J565" s="37">
        <v>45588.0</v>
      </c>
      <c r="K565" s="11"/>
      <c r="L565" s="11">
        <v>2.0250331E7</v>
      </c>
    </row>
    <row r="566">
      <c r="A566" s="9" t="s">
        <v>249</v>
      </c>
      <c r="B566" s="11" t="s">
        <v>2844</v>
      </c>
      <c r="C566" s="11" t="s">
        <v>35</v>
      </c>
      <c r="D566" s="11" t="s">
        <v>37</v>
      </c>
      <c r="E566" s="36" t="s">
        <v>3317</v>
      </c>
      <c r="F566" s="36" t="s">
        <v>3318</v>
      </c>
      <c r="G566" s="36" t="s">
        <v>3320</v>
      </c>
      <c r="H566" s="11" t="s">
        <v>45</v>
      </c>
      <c r="I566" s="11">
        <v>6.39209123147E11</v>
      </c>
      <c r="J566" s="37">
        <v>45588.0</v>
      </c>
      <c r="K566" s="11"/>
      <c r="L566" s="11">
        <v>2.0250331E7</v>
      </c>
    </row>
    <row r="567">
      <c r="A567" s="9" t="s">
        <v>249</v>
      </c>
      <c r="B567" s="11" t="s">
        <v>2844</v>
      </c>
      <c r="C567" s="11" t="s">
        <v>35</v>
      </c>
      <c r="D567" s="11" t="s">
        <v>37</v>
      </c>
      <c r="E567" s="36" t="s">
        <v>3322</v>
      </c>
      <c r="F567" s="36" t="s">
        <v>3323</v>
      </c>
      <c r="G567" s="36" t="s">
        <v>3324</v>
      </c>
      <c r="H567" s="11" t="s">
        <v>45</v>
      </c>
      <c r="I567" s="11">
        <v>6.39209625484E11</v>
      </c>
      <c r="J567" s="37">
        <v>45588.0</v>
      </c>
      <c r="K567" s="11"/>
      <c r="L567" s="11">
        <v>2.0250331E7</v>
      </c>
    </row>
    <row r="568">
      <c r="A568" s="9" t="s">
        <v>249</v>
      </c>
      <c r="B568" s="11" t="s">
        <v>2844</v>
      </c>
      <c r="C568" s="11" t="s">
        <v>35</v>
      </c>
      <c r="D568" s="11" t="s">
        <v>37</v>
      </c>
      <c r="E568" s="36" t="s">
        <v>3326</v>
      </c>
      <c r="F568" s="36" t="s">
        <v>3328</v>
      </c>
      <c r="G568" s="36" t="s">
        <v>3329</v>
      </c>
      <c r="H568" s="11" t="s">
        <v>45</v>
      </c>
      <c r="I568" s="11">
        <v>6.39209257688E11</v>
      </c>
      <c r="J568" s="37">
        <v>45588.0</v>
      </c>
      <c r="K568" s="11"/>
      <c r="L568" s="11">
        <v>2.0250331E7</v>
      </c>
    </row>
    <row r="569">
      <c r="A569" s="9" t="s">
        <v>249</v>
      </c>
      <c r="B569" s="11" t="s">
        <v>2844</v>
      </c>
      <c r="C569" s="11" t="s">
        <v>35</v>
      </c>
      <c r="D569" s="11" t="s">
        <v>37</v>
      </c>
      <c r="E569" s="36" t="s">
        <v>3330</v>
      </c>
      <c r="F569" s="36" t="s">
        <v>3331</v>
      </c>
      <c r="G569" s="36" t="s">
        <v>3332</v>
      </c>
      <c r="H569" s="11" t="s">
        <v>45</v>
      </c>
      <c r="I569" s="11">
        <v>6.39189137938E11</v>
      </c>
      <c r="J569" s="37">
        <v>45588.0</v>
      </c>
      <c r="K569" s="11"/>
      <c r="L569" s="11">
        <v>2.0250331E7</v>
      </c>
    </row>
    <row r="570">
      <c r="A570" s="9" t="s">
        <v>249</v>
      </c>
      <c r="B570" s="11" t="s">
        <v>2844</v>
      </c>
      <c r="C570" s="11" t="s">
        <v>35</v>
      </c>
      <c r="D570" s="11" t="s">
        <v>37</v>
      </c>
      <c r="E570" s="36" t="s">
        <v>3335</v>
      </c>
      <c r="F570" s="36" t="s">
        <v>3336</v>
      </c>
      <c r="G570" s="36" t="s">
        <v>3337</v>
      </c>
      <c r="H570" s="11" t="s">
        <v>45</v>
      </c>
      <c r="I570" s="11">
        <v>6.39209131622E11</v>
      </c>
      <c r="J570" s="37">
        <v>45588.0</v>
      </c>
      <c r="K570" s="11"/>
      <c r="L570" s="11">
        <v>2.0250331E7</v>
      </c>
    </row>
    <row r="571">
      <c r="A571" s="9" t="s">
        <v>249</v>
      </c>
      <c r="B571" s="11" t="s">
        <v>2844</v>
      </c>
      <c r="C571" s="11" t="s">
        <v>35</v>
      </c>
      <c r="D571" s="11" t="s">
        <v>37</v>
      </c>
      <c r="E571" s="36" t="s">
        <v>3341</v>
      </c>
      <c r="F571" s="36" t="s">
        <v>3342</v>
      </c>
      <c r="G571" s="36" t="s">
        <v>3343</v>
      </c>
      <c r="H571" s="11" t="s">
        <v>45</v>
      </c>
      <c r="I571" s="11">
        <v>6.39209050293E11</v>
      </c>
      <c r="J571" s="37">
        <v>45588.0</v>
      </c>
      <c r="K571" s="11"/>
      <c r="L571" s="11">
        <v>2.0250331E7</v>
      </c>
    </row>
    <row r="572">
      <c r="A572" s="9" t="s">
        <v>29</v>
      </c>
      <c r="B572" s="11" t="s">
        <v>30</v>
      </c>
      <c r="C572" s="11" t="s">
        <v>35</v>
      </c>
      <c r="D572" s="11" t="s">
        <v>37</v>
      </c>
      <c r="E572" s="11" t="s">
        <v>3348</v>
      </c>
      <c r="F572" s="36" t="s">
        <v>3349</v>
      </c>
      <c r="G572" s="36" t="s">
        <v>3350</v>
      </c>
      <c r="H572" s="11" t="s">
        <v>45</v>
      </c>
      <c r="I572" s="11">
        <v>9.209106573E9</v>
      </c>
      <c r="J572" s="37">
        <v>45701.0</v>
      </c>
      <c r="K572" s="11"/>
      <c r="L572" s="11">
        <v>2.0250331E7</v>
      </c>
    </row>
    <row r="573">
      <c r="A573" s="9" t="s">
        <v>29</v>
      </c>
      <c r="B573" s="11" t="s">
        <v>30</v>
      </c>
      <c r="C573" s="11" t="s">
        <v>35</v>
      </c>
      <c r="D573" s="11" t="s">
        <v>37</v>
      </c>
      <c r="E573" s="11" t="s">
        <v>3354</v>
      </c>
      <c r="F573" s="36" t="s">
        <v>3355</v>
      </c>
      <c r="G573" s="36" t="s">
        <v>3356</v>
      </c>
      <c r="H573" s="11" t="s">
        <v>45</v>
      </c>
      <c r="I573" s="11">
        <v>9.189245243E9</v>
      </c>
      <c r="J573" s="37">
        <v>45701.0</v>
      </c>
      <c r="K573" s="11"/>
      <c r="L573" s="11">
        <v>2.0250331E7</v>
      </c>
    </row>
    <row r="574">
      <c r="A574" s="9" t="s">
        <v>29</v>
      </c>
      <c r="B574" s="11" t="s">
        <v>30</v>
      </c>
      <c r="C574" s="11" t="s">
        <v>35</v>
      </c>
      <c r="D574" s="11" t="s">
        <v>37</v>
      </c>
      <c r="E574" s="11" t="s">
        <v>3361</v>
      </c>
      <c r="F574" s="36" t="s">
        <v>3362</v>
      </c>
      <c r="G574" s="36" t="s">
        <v>3363</v>
      </c>
      <c r="H574" s="11" t="s">
        <v>45</v>
      </c>
      <c r="I574" s="11">
        <v>9.209526145E9</v>
      </c>
      <c r="J574" s="37">
        <v>45701.0</v>
      </c>
      <c r="K574" s="11"/>
      <c r="L574" s="11">
        <v>2.0250331E7</v>
      </c>
    </row>
    <row r="575">
      <c r="A575" s="9" t="s">
        <v>29</v>
      </c>
      <c r="B575" s="11" t="s">
        <v>30</v>
      </c>
      <c r="C575" s="11" t="s">
        <v>35</v>
      </c>
      <c r="D575" s="11" t="s">
        <v>37</v>
      </c>
      <c r="E575" s="11" t="s">
        <v>3367</v>
      </c>
      <c r="F575" s="36" t="s">
        <v>3368</v>
      </c>
      <c r="G575" s="36" t="s">
        <v>3369</v>
      </c>
      <c r="H575" s="11" t="s">
        <v>45</v>
      </c>
      <c r="I575" s="11">
        <v>9.39926864E9</v>
      </c>
      <c r="J575" s="37">
        <v>45701.0</v>
      </c>
      <c r="K575" s="11"/>
      <c r="L575" s="11">
        <v>2.0250331E7</v>
      </c>
    </row>
    <row r="576">
      <c r="A576" s="9" t="s">
        <v>29</v>
      </c>
      <c r="B576" s="11" t="s">
        <v>30</v>
      </c>
      <c r="C576" s="11" t="s">
        <v>35</v>
      </c>
      <c r="D576" s="11" t="s">
        <v>37</v>
      </c>
      <c r="E576" s="11" t="s">
        <v>3370</v>
      </c>
      <c r="F576" s="36" t="s">
        <v>3372</v>
      </c>
      <c r="G576" s="36" t="s">
        <v>3373</v>
      </c>
      <c r="H576" s="11" t="s">
        <v>45</v>
      </c>
      <c r="I576" s="11">
        <v>9.189136812E9</v>
      </c>
      <c r="J576" s="37">
        <v>45701.0</v>
      </c>
      <c r="K576" s="11"/>
      <c r="L576" s="11">
        <v>2.0250331E7</v>
      </c>
    </row>
    <row r="577">
      <c r="A577" s="9" t="s">
        <v>29</v>
      </c>
      <c r="B577" s="11" t="s">
        <v>30</v>
      </c>
      <c r="C577" s="11" t="s">
        <v>35</v>
      </c>
      <c r="D577" s="11" t="s">
        <v>37</v>
      </c>
      <c r="E577" s="11" t="s">
        <v>3377</v>
      </c>
      <c r="F577" s="36" t="s">
        <v>3378</v>
      </c>
      <c r="G577" s="36" t="s">
        <v>3379</v>
      </c>
      <c r="H577" s="11" t="s">
        <v>45</v>
      </c>
      <c r="I577" s="11">
        <v>9.209610736E9</v>
      </c>
      <c r="J577" s="37">
        <v>45701.0</v>
      </c>
      <c r="K577" s="11"/>
      <c r="L577" s="11">
        <v>2.0250331E7</v>
      </c>
    </row>
    <row r="578">
      <c r="A578" s="9" t="s">
        <v>29</v>
      </c>
      <c r="B578" s="11" t="s">
        <v>30</v>
      </c>
      <c r="C578" s="11" t="s">
        <v>35</v>
      </c>
      <c r="D578" s="11" t="s">
        <v>37</v>
      </c>
      <c r="E578" s="11" t="s">
        <v>3380</v>
      </c>
      <c r="F578" s="36" t="s">
        <v>3381</v>
      </c>
      <c r="G578" s="36" t="s">
        <v>3382</v>
      </c>
      <c r="H578" s="11" t="s">
        <v>45</v>
      </c>
      <c r="I578" s="11">
        <v>9.189110941E9</v>
      </c>
      <c r="J578" s="37">
        <v>45701.0</v>
      </c>
      <c r="K578" s="11"/>
      <c r="L578" s="11">
        <v>2.0250331E7</v>
      </c>
    </row>
    <row r="579">
      <c r="A579" s="9" t="s">
        <v>29</v>
      </c>
      <c r="B579" s="11" t="s">
        <v>30</v>
      </c>
      <c r="C579" s="11" t="s">
        <v>35</v>
      </c>
      <c r="D579" s="11" t="s">
        <v>37</v>
      </c>
      <c r="E579" s="11" t="s">
        <v>3385</v>
      </c>
      <c r="F579" s="36" t="s">
        <v>3386</v>
      </c>
      <c r="G579" s="36" t="s">
        <v>3387</v>
      </c>
      <c r="H579" s="11" t="s">
        <v>45</v>
      </c>
      <c r="I579" s="11">
        <v>9.189213967E9</v>
      </c>
      <c r="J579" s="37">
        <v>45701.0</v>
      </c>
      <c r="K579" s="11"/>
      <c r="L579" s="11">
        <v>2.0250331E7</v>
      </c>
    </row>
    <row r="580">
      <c r="A580" s="9" t="s">
        <v>29</v>
      </c>
      <c r="B580" s="11" t="s">
        <v>30</v>
      </c>
      <c r="C580" s="11" t="s">
        <v>35</v>
      </c>
      <c r="D580" s="11" t="s">
        <v>37</v>
      </c>
      <c r="E580" s="11" t="s">
        <v>3390</v>
      </c>
      <c r="F580" s="36" t="s">
        <v>3391</v>
      </c>
      <c r="G580" s="36" t="s">
        <v>3392</v>
      </c>
      <c r="H580" s="11" t="s">
        <v>45</v>
      </c>
      <c r="I580" s="11">
        <v>9.189274533E9</v>
      </c>
      <c r="J580" s="37">
        <v>45701.0</v>
      </c>
      <c r="K580" s="11"/>
      <c r="L580" s="11">
        <v>2.0250331E7</v>
      </c>
    </row>
    <row r="581">
      <c r="A581" s="9" t="s">
        <v>29</v>
      </c>
      <c r="B581" s="11" t="s">
        <v>30</v>
      </c>
      <c r="C581" s="11" t="s">
        <v>35</v>
      </c>
      <c r="D581" s="11" t="s">
        <v>37</v>
      </c>
      <c r="E581" s="11" t="s">
        <v>3393</v>
      </c>
      <c r="F581" s="36" t="s">
        <v>3395</v>
      </c>
      <c r="G581" s="36" t="s">
        <v>3397</v>
      </c>
      <c r="H581" s="11" t="s">
        <v>45</v>
      </c>
      <c r="I581" s="11">
        <v>9.189001349E9</v>
      </c>
      <c r="J581" s="37">
        <v>45701.0</v>
      </c>
      <c r="K581" s="11"/>
      <c r="L581" s="11">
        <v>2.0250331E7</v>
      </c>
    </row>
    <row r="582">
      <c r="A582" s="9" t="s">
        <v>29</v>
      </c>
      <c r="B582" s="11" t="s">
        <v>30</v>
      </c>
      <c r="C582" s="11" t="s">
        <v>35</v>
      </c>
      <c r="D582" s="11" t="s">
        <v>37</v>
      </c>
      <c r="E582" s="11" t="s">
        <v>3399</v>
      </c>
      <c r="F582" s="36" t="s">
        <v>3400</v>
      </c>
      <c r="G582" s="36" t="s">
        <v>3401</v>
      </c>
      <c r="H582" s="11" t="s">
        <v>45</v>
      </c>
      <c r="I582" s="11">
        <v>9.189048753E9</v>
      </c>
      <c r="J582" s="37">
        <v>45701.0</v>
      </c>
      <c r="K582" s="11"/>
      <c r="L582" s="11">
        <v>2.0250331E7</v>
      </c>
    </row>
    <row r="583">
      <c r="A583" s="9" t="s">
        <v>29</v>
      </c>
      <c r="B583" s="11" t="s">
        <v>30</v>
      </c>
      <c r="C583" s="11" t="s">
        <v>35</v>
      </c>
      <c r="D583" s="11" t="s">
        <v>37</v>
      </c>
      <c r="E583" s="11" t="s">
        <v>3403</v>
      </c>
      <c r="F583" s="36" t="s">
        <v>3404</v>
      </c>
      <c r="G583" s="36" t="s">
        <v>3405</v>
      </c>
      <c r="H583" s="11" t="s">
        <v>45</v>
      </c>
      <c r="I583" s="11">
        <v>9.189061283E9</v>
      </c>
      <c r="J583" s="37">
        <v>45701.0</v>
      </c>
      <c r="K583" s="11"/>
      <c r="L583" s="11">
        <v>2.0250331E7</v>
      </c>
    </row>
    <row r="584">
      <c r="A584" s="9" t="s">
        <v>29</v>
      </c>
      <c r="B584" s="11" t="s">
        <v>30</v>
      </c>
      <c r="C584" s="11" t="s">
        <v>35</v>
      </c>
      <c r="D584" s="11" t="s">
        <v>37</v>
      </c>
      <c r="E584" s="11" t="s">
        <v>3408</v>
      </c>
      <c r="F584" s="36" t="s">
        <v>3410</v>
      </c>
      <c r="G584" s="36" t="s">
        <v>3411</v>
      </c>
      <c r="H584" s="11" t="s">
        <v>45</v>
      </c>
      <c r="I584" s="11">
        <v>9.189303826E9</v>
      </c>
      <c r="J584" s="37">
        <v>45701.0</v>
      </c>
      <c r="K584" s="11"/>
      <c r="L584" s="11">
        <v>2.0250331E7</v>
      </c>
    </row>
    <row r="585">
      <c r="A585" s="9" t="s">
        <v>29</v>
      </c>
      <c r="B585" s="11" t="s">
        <v>30</v>
      </c>
      <c r="C585" s="11" t="s">
        <v>35</v>
      </c>
      <c r="D585" s="11" t="s">
        <v>37</v>
      </c>
      <c r="E585" s="11" t="s">
        <v>3413</v>
      </c>
      <c r="F585" s="36" t="s">
        <v>3414</v>
      </c>
      <c r="G585" s="36" t="s">
        <v>3415</v>
      </c>
      <c r="H585" s="11" t="s">
        <v>45</v>
      </c>
      <c r="I585" s="11">
        <v>9.189241763E9</v>
      </c>
      <c r="J585" s="37">
        <v>45701.0</v>
      </c>
      <c r="K585" s="11"/>
      <c r="L585" s="11">
        <v>2.0250331E7</v>
      </c>
    </row>
    <row r="586">
      <c r="A586" s="9" t="s">
        <v>29</v>
      </c>
      <c r="B586" s="11" t="s">
        <v>30</v>
      </c>
      <c r="C586" s="11" t="s">
        <v>35</v>
      </c>
      <c r="D586" s="11" t="s">
        <v>37</v>
      </c>
      <c r="E586" s="11" t="s">
        <v>3416</v>
      </c>
      <c r="F586" s="36" t="s">
        <v>3417</v>
      </c>
      <c r="G586" s="36" t="s">
        <v>3418</v>
      </c>
      <c r="H586" s="11" t="s">
        <v>45</v>
      </c>
      <c r="I586" s="11">
        <v>9.088179479E9</v>
      </c>
      <c r="J586" s="37">
        <v>45701.0</v>
      </c>
      <c r="K586" s="11"/>
      <c r="L586" s="11">
        <v>2.0250331E7</v>
      </c>
    </row>
    <row r="587">
      <c r="A587" s="9" t="s">
        <v>29</v>
      </c>
      <c r="B587" s="11" t="s">
        <v>30</v>
      </c>
      <c r="C587" s="11" t="s">
        <v>35</v>
      </c>
      <c r="D587" s="11" t="s">
        <v>37</v>
      </c>
      <c r="E587" s="11" t="s">
        <v>3419</v>
      </c>
      <c r="F587" s="36" t="s">
        <v>3420</v>
      </c>
      <c r="G587" s="36" t="s">
        <v>3422</v>
      </c>
      <c r="H587" s="11" t="s">
        <v>45</v>
      </c>
      <c r="I587" s="11">
        <v>9.189901697E9</v>
      </c>
      <c r="J587" s="37">
        <v>45701.0</v>
      </c>
      <c r="K587" s="11"/>
      <c r="L587" s="11">
        <v>2.0250331E7</v>
      </c>
    </row>
    <row r="588">
      <c r="A588" s="9" t="s">
        <v>29</v>
      </c>
      <c r="B588" s="11" t="s">
        <v>30</v>
      </c>
      <c r="C588" s="11" t="s">
        <v>35</v>
      </c>
      <c r="D588" s="11" t="s">
        <v>37</v>
      </c>
      <c r="E588" s="11" t="s">
        <v>3426</v>
      </c>
      <c r="F588" s="36" t="s">
        <v>3427</v>
      </c>
      <c r="G588" s="36" t="s">
        <v>3428</v>
      </c>
      <c r="H588" s="11" t="s">
        <v>45</v>
      </c>
      <c r="I588" s="11">
        <v>9.209600574E9</v>
      </c>
      <c r="J588" s="37">
        <v>45701.0</v>
      </c>
      <c r="K588" s="11"/>
      <c r="L588" s="11">
        <v>2.0250331E7</v>
      </c>
    </row>
    <row r="589">
      <c r="A589" s="9" t="s">
        <v>29</v>
      </c>
      <c r="B589" s="11" t="s">
        <v>30</v>
      </c>
      <c r="C589" s="11" t="s">
        <v>35</v>
      </c>
      <c r="D589" s="11" t="s">
        <v>37</v>
      </c>
      <c r="E589" s="11" t="s">
        <v>3429</v>
      </c>
      <c r="F589" s="36" t="s">
        <v>3430</v>
      </c>
      <c r="G589" s="36" t="s">
        <v>3431</v>
      </c>
      <c r="H589" s="11" t="s">
        <v>45</v>
      </c>
      <c r="I589" s="11">
        <v>9.189158598E9</v>
      </c>
      <c r="J589" s="37">
        <v>45701.0</v>
      </c>
      <c r="K589" s="11"/>
      <c r="L589" s="11">
        <v>2.0250331E7</v>
      </c>
    </row>
    <row r="590">
      <c r="A590" s="9" t="s">
        <v>29</v>
      </c>
      <c r="B590" s="11" t="s">
        <v>30</v>
      </c>
      <c r="C590" s="11" t="s">
        <v>35</v>
      </c>
      <c r="D590" s="11" t="s">
        <v>37</v>
      </c>
      <c r="E590" s="11" t="s">
        <v>3436</v>
      </c>
      <c r="F590" s="36" t="s">
        <v>3437</v>
      </c>
      <c r="G590" s="36" t="s">
        <v>3438</v>
      </c>
      <c r="H590" s="11" t="s">
        <v>45</v>
      </c>
      <c r="I590" s="11">
        <v>9.189026338E9</v>
      </c>
      <c r="J590" s="37">
        <v>45701.0</v>
      </c>
      <c r="K590" s="11"/>
      <c r="L590" s="11">
        <v>2.0250331E7</v>
      </c>
    </row>
    <row r="591">
      <c r="A591" s="9" t="s">
        <v>29</v>
      </c>
      <c r="B591" s="11" t="s">
        <v>30</v>
      </c>
      <c r="C591" s="11" t="s">
        <v>35</v>
      </c>
      <c r="D591" s="11" t="s">
        <v>37</v>
      </c>
      <c r="E591" s="11" t="s">
        <v>3439</v>
      </c>
      <c r="F591" s="36" t="s">
        <v>3441</v>
      </c>
      <c r="G591" s="36" t="s">
        <v>3443</v>
      </c>
      <c r="H591" s="11" t="s">
        <v>45</v>
      </c>
      <c r="I591" s="11">
        <v>9.189287987E9</v>
      </c>
      <c r="J591" s="37">
        <v>45701.0</v>
      </c>
      <c r="K591" s="11"/>
      <c r="L591" s="11">
        <v>2.0250331E7</v>
      </c>
    </row>
    <row r="592">
      <c r="A592" s="9" t="s">
        <v>29</v>
      </c>
      <c r="B592" s="11" t="s">
        <v>30</v>
      </c>
      <c r="C592" s="11" t="s">
        <v>35</v>
      </c>
      <c r="D592" s="11" t="s">
        <v>37</v>
      </c>
      <c r="E592" s="11" t="s">
        <v>3446</v>
      </c>
      <c r="F592" s="36" t="s">
        <v>3447</v>
      </c>
      <c r="G592" s="36" t="s">
        <v>3448</v>
      </c>
      <c r="H592" s="11" t="s">
        <v>45</v>
      </c>
      <c r="I592" s="11">
        <v>9.209505532E9</v>
      </c>
      <c r="J592" s="37">
        <v>45701.0</v>
      </c>
      <c r="K592" s="11"/>
      <c r="L592" s="11">
        <v>2.0250331E7</v>
      </c>
    </row>
    <row r="593">
      <c r="A593" s="9" t="s">
        <v>29</v>
      </c>
      <c r="B593" s="11" t="s">
        <v>30</v>
      </c>
      <c r="C593" s="11" t="s">
        <v>35</v>
      </c>
      <c r="D593" s="11" t="s">
        <v>37</v>
      </c>
      <c r="E593" s="11" t="s">
        <v>3453</v>
      </c>
      <c r="F593" s="36" t="s">
        <v>3454</v>
      </c>
      <c r="G593" s="36" t="s">
        <v>3455</v>
      </c>
      <c r="H593" s="11" t="s">
        <v>45</v>
      </c>
      <c r="I593" s="11">
        <v>9.399325041E9</v>
      </c>
      <c r="J593" s="37">
        <v>45701.0</v>
      </c>
      <c r="K593" s="11"/>
      <c r="L593" s="11">
        <v>2.0250331E7</v>
      </c>
    </row>
    <row r="594">
      <c r="A594" s="9" t="s">
        <v>29</v>
      </c>
      <c r="B594" s="11" t="s">
        <v>30</v>
      </c>
      <c r="C594" s="11" t="s">
        <v>35</v>
      </c>
      <c r="D594" s="11" t="s">
        <v>37</v>
      </c>
      <c r="E594" s="11" t="s">
        <v>3460</v>
      </c>
      <c r="F594" s="36" t="s">
        <v>3461</v>
      </c>
      <c r="G594" s="36" t="s">
        <v>3462</v>
      </c>
      <c r="H594" s="11" t="s">
        <v>45</v>
      </c>
      <c r="I594" s="11">
        <v>9.18937795E9</v>
      </c>
      <c r="J594" s="37">
        <v>45701.0</v>
      </c>
      <c r="K594" s="11"/>
      <c r="L594" s="11">
        <v>2.0250331E7</v>
      </c>
    </row>
    <row r="595">
      <c r="A595" s="9" t="s">
        <v>29</v>
      </c>
      <c r="B595" s="11" t="s">
        <v>30</v>
      </c>
      <c r="C595" s="11" t="s">
        <v>35</v>
      </c>
      <c r="D595" s="11" t="s">
        <v>37</v>
      </c>
      <c r="E595" s="11" t="s">
        <v>3467</v>
      </c>
      <c r="F595" s="36" t="s">
        <v>3468</v>
      </c>
      <c r="G595" s="36" t="s">
        <v>3469</v>
      </c>
      <c r="H595" s="11" t="s">
        <v>45</v>
      </c>
      <c r="I595" s="11">
        <v>9.209256917E9</v>
      </c>
      <c r="J595" s="37">
        <v>45701.0</v>
      </c>
      <c r="K595" s="11"/>
      <c r="L595" s="11">
        <v>2.0250331E7</v>
      </c>
    </row>
    <row r="596">
      <c r="A596" s="9" t="s">
        <v>29</v>
      </c>
      <c r="B596" s="11" t="s">
        <v>30</v>
      </c>
      <c r="C596" s="11" t="s">
        <v>35</v>
      </c>
      <c r="D596" s="11" t="s">
        <v>37</v>
      </c>
      <c r="E596" s="11" t="s">
        <v>3470</v>
      </c>
      <c r="F596" s="36" t="s">
        <v>3471</v>
      </c>
      <c r="G596" s="36" t="s">
        <v>3472</v>
      </c>
      <c r="H596" s="11" t="s">
        <v>45</v>
      </c>
      <c r="I596" s="11">
        <v>9.189057319E9</v>
      </c>
      <c r="J596" s="37">
        <v>45701.0</v>
      </c>
      <c r="K596" s="11"/>
      <c r="L596" s="11">
        <v>2.0250331E7</v>
      </c>
    </row>
    <row r="597">
      <c r="A597" s="9" t="s">
        <v>29</v>
      </c>
      <c r="B597" s="11" t="s">
        <v>30</v>
      </c>
      <c r="C597" s="11" t="s">
        <v>35</v>
      </c>
      <c r="D597" s="11" t="s">
        <v>37</v>
      </c>
      <c r="E597" s="11" t="s">
        <v>3475</v>
      </c>
      <c r="F597" s="36" t="s">
        <v>3476</v>
      </c>
      <c r="G597" s="36" t="s">
        <v>3478</v>
      </c>
      <c r="H597" s="11" t="s">
        <v>45</v>
      </c>
      <c r="I597" s="11">
        <v>9.189112034E9</v>
      </c>
      <c r="J597" s="37">
        <v>45701.0</v>
      </c>
      <c r="K597" s="11"/>
      <c r="L597" s="11">
        <v>2.0250331E7</v>
      </c>
    </row>
    <row r="598">
      <c r="A598" s="9" t="s">
        <v>29</v>
      </c>
      <c r="B598" s="11" t="s">
        <v>30</v>
      </c>
      <c r="C598" s="11" t="s">
        <v>35</v>
      </c>
      <c r="D598" s="11" t="s">
        <v>37</v>
      </c>
      <c r="E598" s="11" t="s">
        <v>3480</v>
      </c>
      <c r="F598" s="36" t="s">
        <v>3481</v>
      </c>
      <c r="G598" s="36" t="s">
        <v>3482</v>
      </c>
      <c r="H598" s="11" t="s">
        <v>45</v>
      </c>
      <c r="I598" s="11">
        <v>9.209496951E9</v>
      </c>
      <c r="J598" s="37">
        <v>45701.0</v>
      </c>
      <c r="K598" s="11"/>
      <c r="L598" s="11">
        <v>2.0250331E7</v>
      </c>
    </row>
    <row r="599">
      <c r="A599" s="9" t="s">
        <v>29</v>
      </c>
      <c r="B599" s="11" t="s">
        <v>30</v>
      </c>
      <c r="C599" s="11" t="s">
        <v>35</v>
      </c>
      <c r="D599" s="11" t="s">
        <v>37</v>
      </c>
      <c r="E599" s="11" t="s">
        <v>3486</v>
      </c>
      <c r="F599" s="36" t="s">
        <v>3487</v>
      </c>
      <c r="G599" s="36" t="s">
        <v>3489</v>
      </c>
      <c r="H599" s="11" t="s">
        <v>45</v>
      </c>
      <c r="I599" s="11">
        <v>9.189210794E9</v>
      </c>
      <c r="J599" s="37">
        <v>45701.0</v>
      </c>
      <c r="K599" s="11"/>
      <c r="L599" s="11">
        <v>2.0250331E7</v>
      </c>
    </row>
    <row r="600">
      <c r="A600" s="9" t="s">
        <v>29</v>
      </c>
      <c r="B600" s="11" t="s">
        <v>30</v>
      </c>
      <c r="C600" s="11" t="s">
        <v>35</v>
      </c>
      <c r="D600" s="11" t="s">
        <v>37</v>
      </c>
      <c r="E600" s="11" t="s">
        <v>3490</v>
      </c>
      <c r="F600" s="36" t="s">
        <v>3491</v>
      </c>
      <c r="G600" s="36" t="s">
        <v>3492</v>
      </c>
      <c r="H600" s="11" t="s">
        <v>45</v>
      </c>
      <c r="I600" s="11">
        <v>9.19912678E9</v>
      </c>
      <c r="J600" s="37">
        <v>45701.0</v>
      </c>
      <c r="K600" s="11"/>
      <c r="L600" s="11">
        <v>2.0250331E7</v>
      </c>
    </row>
    <row r="601">
      <c r="A601" s="9" t="s">
        <v>29</v>
      </c>
      <c r="B601" s="11" t="s">
        <v>30</v>
      </c>
      <c r="C601" s="11" t="s">
        <v>35</v>
      </c>
      <c r="D601" s="11" t="s">
        <v>37</v>
      </c>
      <c r="E601" s="11" t="s">
        <v>3497</v>
      </c>
      <c r="F601" s="36" t="s">
        <v>3498</v>
      </c>
      <c r="G601" s="36" t="s">
        <v>3499</v>
      </c>
      <c r="H601" s="11" t="s">
        <v>45</v>
      </c>
      <c r="I601" s="11">
        <v>9.209113214E9</v>
      </c>
      <c r="J601" s="37">
        <v>45701.0</v>
      </c>
      <c r="K601" s="11"/>
      <c r="L601" s="11">
        <v>2.0250331E7</v>
      </c>
    </row>
    <row r="602">
      <c r="A602" s="9" t="s">
        <v>29</v>
      </c>
      <c r="B602" s="11" t="s">
        <v>30</v>
      </c>
      <c r="C602" s="11" t="s">
        <v>35</v>
      </c>
      <c r="D602" s="11" t="s">
        <v>37</v>
      </c>
      <c r="E602" s="11" t="s">
        <v>3500</v>
      </c>
      <c r="F602" s="36" t="s">
        <v>3501</v>
      </c>
      <c r="G602" s="36" t="s">
        <v>3503</v>
      </c>
      <c r="H602" s="11" t="s">
        <v>45</v>
      </c>
      <c r="I602" s="11">
        <v>9.399260836E9</v>
      </c>
      <c r="J602" s="37">
        <v>45701.0</v>
      </c>
      <c r="K602" s="11"/>
      <c r="L602" s="11">
        <v>2.0250331E7</v>
      </c>
    </row>
    <row r="603">
      <c r="A603" s="9" t="s">
        <v>29</v>
      </c>
      <c r="B603" s="11" t="s">
        <v>30</v>
      </c>
      <c r="C603" s="11" t="s">
        <v>35</v>
      </c>
      <c r="D603" s="11" t="s">
        <v>37</v>
      </c>
      <c r="E603" s="11" t="s">
        <v>3507</v>
      </c>
      <c r="F603" s="36" t="s">
        <v>3508</v>
      </c>
      <c r="G603" s="36" t="s">
        <v>3509</v>
      </c>
      <c r="H603" s="11" t="s">
        <v>45</v>
      </c>
      <c r="I603" s="11">
        <v>9.189296698E9</v>
      </c>
      <c r="J603" s="37">
        <v>45701.0</v>
      </c>
      <c r="K603" s="11"/>
      <c r="L603" s="11">
        <v>2.0250331E7</v>
      </c>
    </row>
    <row r="604">
      <c r="A604" s="9" t="s">
        <v>29</v>
      </c>
      <c r="B604" s="11" t="s">
        <v>30</v>
      </c>
      <c r="C604" s="11" t="s">
        <v>35</v>
      </c>
      <c r="D604" s="11" t="s">
        <v>37</v>
      </c>
      <c r="E604" s="11" t="s">
        <v>3514</v>
      </c>
      <c r="F604" s="36" t="s">
        <v>3515</v>
      </c>
      <c r="G604" s="36" t="s">
        <v>3516</v>
      </c>
      <c r="H604" s="11" t="s">
        <v>45</v>
      </c>
      <c r="I604" s="11">
        <v>9.189027825E9</v>
      </c>
      <c r="J604" s="37">
        <v>45701.0</v>
      </c>
      <c r="K604" s="11"/>
      <c r="L604" s="11">
        <v>2.0250331E7</v>
      </c>
    </row>
    <row r="605">
      <c r="A605" s="9" t="s">
        <v>29</v>
      </c>
      <c r="B605" s="11" t="s">
        <v>30</v>
      </c>
      <c r="C605" s="11" t="s">
        <v>35</v>
      </c>
      <c r="D605" s="11" t="s">
        <v>37</v>
      </c>
      <c r="E605" s="11" t="s">
        <v>3521</v>
      </c>
      <c r="F605" s="36" t="s">
        <v>3522</v>
      </c>
      <c r="G605" s="36" t="s">
        <v>3523</v>
      </c>
      <c r="H605" s="11" t="s">
        <v>45</v>
      </c>
      <c r="I605" s="11">
        <v>9.209539973E9</v>
      </c>
      <c r="J605" s="37">
        <v>45701.0</v>
      </c>
      <c r="K605" s="11"/>
      <c r="L605" s="11">
        <v>2.0250331E7</v>
      </c>
    </row>
    <row r="606">
      <c r="A606" s="9" t="s">
        <v>29</v>
      </c>
      <c r="B606" s="11" t="s">
        <v>30</v>
      </c>
      <c r="C606" s="11" t="s">
        <v>35</v>
      </c>
      <c r="D606" s="11" t="s">
        <v>37</v>
      </c>
      <c r="E606" s="11" t="s">
        <v>3528</v>
      </c>
      <c r="F606" s="36" t="s">
        <v>3529</v>
      </c>
      <c r="G606" s="36" t="s">
        <v>3530</v>
      </c>
      <c r="H606" s="11" t="s">
        <v>45</v>
      </c>
      <c r="I606" s="11">
        <v>9.209039926E9</v>
      </c>
      <c r="J606" s="37">
        <v>45701.0</v>
      </c>
      <c r="K606" s="11"/>
      <c r="L606" s="11">
        <v>2.0250331E7</v>
      </c>
    </row>
    <row r="607">
      <c r="A607" s="9" t="s">
        <v>29</v>
      </c>
      <c r="B607" s="11" t="s">
        <v>30</v>
      </c>
      <c r="C607" s="11" t="s">
        <v>35</v>
      </c>
      <c r="D607" s="11" t="s">
        <v>37</v>
      </c>
      <c r="E607" s="11" t="s">
        <v>3535</v>
      </c>
      <c r="F607" s="36" t="s">
        <v>3536</v>
      </c>
      <c r="G607" s="36" t="s">
        <v>3537</v>
      </c>
      <c r="H607" s="11" t="s">
        <v>45</v>
      </c>
      <c r="I607" s="11">
        <v>9.209600585E9</v>
      </c>
      <c r="J607" s="37">
        <v>45701.0</v>
      </c>
      <c r="K607" s="11"/>
      <c r="L607" s="11">
        <v>2.0250331E7</v>
      </c>
    </row>
    <row r="608">
      <c r="A608" s="9" t="s">
        <v>29</v>
      </c>
      <c r="B608" s="11" t="s">
        <v>30</v>
      </c>
      <c r="C608" s="11" t="s">
        <v>35</v>
      </c>
      <c r="D608" s="11" t="s">
        <v>37</v>
      </c>
      <c r="E608" s="11" t="s">
        <v>3538</v>
      </c>
      <c r="F608" s="36" t="s">
        <v>3539</v>
      </c>
      <c r="G608" s="36" t="s">
        <v>3540</v>
      </c>
      <c r="H608" s="11" t="s">
        <v>45</v>
      </c>
      <c r="I608" s="11">
        <v>9.209151547E9</v>
      </c>
      <c r="J608" s="37">
        <v>45701.0</v>
      </c>
      <c r="K608" s="11"/>
      <c r="L608" s="11">
        <v>2.0250331E7</v>
      </c>
    </row>
    <row r="609">
      <c r="A609" s="9" t="s">
        <v>29</v>
      </c>
      <c r="B609" s="11" t="s">
        <v>30</v>
      </c>
      <c r="C609" s="11" t="s">
        <v>35</v>
      </c>
      <c r="D609" s="11" t="s">
        <v>37</v>
      </c>
      <c r="E609" s="11" t="s">
        <v>3545</v>
      </c>
      <c r="F609" s="36" t="s">
        <v>3547</v>
      </c>
      <c r="G609" s="36" t="s">
        <v>3549</v>
      </c>
      <c r="H609" s="11" t="s">
        <v>45</v>
      </c>
      <c r="I609" s="11">
        <v>9.189193387E9</v>
      </c>
      <c r="J609" s="37">
        <v>45701.0</v>
      </c>
      <c r="K609" s="11"/>
      <c r="L609" s="11">
        <v>2.0250331E7</v>
      </c>
    </row>
    <row r="610">
      <c r="A610" s="9" t="s">
        <v>29</v>
      </c>
      <c r="B610" s="11" t="s">
        <v>30</v>
      </c>
      <c r="C610" s="11" t="s">
        <v>35</v>
      </c>
      <c r="D610" s="11" t="s">
        <v>37</v>
      </c>
      <c r="E610" s="11" t="s">
        <v>3553</v>
      </c>
      <c r="F610" s="36" t="s">
        <v>3555</v>
      </c>
      <c r="G610" s="36" t="s">
        <v>3556</v>
      </c>
      <c r="H610" s="11" t="s">
        <v>45</v>
      </c>
      <c r="I610" s="11">
        <v>9.189109867E9</v>
      </c>
      <c r="J610" s="37">
        <v>45701.0</v>
      </c>
      <c r="K610" s="11"/>
      <c r="L610" s="11">
        <v>2.0250331E7</v>
      </c>
    </row>
    <row r="611">
      <c r="A611" s="9" t="s">
        <v>29</v>
      </c>
      <c r="B611" s="11" t="s">
        <v>30</v>
      </c>
      <c r="C611" s="11" t="s">
        <v>35</v>
      </c>
      <c r="D611" s="11" t="s">
        <v>37</v>
      </c>
      <c r="E611" s="11" t="s">
        <v>3560</v>
      </c>
      <c r="F611" s="36" t="s">
        <v>3562</v>
      </c>
      <c r="G611" s="36" t="s">
        <v>3564</v>
      </c>
      <c r="H611" s="11" t="s">
        <v>45</v>
      </c>
      <c r="I611" s="11">
        <v>9.209551599E9</v>
      </c>
      <c r="J611" s="37">
        <v>45701.0</v>
      </c>
      <c r="K611" s="11"/>
      <c r="L611" s="11">
        <v>2.0250331E7</v>
      </c>
    </row>
    <row r="612">
      <c r="A612" s="9" t="s">
        <v>29</v>
      </c>
      <c r="B612" s="11" t="s">
        <v>30</v>
      </c>
      <c r="C612" s="11" t="s">
        <v>35</v>
      </c>
      <c r="D612" s="11" t="s">
        <v>37</v>
      </c>
      <c r="E612" s="11" t="s">
        <v>3566</v>
      </c>
      <c r="F612" s="36" t="s">
        <v>3567</v>
      </c>
      <c r="G612" s="36" t="s">
        <v>3568</v>
      </c>
      <c r="H612" s="11" t="s">
        <v>45</v>
      </c>
      <c r="I612" s="11">
        <v>9.189014556E9</v>
      </c>
      <c r="J612" s="37">
        <v>45701.0</v>
      </c>
      <c r="K612" s="11"/>
      <c r="L612" s="11">
        <v>2.0250331E7</v>
      </c>
    </row>
    <row r="613">
      <c r="A613" s="9" t="s">
        <v>29</v>
      </c>
      <c r="B613" s="11" t="s">
        <v>30</v>
      </c>
      <c r="C613" s="11" t="s">
        <v>35</v>
      </c>
      <c r="D613" s="11" t="s">
        <v>37</v>
      </c>
      <c r="E613" s="11" t="s">
        <v>3573</v>
      </c>
      <c r="F613" s="36" t="s">
        <v>3574</v>
      </c>
      <c r="G613" s="36" t="s">
        <v>3575</v>
      </c>
      <c r="H613" s="11" t="s">
        <v>45</v>
      </c>
      <c r="I613" s="11">
        <v>9.189037045E9</v>
      </c>
      <c r="J613" s="37">
        <v>45701.0</v>
      </c>
      <c r="K613" s="11"/>
      <c r="L613" s="11">
        <v>2.0250331E7</v>
      </c>
    </row>
    <row r="614">
      <c r="A614" s="9" t="s">
        <v>29</v>
      </c>
      <c r="B614" s="11" t="s">
        <v>30</v>
      </c>
      <c r="C614" s="11" t="s">
        <v>35</v>
      </c>
      <c r="D614" s="11" t="s">
        <v>37</v>
      </c>
      <c r="E614" s="11" t="s">
        <v>3580</v>
      </c>
      <c r="F614" s="36" t="s">
        <v>3581</v>
      </c>
      <c r="G614" s="36" t="s">
        <v>3582</v>
      </c>
      <c r="H614" s="11" t="s">
        <v>45</v>
      </c>
      <c r="I614" s="11">
        <v>9.189301536E9</v>
      </c>
      <c r="J614" s="37">
        <v>45701.0</v>
      </c>
      <c r="K614" s="11"/>
      <c r="L614" s="11">
        <v>2.0250331E7</v>
      </c>
    </row>
    <row r="615">
      <c r="A615" s="9" t="s">
        <v>29</v>
      </c>
      <c r="B615" s="11" t="s">
        <v>30</v>
      </c>
      <c r="C615" s="11" t="s">
        <v>35</v>
      </c>
      <c r="D615" s="11" t="s">
        <v>37</v>
      </c>
      <c r="E615" s="11" t="s">
        <v>3583</v>
      </c>
      <c r="F615" s="36" t="s">
        <v>3584</v>
      </c>
      <c r="G615" s="36" t="s">
        <v>3585</v>
      </c>
      <c r="H615" s="11" t="s">
        <v>45</v>
      </c>
      <c r="I615" s="11">
        <v>9.209231734E9</v>
      </c>
      <c r="J615" s="37">
        <v>45701.0</v>
      </c>
      <c r="K615" s="11"/>
      <c r="L615" s="11">
        <v>2.0250331E7</v>
      </c>
    </row>
    <row r="616">
      <c r="A616" s="9" t="s">
        <v>29</v>
      </c>
      <c r="B616" s="11" t="s">
        <v>30</v>
      </c>
      <c r="C616" s="11" t="s">
        <v>35</v>
      </c>
      <c r="D616" s="11" t="s">
        <v>37</v>
      </c>
      <c r="E616" s="11" t="s">
        <v>3590</v>
      </c>
      <c r="F616" s="36" t="s">
        <v>3591</v>
      </c>
      <c r="G616" s="36" t="s">
        <v>3592</v>
      </c>
      <c r="H616" s="11" t="s">
        <v>45</v>
      </c>
      <c r="I616" s="11">
        <v>9.209567658E9</v>
      </c>
      <c r="J616" s="37">
        <v>45701.0</v>
      </c>
      <c r="K616" s="11"/>
      <c r="L616" s="11">
        <v>2.0250331E7</v>
      </c>
    </row>
    <row r="617">
      <c r="A617" s="9" t="s">
        <v>29</v>
      </c>
      <c r="B617" s="11" t="s">
        <v>30</v>
      </c>
      <c r="C617" s="11" t="s">
        <v>35</v>
      </c>
      <c r="D617" s="11" t="s">
        <v>37</v>
      </c>
      <c r="E617" s="11" t="s">
        <v>3595</v>
      </c>
      <c r="F617" s="36" t="s">
        <v>3596</v>
      </c>
      <c r="G617" s="36" t="s">
        <v>3598</v>
      </c>
      <c r="H617" s="11" t="s">
        <v>45</v>
      </c>
      <c r="I617" s="11">
        <v>9.189382693E9</v>
      </c>
      <c r="J617" s="37">
        <v>45701.0</v>
      </c>
      <c r="K617" s="11"/>
      <c r="L617" s="11">
        <v>2.0250331E7</v>
      </c>
    </row>
    <row r="618">
      <c r="A618" s="9" t="s">
        <v>29</v>
      </c>
      <c r="B618" s="11" t="s">
        <v>30</v>
      </c>
      <c r="C618" s="11" t="s">
        <v>35</v>
      </c>
      <c r="D618" s="11" t="s">
        <v>37</v>
      </c>
      <c r="E618" s="11" t="s">
        <v>3600</v>
      </c>
      <c r="F618" s="36" t="s">
        <v>3602</v>
      </c>
      <c r="G618" s="36" t="s">
        <v>3604</v>
      </c>
      <c r="H618" s="11" t="s">
        <v>45</v>
      </c>
      <c r="I618" s="11">
        <v>9.399304833E9</v>
      </c>
      <c r="J618" s="37">
        <v>45701.0</v>
      </c>
      <c r="K618" s="11"/>
      <c r="L618" s="11">
        <v>2.0250331E7</v>
      </c>
    </row>
    <row r="619">
      <c r="A619" s="9" t="s">
        <v>29</v>
      </c>
      <c r="B619" s="11" t="s">
        <v>30</v>
      </c>
      <c r="C619" s="11" t="s">
        <v>35</v>
      </c>
      <c r="D619" s="11" t="s">
        <v>37</v>
      </c>
      <c r="E619" s="11" t="s">
        <v>3607</v>
      </c>
      <c r="F619" s="36" t="s">
        <v>3608</v>
      </c>
      <c r="G619" s="36" t="s">
        <v>3611</v>
      </c>
      <c r="H619" s="11" t="s">
        <v>45</v>
      </c>
      <c r="I619" s="11">
        <v>9.285029823E9</v>
      </c>
      <c r="J619" s="37">
        <v>45701.0</v>
      </c>
      <c r="K619" s="11"/>
      <c r="L619" s="11">
        <v>2.0250331E7</v>
      </c>
    </row>
    <row r="620">
      <c r="A620" s="9" t="s">
        <v>29</v>
      </c>
      <c r="B620" s="11" t="s">
        <v>30</v>
      </c>
      <c r="C620" s="11" t="s">
        <v>35</v>
      </c>
      <c r="D620" s="11" t="s">
        <v>37</v>
      </c>
      <c r="E620" s="11" t="s">
        <v>3614</v>
      </c>
      <c r="F620" s="36" t="s">
        <v>3615</v>
      </c>
      <c r="G620" s="36" t="s">
        <v>3617</v>
      </c>
      <c r="H620" s="11" t="s">
        <v>45</v>
      </c>
      <c r="I620" s="11">
        <v>9.209504426E9</v>
      </c>
      <c r="J620" s="37">
        <v>45701.0</v>
      </c>
      <c r="K620" s="11"/>
      <c r="L620" s="11">
        <v>2.0250331E7</v>
      </c>
    </row>
    <row r="621">
      <c r="A621" s="9" t="s">
        <v>29</v>
      </c>
      <c r="B621" s="11" t="s">
        <v>30</v>
      </c>
      <c r="C621" s="11" t="s">
        <v>35</v>
      </c>
      <c r="D621" s="11" t="s">
        <v>37</v>
      </c>
      <c r="E621" s="11" t="s">
        <v>3621</v>
      </c>
      <c r="F621" s="36" t="s">
        <v>3622</v>
      </c>
      <c r="G621" s="36" t="s">
        <v>3623</v>
      </c>
      <c r="H621" s="11" t="s">
        <v>45</v>
      </c>
      <c r="I621" s="11">
        <v>9.209535738E9</v>
      </c>
      <c r="J621" s="37">
        <v>45701.0</v>
      </c>
      <c r="K621" s="11"/>
      <c r="L621" s="11">
        <v>2.0250331E7</v>
      </c>
    </row>
    <row r="622">
      <c r="A622" s="9" t="s">
        <v>29</v>
      </c>
      <c r="B622" s="11" t="s">
        <v>30</v>
      </c>
      <c r="C622" s="11" t="s">
        <v>35</v>
      </c>
      <c r="D622" s="11" t="s">
        <v>37</v>
      </c>
      <c r="E622" s="11" t="s">
        <v>3628</v>
      </c>
      <c r="F622" s="36" t="s">
        <v>3629</v>
      </c>
      <c r="G622" s="36" t="s">
        <v>3630</v>
      </c>
      <c r="H622" s="11" t="s">
        <v>45</v>
      </c>
      <c r="I622" s="11">
        <v>9.209254612E9</v>
      </c>
      <c r="J622" s="37">
        <v>45701.0</v>
      </c>
      <c r="K622" s="11"/>
      <c r="L622" s="11">
        <v>2.0250331E7</v>
      </c>
    </row>
    <row r="623">
      <c r="A623" s="9" t="s">
        <v>29</v>
      </c>
      <c r="B623" s="11" t="s">
        <v>30</v>
      </c>
      <c r="C623" s="11" t="s">
        <v>35</v>
      </c>
      <c r="D623" s="11" t="s">
        <v>37</v>
      </c>
      <c r="E623" s="11" t="s">
        <v>3633</v>
      </c>
      <c r="F623" s="36" t="s">
        <v>3635</v>
      </c>
      <c r="G623" s="36" t="s">
        <v>3636</v>
      </c>
      <c r="H623" s="11" t="s">
        <v>45</v>
      </c>
      <c r="I623" s="11">
        <v>9.189427199E9</v>
      </c>
      <c r="J623" s="37">
        <v>45701.0</v>
      </c>
      <c r="K623" s="11"/>
      <c r="L623" s="11">
        <v>2.0250331E7</v>
      </c>
    </row>
    <row r="624">
      <c r="A624" s="9" t="s">
        <v>29</v>
      </c>
      <c r="B624" s="11" t="s">
        <v>30</v>
      </c>
      <c r="C624" s="11" t="s">
        <v>35</v>
      </c>
      <c r="D624" s="11" t="s">
        <v>37</v>
      </c>
      <c r="E624" s="11" t="s">
        <v>3638</v>
      </c>
      <c r="F624" s="36" t="s">
        <v>3639</v>
      </c>
      <c r="G624" s="36" t="s">
        <v>3640</v>
      </c>
      <c r="H624" s="11" t="s">
        <v>45</v>
      </c>
      <c r="I624" s="11">
        <v>9.209033042E9</v>
      </c>
      <c r="J624" s="37">
        <v>45701.0</v>
      </c>
      <c r="K624" s="11"/>
      <c r="L624" s="11">
        <v>2.0250331E7</v>
      </c>
    </row>
    <row r="625">
      <c r="A625" s="9" t="s">
        <v>29</v>
      </c>
      <c r="B625" s="11" t="s">
        <v>30</v>
      </c>
      <c r="C625" s="11" t="s">
        <v>35</v>
      </c>
      <c r="D625" s="11" t="s">
        <v>37</v>
      </c>
      <c r="E625" s="11" t="s">
        <v>3645</v>
      </c>
      <c r="F625" s="36" t="s">
        <v>3646</v>
      </c>
      <c r="G625" s="36" t="s">
        <v>3647</v>
      </c>
      <c r="H625" s="11" t="s">
        <v>45</v>
      </c>
      <c r="I625" s="11">
        <v>9.209519443E9</v>
      </c>
      <c r="J625" s="37">
        <v>45701.0</v>
      </c>
      <c r="K625" s="11"/>
      <c r="L625" s="11">
        <v>2.0250331E7</v>
      </c>
    </row>
    <row r="626">
      <c r="A626" s="9" t="s">
        <v>29</v>
      </c>
      <c r="B626" s="11" t="s">
        <v>30</v>
      </c>
      <c r="C626" s="11" t="s">
        <v>35</v>
      </c>
      <c r="D626" s="11" t="s">
        <v>37</v>
      </c>
      <c r="E626" s="11" t="s">
        <v>3648</v>
      </c>
      <c r="F626" s="36" t="s">
        <v>3650</v>
      </c>
      <c r="G626" s="36" t="s">
        <v>3652</v>
      </c>
      <c r="H626" s="11" t="s">
        <v>45</v>
      </c>
      <c r="I626" s="11">
        <v>9.18913364E9</v>
      </c>
      <c r="J626" s="37">
        <v>45701.0</v>
      </c>
      <c r="K626" s="11"/>
      <c r="L626" s="11">
        <v>2.0250331E7</v>
      </c>
    </row>
    <row r="627">
      <c r="A627" s="9" t="s">
        <v>29</v>
      </c>
      <c r="B627" s="11" t="s">
        <v>30</v>
      </c>
      <c r="C627" s="11" t="s">
        <v>35</v>
      </c>
      <c r="D627" s="11" t="s">
        <v>37</v>
      </c>
      <c r="E627" s="11" t="s">
        <v>3655</v>
      </c>
      <c r="F627" s="36" t="s">
        <v>3656</v>
      </c>
      <c r="G627" s="36" t="s">
        <v>3657</v>
      </c>
      <c r="H627" s="11" t="s">
        <v>45</v>
      </c>
      <c r="I627" s="11">
        <v>9.189440152E9</v>
      </c>
      <c r="J627" s="37">
        <v>45701.0</v>
      </c>
      <c r="K627" s="11"/>
      <c r="L627" s="11">
        <v>2.0250331E7</v>
      </c>
    </row>
    <row r="628">
      <c r="A628" s="9" t="s">
        <v>29</v>
      </c>
      <c r="B628" s="11" t="s">
        <v>30</v>
      </c>
      <c r="C628" s="11" t="s">
        <v>35</v>
      </c>
      <c r="D628" s="11" t="s">
        <v>37</v>
      </c>
      <c r="E628" s="11" t="s">
        <v>3658</v>
      </c>
      <c r="F628" s="36" t="s">
        <v>3659</v>
      </c>
      <c r="G628" s="36" t="s">
        <v>3660</v>
      </c>
      <c r="H628" s="11" t="s">
        <v>45</v>
      </c>
      <c r="I628" s="11">
        <v>9.088674613E9</v>
      </c>
      <c r="J628" s="37">
        <v>45701.0</v>
      </c>
      <c r="K628" s="11"/>
      <c r="L628" s="11">
        <v>2.0250331E7</v>
      </c>
    </row>
    <row r="629">
      <c r="A629" s="9" t="s">
        <v>29</v>
      </c>
      <c r="B629" s="11" t="s">
        <v>30</v>
      </c>
      <c r="C629" s="11" t="s">
        <v>35</v>
      </c>
      <c r="D629" s="11" t="s">
        <v>37</v>
      </c>
      <c r="E629" s="11" t="s">
        <v>3665</v>
      </c>
      <c r="F629" s="36" t="s">
        <v>3666</v>
      </c>
      <c r="G629" s="36" t="s">
        <v>3667</v>
      </c>
      <c r="H629" s="11" t="s">
        <v>45</v>
      </c>
      <c r="I629" s="11">
        <v>9.189378623E9</v>
      </c>
      <c r="J629" s="37">
        <v>45701.0</v>
      </c>
      <c r="K629" s="11"/>
      <c r="L629" s="11">
        <v>2.0250331E7</v>
      </c>
    </row>
    <row r="630">
      <c r="A630" s="9" t="s">
        <v>29</v>
      </c>
      <c r="B630" s="11" t="s">
        <v>30</v>
      </c>
      <c r="C630" s="11" t="s">
        <v>35</v>
      </c>
      <c r="D630" s="11" t="s">
        <v>37</v>
      </c>
      <c r="E630" s="11" t="s">
        <v>3671</v>
      </c>
      <c r="F630" s="36" t="s">
        <v>3672</v>
      </c>
      <c r="G630" s="36" t="s">
        <v>3673</v>
      </c>
      <c r="H630" s="11" t="s">
        <v>45</v>
      </c>
      <c r="I630" s="11">
        <v>9.209521468E9</v>
      </c>
      <c r="J630" s="37">
        <v>45701.0</v>
      </c>
      <c r="K630" s="11"/>
      <c r="L630" s="11">
        <v>2.0250331E7</v>
      </c>
    </row>
    <row r="631">
      <c r="A631" s="9" t="s">
        <v>29</v>
      </c>
      <c r="B631" s="11" t="s">
        <v>30</v>
      </c>
      <c r="C631" s="11" t="s">
        <v>35</v>
      </c>
      <c r="D631" s="11" t="s">
        <v>37</v>
      </c>
      <c r="E631" s="11" t="s">
        <v>3675</v>
      </c>
      <c r="F631" s="36" t="s">
        <v>3676</v>
      </c>
      <c r="G631" s="36" t="s">
        <v>3677</v>
      </c>
      <c r="H631" s="11" t="s">
        <v>45</v>
      </c>
      <c r="I631" s="11">
        <v>9.189793565E9</v>
      </c>
      <c r="J631" s="37">
        <v>45701.0</v>
      </c>
      <c r="K631" s="11"/>
      <c r="L631" s="11">
        <v>2.0250331E7</v>
      </c>
    </row>
    <row r="632">
      <c r="A632" s="9" t="s">
        <v>29</v>
      </c>
      <c r="B632" s="11" t="s">
        <v>30</v>
      </c>
      <c r="C632" s="11" t="s">
        <v>35</v>
      </c>
      <c r="D632" s="11" t="s">
        <v>37</v>
      </c>
      <c r="E632" s="11" t="s">
        <v>3682</v>
      </c>
      <c r="F632" s="36" t="s">
        <v>3683</v>
      </c>
      <c r="G632" s="36" t="s">
        <v>3684</v>
      </c>
      <c r="H632" s="11" t="s">
        <v>45</v>
      </c>
      <c r="I632" s="11">
        <v>9.189397826E9</v>
      </c>
      <c r="J632" s="37">
        <v>45701.0</v>
      </c>
      <c r="K632" s="11"/>
      <c r="L632" s="11">
        <v>2.0250331E7</v>
      </c>
    </row>
    <row r="633">
      <c r="A633" s="9" t="s">
        <v>29</v>
      </c>
      <c r="B633" s="11" t="s">
        <v>30</v>
      </c>
      <c r="C633" s="11" t="s">
        <v>35</v>
      </c>
      <c r="D633" s="11" t="s">
        <v>37</v>
      </c>
      <c r="E633" s="11" t="s">
        <v>3687</v>
      </c>
      <c r="F633" s="36" t="s">
        <v>3688</v>
      </c>
      <c r="G633" s="36" t="s">
        <v>3689</v>
      </c>
      <c r="H633" s="11" t="s">
        <v>45</v>
      </c>
      <c r="I633" s="11">
        <v>9.209624894E9</v>
      </c>
      <c r="J633" s="37">
        <v>45701.0</v>
      </c>
      <c r="K633" s="11"/>
      <c r="L633" s="11">
        <v>2.0250331E7</v>
      </c>
    </row>
    <row r="634">
      <c r="A634" s="9" t="s">
        <v>29</v>
      </c>
      <c r="B634" s="11" t="s">
        <v>30</v>
      </c>
      <c r="C634" s="11" t="s">
        <v>35</v>
      </c>
      <c r="D634" s="11" t="s">
        <v>37</v>
      </c>
      <c r="E634" s="11" t="s">
        <v>3692</v>
      </c>
      <c r="F634" s="36" t="s">
        <v>3693</v>
      </c>
      <c r="G634" s="36" t="s">
        <v>3694</v>
      </c>
      <c r="H634" s="11" t="s">
        <v>45</v>
      </c>
      <c r="I634" s="11">
        <v>9.189040587E9</v>
      </c>
      <c r="J634" s="37">
        <v>45701.0</v>
      </c>
      <c r="K634" s="11"/>
      <c r="L634" s="11">
        <v>2.0250331E7</v>
      </c>
    </row>
    <row r="635">
      <c r="A635" s="9" t="s">
        <v>29</v>
      </c>
      <c r="B635" s="11" t="s">
        <v>30</v>
      </c>
      <c r="C635" s="11" t="s">
        <v>35</v>
      </c>
      <c r="D635" s="11" t="s">
        <v>37</v>
      </c>
      <c r="E635" s="11" t="s">
        <v>3699</v>
      </c>
      <c r="F635" s="36" t="s">
        <v>3700</v>
      </c>
      <c r="G635" s="36" t="s">
        <v>3701</v>
      </c>
      <c r="H635" s="11" t="s">
        <v>45</v>
      </c>
      <c r="I635" s="11">
        <v>9.209486721E9</v>
      </c>
      <c r="J635" s="37">
        <v>45701.0</v>
      </c>
      <c r="K635" s="11"/>
      <c r="L635" s="11">
        <v>2.0250331E7</v>
      </c>
    </row>
    <row r="636">
      <c r="A636" s="9" t="s">
        <v>29</v>
      </c>
      <c r="B636" s="11" t="s">
        <v>30</v>
      </c>
      <c r="C636" s="11" t="s">
        <v>35</v>
      </c>
      <c r="D636" s="11" t="s">
        <v>37</v>
      </c>
      <c r="E636" s="11" t="s">
        <v>3702</v>
      </c>
      <c r="F636" s="36" t="s">
        <v>3704</v>
      </c>
      <c r="G636" s="36" t="s">
        <v>3706</v>
      </c>
      <c r="H636" s="11" t="s">
        <v>45</v>
      </c>
      <c r="I636" s="11">
        <v>9.189072754E9</v>
      </c>
      <c r="J636" s="37">
        <v>45701.0</v>
      </c>
      <c r="K636" s="11"/>
      <c r="L636" s="11">
        <v>2.0250331E7</v>
      </c>
    </row>
    <row r="637">
      <c r="A637" s="9" t="s">
        <v>29</v>
      </c>
      <c r="B637" s="11" t="s">
        <v>30</v>
      </c>
      <c r="C637" s="11" t="s">
        <v>35</v>
      </c>
      <c r="D637" s="11" t="s">
        <v>37</v>
      </c>
      <c r="E637" s="11" t="s">
        <v>3709</v>
      </c>
      <c r="F637" s="36" t="s">
        <v>3710</v>
      </c>
      <c r="G637" s="36" t="s">
        <v>3711</v>
      </c>
      <c r="H637" s="11" t="s">
        <v>45</v>
      </c>
      <c r="I637" s="11">
        <v>9.209608062E9</v>
      </c>
      <c r="J637" s="37">
        <v>45701.0</v>
      </c>
      <c r="K637" s="11"/>
      <c r="L637" s="11">
        <v>2.0250331E7</v>
      </c>
    </row>
    <row r="638">
      <c r="A638" s="9" t="s">
        <v>29</v>
      </c>
      <c r="B638" s="11" t="s">
        <v>30</v>
      </c>
      <c r="C638" s="11" t="s">
        <v>35</v>
      </c>
      <c r="D638" s="11" t="s">
        <v>37</v>
      </c>
      <c r="E638" s="11" t="s">
        <v>3714</v>
      </c>
      <c r="F638" s="36" t="s">
        <v>3716</v>
      </c>
      <c r="G638" s="36" t="s">
        <v>3718</v>
      </c>
      <c r="H638" s="11" t="s">
        <v>45</v>
      </c>
      <c r="I638" s="11">
        <v>9.209578959E9</v>
      </c>
      <c r="J638" s="37">
        <v>45701.0</v>
      </c>
      <c r="K638" s="11"/>
      <c r="L638" s="11">
        <v>2.0250331E7</v>
      </c>
    </row>
    <row r="639">
      <c r="A639" s="9" t="s">
        <v>29</v>
      </c>
      <c r="B639" s="11" t="s">
        <v>30</v>
      </c>
      <c r="C639" s="11" t="s">
        <v>35</v>
      </c>
      <c r="D639" s="11" t="s">
        <v>37</v>
      </c>
      <c r="E639" s="11" t="s">
        <v>3721</v>
      </c>
      <c r="F639" s="36" t="s">
        <v>3722</v>
      </c>
      <c r="G639" s="36" t="s">
        <v>3724</v>
      </c>
      <c r="H639" s="11" t="s">
        <v>45</v>
      </c>
      <c r="I639" s="11">
        <v>9.20970489E9</v>
      </c>
      <c r="J639" s="37">
        <v>45701.0</v>
      </c>
      <c r="K639" s="11"/>
      <c r="L639" s="11">
        <v>2.0250331E7</v>
      </c>
    </row>
    <row r="640">
      <c r="A640" s="9" t="s">
        <v>29</v>
      </c>
      <c r="B640" s="11" t="s">
        <v>30</v>
      </c>
      <c r="C640" s="11" t="s">
        <v>35</v>
      </c>
      <c r="D640" s="11" t="s">
        <v>37</v>
      </c>
      <c r="E640" s="11" t="s">
        <v>3726</v>
      </c>
      <c r="F640" s="36" t="s">
        <v>3728</v>
      </c>
      <c r="G640" s="36" t="s">
        <v>3730</v>
      </c>
      <c r="H640" s="11" t="s">
        <v>45</v>
      </c>
      <c r="I640" s="11">
        <v>9.209446657E9</v>
      </c>
      <c r="J640" s="37">
        <v>45701.0</v>
      </c>
      <c r="K640" s="11"/>
      <c r="L640" s="11">
        <v>2.0250331E7</v>
      </c>
    </row>
    <row r="641">
      <c r="A641" s="9" t="s">
        <v>29</v>
      </c>
      <c r="B641" s="11" t="s">
        <v>30</v>
      </c>
      <c r="C641" s="11" t="s">
        <v>35</v>
      </c>
      <c r="D641" s="11" t="s">
        <v>37</v>
      </c>
      <c r="E641" s="11" t="s">
        <v>3733</v>
      </c>
      <c r="F641" s="36" t="s">
        <v>3734</v>
      </c>
      <c r="G641" s="36" t="s">
        <v>3737</v>
      </c>
      <c r="H641" s="11" t="s">
        <v>45</v>
      </c>
      <c r="I641" s="11">
        <v>9.209236237E9</v>
      </c>
      <c r="J641" s="37">
        <v>45701.0</v>
      </c>
      <c r="K641" s="11"/>
      <c r="L641" s="11">
        <v>2.0250331E7</v>
      </c>
    </row>
    <row r="642">
      <c r="A642" s="9" t="s">
        <v>29</v>
      </c>
      <c r="B642" s="11" t="s">
        <v>30</v>
      </c>
      <c r="C642" s="11" t="s">
        <v>35</v>
      </c>
      <c r="D642" s="11" t="s">
        <v>37</v>
      </c>
      <c r="E642" s="11" t="s">
        <v>3740</v>
      </c>
      <c r="F642" s="36" t="s">
        <v>3741</v>
      </c>
      <c r="G642" s="36" t="s">
        <v>3742</v>
      </c>
      <c r="H642" s="11" t="s">
        <v>45</v>
      </c>
      <c r="I642" s="11">
        <v>9.189363571E9</v>
      </c>
      <c r="J642" s="37">
        <v>45701.0</v>
      </c>
      <c r="K642" s="11"/>
      <c r="L642" s="11">
        <v>2.0250331E7</v>
      </c>
    </row>
    <row r="643">
      <c r="A643" s="9" t="s">
        <v>29</v>
      </c>
      <c r="B643" s="11" t="s">
        <v>30</v>
      </c>
      <c r="C643" s="11" t="s">
        <v>35</v>
      </c>
      <c r="D643" s="11" t="s">
        <v>37</v>
      </c>
      <c r="E643" s="11" t="s">
        <v>3747</v>
      </c>
      <c r="F643" s="36" t="s">
        <v>3748</v>
      </c>
      <c r="G643" s="36" t="s">
        <v>3749</v>
      </c>
      <c r="H643" s="11" t="s">
        <v>45</v>
      </c>
      <c r="I643" s="11">
        <v>9.189335054E9</v>
      </c>
      <c r="J643" s="37">
        <v>45701.0</v>
      </c>
      <c r="K643" s="11"/>
      <c r="L643" s="11">
        <v>2.0250331E7</v>
      </c>
    </row>
    <row r="644">
      <c r="A644" s="9" t="s">
        <v>29</v>
      </c>
      <c r="B644" s="11" t="s">
        <v>30</v>
      </c>
      <c r="C644" s="11" t="s">
        <v>35</v>
      </c>
      <c r="D644" s="11" t="s">
        <v>37</v>
      </c>
      <c r="E644" s="11" t="s">
        <v>3754</v>
      </c>
      <c r="F644" s="36" t="s">
        <v>3755</v>
      </c>
      <c r="G644" s="36" t="s">
        <v>3756</v>
      </c>
      <c r="H644" s="11" t="s">
        <v>45</v>
      </c>
      <c r="I644" s="11">
        <v>9.190947861E9</v>
      </c>
      <c r="J644" s="37">
        <v>45701.0</v>
      </c>
      <c r="K644" s="11"/>
      <c r="L644" s="11">
        <v>2.0250331E7</v>
      </c>
    </row>
    <row r="645">
      <c r="A645" s="9" t="s">
        <v>29</v>
      </c>
      <c r="B645" s="11" t="s">
        <v>30</v>
      </c>
      <c r="C645" s="11" t="s">
        <v>35</v>
      </c>
      <c r="D645" s="11" t="s">
        <v>37</v>
      </c>
      <c r="E645" s="11" t="s">
        <v>3757</v>
      </c>
      <c r="F645" s="36" t="s">
        <v>3758</v>
      </c>
      <c r="G645" s="36" t="s">
        <v>3759</v>
      </c>
      <c r="H645" s="11" t="s">
        <v>45</v>
      </c>
      <c r="I645" s="11">
        <v>9.18906475E9</v>
      </c>
      <c r="J645" s="37">
        <v>45701.0</v>
      </c>
      <c r="K645" s="11"/>
      <c r="L645" s="11">
        <v>2.0250331E7</v>
      </c>
    </row>
    <row r="646">
      <c r="A646" s="9" t="s">
        <v>29</v>
      </c>
      <c r="B646" s="11" t="s">
        <v>30</v>
      </c>
      <c r="C646" s="11" t="s">
        <v>35</v>
      </c>
      <c r="D646" s="11" t="s">
        <v>37</v>
      </c>
      <c r="E646" s="11" t="s">
        <v>3764</v>
      </c>
      <c r="F646" s="36" t="s">
        <v>3765</v>
      </c>
      <c r="G646" s="36" t="s">
        <v>3766</v>
      </c>
      <c r="H646" s="11" t="s">
        <v>45</v>
      </c>
      <c r="I646" s="11">
        <v>9.190659738E9</v>
      </c>
      <c r="J646" s="37">
        <v>45701.0</v>
      </c>
      <c r="K646" s="11"/>
      <c r="L646" s="11">
        <v>2.0250331E7</v>
      </c>
    </row>
    <row r="647">
      <c r="A647" s="9" t="s">
        <v>29</v>
      </c>
      <c r="B647" s="11" t="s">
        <v>30</v>
      </c>
      <c r="C647" s="11" t="s">
        <v>35</v>
      </c>
      <c r="D647" s="11" t="s">
        <v>37</v>
      </c>
      <c r="E647" s="11" t="s">
        <v>3767</v>
      </c>
      <c r="F647" s="36" t="s">
        <v>3768</v>
      </c>
      <c r="G647" s="36" t="s">
        <v>3769</v>
      </c>
      <c r="H647" s="11" t="s">
        <v>45</v>
      </c>
      <c r="I647" s="11">
        <v>9.209121624E9</v>
      </c>
      <c r="J647" s="37">
        <v>45701.0</v>
      </c>
      <c r="K647" s="11"/>
      <c r="L647" s="11">
        <v>2.0250331E7</v>
      </c>
    </row>
    <row r="648">
      <c r="A648" s="9" t="s">
        <v>29</v>
      </c>
      <c r="B648" s="11" t="s">
        <v>30</v>
      </c>
      <c r="C648" s="11" t="s">
        <v>35</v>
      </c>
      <c r="D648" s="11" t="s">
        <v>37</v>
      </c>
      <c r="E648" s="11" t="s">
        <v>3774</v>
      </c>
      <c r="F648" s="36" t="s">
        <v>3775</v>
      </c>
      <c r="G648" s="36" t="s">
        <v>3776</v>
      </c>
      <c r="H648" s="11" t="s">
        <v>45</v>
      </c>
      <c r="I648" s="11">
        <v>9.189065011E9</v>
      </c>
      <c r="J648" s="37">
        <v>45701.0</v>
      </c>
      <c r="K648" s="11"/>
      <c r="L648" s="11">
        <v>2.0250331E7</v>
      </c>
    </row>
    <row r="649">
      <c r="A649" s="9" t="s">
        <v>29</v>
      </c>
      <c r="B649" s="11" t="s">
        <v>30</v>
      </c>
      <c r="C649" s="11" t="s">
        <v>35</v>
      </c>
      <c r="D649" s="11" t="s">
        <v>37</v>
      </c>
      <c r="E649" s="11" t="s">
        <v>3777</v>
      </c>
      <c r="F649" s="36" t="s">
        <v>3778</v>
      </c>
      <c r="G649" s="36" t="s">
        <v>3780</v>
      </c>
      <c r="H649" s="11" t="s">
        <v>45</v>
      </c>
      <c r="I649" s="11">
        <v>9.189013171E9</v>
      </c>
      <c r="J649" s="37">
        <v>45701.0</v>
      </c>
      <c r="K649" s="11"/>
      <c r="L649" s="11">
        <v>2.0250331E7</v>
      </c>
    </row>
    <row r="650">
      <c r="A650" s="9" t="s">
        <v>29</v>
      </c>
      <c r="B650" s="11" t="s">
        <v>30</v>
      </c>
      <c r="C650" s="11" t="s">
        <v>35</v>
      </c>
      <c r="D650" s="11" t="s">
        <v>37</v>
      </c>
      <c r="E650" s="11" t="s">
        <v>3784</v>
      </c>
      <c r="F650" s="36" t="s">
        <v>3785</v>
      </c>
      <c r="G650" s="36" t="s">
        <v>3786</v>
      </c>
      <c r="H650" s="11" t="s">
        <v>45</v>
      </c>
      <c r="I650" s="11">
        <v>9.209224021E9</v>
      </c>
      <c r="J650" s="37">
        <v>45701.0</v>
      </c>
      <c r="K650" s="11"/>
      <c r="L650" s="11">
        <v>2.0250331E7</v>
      </c>
    </row>
    <row r="651">
      <c r="A651" s="9" t="s">
        <v>29</v>
      </c>
      <c r="B651" s="11" t="s">
        <v>30</v>
      </c>
      <c r="C651" s="11" t="s">
        <v>35</v>
      </c>
      <c r="D651" s="11" t="s">
        <v>37</v>
      </c>
      <c r="E651" s="11" t="s">
        <v>3789</v>
      </c>
      <c r="F651" s="36" t="s">
        <v>3791</v>
      </c>
      <c r="G651" s="36" t="s">
        <v>3792</v>
      </c>
      <c r="H651" s="11" t="s">
        <v>45</v>
      </c>
      <c r="I651" s="11">
        <v>9.189036518E9</v>
      </c>
      <c r="J651" s="37">
        <v>45701.0</v>
      </c>
      <c r="K651" s="11"/>
      <c r="L651" s="11">
        <v>2.0250331E7</v>
      </c>
    </row>
    <row r="652">
      <c r="A652" s="9" t="s">
        <v>29</v>
      </c>
      <c r="B652" s="11" t="s">
        <v>30</v>
      </c>
      <c r="C652" s="11" t="s">
        <v>35</v>
      </c>
      <c r="D652" s="11" t="s">
        <v>37</v>
      </c>
      <c r="E652" s="11" t="s">
        <v>3794</v>
      </c>
      <c r="F652" s="36" t="s">
        <v>3795</v>
      </c>
      <c r="G652" s="36" t="s">
        <v>3797</v>
      </c>
      <c r="H652" s="11" t="s">
        <v>45</v>
      </c>
      <c r="I652" s="11">
        <v>9.189116822E9</v>
      </c>
      <c r="J652" s="37">
        <v>45701.0</v>
      </c>
      <c r="K652" s="11"/>
      <c r="L652" s="11">
        <v>2.0250331E7</v>
      </c>
    </row>
    <row r="653">
      <c r="A653" s="9" t="s">
        <v>29</v>
      </c>
      <c r="B653" s="11" t="s">
        <v>30</v>
      </c>
      <c r="C653" s="11" t="s">
        <v>35</v>
      </c>
      <c r="D653" s="11" t="s">
        <v>37</v>
      </c>
      <c r="E653" s="11" t="s">
        <v>3801</v>
      </c>
      <c r="F653" s="36" t="s">
        <v>3802</v>
      </c>
      <c r="G653" s="36" t="s">
        <v>3803</v>
      </c>
      <c r="H653" s="11" t="s">
        <v>45</v>
      </c>
      <c r="I653" s="11">
        <v>9.399024326E9</v>
      </c>
      <c r="J653" s="37">
        <v>45701.0</v>
      </c>
      <c r="K653" s="11"/>
      <c r="L653" s="11">
        <v>2.0250331E7</v>
      </c>
    </row>
    <row r="654">
      <c r="A654" s="9" t="s">
        <v>29</v>
      </c>
      <c r="B654" s="11" t="s">
        <v>30</v>
      </c>
      <c r="C654" s="11" t="s">
        <v>35</v>
      </c>
      <c r="D654" s="11" t="s">
        <v>37</v>
      </c>
      <c r="E654" s="11" t="s">
        <v>3806</v>
      </c>
      <c r="F654" s="36" t="s">
        <v>3807</v>
      </c>
      <c r="G654" s="36" t="s">
        <v>3809</v>
      </c>
      <c r="H654" s="11" t="s">
        <v>45</v>
      </c>
      <c r="I654" s="11">
        <v>9.985820192E9</v>
      </c>
      <c r="J654" s="37">
        <v>45701.0</v>
      </c>
      <c r="K654" s="11"/>
      <c r="L654" s="11">
        <v>2.0250331E7</v>
      </c>
    </row>
    <row r="655">
      <c r="A655" s="9" t="s">
        <v>29</v>
      </c>
      <c r="B655" s="11" t="s">
        <v>30</v>
      </c>
      <c r="C655" s="11" t="s">
        <v>35</v>
      </c>
      <c r="D655" s="11" t="s">
        <v>37</v>
      </c>
      <c r="E655" s="11" t="s">
        <v>3811</v>
      </c>
      <c r="F655" s="36" t="s">
        <v>3812</v>
      </c>
      <c r="G655" s="36" t="s">
        <v>3813</v>
      </c>
      <c r="H655" s="11" t="s">
        <v>45</v>
      </c>
      <c r="I655" s="11">
        <v>9.209538398E9</v>
      </c>
      <c r="J655" s="37">
        <v>45701.0</v>
      </c>
      <c r="K655" s="11"/>
      <c r="L655" s="11">
        <v>2.0250331E7</v>
      </c>
    </row>
    <row r="656">
      <c r="A656" s="9" t="s">
        <v>29</v>
      </c>
      <c r="B656" s="11" t="s">
        <v>30</v>
      </c>
      <c r="C656" s="11" t="s">
        <v>35</v>
      </c>
      <c r="D656" s="11" t="s">
        <v>37</v>
      </c>
      <c r="E656" s="11" t="s">
        <v>3816</v>
      </c>
      <c r="F656" s="36" t="s">
        <v>3818</v>
      </c>
      <c r="G656" s="36" t="s">
        <v>3819</v>
      </c>
      <c r="H656" s="11" t="s">
        <v>45</v>
      </c>
      <c r="I656" s="11">
        <v>9.189352947E9</v>
      </c>
      <c r="J656" s="37">
        <v>45701.0</v>
      </c>
      <c r="K656" s="11"/>
      <c r="L656" s="11">
        <v>2.0250331E7</v>
      </c>
    </row>
    <row r="657">
      <c r="A657" s="9" t="s">
        <v>29</v>
      </c>
      <c r="B657" s="11" t="s">
        <v>30</v>
      </c>
      <c r="C657" s="11" t="s">
        <v>35</v>
      </c>
      <c r="D657" s="11" t="s">
        <v>37</v>
      </c>
      <c r="E657" s="11" t="s">
        <v>3821</v>
      </c>
      <c r="F657" s="36" t="s">
        <v>3822</v>
      </c>
      <c r="G657" s="36" t="s">
        <v>3823</v>
      </c>
      <c r="H657" s="11" t="s">
        <v>45</v>
      </c>
      <c r="I657" s="11">
        <v>9.209241306E9</v>
      </c>
      <c r="J657" s="37">
        <v>45701.0</v>
      </c>
      <c r="K657" s="11"/>
      <c r="L657" s="11">
        <v>2.0250331E7</v>
      </c>
    </row>
    <row r="658">
      <c r="A658" s="9" t="s">
        <v>29</v>
      </c>
      <c r="B658" s="11" t="s">
        <v>30</v>
      </c>
      <c r="C658" s="11" t="s">
        <v>35</v>
      </c>
      <c r="D658" s="11" t="s">
        <v>37</v>
      </c>
      <c r="E658" s="11" t="s">
        <v>3827</v>
      </c>
      <c r="F658" s="36" t="s">
        <v>3828</v>
      </c>
      <c r="G658" s="36" t="s">
        <v>3830</v>
      </c>
      <c r="H658" s="11" t="s">
        <v>45</v>
      </c>
      <c r="I658" s="11">
        <v>9.498890197E9</v>
      </c>
      <c r="J658" s="37">
        <v>45701.0</v>
      </c>
      <c r="K658" s="11"/>
      <c r="L658" s="11">
        <v>2.0250331E7</v>
      </c>
    </row>
    <row r="659">
      <c r="A659" s="9" t="s">
        <v>29</v>
      </c>
      <c r="B659" s="11" t="s">
        <v>30</v>
      </c>
      <c r="C659" s="11" t="s">
        <v>35</v>
      </c>
      <c r="D659" s="11" t="s">
        <v>37</v>
      </c>
      <c r="E659" s="11" t="s">
        <v>3831</v>
      </c>
      <c r="F659" s="36" t="s">
        <v>3833</v>
      </c>
      <c r="G659" s="36" t="s">
        <v>3835</v>
      </c>
      <c r="H659" s="11" t="s">
        <v>45</v>
      </c>
      <c r="I659" s="11">
        <v>9.189191776E9</v>
      </c>
      <c r="J659" s="37">
        <v>45701.0</v>
      </c>
      <c r="K659" s="11"/>
      <c r="L659" s="11">
        <v>2.0250331E7</v>
      </c>
    </row>
    <row r="660">
      <c r="A660" s="9" t="s">
        <v>29</v>
      </c>
      <c r="B660" s="11" t="s">
        <v>30</v>
      </c>
      <c r="C660" s="11" t="s">
        <v>35</v>
      </c>
      <c r="D660" s="11" t="s">
        <v>37</v>
      </c>
      <c r="E660" s="11" t="s">
        <v>3838</v>
      </c>
      <c r="F660" s="36" t="s">
        <v>3839</v>
      </c>
      <c r="G660" s="36" t="s">
        <v>3840</v>
      </c>
      <c r="H660" s="11" t="s">
        <v>45</v>
      </c>
      <c r="I660" s="11">
        <v>9.189342286E9</v>
      </c>
      <c r="J660" s="37">
        <v>45701.0</v>
      </c>
      <c r="K660" s="11"/>
      <c r="L660" s="11">
        <v>2.0250331E7</v>
      </c>
    </row>
    <row r="661">
      <c r="A661" s="9" t="s">
        <v>29</v>
      </c>
      <c r="B661" s="11" t="s">
        <v>30</v>
      </c>
      <c r="C661" s="11" t="s">
        <v>35</v>
      </c>
      <c r="D661" s="11" t="s">
        <v>37</v>
      </c>
      <c r="E661" s="11" t="s">
        <v>3845</v>
      </c>
      <c r="F661" s="36" t="s">
        <v>3846</v>
      </c>
      <c r="G661" s="36" t="s">
        <v>3847</v>
      </c>
      <c r="H661" s="11" t="s">
        <v>45</v>
      </c>
      <c r="I661" s="11">
        <v>9.399279663E9</v>
      </c>
      <c r="J661" s="37">
        <v>45701.0</v>
      </c>
      <c r="K661" s="11"/>
      <c r="L661" s="11">
        <v>2.0250331E7</v>
      </c>
    </row>
    <row r="662">
      <c r="A662" s="9" t="s">
        <v>29</v>
      </c>
      <c r="B662" s="11" t="s">
        <v>30</v>
      </c>
      <c r="C662" s="11" t="s">
        <v>35</v>
      </c>
      <c r="D662" s="11" t="s">
        <v>37</v>
      </c>
      <c r="E662" s="11" t="s">
        <v>3852</v>
      </c>
      <c r="F662" s="36" t="s">
        <v>3853</v>
      </c>
      <c r="G662" s="36" t="s">
        <v>3854</v>
      </c>
      <c r="H662" s="11" t="s">
        <v>45</v>
      </c>
      <c r="I662" s="11">
        <v>9.189294432E9</v>
      </c>
      <c r="J662" s="37">
        <v>45701.0</v>
      </c>
      <c r="K662" s="11"/>
      <c r="L662" s="11">
        <v>2.0250331E7</v>
      </c>
    </row>
    <row r="663">
      <c r="A663" s="9" t="s">
        <v>29</v>
      </c>
      <c r="B663" s="11" t="s">
        <v>30</v>
      </c>
      <c r="C663" s="11" t="s">
        <v>35</v>
      </c>
      <c r="D663" s="11" t="s">
        <v>37</v>
      </c>
      <c r="E663" s="11" t="s">
        <v>3858</v>
      </c>
      <c r="F663" s="36" t="s">
        <v>3859</v>
      </c>
      <c r="G663" s="36" t="s">
        <v>3860</v>
      </c>
      <c r="H663" s="11" t="s">
        <v>45</v>
      </c>
      <c r="I663" s="11">
        <v>9.189107768E9</v>
      </c>
      <c r="J663" s="37">
        <v>45701.0</v>
      </c>
      <c r="K663" s="11"/>
      <c r="L663" s="11">
        <v>2.0250331E7</v>
      </c>
    </row>
    <row r="664">
      <c r="A664" s="9" t="s">
        <v>29</v>
      </c>
      <c r="B664" s="11" t="s">
        <v>30</v>
      </c>
      <c r="C664" s="11" t="s">
        <v>35</v>
      </c>
      <c r="D664" s="11" t="s">
        <v>37</v>
      </c>
      <c r="E664" s="11" t="s">
        <v>3865</v>
      </c>
      <c r="F664" s="36" t="s">
        <v>3866</v>
      </c>
      <c r="G664" s="36" t="s">
        <v>3868</v>
      </c>
      <c r="H664" s="11" t="s">
        <v>45</v>
      </c>
      <c r="I664" s="11">
        <v>9.988579784E9</v>
      </c>
      <c r="J664" s="37">
        <v>45701.0</v>
      </c>
      <c r="K664" s="11"/>
      <c r="L664" s="11">
        <v>2.0250331E7</v>
      </c>
    </row>
    <row r="665">
      <c r="A665" s="9" t="s">
        <v>29</v>
      </c>
      <c r="B665" s="11" t="s">
        <v>30</v>
      </c>
      <c r="C665" s="11" t="s">
        <v>35</v>
      </c>
      <c r="D665" s="11" t="s">
        <v>37</v>
      </c>
      <c r="E665" s="11" t="s">
        <v>3869</v>
      </c>
      <c r="F665" s="36" t="s">
        <v>3870</v>
      </c>
      <c r="G665" s="36" t="s">
        <v>3871</v>
      </c>
      <c r="H665" s="11" t="s">
        <v>45</v>
      </c>
      <c r="I665" s="11">
        <v>9.189378162E9</v>
      </c>
      <c r="J665" s="37">
        <v>45701.0</v>
      </c>
      <c r="K665" s="11"/>
      <c r="L665" s="11">
        <v>2.0250331E7</v>
      </c>
    </row>
    <row r="666">
      <c r="A666" s="9" t="s">
        <v>29</v>
      </c>
      <c r="B666" s="11" t="s">
        <v>30</v>
      </c>
      <c r="C666" s="11" t="s">
        <v>35</v>
      </c>
      <c r="D666" s="11" t="s">
        <v>37</v>
      </c>
      <c r="E666" s="11" t="s">
        <v>3876</v>
      </c>
      <c r="F666" s="36" t="s">
        <v>3877</v>
      </c>
      <c r="G666" s="36" t="s">
        <v>3878</v>
      </c>
      <c r="H666" s="11" t="s">
        <v>45</v>
      </c>
      <c r="I666" s="11">
        <v>9.209145064E9</v>
      </c>
      <c r="J666" s="37">
        <v>45701.0</v>
      </c>
      <c r="K666" s="11"/>
      <c r="L666" s="11">
        <v>2.0250331E7</v>
      </c>
    </row>
    <row r="667">
      <c r="A667" s="9" t="s">
        <v>29</v>
      </c>
      <c r="B667" s="11" t="s">
        <v>30</v>
      </c>
      <c r="C667" s="11" t="s">
        <v>35</v>
      </c>
      <c r="D667" s="11" t="s">
        <v>37</v>
      </c>
      <c r="E667" s="11" t="s">
        <v>3881</v>
      </c>
      <c r="F667" s="36" t="s">
        <v>3882</v>
      </c>
      <c r="G667" s="36" t="s">
        <v>3884</v>
      </c>
      <c r="H667" s="11" t="s">
        <v>45</v>
      </c>
      <c r="I667" s="11">
        <v>9.209246229E9</v>
      </c>
      <c r="J667" s="37">
        <v>45701.0</v>
      </c>
      <c r="K667" s="11"/>
      <c r="L667" s="11">
        <v>2.0250331E7</v>
      </c>
    </row>
    <row r="668">
      <c r="A668" s="9" t="s">
        <v>29</v>
      </c>
      <c r="B668" s="11" t="s">
        <v>30</v>
      </c>
      <c r="C668" s="11" t="s">
        <v>35</v>
      </c>
      <c r="D668" s="11" t="s">
        <v>37</v>
      </c>
      <c r="E668" s="11" t="s">
        <v>3886</v>
      </c>
      <c r="F668" s="36" t="s">
        <v>3887</v>
      </c>
      <c r="G668" s="36" t="s">
        <v>3888</v>
      </c>
      <c r="H668" s="11" t="s">
        <v>45</v>
      </c>
      <c r="I668" s="11">
        <v>9.209087587E9</v>
      </c>
      <c r="J668" s="37">
        <v>45701.0</v>
      </c>
      <c r="K668" s="11"/>
      <c r="L668" s="11">
        <v>2.0250331E7</v>
      </c>
    </row>
    <row r="669">
      <c r="A669" s="9" t="s">
        <v>29</v>
      </c>
      <c r="B669" s="11" t="s">
        <v>30</v>
      </c>
      <c r="C669" s="11" t="s">
        <v>35</v>
      </c>
      <c r="D669" s="11" t="s">
        <v>37</v>
      </c>
      <c r="E669" s="11" t="s">
        <v>3893</v>
      </c>
      <c r="F669" s="36" t="s">
        <v>3894</v>
      </c>
      <c r="G669" s="36" t="s">
        <v>3895</v>
      </c>
      <c r="H669" s="11" t="s">
        <v>45</v>
      </c>
      <c r="I669" s="11">
        <v>9.189146817E9</v>
      </c>
      <c r="J669" s="37">
        <v>45701.0</v>
      </c>
      <c r="K669" s="11"/>
      <c r="L669" s="11">
        <v>2.0250331E7</v>
      </c>
    </row>
    <row r="670">
      <c r="A670" s="9" t="s">
        <v>29</v>
      </c>
      <c r="B670" s="11" t="s">
        <v>30</v>
      </c>
      <c r="C670" s="11" t="s">
        <v>35</v>
      </c>
      <c r="D670" s="11" t="s">
        <v>37</v>
      </c>
      <c r="E670" s="11" t="s">
        <v>3898</v>
      </c>
      <c r="F670" s="36" t="s">
        <v>3900</v>
      </c>
      <c r="G670" s="36" t="s">
        <v>3901</v>
      </c>
      <c r="H670" s="11" t="s">
        <v>45</v>
      </c>
      <c r="I670" s="11">
        <v>9.189395589E9</v>
      </c>
      <c r="J670" s="37">
        <v>45701.0</v>
      </c>
      <c r="K670" s="11"/>
      <c r="L670" s="11">
        <v>2.0250331E7</v>
      </c>
    </row>
    <row r="671">
      <c r="A671" s="9" t="s">
        <v>29</v>
      </c>
      <c r="B671" s="11" t="s">
        <v>30</v>
      </c>
      <c r="C671" s="11" t="s">
        <v>35</v>
      </c>
      <c r="D671" s="11" t="s">
        <v>37</v>
      </c>
      <c r="E671" s="11" t="s">
        <v>3903</v>
      </c>
      <c r="F671" s="36" t="s">
        <v>3904</v>
      </c>
      <c r="G671" s="36" t="s">
        <v>3905</v>
      </c>
      <c r="H671" s="11" t="s">
        <v>45</v>
      </c>
      <c r="I671" s="11">
        <v>9.189049383E9</v>
      </c>
      <c r="J671" s="37">
        <v>45701.0</v>
      </c>
      <c r="K671" s="11"/>
      <c r="L671" s="11">
        <v>2.0250331E7</v>
      </c>
    </row>
    <row r="672">
      <c r="A672" s="9" t="s">
        <v>29</v>
      </c>
      <c r="B672" s="11" t="s">
        <v>30</v>
      </c>
      <c r="C672" s="11" t="s">
        <v>35</v>
      </c>
      <c r="D672" s="11" t="s">
        <v>37</v>
      </c>
      <c r="E672" s="11" t="s">
        <v>3906</v>
      </c>
      <c r="F672" s="36" t="s">
        <v>3907</v>
      </c>
      <c r="G672" s="36" t="s">
        <v>3909</v>
      </c>
      <c r="H672" s="11" t="s">
        <v>45</v>
      </c>
      <c r="I672" s="11">
        <v>9.190724889E9</v>
      </c>
      <c r="J672" s="37">
        <v>45701.0</v>
      </c>
      <c r="K672" s="11"/>
      <c r="L672" s="11">
        <v>2.0250331E7</v>
      </c>
    </row>
    <row r="673">
      <c r="A673" s="9" t="s">
        <v>29</v>
      </c>
      <c r="B673" s="11" t="s">
        <v>30</v>
      </c>
      <c r="C673" s="11" t="s">
        <v>35</v>
      </c>
      <c r="D673" s="11" t="s">
        <v>37</v>
      </c>
      <c r="E673" s="11" t="s">
        <v>3913</v>
      </c>
      <c r="F673" s="36" t="s">
        <v>3914</v>
      </c>
      <c r="G673" s="36" t="s">
        <v>3915</v>
      </c>
      <c r="H673" s="11" t="s">
        <v>45</v>
      </c>
      <c r="I673" s="11">
        <v>9.20964319E9</v>
      </c>
      <c r="J673" s="37">
        <v>45701.0</v>
      </c>
      <c r="K673" s="11"/>
      <c r="L673" s="11">
        <v>2.0250331E7</v>
      </c>
    </row>
    <row r="674">
      <c r="A674" s="9" t="s">
        <v>29</v>
      </c>
      <c r="B674" s="11" t="s">
        <v>30</v>
      </c>
      <c r="C674" s="11" t="s">
        <v>35</v>
      </c>
      <c r="D674" s="11" t="s">
        <v>37</v>
      </c>
      <c r="E674" s="11" t="s">
        <v>3916</v>
      </c>
      <c r="F674" s="36" t="s">
        <v>3917</v>
      </c>
      <c r="G674" s="36" t="s">
        <v>3919</v>
      </c>
      <c r="H674" s="11" t="s">
        <v>45</v>
      </c>
      <c r="I674" s="11">
        <v>9.209132896E9</v>
      </c>
      <c r="J674" s="37">
        <v>45701.0</v>
      </c>
      <c r="K674" s="11"/>
      <c r="L674" s="11">
        <v>2.0250331E7</v>
      </c>
    </row>
    <row r="675">
      <c r="A675" s="9" t="s">
        <v>29</v>
      </c>
      <c r="B675" s="11" t="s">
        <v>30</v>
      </c>
      <c r="C675" s="11" t="s">
        <v>35</v>
      </c>
      <c r="D675" s="11" t="s">
        <v>37</v>
      </c>
      <c r="E675" s="11" t="s">
        <v>3923</v>
      </c>
      <c r="F675" s="36" t="s">
        <v>3924</v>
      </c>
      <c r="G675" s="36" t="s">
        <v>3925</v>
      </c>
      <c r="H675" s="11" t="s">
        <v>45</v>
      </c>
      <c r="I675" s="11">
        <v>9.209234109E9</v>
      </c>
      <c r="J675" s="37">
        <v>45701.0</v>
      </c>
      <c r="K675" s="11"/>
      <c r="L675" s="11">
        <v>2.0250331E7</v>
      </c>
    </row>
    <row r="676">
      <c r="A676" s="9" t="s">
        <v>29</v>
      </c>
      <c r="B676" s="11" t="s">
        <v>30</v>
      </c>
      <c r="C676" s="11" t="s">
        <v>35</v>
      </c>
      <c r="D676" s="11" t="s">
        <v>37</v>
      </c>
      <c r="E676" s="11" t="s">
        <v>3929</v>
      </c>
      <c r="F676" s="36" t="s">
        <v>3931</v>
      </c>
      <c r="G676" s="36" t="s">
        <v>3932</v>
      </c>
      <c r="H676" s="11" t="s">
        <v>45</v>
      </c>
      <c r="I676" s="11">
        <v>9.189787484E9</v>
      </c>
      <c r="J676" s="37">
        <v>45701.0</v>
      </c>
      <c r="K676" s="11"/>
      <c r="L676" s="11">
        <v>2.0250331E7</v>
      </c>
    </row>
    <row r="677">
      <c r="A677" s="9" t="s">
        <v>29</v>
      </c>
      <c r="B677" s="11" t="s">
        <v>30</v>
      </c>
      <c r="C677" s="11" t="s">
        <v>35</v>
      </c>
      <c r="D677" s="11" t="s">
        <v>37</v>
      </c>
      <c r="E677" s="11" t="s">
        <v>3933</v>
      </c>
      <c r="F677" s="36" t="s">
        <v>3934</v>
      </c>
      <c r="G677" s="36" t="s">
        <v>3935</v>
      </c>
      <c r="H677" s="11" t="s">
        <v>45</v>
      </c>
      <c r="I677" s="11">
        <v>9.18927213E9</v>
      </c>
      <c r="J677" s="37">
        <v>45701.0</v>
      </c>
      <c r="K677" s="11"/>
      <c r="L677" s="11">
        <v>2.0250331E7</v>
      </c>
    </row>
    <row r="678">
      <c r="A678" s="9" t="s">
        <v>29</v>
      </c>
      <c r="B678" s="11" t="s">
        <v>30</v>
      </c>
      <c r="C678" s="11" t="s">
        <v>35</v>
      </c>
      <c r="D678" s="11" t="s">
        <v>37</v>
      </c>
      <c r="E678" s="11" t="s">
        <v>3940</v>
      </c>
      <c r="F678" s="36" t="s">
        <v>3941</v>
      </c>
      <c r="G678" s="36" t="s">
        <v>3942</v>
      </c>
      <c r="H678" s="11" t="s">
        <v>45</v>
      </c>
      <c r="I678" s="11">
        <v>9.189230745E9</v>
      </c>
      <c r="J678" s="37">
        <v>45701.0</v>
      </c>
      <c r="K678" s="11"/>
      <c r="L678" s="11">
        <v>2.0250331E7</v>
      </c>
    </row>
    <row r="679">
      <c r="A679" s="9" t="s">
        <v>29</v>
      </c>
      <c r="B679" s="11" t="s">
        <v>30</v>
      </c>
      <c r="C679" s="11" t="s">
        <v>35</v>
      </c>
      <c r="D679" s="11" t="s">
        <v>37</v>
      </c>
      <c r="E679" s="11" t="s">
        <v>3945</v>
      </c>
      <c r="F679" s="36" t="s">
        <v>3947</v>
      </c>
      <c r="G679" s="36" t="s">
        <v>3948</v>
      </c>
      <c r="H679" s="11" t="s">
        <v>45</v>
      </c>
      <c r="I679" s="11">
        <v>9.209104249E9</v>
      </c>
      <c r="J679" s="37">
        <v>45701.0</v>
      </c>
      <c r="K679" s="11"/>
      <c r="L679" s="11">
        <v>2.0250331E7</v>
      </c>
    </row>
    <row r="680">
      <c r="A680" s="9" t="s">
        <v>29</v>
      </c>
      <c r="B680" s="11" t="s">
        <v>30</v>
      </c>
      <c r="C680" s="11" t="s">
        <v>35</v>
      </c>
      <c r="D680" s="11" t="s">
        <v>37</v>
      </c>
      <c r="E680" s="11" t="s">
        <v>3950</v>
      </c>
      <c r="F680" s="36" t="s">
        <v>3953</v>
      </c>
      <c r="G680" s="36" t="s">
        <v>3954</v>
      </c>
      <c r="H680" s="11" t="s">
        <v>45</v>
      </c>
      <c r="I680" s="11">
        <v>9.189358658E9</v>
      </c>
      <c r="J680" s="37">
        <v>45701.0</v>
      </c>
      <c r="K680" s="11"/>
      <c r="L680" s="11">
        <v>2.0250331E7</v>
      </c>
    </row>
    <row r="681">
      <c r="A681" s="9" t="s">
        <v>29</v>
      </c>
      <c r="B681" s="11" t="s">
        <v>30</v>
      </c>
      <c r="C681" s="11" t="s">
        <v>35</v>
      </c>
      <c r="D681" s="11" t="s">
        <v>37</v>
      </c>
      <c r="E681" s="11" t="s">
        <v>3958</v>
      </c>
      <c r="F681" s="36" t="s">
        <v>3960</v>
      </c>
      <c r="G681" s="36" t="s">
        <v>3962</v>
      </c>
      <c r="H681" s="11" t="s">
        <v>45</v>
      </c>
      <c r="I681" s="11">
        <v>9.189267194E9</v>
      </c>
      <c r="J681" s="37">
        <v>45701.0</v>
      </c>
      <c r="K681" s="11"/>
      <c r="L681" s="11">
        <v>2.0250331E7</v>
      </c>
    </row>
    <row r="682">
      <c r="A682" s="9" t="s">
        <v>29</v>
      </c>
      <c r="B682" s="11" t="s">
        <v>30</v>
      </c>
      <c r="C682" s="11" t="s">
        <v>35</v>
      </c>
      <c r="D682" s="11" t="s">
        <v>37</v>
      </c>
      <c r="E682" s="11" t="s">
        <v>3964</v>
      </c>
      <c r="F682" s="36" t="s">
        <v>3965</v>
      </c>
      <c r="G682" s="36" t="s">
        <v>3966</v>
      </c>
      <c r="H682" s="11" t="s">
        <v>45</v>
      </c>
      <c r="I682" s="11">
        <v>9.209483878E9</v>
      </c>
      <c r="J682" s="37">
        <v>45701.0</v>
      </c>
      <c r="K682" s="11"/>
      <c r="L682" s="11">
        <v>2.0250331E7</v>
      </c>
    </row>
    <row r="683">
      <c r="A683" s="9" t="s">
        <v>29</v>
      </c>
      <c r="B683" s="11" t="s">
        <v>30</v>
      </c>
      <c r="C683" s="11" t="s">
        <v>35</v>
      </c>
      <c r="D683" s="11" t="s">
        <v>37</v>
      </c>
      <c r="E683" s="11" t="s">
        <v>3971</v>
      </c>
      <c r="F683" s="36" t="s">
        <v>3972</v>
      </c>
      <c r="G683" s="36" t="s">
        <v>3973</v>
      </c>
      <c r="H683" s="11" t="s">
        <v>45</v>
      </c>
      <c r="I683" s="11">
        <v>9.189176713E9</v>
      </c>
      <c r="J683" s="37">
        <v>45701.0</v>
      </c>
      <c r="K683" s="11"/>
      <c r="L683" s="11">
        <v>2.0250331E7</v>
      </c>
    </row>
    <row r="684">
      <c r="A684" s="9" t="s">
        <v>29</v>
      </c>
      <c r="B684" s="11" t="s">
        <v>30</v>
      </c>
      <c r="C684" s="11" t="s">
        <v>35</v>
      </c>
      <c r="D684" s="11" t="s">
        <v>37</v>
      </c>
      <c r="E684" s="11" t="s">
        <v>3978</v>
      </c>
      <c r="F684" s="36" t="s">
        <v>3979</v>
      </c>
      <c r="G684" s="36" t="s">
        <v>3980</v>
      </c>
      <c r="H684" s="11" t="s">
        <v>45</v>
      </c>
      <c r="I684" s="11">
        <v>9.985932115E9</v>
      </c>
      <c r="J684" s="37">
        <v>45701.0</v>
      </c>
      <c r="K684" s="11"/>
      <c r="L684" s="11">
        <v>2.0250331E7</v>
      </c>
    </row>
    <row r="685">
      <c r="A685" s="9" t="s">
        <v>29</v>
      </c>
      <c r="B685" s="11" t="s">
        <v>30</v>
      </c>
      <c r="C685" s="11" t="s">
        <v>35</v>
      </c>
      <c r="D685" s="11" t="s">
        <v>37</v>
      </c>
      <c r="E685" s="11" t="s">
        <v>3981</v>
      </c>
      <c r="F685" s="36" t="s">
        <v>3983</v>
      </c>
      <c r="G685" s="36" t="s">
        <v>3985</v>
      </c>
      <c r="H685" s="11" t="s">
        <v>45</v>
      </c>
      <c r="I685" s="11">
        <v>9.189247408E9</v>
      </c>
      <c r="J685" s="37">
        <v>45701.0</v>
      </c>
      <c r="K685" s="11"/>
      <c r="L685" s="11">
        <v>2.0250331E7</v>
      </c>
    </row>
    <row r="686">
      <c r="A686" s="9" t="s">
        <v>29</v>
      </c>
      <c r="B686" s="11" t="s">
        <v>30</v>
      </c>
      <c r="C686" s="11" t="s">
        <v>35</v>
      </c>
      <c r="D686" s="11" t="s">
        <v>37</v>
      </c>
      <c r="E686" s="11" t="s">
        <v>3988</v>
      </c>
      <c r="F686" s="36" t="s">
        <v>3989</v>
      </c>
      <c r="G686" s="36" t="s">
        <v>3990</v>
      </c>
      <c r="H686" s="11" t="s">
        <v>45</v>
      </c>
      <c r="I686" s="11">
        <v>9.189220398E9</v>
      </c>
      <c r="J686" s="37">
        <v>45701.0</v>
      </c>
      <c r="K686" s="11"/>
      <c r="L686" s="11">
        <v>2.0250331E7</v>
      </c>
    </row>
    <row r="687">
      <c r="A687" s="9" t="s">
        <v>29</v>
      </c>
      <c r="B687" s="11" t="s">
        <v>30</v>
      </c>
      <c r="C687" s="11" t="s">
        <v>35</v>
      </c>
      <c r="D687" s="11" t="s">
        <v>37</v>
      </c>
      <c r="E687" s="11" t="s">
        <v>3993</v>
      </c>
      <c r="F687" s="36" t="s">
        <v>3994</v>
      </c>
      <c r="G687" s="36" t="s">
        <v>3996</v>
      </c>
      <c r="H687" s="11" t="s">
        <v>45</v>
      </c>
      <c r="I687" s="11">
        <v>9.209005613E9</v>
      </c>
      <c r="J687" s="37">
        <v>45701.0</v>
      </c>
      <c r="K687" s="11"/>
      <c r="L687" s="11">
        <v>2.0250331E7</v>
      </c>
    </row>
    <row r="688">
      <c r="A688" s="9" t="s">
        <v>29</v>
      </c>
      <c r="B688" s="11" t="s">
        <v>30</v>
      </c>
      <c r="C688" s="11" t="s">
        <v>35</v>
      </c>
      <c r="D688" s="11" t="s">
        <v>37</v>
      </c>
      <c r="E688" s="11" t="s">
        <v>3998</v>
      </c>
      <c r="F688" s="36" t="s">
        <v>3999</v>
      </c>
      <c r="G688" s="36" t="s">
        <v>4000</v>
      </c>
      <c r="H688" s="11" t="s">
        <v>45</v>
      </c>
      <c r="I688" s="11">
        <v>9.209219138E9</v>
      </c>
      <c r="J688" s="37">
        <v>45701.0</v>
      </c>
      <c r="K688" s="11"/>
      <c r="L688" s="11">
        <v>2.0250331E7</v>
      </c>
    </row>
    <row r="689">
      <c r="A689" s="9" t="s">
        <v>29</v>
      </c>
      <c r="B689" s="11" t="s">
        <v>30</v>
      </c>
      <c r="C689" s="11" t="s">
        <v>35</v>
      </c>
      <c r="D689" s="11" t="s">
        <v>37</v>
      </c>
      <c r="E689" s="11" t="s">
        <v>4005</v>
      </c>
      <c r="F689" s="36" t="s">
        <v>4006</v>
      </c>
      <c r="G689" s="36" t="s">
        <v>4007</v>
      </c>
      <c r="H689" s="11" t="s">
        <v>45</v>
      </c>
      <c r="I689" s="11">
        <v>9.189281921E9</v>
      </c>
      <c r="J689" s="37">
        <v>45701.0</v>
      </c>
      <c r="K689" s="11"/>
      <c r="L689" s="11">
        <v>2.0250331E7</v>
      </c>
    </row>
    <row r="690">
      <c r="A690" s="9" t="s">
        <v>29</v>
      </c>
      <c r="B690" s="11" t="s">
        <v>30</v>
      </c>
      <c r="C690" s="11" t="s">
        <v>35</v>
      </c>
      <c r="D690" s="11" t="s">
        <v>37</v>
      </c>
      <c r="E690" s="11" t="s">
        <v>4010</v>
      </c>
      <c r="F690" s="36" t="s">
        <v>4011</v>
      </c>
      <c r="G690" s="36" t="s">
        <v>4013</v>
      </c>
      <c r="H690" s="11" t="s">
        <v>45</v>
      </c>
      <c r="I690" s="11">
        <v>9.209501847E9</v>
      </c>
      <c r="J690" s="37">
        <v>45701.0</v>
      </c>
      <c r="K690" s="11"/>
      <c r="L690" s="11">
        <v>2.0250331E7</v>
      </c>
    </row>
    <row r="691">
      <c r="A691" s="9" t="s">
        <v>29</v>
      </c>
      <c r="B691" s="11" t="s">
        <v>30</v>
      </c>
      <c r="C691" s="11" t="s">
        <v>35</v>
      </c>
      <c r="D691" s="11" t="s">
        <v>37</v>
      </c>
      <c r="E691" s="11" t="s">
        <v>4015</v>
      </c>
      <c r="F691" s="36" t="s">
        <v>4016</v>
      </c>
      <c r="G691" s="36" t="s">
        <v>4017</v>
      </c>
      <c r="H691" s="11" t="s">
        <v>45</v>
      </c>
      <c r="I691" s="11">
        <v>9.189133408E9</v>
      </c>
      <c r="J691" s="37">
        <v>45701.0</v>
      </c>
      <c r="K691" s="11"/>
      <c r="L691" s="11">
        <v>2.0250331E7</v>
      </c>
    </row>
    <row r="692">
      <c r="A692" s="9" t="s">
        <v>29</v>
      </c>
      <c r="B692" s="11" t="s">
        <v>30</v>
      </c>
      <c r="C692" s="11" t="s">
        <v>35</v>
      </c>
      <c r="D692" s="11" t="s">
        <v>37</v>
      </c>
      <c r="E692" s="11" t="s">
        <v>4021</v>
      </c>
      <c r="F692" s="36" t="s">
        <v>4022</v>
      </c>
      <c r="G692" s="36" t="s">
        <v>4024</v>
      </c>
      <c r="H692" s="11" t="s">
        <v>45</v>
      </c>
      <c r="I692" s="11">
        <v>9.209133452E9</v>
      </c>
      <c r="J692" s="37">
        <v>45701.0</v>
      </c>
      <c r="K692" s="11"/>
      <c r="L692" s="11">
        <v>2.0250331E7</v>
      </c>
    </row>
    <row r="693">
      <c r="A693" s="9" t="s">
        <v>29</v>
      </c>
      <c r="B693" s="11" t="s">
        <v>30</v>
      </c>
      <c r="C693" s="11" t="s">
        <v>35</v>
      </c>
      <c r="D693" s="11" t="s">
        <v>37</v>
      </c>
      <c r="E693" s="11" t="s">
        <v>4025</v>
      </c>
      <c r="F693" s="36" t="s">
        <v>4026</v>
      </c>
      <c r="G693" s="36" t="s">
        <v>4027</v>
      </c>
      <c r="H693" s="11" t="s">
        <v>45</v>
      </c>
      <c r="I693" s="11">
        <v>9.399363449E9</v>
      </c>
      <c r="J693" s="37">
        <v>45701.0</v>
      </c>
      <c r="K693" s="11"/>
      <c r="L693" s="11">
        <v>2.0250331E7</v>
      </c>
    </row>
    <row r="694">
      <c r="A694" s="9" t="s">
        <v>29</v>
      </c>
      <c r="B694" s="11" t="s">
        <v>30</v>
      </c>
      <c r="C694" s="11" t="s">
        <v>35</v>
      </c>
      <c r="D694" s="11" t="s">
        <v>37</v>
      </c>
      <c r="E694" s="11" t="s">
        <v>4032</v>
      </c>
      <c r="F694" s="36" t="s">
        <v>4033</v>
      </c>
      <c r="G694" s="36" t="s">
        <v>4034</v>
      </c>
      <c r="H694" s="11" t="s">
        <v>45</v>
      </c>
      <c r="I694" s="11">
        <v>9.209252677E9</v>
      </c>
      <c r="J694" s="37">
        <v>45701.0</v>
      </c>
      <c r="K694" s="11"/>
      <c r="L694" s="11">
        <v>2.0250331E7</v>
      </c>
    </row>
    <row r="695">
      <c r="A695" s="9" t="s">
        <v>29</v>
      </c>
      <c r="B695" s="11" t="s">
        <v>30</v>
      </c>
      <c r="C695" s="11" t="s">
        <v>35</v>
      </c>
      <c r="D695" s="11" t="s">
        <v>37</v>
      </c>
      <c r="E695" s="11" t="s">
        <v>4035</v>
      </c>
      <c r="F695" s="36" t="s">
        <v>4036</v>
      </c>
      <c r="G695" s="36" t="s">
        <v>4037</v>
      </c>
      <c r="H695" s="11" t="s">
        <v>45</v>
      </c>
      <c r="I695" s="11">
        <v>9.189279242E9</v>
      </c>
      <c r="J695" s="37">
        <v>45701.0</v>
      </c>
      <c r="K695" s="11"/>
      <c r="L695" s="11">
        <v>2.0250331E7</v>
      </c>
    </row>
    <row r="696">
      <c r="A696" s="9" t="s">
        <v>29</v>
      </c>
      <c r="B696" s="11" t="s">
        <v>30</v>
      </c>
      <c r="C696" s="11" t="s">
        <v>35</v>
      </c>
      <c r="D696" s="11" t="s">
        <v>37</v>
      </c>
      <c r="E696" s="11" t="s">
        <v>4042</v>
      </c>
      <c r="F696" s="36" t="s">
        <v>4043</v>
      </c>
      <c r="G696" s="36" t="s">
        <v>4044</v>
      </c>
      <c r="H696" s="11" t="s">
        <v>45</v>
      </c>
      <c r="I696" s="11">
        <v>9.189292839E9</v>
      </c>
      <c r="J696" s="37">
        <v>45701.0</v>
      </c>
      <c r="K696" s="11"/>
      <c r="L696" s="11">
        <v>2.0250331E7</v>
      </c>
    </row>
    <row r="697">
      <c r="A697" s="9" t="s">
        <v>29</v>
      </c>
      <c r="B697" s="11" t="s">
        <v>30</v>
      </c>
      <c r="C697" s="11" t="s">
        <v>35</v>
      </c>
      <c r="D697" s="11" t="s">
        <v>37</v>
      </c>
      <c r="E697" s="11" t="s">
        <v>4045</v>
      </c>
      <c r="F697" s="36" t="s">
        <v>4046</v>
      </c>
      <c r="G697" s="36" t="s">
        <v>4047</v>
      </c>
      <c r="H697" s="11" t="s">
        <v>45</v>
      </c>
      <c r="I697" s="11">
        <v>9.988480388E9</v>
      </c>
      <c r="J697" s="37">
        <v>45701.0</v>
      </c>
      <c r="K697" s="11"/>
      <c r="L697" s="11">
        <v>2.0250331E7</v>
      </c>
    </row>
    <row r="698">
      <c r="A698" s="9" t="s">
        <v>29</v>
      </c>
      <c r="B698" s="11" t="s">
        <v>30</v>
      </c>
      <c r="C698" s="11" t="s">
        <v>35</v>
      </c>
      <c r="D698" s="11" t="s">
        <v>37</v>
      </c>
      <c r="E698" s="11" t="s">
        <v>4052</v>
      </c>
      <c r="F698" s="36" t="s">
        <v>4053</v>
      </c>
      <c r="G698" s="36" t="s">
        <v>4054</v>
      </c>
      <c r="H698" s="11" t="s">
        <v>45</v>
      </c>
      <c r="I698" s="11">
        <v>9.209284893E9</v>
      </c>
      <c r="J698" s="37">
        <v>45701.0</v>
      </c>
      <c r="K698" s="11"/>
      <c r="L698" s="11">
        <v>2.0250331E7</v>
      </c>
    </row>
    <row r="699">
      <c r="A699" s="9" t="s">
        <v>29</v>
      </c>
      <c r="B699" s="11" t="s">
        <v>30</v>
      </c>
      <c r="C699" s="11" t="s">
        <v>35</v>
      </c>
      <c r="D699" s="11" t="s">
        <v>37</v>
      </c>
      <c r="E699" s="11" t="s">
        <v>4055</v>
      </c>
      <c r="F699" s="36" t="s">
        <v>4056</v>
      </c>
      <c r="G699" s="36" t="s">
        <v>4058</v>
      </c>
      <c r="H699" s="11" t="s">
        <v>45</v>
      </c>
      <c r="I699" s="11">
        <v>9.189337646E9</v>
      </c>
      <c r="J699" s="37">
        <v>45701.0</v>
      </c>
      <c r="K699" s="11"/>
      <c r="L699" s="11">
        <v>2.0250331E7</v>
      </c>
    </row>
    <row r="700">
      <c r="A700" s="9" t="s">
        <v>29</v>
      </c>
      <c r="B700" s="11" t="s">
        <v>30</v>
      </c>
      <c r="C700" s="11" t="s">
        <v>35</v>
      </c>
      <c r="D700" s="11" t="s">
        <v>37</v>
      </c>
      <c r="E700" s="11" t="s">
        <v>4062</v>
      </c>
      <c r="F700" s="36" t="s">
        <v>4063</v>
      </c>
      <c r="G700" s="36" t="s">
        <v>4064</v>
      </c>
      <c r="H700" s="11" t="s">
        <v>45</v>
      </c>
      <c r="I700" s="11">
        <v>9.399312488E9</v>
      </c>
      <c r="J700" s="37">
        <v>45701.0</v>
      </c>
      <c r="K700" s="11"/>
      <c r="L700" s="11">
        <v>2.0250331E7</v>
      </c>
    </row>
    <row r="701">
      <c r="A701" s="9" t="s">
        <v>29</v>
      </c>
      <c r="B701" s="11" t="s">
        <v>30</v>
      </c>
      <c r="C701" s="11" t="s">
        <v>35</v>
      </c>
      <c r="D701" s="11" t="s">
        <v>37</v>
      </c>
      <c r="E701" s="11" t="s">
        <v>4069</v>
      </c>
      <c r="F701" s="36" t="s">
        <v>4070</v>
      </c>
      <c r="G701" s="36" t="s">
        <v>4071</v>
      </c>
      <c r="H701" s="11" t="s">
        <v>45</v>
      </c>
      <c r="I701" s="11">
        <v>9.399211592E9</v>
      </c>
      <c r="J701" s="37">
        <v>45701.0</v>
      </c>
      <c r="K701" s="11"/>
      <c r="L701" s="11">
        <v>2.0250331E7</v>
      </c>
    </row>
    <row r="702">
      <c r="A702" s="9" t="s">
        <v>29</v>
      </c>
      <c r="B702" s="11" t="s">
        <v>30</v>
      </c>
      <c r="C702" s="11" t="s">
        <v>35</v>
      </c>
      <c r="D702" s="11" t="s">
        <v>37</v>
      </c>
      <c r="E702" s="11" t="s">
        <v>4076</v>
      </c>
      <c r="F702" s="36" t="s">
        <v>4077</v>
      </c>
      <c r="G702" s="36" t="s">
        <v>4078</v>
      </c>
      <c r="H702" s="11" t="s">
        <v>45</v>
      </c>
      <c r="I702" s="11">
        <v>9.209524136E9</v>
      </c>
      <c r="J702" s="37">
        <v>45701.0</v>
      </c>
      <c r="K702" s="11"/>
      <c r="L702" s="11">
        <v>2.0250331E7</v>
      </c>
    </row>
    <row r="703">
      <c r="A703" s="9" t="s">
        <v>29</v>
      </c>
      <c r="B703" s="11" t="s">
        <v>30</v>
      </c>
      <c r="C703" s="11" t="s">
        <v>35</v>
      </c>
      <c r="D703" s="11" t="s">
        <v>37</v>
      </c>
      <c r="E703" s="11" t="s">
        <v>4083</v>
      </c>
      <c r="F703" s="36" t="s">
        <v>4084</v>
      </c>
      <c r="G703" s="36" t="s">
        <v>4085</v>
      </c>
      <c r="H703" s="11" t="s">
        <v>45</v>
      </c>
      <c r="I703" s="11">
        <v>9.992245489E9</v>
      </c>
      <c r="J703" s="37">
        <v>45701.0</v>
      </c>
      <c r="K703" s="11"/>
      <c r="L703" s="11">
        <v>2.0250331E7</v>
      </c>
    </row>
    <row r="704">
      <c r="A704" s="9" t="s">
        <v>29</v>
      </c>
      <c r="B704" s="11" t="s">
        <v>30</v>
      </c>
      <c r="C704" s="11" t="s">
        <v>35</v>
      </c>
      <c r="D704" s="11" t="s">
        <v>37</v>
      </c>
      <c r="E704" s="11" t="s">
        <v>4090</v>
      </c>
      <c r="F704" s="36" t="s">
        <v>4091</v>
      </c>
      <c r="G704" s="36" t="s">
        <v>4092</v>
      </c>
      <c r="H704" s="11" t="s">
        <v>45</v>
      </c>
      <c r="I704" s="11">
        <v>9.209255704E9</v>
      </c>
      <c r="J704" s="37">
        <v>45701.0</v>
      </c>
      <c r="K704" s="11"/>
      <c r="L704" s="11">
        <v>2.0250331E7</v>
      </c>
    </row>
    <row r="705">
      <c r="A705" s="9" t="s">
        <v>29</v>
      </c>
      <c r="B705" s="11" t="s">
        <v>30</v>
      </c>
      <c r="C705" s="11" t="s">
        <v>35</v>
      </c>
      <c r="D705" s="11" t="s">
        <v>37</v>
      </c>
      <c r="E705" s="11" t="s">
        <v>4097</v>
      </c>
      <c r="F705" s="36" t="s">
        <v>4098</v>
      </c>
      <c r="G705" s="36" t="s">
        <v>4099</v>
      </c>
      <c r="H705" s="11" t="s">
        <v>45</v>
      </c>
      <c r="I705" s="11">
        <v>9.209545387E9</v>
      </c>
      <c r="J705" s="37">
        <v>45701.0</v>
      </c>
      <c r="K705" s="11"/>
      <c r="L705" s="11">
        <v>2.0250331E7</v>
      </c>
    </row>
    <row r="706">
      <c r="A706" s="9" t="s">
        <v>29</v>
      </c>
      <c r="B706" s="11" t="s">
        <v>30</v>
      </c>
      <c r="C706" s="11" t="s">
        <v>35</v>
      </c>
      <c r="D706" s="11" t="s">
        <v>37</v>
      </c>
      <c r="E706" s="11" t="s">
        <v>4100</v>
      </c>
      <c r="F706" s="36" t="s">
        <v>4101</v>
      </c>
      <c r="G706" s="36" t="s">
        <v>4102</v>
      </c>
      <c r="H706" s="11" t="s">
        <v>45</v>
      </c>
      <c r="I706" s="11">
        <v>9.189347473E9</v>
      </c>
      <c r="J706" s="37">
        <v>45701.0</v>
      </c>
      <c r="K706" s="11"/>
      <c r="L706" s="11">
        <v>2.0250331E7</v>
      </c>
    </row>
    <row r="707">
      <c r="A707" s="9" t="s">
        <v>29</v>
      </c>
      <c r="B707" s="11" t="s">
        <v>30</v>
      </c>
      <c r="C707" s="11" t="s">
        <v>35</v>
      </c>
      <c r="D707" s="11" t="s">
        <v>37</v>
      </c>
      <c r="E707" s="11" t="s">
        <v>4107</v>
      </c>
      <c r="F707" s="36" t="s">
        <v>4108</v>
      </c>
      <c r="G707" s="36" t="s">
        <v>4109</v>
      </c>
      <c r="H707" s="11" t="s">
        <v>45</v>
      </c>
      <c r="I707" s="11">
        <v>9.209096322E9</v>
      </c>
      <c r="J707" s="37">
        <v>45701.0</v>
      </c>
      <c r="K707" s="11"/>
      <c r="L707" s="11">
        <v>2.0250331E7</v>
      </c>
    </row>
    <row r="708">
      <c r="A708" s="9" t="s">
        <v>29</v>
      </c>
      <c r="B708" s="11" t="s">
        <v>30</v>
      </c>
      <c r="C708" s="11" t="s">
        <v>35</v>
      </c>
      <c r="D708" s="11" t="s">
        <v>37</v>
      </c>
      <c r="E708" s="11" t="s">
        <v>4110</v>
      </c>
      <c r="F708" s="36" t="s">
        <v>4112</v>
      </c>
      <c r="G708" s="36" t="s">
        <v>4114</v>
      </c>
      <c r="H708" s="11" t="s">
        <v>45</v>
      </c>
      <c r="I708" s="11">
        <v>9.988407667E9</v>
      </c>
      <c r="J708" s="37">
        <v>45701.0</v>
      </c>
      <c r="K708" s="11"/>
      <c r="L708" s="11">
        <v>2.0250331E7</v>
      </c>
    </row>
    <row r="709">
      <c r="A709" s="9" t="s">
        <v>29</v>
      </c>
      <c r="B709" s="11" t="s">
        <v>30</v>
      </c>
      <c r="C709" s="11" t="s">
        <v>35</v>
      </c>
      <c r="D709" s="11" t="s">
        <v>37</v>
      </c>
      <c r="E709" s="11" t="s">
        <v>4117</v>
      </c>
      <c r="F709" s="36" t="s">
        <v>4118</v>
      </c>
      <c r="G709" s="36" t="s">
        <v>4119</v>
      </c>
      <c r="H709" s="11" t="s">
        <v>45</v>
      </c>
      <c r="I709" s="11">
        <v>9.189160084E9</v>
      </c>
      <c r="J709" s="37">
        <v>45701.0</v>
      </c>
      <c r="K709" s="11"/>
      <c r="L709" s="11">
        <v>2.0250331E7</v>
      </c>
    </row>
    <row r="710">
      <c r="A710" s="9" t="s">
        <v>29</v>
      </c>
      <c r="B710" s="11" t="s">
        <v>30</v>
      </c>
      <c r="C710" s="11" t="s">
        <v>35</v>
      </c>
      <c r="D710" s="11" t="s">
        <v>37</v>
      </c>
      <c r="E710" s="11" t="s">
        <v>4122</v>
      </c>
      <c r="F710" s="36" t="s">
        <v>4123</v>
      </c>
      <c r="G710" s="36" t="s">
        <v>4125</v>
      </c>
      <c r="H710" s="11" t="s">
        <v>45</v>
      </c>
      <c r="I710" s="11">
        <v>9.189411749E9</v>
      </c>
      <c r="J710" s="37">
        <v>45701.0</v>
      </c>
      <c r="K710" s="11"/>
      <c r="L710" s="11">
        <v>2.0250331E7</v>
      </c>
    </row>
    <row r="711">
      <c r="A711" s="9" t="s">
        <v>29</v>
      </c>
      <c r="B711" s="11" t="s">
        <v>30</v>
      </c>
      <c r="C711" s="11" t="s">
        <v>35</v>
      </c>
      <c r="D711" s="11" t="s">
        <v>37</v>
      </c>
      <c r="E711" s="11" t="s">
        <v>4127</v>
      </c>
      <c r="F711" s="36" t="s">
        <v>4128</v>
      </c>
      <c r="G711" s="36" t="s">
        <v>4129</v>
      </c>
      <c r="H711" s="11" t="s">
        <v>45</v>
      </c>
      <c r="I711" s="11">
        <v>9.189235968E9</v>
      </c>
      <c r="J711" s="37">
        <v>45701.0</v>
      </c>
      <c r="K711" s="11"/>
      <c r="L711" s="11">
        <v>2.0250331E7</v>
      </c>
    </row>
    <row r="712">
      <c r="A712" s="9" t="s">
        <v>29</v>
      </c>
      <c r="B712" s="11" t="s">
        <v>30</v>
      </c>
      <c r="C712" s="11" t="s">
        <v>35</v>
      </c>
      <c r="D712" s="11" t="s">
        <v>37</v>
      </c>
      <c r="E712" s="11" t="s">
        <v>4134</v>
      </c>
      <c r="F712" s="36" t="s">
        <v>4135</v>
      </c>
      <c r="G712" s="36" t="s">
        <v>4136</v>
      </c>
      <c r="H712" s="11" t="s">
        <v>45</v>
      </c>
      <c r="I712" s="11">
        <v>9.399767632E9</v>
      </c>
      <c r="J712" s="37">
        <v>45701.0</v>
      </c>
      <c r="K712" s="11"/>
      <c r="L712" s="11">
        <v>2.0250331E7</v>
      </c>
    </row>
    <row r="713">
      <c r="A713" s="9" t="s">
        <v>29</v>
      </c>
      <c r="B713" s="11" t="s">
        <v>30</v>
      </c>
      <c r="C713" s="11" t="s">
        <v>35</v>
      </c>
      <c r="D713" s="11" t="s">
        <v>37</v>
      </c>
      <c r="E713" s="11" t="s">
        <v>4137</v>
      </c>
      <c r="F713" s="36" t="s">
        <v>4139</v>
      </c>
      <c r="G713" s="36" t="s">
        <v>4141</v>
      </c>
      <c r="H713" s="11" t="s">
        <v>45</v>
      </c>
      <c r="I713" s="11">
        <v>9.189411697E9</v>
      </c>
      <c r="J713" s="37">
        <v>45701.0</v>
      </c>
      <c r="K713" s="11"/>
      <c r="L713" s="11">
        <v>2.0250331E7</v>
      </c>
    </row>
    <row r="714">
      <c r="A714" s="9" t="s">
        <v>29</v>
      </c>
      <c r="B714" s="11" t="s">
        <v>30</v>
      </c>
      <c r="C714" s="11" t="s">
        <v>35</v>
      </c>
      <c r="D714" s="11" t="s">
        <v>37</v>
      </c>
      <c r="E714" s="11" t="s">
        <v>4144</v>
      </c>
      <c r="F714" s="36" t="s">
        <v>4145</v>
      </c>
      <c r="G714" s="36" t="s">
        <v>4146</v>
      </c>
      <c r="H714" s="11" t="s">
        <v>45</v>
      </c>
      <c r="I714" s="11">
        <v>9.39916793E9</v>
      </c>
      <c r="J714" s="37">
        <v>45701.0</v>
      </c>
      <c r="K714" s="11"/>
      <c r="L714" s="11">
        <v>2.0250331E7</v>
      </c>
    </row>
    <row r="715">
      <c r="A715" s="9" t="s">
        <v>29</v>
      </c>
      <c r="B715" s="11" t="s">
        <v>30</v>
      </c>
      <c r="C715" s="11" t="s">
        <v>35</v>
      </c>
      <c r="D715" s="11" t="s">
        <v>37</v>
      </c>
      <c r="E715" s="11" t="s">
        <v>4151</v>
      </c>
      <c r="F715" s="36" t="s">
        <v>4152</v>
      </c>
      <c r="G715" s="36" t="s">
        <v>4153</v>
      </c>
      <c r="H715" s="11" t="s">
        <v>45</v>
      </c>
      <c r="I715" s="11">
        <v>9.189247578E9</v>
      </c>
      <c r="J715" s="37">
        <v>45701.0</v>
      </c>
      <c r="K715" s="11"/>
      <c r="L715" s="11">
        <v>2.0250331E7</v>
      </c>
    </row>
    <row r="716">
      <c r="A716" s="9" t="s">
        <v>29</v>
      </c>
      <c r="B716" s="11" t="s">
        <v>30</v>
      </c>
      <c r="C716" s="11" t="s">
        <v>35</v>
      </c>
      <c r="D716" s="11" t="s">
        <v>37</v>
      </c>
      <c r="E716" s="11" t="s">
        <v>4156</v>
      </c>
      <c r="F716" s="36" t="s">
        <v>4157</v>
      </c>
      <c r="G716" s="36" t="s">
        <v>4158</v>
      </c>
      <c r="H716" s="11" t="s">
        <v>45</v>
      </c>
      <c r="I716" s="11">
        <v>9.209580145E9</v>
      </c>
      <c r="J716" s="37">
        <v>45701.0</v>
      </c>
      <c r="K716" s="11"/>
      <c r="L716" s="11">
        <v>2.0250331E7</v>
      </c>
    </row>
    <row r="717">
      <c r="A717" s="9" t="s">
        <v>29</v>
      </c>
      <c r="B717" s="11" t="s">
        <v>30</v>
      </c>
      <c r="C717" s="11" t="s">
        <v>35</v>
      </c>
      <c r="D717" s="11" t="s">
        <v>37</v>
      </c>
      <c r="E717" s="11" t="s">
        <v>4161</v>
      </c>
      <c r="F717" s="36" t="s">
        <v>4162</v>
      </c>
      <c r="G717" s="36" t="s">
        <v>4163</v>
      </c>
      <c r="H717" s="11" t="s">
        <v>45</v>
      </c>
      <c r="I717" s="11">
        <v>9.189199648E9</v>
      </c>
      <c r="J717" s="37">
        <v>45701.0</v>
      </c>
      <c r="K717" s="11"/>
      <c r="L717" s="11">
        <v>2.0250331E7</v>
      </c>
    </row>
    <row r="718">
      <c r="A718" s="9" t="s">
        <v>29</v>
      </c>
      <c r="B718" s="11" t="s">
        <v>30</v>
      </c>
      <c r="C718" s="11" t="s">
        <v>35</v>
      </c>
      <c r="D718" s="11" t="s">
        <v>37</v>
      </c>
      <c r="E718" s="11" t="s">
        <v>4168</v>
      </c>
      <c r="F718" s="36" t="s">
        <v>4169</v>
      </c>
      <c r="G718" s="36" t="s">
        <v>4170</v>
      </c>
      <c r="H718" s="11" t="s">
        <v>45</v>
      </c>
      <c r="I718" s="11">
        <v>9.20911408E9</v>
      </c>
      <c r="J718" s="37">
        <v>45701.0</v>
      </c>
      <c r="K718" s="11"/>
      <c r="L718" s="11">
        <v>2.0250331E7</v>
      </c>
    </row>
    <row r="719">
      <c r="A719" s="9" t="s">
        <v>29</v>
      </c>
      <c r="B719" s="11" t="s">
        <v>30</v>
      </c>
      <c r="C719" s="11" t="s">
        <v>35</v>
      </c>
      <c r="D719" s="11" t="s">
        <v>37</v>
      </c>
      <c r="E719" s="11" t="s">
        <v>4174</v>
      </c>
      <c r="F719" s="36" t="s">
        <v>4175</v>
      </c>
      <c r="G719" s="36" t="s">
        <v>4177</v>
      </c>
      <c r="H719" s="11" t="s">
        <v>45</v>
      </c>
      <c r="I719" s="11">
        <v>9.189198501E9</v>
      </c>
      <c r="J719" s="37">
        <v>45701.0</v>
      </c>
      <c r="K719" s="11"/>
      <c r="L719" s="11">
        <v>2.0250331E7</v>
      </c>
    </row>
    <row r="720">
      <c r="A720" s="9" t="s">
        <v>29</v>
      </c>
      <c r="B720" s="11" t="s">
        <v>30</v>
      </c>
      <c r="C720" s="11" t="s">
        <v>35</v>
      </c>
      <c r="D720" s="11" t="s">
        <v>37</v>
      </c>
      <c r="E720" s="11" t="s">
        <v>4181</v>
      </c>
      <c r="F720" s="36" t="s">
        <v>4183</v>
      </c>
      <c r="G720" s="36" t="s">
        <v>4184</v>
      </c>
      <c r="H720" s="11" t="s">
        <v>45</v>
      </c>
      <c r="I720" s="11">
        <v>9.189299478E9</v>
      </c>
      <c r="J720" s="37">
        <v>45701.0</v>
      </c>
      <c r="K720" s="11"/>
      <c r="L720" s="11">
        <v>2.0250331E7</v>
      </c>
    </row>
    <row r="721">
      <c r="A721" s="9" t="s">
        <v>29</v>
      </c>
      <c r="B721" s="11" t="s">
        <v>30</v>
      </c>
      <c r="C721" s="11" t="s">
        <v>35</v>
      </c>
      <c r="D721" s="11" t="s">
        <v>37</v>
      </c>
      <c r="E721" s="11" t="s">
        <v>4189</v>
      </c>
      <c r="F721" s="36" t="s">
        <v>4190</v>
      </c>
      <c r="G721" s="36" t="s">
        <v>4191</v>
      </c>
      <c r="H721" s="11" t="s">
        <v>45</v>
      </c>
      <c r="I721" s="11">
        <v>9.209025399E9</v>
      </c>
      <c r="J721" s="37">
        <v>45701.0</v>
      </c>
      <c r="K721" s="11"/>
      <c r="L721" s="11">
        <v>2.0250331E7</v>
      </c>
    </row>
    <row r="722">
      <c r="A722" s="9" t="s">
        <v>29</v>
      </c>
      <c r="B722" s="11" t="s">
        <v>30</v>
      </c>
      <c r="C722" s="11" t="s">
        <v>35</v>
      </c>
      <c r="D722" s="11" t="s">
        <v>37</v>
      </c>
      <c r="E722" s="11" t="s">
        <v>4195</v>
      </c>
      <c r="F722" s="36" t="s">
        <v>4196</v>
      </c>
      <c r="G722" s="36" t="s">
        <v>4198</v>
      </c>
      <c r="H722" s="11" t="s">
        <v>45</v>
      </c>
      <c r="I722" s="11">
        <v>9.209067201E9</v>
      </c>
      <c r="J722" s="37">
        <v>45701.0</v>
      </c>
      <c r="K722" s="11"/>
      <c r="L722" s="11">
        <v>2.0250331E7</v>
      </c>
    </row>
    <row r="723">
      <c r="A723" s="9" t="s">
        <v>29</v>
      </c>
      <c r="B723" s="11" t="s">
        <v>30</v>
      </c>
      <c r="C723" s="11" t="s">
        <v>35</v>
      </c>
      <c r="D723" s="11" t="s">
        <v>37</v>
      </c>
      <c r="E723" s="11" t="s">
        <v>4201</v>
      </c>
      <c r="F723" s="36" t="s">
        <v>4202</v>
      </c>
      <c r="G723" s="36" t="s">
        <v>4204</v>
      </c>
      <c r="H723" s="11" t="s">
        <v>45</v>
      </c>
      <c r="I723" s="11">
        <v>9.189350589E9</v>
      </c>
      <c r="J723" s="37">
        <v>45701.0</v>
      </c>
      <c r="K723" s="11"/>
      <c r="L723" s="11">
        <v>2.0250331E7</v>
      </c>
    </row>
    <row r="724">
      <c r="A724" s="9" t="s">
        <v>29</v>
      </c>
      <c r="B724" s="11" t="s">
        <v>30</v>
      </c>
      <c r="C724" s="11" t="s">
        <v>35</v>
      </c>
      <c r="D724" s="11" t="s">
        <v>37</v>
      </c>
      <c r="E724" s="11" t="s">
        <v>4206</v>
      </c>
      <c r="F724" s="36" t="s">
        <v>4207</v>
      </c>
      <c r="G724" s="36" t="s">
        <v>4208</v>
      </c>
      <c r="H724" s="11" t="s">
        <v>45</v>
      </c>
      <c r="I724" s="11">
        <v>9.189211797E9</v>
      </c>
      <c r="J724" s="37">
        <v>45701.0</v>
      </c>
      <c r="K724" s="11"/>
      <c r="L724" s="11">
        <v>2.0250331E7</v>
      </c>
    </row>
    <row r="725">
      <c r="A725" s="9" t="s">
        <v>29</v>
      </c>
      <c r="B725" s="11" t="s">
        <v>30</v>
      </c>
      <c r="C725" s="11" t="s">
        <v>35</v>
      </c>
      <c r="D725" s="11" t="s">
        <v>37</v>
      </c>
      <c r="E725" s="11" t="s">
        <v>4212</v>
      </c>
      <c r="F725" s="36" t="s">
        <v>4214</v>
      </c>
      <c r="G725" s="36" t="s">
        <v>4215</v>
      </c>
      <c r="H725" s="11" t="s">
        <v>45</v>
      </c>
      <c r="I725" s="11">
        <v>9.189028652E9</v>
      </c>
      <c r="J725" s="37">
        <v>45701.0</v>
      </c>
      <c r="K725" s="11"/>
      <c r="L725" s="11">
        <v>2.0250331E7</v>
      </c>
    </row>
    <row r="726">
      <c r="A726" s="9" t="s">
        <v>29</v>
      </c>
      <c r="B726" s="11" t="s">
        <v>30</v>
      </c>
      <c r="C726" s="11" t="s">
        <v>35</v>
      </c>
      <c r="D726" s="11" t="s">
        <v>37</v>
      </c>
      <c r="E726" s="11" t="s">
        <v>4216</v>
      </c>
      <c r="F726" s="36" t="s">
        <v>4217</v>
      </c>
      <c r="G726" s="36" t="s">
        <v>4219</v>
      </c>
      <c r="H726" s="11" t="s">
        <v>45</v>
      </c>
      <c r="I726" s="11">
        <v>9.20954564E9</v>
      </c>
      <c r="J726" s="37">
        <v>45701.0</v>
      </c>
      <c r="K726" s="11"/>
      <c r="L726" s="11">
        <v>2.0250331E7</v>
      </c>
    </row>
    <row r="727">
      <c r="A727" s="9" t="s">
        <v>29</v>
      </c>
      <c r="B727" s="11" t="s">
        <v>30</v>
      </c>
      <c r="C727" s="11" t="s">
        <v>35</v>
      </c>
      <c r="D727" s="11" t="s">
        <v>37</v>
      </c>
      <c r="E727" s="11" t="s">
        <v>4223</v>
      </c>
      <c r="F727" s="36" t="s">
        <v>4224</v>
      </c>
      <c r="G727" s="36" t="s">
        <v>4225</v>
      </c>
      <c r="H727" s="11" t="s">
        <v>45</v>
      </c>
      <c r="I727" s="11">
        <v>9.209551421E9</v>
      </c>
      <c r="J727" s="37">
        <v>45701.0</v>
      </c>
      <c r="K727" s="11"/>
      <c r="L727" s="11">
        <v>2.0250331E7</v>
      </c>
    </row>
    <row r="728">
      <c r="A728" s="9" t="s">
        <v>29</v>
      </c>
      <c r="B728" s="11" t="s">
        <v>30</v>
      </c>
      <c r="C728" s="11" t="s">
        <v>35</v>
      </c>
      <c r="D728" s="11" t="s">
        <v>37</v>
      </c>
      <c r="E728" s="11" t="s">
        <v>4230</v>
      </c>
      <c r="F728" s="36" t="s">
        <v>4231</v>
      </c>
      <c r="G728" s="36" t="s">
        <v>4232</v>
      </c>
      <c r="H728" s="11" t="s">
        <v>45</v>
      </c>
      <c r="I728" s="11">
        <v>9.209506717E9</v>
      </c>
      <c r="J728" s="37">
        <v>45701.0</v>
      </c>
      <c r="K728" s="11"/>
      <c r="L728" s="11">
        <v>2.0250331E7</v>
      </c>
    </row>
    <row r="729">
      <c r="A729" s="9" t="s">
        <v>29</v>
      </c>
      <c r="B729" s="11" t="s">
        <v>30</v>
      </c>
      <c r="C729" s="11" t="s">
        <v>35</v>
      </c>
      <c r="D729" s="11" t="s">
        <v>37</v>
      </c>
      <c r="E729" s="11" t="s">
        <v>4233</v>
      </c>
      <c r="F729" s="36" t="s">
        <v>4234</v>
      </c>
      <c r="G729" s="36" t="s">
        <v>4235</v>
      </c>
      <c r="H729" s="11" t="s">
        <v>45</v>
      </c>
      <c r="I729" s="11">
        <v>9.209061502E9</v>
      </c>
      <c r="J729" s="37">
        <v>45701.0</v>
      </c>
      <c r="K729" s="11"/>
      <c r="L729" s="11">
        <v>2.0250331E7</v>
      </c>
    </row>
    <row r="730">
      <c r="A730" s="9" t="s">
        <v>29</v>
      </c>
      <c r="B730" s="11" t="s">
        <v>30</v>
      </c>
      <c r="C730" s="11" t="s">
        <v>35</v>
      </c>
      <c r="D730" s="11" t="s">
        <v>37</v>
      </c>
      <c r="E730" s="11" t="s">
        <v>4240</v>
      </c>
      <c r="F730" s="36" t="s">
        <v>4241</v>
      </c>
      <c r="G730" s="36" t="s">
        <v>4242</v>
      </c>
      <c r="H730" s="11" t="s">
        <v>45</v>
      </c>
      <c r="I730" s="11">
        <v>9.189095992E9</v>
      </c>
      <c r="J730" s="37">
        <v>45701.0</v>
      </c>
      <c r="K730" s="11"/>
      <c r="L730" s="11">
        <v>2.0250331E7</v>
      </c>
    </row>
    <row r="731">
      <c r="A731" s="9" t="s">
        <v>29</v>
      </c>
      <c r="B731" s="11" t="s">
        <v>30</v>
      </c>
      <c r="C731" s="11" t="s">
        <v>35</v>
      </c>
      <c r="D731" s="11" t="s">
        <v>37</v>
      </c>
      <c r="E731" s="11" t="s">
        <v>4243</v>
      </c>
      <c r="F731" s="36" t="s">
        <v>4244</v>
      </c>
      <c r="G731" s="36" t="s">
        <v>4245</v>
      </c>
      <c r="H731" s="11" t="s">
        <v>45</v>
      </c>
      <c r="I731" s="11">
        <v>9.189307848E9</v>
      </c>
      <c r="J731" s="37">
        <v>45701.0</v>
      </c>
      <c r="K731" s="11"/>
      <c r="L731" s="11">
        <v>2.0250331E7</v>
      </c>
    </row>
    <row r="732">
      <c r="A732" s="9" t="s">
        <v>29</v>
      </c>
      <c r="B732" s="11" t="s">
        <v>30</v>
      </c>
      <c r="C732" s="11" t="s">
        <v>35</v>
      </c>
      <c r="D732" s="11" t="s">
        <v>37</v>
      </c>
      <c r="E732" s="11" t="s">
        <v>4250</v>
      </c>
      <c r="F732" s="36" t="s">
        <v>4251</v>
      </c>
      <c r="G732" s="36" t="s">
        <v>4252</v>
      </c>
      <c r="H732" s="11" t="s">
        <v>45</v>
      </c>
      <c r="I732" s="11">
        <v>9.189123892E9</v>
      </c>
      <c r="J732" s="37">
        <v>45701.0</v>
      </c>
      <c r="K732" s="11"/>
      <c r="L732" s="11">
        <v>2.0250331E7</v>
      </c>
    </row>
    <row r="733">
      <c r="A733" s="9" t="s">
        <v>29</v>
      </c>
      <c r="B733" s="11" t="s">
        <v>30</v>
      </c>
      <c r="C733" s="11" t="s">
        <v>35</v>
      </c>
      <c r="D733" s="11" t="s">
        <v>37</v>
      </c>
      <c r="E733" s="11" t="s">
        <v>4253</v>
      </c>
      <c r="F733" s="36" t="s">
        <v>4257</v>
      </c>
      <c r="G733" s="36" t="s">
        <v>4259</v>
      </c>
      <c r="H733" s="11" t="s">
        <v>45</v>
      </c>
      <c r="I733" s="11">
        <v>9.209539358E9</v>
      </c>
      <c r="J733" s="37">
        <v>45701.0</v>
      </c>
      <c r="K733" s="11"/>
      <c r="L733" s="11">
        <v>2.0250331E7</v>
      </c>
    </row>
    <row r="734">
      <c r="A734" s="9" t="s">
        <v>29</v>
      </c>
      <c r="B734" s="11" t="s">
        <v>30</v>
      </c>
      <c r="C734" s="11" t="s">
        <v>35</v>
      </c>
      <c r="D734" s="11" t="s">
        <v>37</v>
      </c>
      <c r="E734" s="11" t="s">
        <v>4260</v>
      </c>
      <c r="F734" s="36" t="s">
        <v>4261</v>
      </c>
      <c r="G734" s="36" t="s">
        <v>4262</v>
      </c>
      <c r="H734" s="11" t="s">
        <v>45</v>
      </c>
      <c r="I734" s="11">
        <v>9.209536525E9</v>
      </c>
      <c r="J734" s="37">
        <v>45701.0</v>
      </c>
      <c r="K734" s="11"/>
      <c r="L734" s="11">
        <v>2.0250331E7</v>
      </c>
    </row>
    <row r="735">
      <c r="A735" s="9" t="s">
        <v>29</v>
      </c>
      <c r="B735" s="11" t="s">
        <v>30</v>
      </c>
      <c r="C735" s="11" t="s">
        <v>35</v>
      </c>
      <c r="D735" s="11" t="s">
        <v>37</v>
      </c>
      <c r="E735" s="11" t="s">
        <v>4265</v>
      </c>
      <c r="F735" s="36" t="s">
        <v>4267</v>
      </c>
      <c r="G735" s="36" t="s">
        <v>4268</v>
      </c>
      <c r="H735" s="11" t="s">
        <v>45</v>
      </c>
      <c r="I735" s="11">
        <v>9.20948286E9</v>
      </c>
      <c r="J735" s="37">
        <v>45701.0</v>
      </c>
      <c r="K735" s="11"/>
      <c r="L735" s="11">
        <v>2.0250331E7</v>
      </c>
    </row>
    <row r="736">
      <c r="A736" s="9" t="s">
        <v>29</v>
      </c>
      <c r="B736" s="11" t="s">
        <v>30</v>
      </c>
      <c r="C736" s="11" t="s">
        <v>35</v>
      </c>
      <c r="D736" s="11" t="s">
        <v>37</v>
      </c>
      <c r="E736" s="11" t="s">
        <v>4270</v>
      </c>
      <c r="F736" s="36" t="s">
        <v>4271</v>
      </c>
      <c r="G736" s="36" t="s">
        <v>4272</v>
      </c>
      <c r="H736" s="11" t="s">
        <v>45</v>
      </c>
      <c r="I736" s="11">
        <v>9.189067605E9</v>
      </c>
      <c r="J736" s="37">
        <v>45701.0</v>
      </c>
      <c r="K736" s="11"/>
      <c r="L736" s="11">
        <v>2.0250331E7</v>
      </c>
    </row>
    <row r="737">
      <c r="A737" s="9" t="s">
        <v>29</v>
      </c>
      <c r="B737" s="11" t="s">
        <v>30</v>
      </c>
      <c r="C737" s="11" t="s">
        <v>35</v>
      </c>
      <c r="D737" s="11" t="s">
        <v>37</v>
      </c>
      <c r="E737" s="11" t="s">
        <v>4277</v>
      </c>
      <c r="F737" s="36" t="s">
        <v>4278</v>
      </c>
      <c r="G737" s="11" t="s">
        <v>4279</v>
      </c>
      <c r="H737" s="11" t="s">
        <v>4280</v>
      </c>
      <c r="I737" s="11" t="s">
        <v>16</v>
      </c>
      <c r="J737" s="37">
        <v>45701.0</v>
      </c>
      <c r="K737" s="11"/>
      <c r="L737" s="11">
        <v>2.0250331E7</v>
      </c>
    </row>
    <row r="738">
      <c r="A738" s="9" t="s">
        <v>29</v>
      </c>
      <c r="B738" s="11" t="s">
        <v>30</v>
      </c>
      <c r="C738" s="11" t="s">
        <v>35</v>
      </c>
      <c r="D738" s="11" t="s">
        <v>37</v>
      </c>
      <c r="E738" s="11" t="s">
        <v>4281</v>
      </c>
      <c r="F738" s="36" t="s">
        <v>4282</v>
      </c>
      <c r="G738" s="11" t="s">
        <v>4283</v>
      </c>
      <c r="H738" s="11" t="s">
        <v>4280</v>
      </c>
      <c r="I738" s="11" t="s">
        <v>16</v>
      </c>
      <c r="J738" s="37">
        <v>45701.0</v>
      </c>
      <c r="K738" s="11"/>
      <c r="L738" s="11">
        <v>2.0250331E7</v>
      </c>
    </row>
    <row r="739">
      <c r="A739" s="9" t="s">
        <v>29</v>
      </c>
      <c r="B739" s="11" t="s">
        <v>30</v>
      </c>
      <c r="C739" s="11" t="s">
        <v>35</v>
      </c>
      <c r="D739" s="11" t="s">
        <v>37</v>
      </c>
      <c r="E739" s="11" t="s">
        <v>4288</v>
      </c>
      <c r="F739" s="36" t="s">
        <v>4289</v>
      </c>
      <c r="G739" s="11" t="s">
        <v>4290</v>
      </c>
      <c r="H739" s="11" t="s">
        <v>4280</v>
      </c>
      <c r="I739" s="11" t="s">
        <v>16</v>
      </c>
      <c r="J739" s="37">
        <v>45701.0</v>
      </c>
      <c r="K739" s="11"/>
      <c r="L739" s="11">
        <v>2.0250331E7</v>
      </c>
    </row>
    <row r="740">
      <c r="A740" s="9" t="s">
        <v>29</v>
      </c>
      <c r="B740" s="11" t="s">
        <v>30</v>
      </c>
      <c r="C740" s="11" t="s">
        <v>35</v>
      </c>
      <c r="D740" s="11" t="s">
        <v>37</v>
      </c>
      <c r="E740" s="11" t="s">
        <v>4291</v>
      </c>
      <c r="F740" s="36" t="s">
        <v>4292</v>
      </c>
      <c r="G740" s="11" t="s">
        <v>4293</v>
      </c>
      <c r="H740" s="11" t="s">
        <v>4280</v>
      </c>
      <c r="I740" s="11" t="s">
        <v>16</v>
      </c>
      <c r="J740" s="37">
        <v>45701.0</v>
      </c>
      <c r="K740" s="11"/>
      <c r="L740" s="11">
        <v>2.0250331E7</v>
      </c>
    </row>
    <row r="741">
      <c r="A741" s="9" t="s">
        <v>29</v>
      </c>
      <c r="B741" s="11" t="s">
        <v>30</v>
      </c>
      <c r="C741" s="11" t="s">
        <v>35</v>
      </c>
      <c r="D741" s="11" t="s">
        <v>37</v>
      </c>
      <c r="E741" s="11" t="s">
        <v>4298</v>
      </c>
      <c r="F741" s="36" t="s">
        <v>4299</v>
      </c>
      <c r="G741" s="11" t="s">
        <v>4300</v>
      </c>
      <c r="H741" s="11" t="s">
        <v>4280</v>
      </c>
      <c r="I741" s="11" t="s">
        <v>16</v>
      </c>
      <c r="J741" s="37">
        <v>45701.0</v>
      </c>
      <c r="K741" s="11"/>
      <c r="L741" s="11">
        <v>2.0250331E7</v>
      </c>
    </row>
    <row r="742">
      <c r="A742" s="9" t="s">
        <v>29</v>
      </c>
      <c r="B742" s="11" t="s">
        <v>30</v>
      </c>
      <c r="C742" s="11" t="s">
        <v>35</v>
      </c>
      <c r="D742" s="11" t="s">
        <v>37</v>
      </c>
      <c r="E742" s="11" t="s">
        <v>4305</v>
      </c>
      <c r="F742" s="36" t="s">
        <v>4306</v>
      </c>
      <c r="G742" s="11" t="s">
        <v>4307</v>
      </c>
      <c r="H742" s="11" t="s">
        <v>4280</v>
      </c>
      <c r="I742" s="11" t="s">
        <v>16</v>
      </c>
      <c r="J742" s="37">
        <v>45701.0</v>
      </c>
      <c r="K742" s="11"/>
      <c r="L742" s="11">
        <v>2.0250331E7</v>
      </c>
    </row>
    <row r="743">
      <c r="A743" s="9" t="s">
        <v>29</v>
      </c>
      <c r="B743" s="11" t="s">
        <v>30</v>
      </c>
      <c r="C743" s="11" t="s">
        <v>35</v>
      </c>
      <c r="D743" s="11" t="s">
        <v>37</v>
      </c>
      <c r="E743" s="11" t="s">
        <v>4312</v>
      </c>
      <c r="F743" s="36" t="s">
        <v>4313</v>
      </c>
      <c r="G743" s="11" t="s">
        <v>4314</v>
      </c>
      <c r="H743" s="11" t="s">
        <v>4280</v>
      </c>
      <c r="I743" s="11" t="s">
        <v>16</v>
      </c>
      <c r="J743" s="37">
        <v>45701.0</v>
      </c>
      <c r="K743" s="11"/>
      <c r="L743" s="11">
        <v>2.0250331E7</v>
      </c>
    </row>
    <row r="744">
      <c r="A744" s="9" t="s">
        <v>29</v>
      </c>
      <c r="B744" s="11" t="s">
        <v>30</v>
      </c>
      <c r="C744" s="11" t="s">
        <v>35</v>
      </c>
      <c r="D744" s="11" t="s">
        <v>37</v>
      </c>
      <c r="E744" s="11" t="s">
        <v>4319</v>
      </c>
      <c r="F744" s="36" t="s">
        <v>4320</v>
      </c>
      <c r="G744" s="11" t="s">
        <v>4321</v>
      </c>
      <c r="H744" s="11" t="s">
        <v>4280</v>
      </c>
      <c r="I744" s="11" t="s">
        <v>16</v>
      </c>
      <c r="J744" s="37">
        <v>45701.0</v>
      </c>
      <c r="K744" s="11"/>
      <c r="L744" s="11">
        <v>2.0250331E7</v>
      </c>
    </row>
    <row r="745">
      <c r="A745" s="9" t="s">
        <v>29</v>
      </c>
      <c r="B745" s="11" t="s">
        <v>30</v>
      </c>
      <c r="C745" s="11" t="s">
        <v>35</v>
      </c>
      <c r="D745" s="11" t="s">
        <v>37</v>
      </c>
      <c r="E745" s="11" t="s">
        <v>4325</v>
      </c>
      <c r="F745" s="36" t="s">
        <v>4327</v>
      </c>
      <c r="G745" s="11" t="s">
        <v>4328</v>
      </c>
      <c r="H745" s="11" t="s">
        <v>4280</v>
      </c>
      <c r="I745" s="11" t="s">
        <v>16</v>
      </c>
      <c r="J745" s="37">
        <v>45701.0</v>
      </c>
      <c r="K745" s="11"/>
      <c r="L745" s="11">
        <v>2.0250331E7</v>
      </c>
    </row>
    <row r="746">
      <c r="A746" s="9" t="s">
        <v>29</v>
      </c>
      <c r="B746" s="11" t="s">
        <v>30</v>
      </c>
      <c r="C746" s="11" t="s">
        <v>35</v>
      </c>
      <c r="D746" s="11" t="s">
        <v>37</v>
      </c>
      <c r="E746" s="11" t="s">
        <v>4329</v>
      </c>
      <c r="F746" s="36" t="s">
        <v>4331</v>
      </c>
      <c r="G746" s="11" t="s">
        <v>4332</v>
      </c>
      <c r="H746" s="11" t="s">
        <v>4280</v>
      </c>
      <c r="I746" s="11" t="s">
        <v>16</v>
      </c>
      <c r="J746" s="37">
        <v>45701.0</v>
      </c>
      <c r="K746" s="11"/>
      <c r="L746" s="11">
        <v>2.0250331E7</v>
      </c>
    </row>
    <row r="747">
      <c r="A747" s="9" t="s">
        <v>29</v>
      </c>
      <c r="B747" s="11" t="s">
        <v>30</v>
      </c>
      <c r="C747" s="11" t="s">
        <v>35</v>
      </c>
      <c r="D747" s="11" t="s">
        <v>37</v>
      </c>
      <c r="E747" s="11" t="s">
        <v>4335</v>
      </c>
      <c r="F747" s="36" t="s">
        <v>4336</v>
      </c>
      <c r="G747" s="11" t="s">
        <v>4337</v>
      </c>
      <c r="H747" s="11" t="s">
        <v>4280</v>
      </c>
      <c r="I747" s="11" t="s">
        <v>16</v>
      </c>
      <c r="J747" s="37">
        <v>45701.0</v>
      </c>
      <c r="K747" s="11"/>
      <c r="L747" s="11">
        <v>2.0250331E7</v>
      </c>
    </row>
    <row r="748">
      <c r="A748" s="9" t="s">
        <v>29</v>
      </c>
      <c r="B748" s="11" t="s">
        <v>30</v>
      </c>
      <c r="C748" s="11" t="s">
        <v>35</v>
      </c>
      <c r="D748" s="11" t="s">
        <v>37</v>
      </c>
      <c r="E748" s="11" t="s">
        <v>4339</v>
      </c>
      <c r="F748" s="36" t="s">
        <v>4340</v>
      </c>
      <c r="G748" s="11" t="s">
        <v>4341</v>
      </c>
      <c r="H748" s="11" t="s">
        <v>4280</v>
      </c>
      <c r="I748" s="11" t="s">
        <v>16</v>
      </c>
      <c r="J748" s="37">
        <v>45701.0</v>
      </c>
      <c r="K748" s="11"/>
      <c r="L748" s="11">
        <v>2.0250331E7</v>
      </c>
    </row>
    <row r="749">
      <c r="A749" s="9" t="s">
        <v>29</v>
      </c>
      <c r="B749" s="11" t="s">
        <v>30</v>
      </c>
      <c r="C749" s="11" t="s">
        <v>35</v>
      </c>
      <c r="D749" s="11" t="s">
        <v>37</v>
      </c>
      <c r="E749" s="11" t="s">
        <v>4342</v>
      </c>
      <c r="F749" s="36" t="s">
        <v>4344</v>
      </c>
      <c r="G749" s="11" t="s">
        <v>4346</v>
      </c>
      <c r="H749" s="11" t="s">
        <v>4280</v>
      </c>
      <c r="I749" s="11" t="s">
        <v>16</v>
      </c>
      <c r="J749" s="37">
        <v>45701.0</v>
      </c>
      <c r="K749" s="11"/>
      <c r="L749" s="11">
        <v>2.0250331E7</v>
      </c>
    </row>
    <row r="750">
      <c r="A750" s="9" t="s">
        <v>29</v>
      </c>
      <c r="B750" s="11" t="s">
        <v>30</v>
      </c>
      <c r="C750" s="11" t="s">
        <v>35</v>
      </c>
      <c r="D750" s="11" t="s">
        <v>37</v>
      </c>
      <c r="E750" s="11" t="s">
        <v>4349</v>
      </c>
      <c r="F750" s="36" t="s">
        <v>4350</v>
      </c>
      <c r="G750" s="11" t="s">
        <v>4351</v>
      </c>
      <c r="H750" s="11" t="s">
        <v>4280</v>
      </c>
      <c r="I750" s="11" t="s">
        <v>16</v>
      </c>
      <c r="J750" s="37">
        <v>45701.0</v>
      </c>
      <c r="K750" s="11"/>
      <c r="L750" s="11">
        <v>2.0250331E7</v>
      </c>
    </row>
    <row r="751">
      <c r="A751" s="9" t="s">
        <v>29</v>
      </c>
      <c r="B751" s="11" t="s">
        <v>30</v>
      </c>
      <c r="C751" s="11" t="s">
        <v>35</v>
      </c>
      <c r="D751" s="11" t="s">
        <v>37</v>
      </c>
      <c r="E751" s="11" t="s">
        <v>4355</v>
      </c>
      <c r="F751" s="36" t="s">
        <v>4356</v>
      </c>
      <c r="G751" s="11" t="s">
        <v>4357</v>
      </c>
      <c r="H751" s="11" t="s">
        <v>4280</v>
      </c>
      <c r="I751" s="11" t="s">
        <v>16</v>
      </c>
      <c r="J751" s="37">
        <v>45701.0</v>
      </c>
      <c r="K751" s="11"/>
      <c r="L751" s="11">
        <v>2.0250331E7</v>
      </c>
    </row>
    <row r="752">
      <c r="A752" s="9" t="s">
        <v>29</v>
      </c>
      <c r="B752" s="11" t="s">
        <v>30</v>
      </c>
      <c r="C752" s="11" t="s">
        <v>35</v>
      </c>
      <c r="D752" s="11" t="s">
        <v>37</v>
      </c>
      <c r="E752" s="11" t="s">
        <v>4359</v>
      </c>
      <c r="F752" s="36" t="s">
        <v>4360</v>
      </c>
      <c r="G752" s="11" t="s">
        <v>4361</v>
      </c>
      <c r="H752" s="11" t="s">
        <v>4280</v>
      </c>
      <c r="I752" s="11" t="s">
        <v>16</v>
      </c>
      <c r="J752" s="37">
        <v>45701.0</v>
      </c>
      <c r="K752" s="11"/>
      <c r="L752" s="11">
        <v>2.0250331E7</v>
      </c>
    </row>
    <row r="753">
      <c r="A753" s="9" t="s">
        <v>29</v>
      </c>
      <c r="B753" s="11" t="s">
        <v>30</v>
      </c>
      <c r="C753" s="11" t="s">
        <v>35</v>
      </c>
      <c r="D753" s="11" t="s">
        <v>37</v>
      </c>
      <c r="E753" s="11" t="s">
        <v>4365</v>
      </c>
      <c r="F753" s="36" t="s">
        <v>4367</v>
      </c>
      <c r="G753" s="11" t="s">
        <v>4368</v>
      </c>
      <c r="H753" s="11" t="s">
        <v>4280</v>
      </c>
      <c r="I753" s="11" t="s">
        <v>16</v>
      </c>
      <c r="J753" s="37">
        <v>45701.0</v>
      </c>
      <c r="K753" s="11"/>
      <c r="L753" s="11">
        <v>2.0250331E7</v>
      </c>
    </row>
    <row r="754">
      <c r="A754" s="9" t="s">
        <v>29</v>
      </c>
      <c r="B754" s="11" t="s">
        <v>30</v>
      </c>
      <c r="C754" s="11" t="s">
        <v>35</v>
      </c>
      <c r="D754" s="11" t="s">
        <v>37</v>
      </c>
      <c r="E754" s="11" t="s">
        <v>4369</v>
      </c>
      <c r="F754" s="36" t="s">
        <v>4370</v>
      </c>
      <c r="G754" s="11" t="s">
        <v>4371</v>
      </c>
      <c r="H754" s="11" t="s">
        <v>4280</v>
      </c>
      <c r="I754" s="11" t="s">
        <v>16</v>
      </c>
      <c r="J754" s="37">
        <v>45701.0</v>
      </c>
      <c r="K754" s="11"/>
      <c r="L754" s="11">
        <v>2.0250331E7</v>
      </c>
    </row>
    <row r="755">
      <c r="A755" s="9" t="s">
        <v>29</v>
      </c>
      <c r="B755" s="11" t="s">
        <v>30</v>
      </c>
      <c r="C755" s="11" t="s">
        <v>35</v>
      </c>
      <c r="D755" s="11" t="s">
        <v>37</v>
      </c>
      <c r="E755" s="11" t="s">
        <v>4376</v>
      </c>
      <c r="F755" s="36" t="s">
        <v>4377</v>
      </c>
      <c r="G755" s="11" t="s">
        <v>4378</v>
      </c>
      <c r="H755" s="11" t="s">
        <v>4280</v>
      </c>
      <c r="I755" s="11" t="s">
        <v>16</v>
      </c>
      <c r="J755" s="37">
        <v>45701.0</v>
      </c>
      <c r="K755" s="11"/>
      <c r="L755" s="11">
        <v>2.0250331E7</v>
      </c>
    </row>
    <row r="756">
      <c r="A756" s="9" t="s">
        <v>29</v>
      </c>
      <c r="B756" s="11" t="s">
        <v>30</v>
      </c>
      <c r="C756" s="11" t="s">
        <v>35</v>
      </c>
      <c r="D756" s="11" t="s">
        <v>37</v>
      </c>
      <c r="E756" s="11" t="s">
        <v>4379</v>
      </c>
      <c r="F756" s="36" t="s">
        <v>4380</v>
      </c>
      <c r="G756" s="11" t="s">
        <v>4382</v>
      </c>
      <c r="H756" s="11" t="s">
        <v>4280</v>
      </c>
      <c r="I756" s="11" t="s">
        <v>16</v>
      </c>
      <c r="J756" s="37">
        <v>45701.0</v>
      </c>
      <c r="K756" s="11"/>
      <c r="L756" s="11">
        <v>2.0250331E7</v>
      </c>
    </row>
    <row r="757">
      <c r="A757" s="9" t="s">
        <v>29</v>
      </c>
      <c r="B757" s="11" t="s">
        <v>30</v>
      </c>
      <c r="C757" s="11" t="s">
        <v>35</v>
      </c>
      <c r="D757" s="11" t="s">
        <v>37</v>
      </c>
      <c r="E757" s="11" t="s">
        <v>4386</v>
      </c>
      <c r="F757" s="36" t="s">
        <v>4387</v>
      </c>
      <c r="G757" s="11" t="s">
        <v>4388</v>
      </c>
      <c r="H757" s="11" t="s">
        <v>4280</v>
      </c>
      <c r="I757" s="11" t="s">
        <v>16</v>
      </c>
      <c r="J757" s="37">
        <v>45701.0</v>
      </c>
      <c r="K757" s="11"/>
      <c r="L757" s="11">
        <v>2.0250331E7</v>
      </c>
    </row>
    <row r="758">
      <c r="A758" s="9" t="s">
        <v>29</v>
      </c>
      <c r="B758" s="11" t="s">
        <v>30</v>
      </c>
      <c r="C758" s="11" t="s">
        <v>35</v>
      </c>
      <c r="D758" s="11" t="s">
        <v>37</v>
      </c>
      <c r="E758" s="11" t="s">
        <v>4391</v>
      </c>
      <c r="F758" s="36" t="s">
        <v>4393</v>
      </c>
      <c r="G758" s="11" t="s">
        <v>4394</v>
      </c>
      <c r="H758" s="11" t="s">
        <v>4280</v>
      </c>
      <c r="I758" s="11" t="s">
        <v>16</v>
      </c>
      <c r="J758" s="37">
        <v>45701.0</v>
      </c>
      <c r="K758" s="11"/>
      <c r="L758" s="11">
        <v>2.0250331E7</v>
      </c>
    </row>
    <row r="759">
      <c r="A759" s="9" t="s">
        <v>29</v>
      </c>
      <c r="B759" s="11" t="s">
        <v>30</v>
      </c>
      <c r="C759" s="11" t="s">
        <v>35</v>
      </c>
      <c r="D759" s="11" t="s">
        <v>37</v>
      </c>
      <c r="E759" s="11" t="s">
        <v>4396</v>
      </c>
      <c r="F759" s="36" t="s">
        <v>4397</v>
      </c>
      <c r="G759" s="11" t="s">
        <v>4398</v>
      </c>
      <c r="H759" s="11" t="s">
        <v>4280</v>
      </c>
      <c r="I759" s="11" t="s">
        <v>16</v>
      </c>
      <c r="J759" s="37">
        <v>45701.0</v>
      </c>
      <c r="K759" s="11"/>
      <c r="L759" s="11">
        <v>2.0250331E7</v>
      </c>
    </row>
    <row r="760">
      <c r="A760" s="9" t="s">
        <v>29</v>
      </c>
      <c r="B760" s="11" t="s">
        <v>30</v>
      </c>
      <c r="C760" s="11" t="s">
        <v>35</v>
      </c>
      <c r="D760" s="11" t="s">
        <v>37</v>
      </c>
      <c r="E760" s="11" t="s">
        <v>4403</v>
      </c>
      <c r="F760" s="36" t="s">
        <v>4404</v>
      </c>
      <c r="G760" s="11" t="s">
        <v>4405</v>
      </c>
      <c r="H760" s="11" t="s">
        <v>4280</v>
      </c>
      <c r="I760" s="11" t="s">
        <v>16</v>
      </c>
      <c r="J760" s="37">
        <v>45701.0</v>
      </c>
      <c r="K760" s="11"/>
      <c r="L760" s="11">
        <v>2.0250331E7</v>
      </c>
    </row>
    <row r="761">
      <c r="A761" s="9" t="s">
        <v>29</v>
      </c>
      <c r="B761" s="11" t="s">
        <v>30</v>
      </c>
      <c r="C761" s="11" t="s">
        <v>35</v>
      </c>
      <c r="D761" s="11" t="s">
        <v>37</v>
      </c>
      <c r="E761" s="11" t="s">
        <v>4406</v>
      </c>
      <c r="F761" s="36" t="s">
        <v>4407</v>
      </c>
      <c r="G761" s="11" t="s">
        <v>4408</v>
      </c>
      <c r="H761" s="11" t="s">
        <v>4280</v>
      </c>
      <c r="I761" s="11" t="s">
        <v>16</v>
      </c>
      <c r="J761" s="37">
        <v>45701.0</v>
      </c>
      <c r="K761" s="11"/>
      <c r="L761" s="11">
        <v>2.0250331E7</v>
      </c>
    </row>
    <row r="762">
      <c r="A762" s="9" t="s">
        <v>29</v>
      </c>
      <c r="B762" s="11" t="s">
        <v>30</v>
      </c>
      <c r="C762" s="11" t="s">
        <v>35</v>
      </c>
      <c r="D762" s="11" t="s">
        <v>37</v>
      </c>
      <c r="E762" s="11" t="s">
        <v>4413</v>
      </c>
      <c r="F762" s="36" t="s">
        <v>4414</v>
      </c>
      <c r="G762" s="11" t="s">
        <v>4415</v>
      </c>
      <c r="H762" s="11" t="s">
        <v>4280</v>
      </c>
      <c r="I762" s="11" t="s">
        <v>16</v>
      </c>
      <c r="J762" s="37">
        <v>45701.0</v>
      </c>
      <c r="K762" s="11"/>
      <c r="L762" s="11">
        <v>2.0250331E7</v>
      </c>
    </row>
    <row r="763">
      <c r="A763" s="9" t="s">
        <v>29</v>
      </c>
      <c r="B763" s="11" t="s">
        <v>30</v>
      </c>
      <c r="C763" s="11" t="s">
        <v>35</v>
      </c>
      <c r="D763" s="11" t="s">
        <v>37</v>
      </c>
      <c r="E763" s="11" t="s">
        <v>4418</v>
      </c>
      <c r="F763" s="36" t="s">
        <v>4420</v>
      </c>
      <c r="G763" s="11" t="s">
        <v>4422</v>
      </c>
      <c r="H763" s="11" t="s">
        <v>4280</v>
      </c>
      <c r="I763" s="11" t="s">
        <v>16</v>
      </c>
      <c r="J763" s="37">
        <v>45701.0</v>
      </c>
      <c r="K763" s="11"/>
      <c r="L763" s="11">
        <v>2.0250331E7</v>
      </c>
    </row>
    <row r="764">
      <c r="A764" s="9" t="s">
        <v>29</v>
      </c>
      <c r="B764" s="11" t="s">
        <v>30</v>
      </c>
      <c r="C764" s="11" t="s">
        <v>35</v>
      </c>
      <c r="D764" s="11" t="s">
        <v>37</v>
      </c>
      <c r="E764" s="11" t="s">
        <v>4424</v>
      </c>
      <c r="F764" s="36" t="s">
        <v>4426</v>
      </c>
      <c r="G764" s="11" t="s">
        <v>4428</v>
      </c>
      <c r="H764" s="11" t="s">
        <v>4280</v>
      </c>
      <c r="I764" s="11" t="s">
        <v>16</v>
      </c>
      <c r="J764" s="37">
        <v>45701.0</v>
      </c>
      <c r="K764" s="11"/>
      <c r="L764" s="11">
        <v>2.0250331E7</v>
      </c>
    </row>
    <row r="765">
      <c r="A765" s="9" t="s">
        <v>29</v>
      </c>
      <c r="B765" s="11" t="s">
        <v>30</v>
      </c>
      <c r="C765" s="11" t="s">
        <v>35</v>
      </c>
      <c r="D765" s="11" t="s">
        <v>37</v>
      </c>
      <c r="E765" s="11" t="s">
        <v>4431</v>
      </c>
      <c r="F765" s="36" t="s">
        <v>4432</v>
      </c>
      <c r="G765" s="11" t="s">
        <v>4433</v>
      </c>
      <c r="H765" s="11" t="s">
        <v>4280</v>
      </c>
      <c r="I765" s="11" t="s">
        <v>16</v>
      </c>
      <c r="J765" s="37">
        <v>45701.0</v>
      </c>
      <c r="K765" s="11"/>
      <c r="L765" s="11">
        <v>2.0250331E7</v>
      </c>
    </row>
    <row r="766">
      <c r="A766" s="9" t="s">
        <v>29</v>
      </c>
      <c r="B766" s="11" t="s">
        <v>30</v>
      </c>
      <c r="C766" s="11" t="s">
        <v>35</v>
      </c>
      <c r="D766" s="11" t="s">
        <v>37</v>
      </c>
      <c r="E766" s="11" t="s">
        <v>4435</v>
      </c>
      <c r="F766" s="36" t="s">
        <v>4436</v>
      </c>
      <c r="G766" s="11" t="s">
        <v>4437</v>
      </c>
      <c r="H766" s="11" t="s">
        <v>4280</v>
      </c>
      <c r="I766" s="11" t="s">
        <v>16</v>
      </c>
      <c r="J766" s="37">
        <v>45701.0</v>
      </c>
      <c r="K766" s="11"/>
      <c r="L766" s="11">
        <v>2.0250331E7</v>
      </c>
    </row>
    <row r="767">
      <c r="A767" s="9" t="s">
        <v>29</v>
      </c>
      <c r="B767" s="11" t="s">
        <v>30</v>
      </c>
      <c r="C767" s="11" t="s">
        <v>35</v>
      </c>
      <c r="D767" s="11" t="s">
        <v>37</v>
      </c>
      <c r="E767" s="11" t="s">
        <v>4438</v>
      </c>
      <c r="F767" s="36" t="s">
        <v>4439</v>
      </c>
      <c r="G767" s="11" t="s">
        <v>4440</v>
      </c>
      <c r="H767" s="11" t="s">
        <v>4280</v>
      </c>
      <c r="I767" s="11" t="s">
        <v>16</v>
      </c>
      <c r="J767" s="37">
        <v>45701.0</v>
      </c>
      <c r="K767" s="11"/>
      <c r="L767" s="11">
        <v>2.0250331E7</v>
      </c>
    </row>
    <row r="768">
      <c r="A768" s="9" t="s">
        <v>29</v>
      </c>
      <c r="B768" s="11" t="s">
        <v>30</v>
      </c>
      <c r="C768" s="11" t="s">
        <v>35</v>
      </c>
      <c r="D768" s="11" t="s">
        <v>37</v>
      </c>
      <c r="E768" s="11" t="s">
        <v>4441</v>
      </c>
      <c r="F768" s="36" t="s">
        <v>4442</v>
      </c>
      <c r="G768" s="11" t="s">
        <v>4443</v>
      </c>
      <c r="H768" s="11" t="s">
        <v>4280</v>
      </c>
      <c r="I768" s="11" t="s">
        <v>16</v>
      </c>
      <c r="J768" s="37">
        <v>45701.0</v>
      </c>
      <c r="K768" s="11"/>
      <c r="L768" s="11">
        <v>2.0250331E7</v>
      </c>
    </row>
    <row r="769">
      <c r="A769" s="9" t="s">
        <v>29</v>
      </c>
      <c r="B769" s="11" t="s">
        <v>30</v>
      </c>
      <c r="C769" s="11" t="s">
        <v>35</v>
      </c>
      <c r="D769" s="11" t="s">
        <v>37</v>
      </c>
      <c r="E769" s="11" t="s">
        <v>4444</v>
      </c>
      <c r="F769" s="36" t="s">
        <v>4445</v>
      </c>
      <c r="G769" s="11" t="s">
        <v>4446</v>
      </c>
      <c r="H769" s="11" t="s">
        <v>4280</v>
      </c>
      <c r="I769" s="11" t="s">
        <v>16</v>
      </c>
      <c r="J769" s="37">
        <v>45701.0</v>
      </c>
      <c r="K769" s="11"/>
      <c r="L769" s="11">
        <v>2.0250331E7</v>
      </c>
    </row>
    <row r="770">
      <c r="A770" s="9" t="s">
        <v>29</v>
      </c>
      <c r="B770" s="11" t="s">
        <v>30</v>
      </c>
      <c r="C770" s="11" t="s">
        <v>35</v>
      </c>
      <c r="D770" s="11" t="s">
        <v>37</v>
      </c>
      <c r="E770" s="11" t="s">
        <v>4447</v>
      </c>
      <c r="F770" s="36" t="s">
        <v>4448</v>
      </c>
      <c r="G770" s="11" t="s">
        <v>4449</v>
      </c>
      <c r="H770" s="11" t="s">
        <v>4280</v>
      </c>
      <c r="I770" s="11" t="s">
        <v>16</v>
      </c>
      <c r="J770" s="37">
        <v>45701.0</v>
      </c>
      <c r="K770" s="11"/>
      <c r="L770" s="11">
        <v>2.0250331E7</v>
      </c>
    </row>
    <row r="771">
      <c r="A771" s="9" t="s">
        <v>29</v>
      </c>
      <c r="B771" s="11" t="s">
        <v>30</v>
      </c>
      <c r="C771" s="11" t="s">
        <v>35</v>
      </c>
      <c r="D771" s="11" t="s">
        <v>37</v>
      </c>
      <c r="E771" s="11" t="s">
        <v>4450</v>
      </c>
      <c r="F771" s="36" t="s">
        <v>4451</v>
      </c>
      <c r="G771" s="11" t="s">
        <v>4452</v>
      </c>
      <c r="H771" s="11" t="s">
        <v>4280</v>
      </c>
      <c r="I771" s="11" t="s">
        <v>16</v>
      </c>
      <c r="J771" s="37">
        <v>45701.0</v>
      </c>
      <c r="K771" s="11"/>
      <c r="L771" s="11">
        <v>2.0250331E7</v>
      </c>
    </row>
    <row r="772">
      <c r="A772" s="9" t="s">
        <v>29</v>
      </c>
      <c r="B772" s="11" t="s">
        <v>30</v>
      </c>
      <c r="C772" s="11" t="s">
        <v>35</v>
      </c>
      <c r="D772" s="11" t="s">
        <v>37</v>
      </c>
      <c r="E772" s="11" t="s">
        <v>4453</v>
      </c>
      <c r="F772" s="36" t="s">
        <v>4454</v>
      </c>
      <c r="G772" s="11" t="s">
        <v>4455</v>
      </c>
      <c r="H772" s="11" t="s">
        <v>4280</v>
      </c>
      <c r="I772" s="11" t="s">
        <v>16</v>
      </c>
      <c r="J772" s="37">
        <v>45701.0</v>
      </c>
      <c r="K772" s="11"/>
      <c r="L772" s="11">
        <v>2.0250331E7</v>
      </c>
    </row>
    <row r="773">
      <c r="A773" s="9" t="s">
        <v>29</v>
      </c>
      <c r="B773" s="11" t="s">
        <v>30</v>
      </c>
      <c r="C773" s="11" t="s">
        <v>35</v>
      </c>
      <c r="D773" s="11" t="s">
        <v>37</v>
      </c>
      <c r="E773" s="11" t="s">
        <v>4456</v>
      </c>
      <c r="F773" s="36" t="s">
        <v>4457</v>
      </c>
      <c r="G773" s="11" t="s">
        <v>4458</v>
      </c>
      <c r="H773" s="11" t="s">
        <v>4280</v>
      </c>
      <c r="I773" s="11" t="s">
        <v>16</v>
      </c>
      <c r="J773" s="37">
        <v>45701.0</v>
      </c>
      <c r="K773" s="11"/>
      <c r="L773" s="11">
        <v>2.0250331E7</v>
      </c>
    </row>
    <row r="774">
      <c r="A774" s="9" t="s">
        <v>29</v>
      </c>
      <c r="B774" s="11" t="s">
        <v>30</v>
      </c>
      <c r="C774" s="11" t="s">
        <v>35</v>
      </c>
      <c r="D774" s="11" t="s">
        <v>37</v>
      </c>
      <c r="E774" s="11" t="s">
        <v>4459</v>
      </c>
      <c r="F774" s="36" t="s">
        <v>4460</v>
      </c>
      <c r="G774" s="11" t="s">
        <v>4461</v>
      </c>
      <c r="H774" s="11" t="s">
        <v>4280</v>
      </c>
      <c r="I774" s="11" t="s">
        <v>16</v>
      </c>
      <c r="J774" s="37">
        <v>45701.0</v>
      </c>
      <c r="K774" s="11"/>
      <c r="L774" s="11">
        <v>2.0250331E7</v>
      </c>
    </row>
    <row r="775">
      <c r="A775" s="9" t="s">
        <v>29</v>
      </c>
      <c r="B775" s="11" t="s">
        <v>30</v>
      </c>
      <c r="C775" s="11" t="s">
        <v>35</v>
      </c>
      <c r="D775" s="11" t="s">
        <v>37</v>
      </c>
      <c r="E775" s="11" t="s">
        <v>4462</v>
      </c>
      <c r="F775" s="36" t="s">
        <v>4463</v>
      </c>
      <c r="G775" s="11" t="s">
        <v>4464</v>
      </c>
      <c r="H775" s="11" t="s">
        <v>4280</v>
      </c>
      <c r="I775" s="11" t="s">
        <v>16</v>
      </c>
      <c r="J775" s="37">
        <v>45701.0</v>
      </c>
      <c r="K775" s="11"/>
      <c r="L775" s="11">
        <v>2.0250331E7</v>
      </c>
    </row>
    <row r="776">
      <c r="A776" s="9" t="s">
        <v>29</v>
      </c>
      <c r="B776" s="11" t="s">
        <v>30</v>
      </c>
      <c r="C776" s="11" t="s">
        <v>35</v>
      </c>
      <c r="D776" s="11" t="s">
        <v>37</v>
      </c>
      <c r="E776" s="11" t="s">
        <v>4465</v>
      </c>
      <c r="F776" s="36" t="s">
        <v>4466</v>
      </c>
      <c r="G776" s="11" t="s">
        <v>4467</v>
      </c>
      <c r="H776" s="11" t="s">
        <v>4280</v>
      </c>
      <c r="I776" s="11" t="s">
        <v>16</v>
      </c>
      <c r="J776" s="37">
        <v>45701.0</v>
      </c>
      <c r="K776" s="11"/>
      <c r="L776" s="11">
        <v>2.0250331E7</v>
      </c>
    </row>
    <row r="777">
      <c r="A777" s="9" t="s">
        <v>29</v>
      </c>
      <c r="B777" s="11" t="s">
        <v>30</v>
      </c>
      <c r="C777" s="11" t="s">
        <v>35</v>
      </c>
      <c r="D777" s="11" t="s">
        <v>37</v>
      </c>
      <c r="E777" s="11" t="s">
        <v>4468</v>
      </c>
      <c r="F777" s="36" t="s">
        <v>4469</v>
      </c>
      <c r="G777" s="11" t="s">
        <v>4470</v>
      </c>
      <c r="H777" s="11" t="s">
        <v>4280</v>
      </c>
      <c r="I777" s="11" t="s">
        <v>16</v>
      </c>
      <c r="J777" s="37">
        <v>45701.0</v>
      </c>
      <c r="K777" s="11"/>
      <c r="L777" s="11">
        <v>2.0250331E7</v>
      </c>
    </row>
    <row r="778">
      <c r="A778" s="9" t="s">
        <v>29</v>
      </c>
      <c r="B778" s="11" t="s">
        <v>30</v>
      </c>
      <c r="C778" s="11" t="s">
        <v>35</v>
      </c>
      <c r="D778" s="11" t="s">
        <v>37</v>
      </c>
      <c r="E778" s="11" t="s">
        <v>4471</v>
      </c>
      <c r="F778" s="36" t="s">
        <v>4472</v>
      </c>
      <c r="G778" s="11" t="s">
        <v>4473</v>
      </c>
      <c r="H778" s="11" t="s">
        <v>4280</v>
      </c>
      <c r="I778" s="11" t="s">
        <v>16</v>
      </c>
      <c r="J778" s="37">
        <v>45701.0</v>
      </c>
      <c r="K778" s="11"/>
      <c r="L778" s="11">
        <v>2.0250331E7</v>
      </c>
    </row>
    <row r="779">
      <c r="A779" s="9" t="s">
        <v>29</v>
      </c>
      <c r="B779" s="11" t="s">
        <v>30</v>
      </c>
      <c r="C779" s="11" t="s">
        <v>35</v>
      </c>
      <c r="D779" s="11" t="s">
        <v>37</v>
      </c>
      <c r="E779" s="11" t="s">
        <v>4474</v>
      </c>
      <c r="F779" s="36" t="s">
        <v>4475</v>
      </c>
      <c r="G779" s="11" t="s">
        <v>4476</v>
      </c>
      <c r="H779" s="11" t="s">
        <v>4280</v>
      </c>
      <c r="I779" s="11" t="s">
        <v>16</v>
      </c>
      <c r="J779" s="37">
        <v>45701.0</v>
      </c>
      <c r="K779" s="11"/>
      <c r="L779" s="11">
        <v>2.0250331E7</v>
      </c>
    </row>
    <row r="780">
      <c r="A780" s="9" t="s">
        <v>29</v>
      </c>
      <c r="B780" s="11" t="s">
        <v>30</v>
      </c>
      <c r="C780" s="11" t="s">
        <v>35</v>
      </c>
      <c r="D780" s="11" t="s">
        <v>37</v>
      </c>
      <c r="E780" s="11" t="s">
        <v>4477</v>
      </c>
      <c r="F780" s="36" t="s">
        <v>4478</v>
      </c>
      <c r="G780" s="11" t="s">
        <v>4479</v>
      </c>
      <c r="H780" s="11" t="s">
        <v>4280</v>
      </c>
      <c r="I780" s="11" t="s">
        <v>16</v>
      </c>
      <c r="J780" s="37">
        <v>45701.0</v>
      </c>
      <c r="K780" s="11"/>
      <c r="L780" s="11">
        <v>2.0250331E7</v>
      </c>
    </row>
    <row r="781">
      <c r="A781" s="9" t="s">
        <v>29</v>
      </c>
      <c r="B781" s="11" t="s">
        <v>30</v>
      </c>
      <c r="C781" s="11" t="s">
        <v>35</v>
      </c>
      <c r="D781" s="11" t="s">
        <v>37</v>
      </c>
      <c r="E781" s="11" t="s">
        <v>4480</v>
      </c>
      <c r="F781" s="36" t="s">
        <v>4481</v>
      </c>
      <c r="G781" s="11" t="s">
        <v>4482</v>
      </c>
      <c r="H781" s="11" t="s">
        <v>4280</v>
      </c>
      <c r="I781" s="11" t="s">
        <v>16</v>
      </c>
      <c r="J781" s="37">
        <v>45701.0</v>
      </c>
      <c r="K781" s="11"/>
      <c r="L781" s="11">
        <v>2.0250331E7</v>
      </c>
    </row>
    <row r="782">
      <c r="A782" s="9" t="s">
        <v>29</v>
      </c>
      <c r="B782" s="11" t="s">
        <v>30</v>
      </c>
      <c r="C782" s="11" t="s">
        <v>35</v>
      </c>
      <c r="D782" s="11" t="s">
        <v>37</v>
      </c>
      <c r="E782" s="11" t="s">
        <v>4483</v>
      </c>
      <c r="F782" s="36" t="s">
        <v>4484</v>
      </c>
      <c r="G782" s="11" t="s">
        <v>4485</v>
      </c>
      <c r="H782" s="11" t="s">
        <v>4280</v>
      </c>
      <c r="I782" s="11" t="s">
        <v>16</v>
      </c>
      <c r="J782" s="37">
        <v>45701.0</v>
      </c>
      <c r="K782" s="11"/>
      <c r="L782" s="11">
        <v>2.0250331E7</v>
      </c>
    </row>
    <row r="783">
      <c r="A783" s="9" t="s">
        <v>29</v>
      </c>
      <c r="B783" s="11" t="s">
        <v>30</v>
      </c>
      <c r="C783" s="11" t="s">
        <v>35</v>
      </c>
      <c r="D783" s="11" t="s">
        <v>37</v>
      </c>
      <c r="E783" s="11" t="s">
        <v>4486</v>
      </c>
      <c r="F783" s="36" t="s">
        <v>4487</v>
      </c>
      <c r="G783" s="11" t="s">
        <v>4488</v>
      </c>
      <c r="H783" s="11" t="s">
        <v>4280</v>
      </c>
      <c r="I783" s="11" t="s">
        <v>16</v>
      </c>
      <c r="J783" s="37">
        <v>45701.0</v>
      </c>
      <c r="K783" s="11"/>
      <c r="L783" s="11">
        <v>2.0250331E7</v>
      </c>
    </row>
    <row r="784">
      <c r="A784" s="9" t="s">
        <v>29</v>
      </c>
      <c r="B784" s="11" t="s">
        <v>30</v>
      </c>
      <c r="C784" s="11" t="s">
        <v>35</v>
      </c>
      <c r="D784" s="11" t="s">
        <v>37</v>
      </c>
      <c r="E784" s="11" t="s">
        <v>4489</v>
      </c>
      <c r="F784" s="36" t="s">
        <v>4490</v>
      </c>
      <c r="G784" s="11" t="s">
        <v>4491</v>
      </c>
      <c r="H784" s="11" t="s">
        <v>4280</v>
      </c>
      <c r="I784" s="11" t="s">
        <v>16</v>
      </c>
      <c r="J784" s="37">
        <v>45701.0</v>
      </c>
      <c r="K784" s="11"/>
      <c r="L784" s="11">
        <v>2.0250331E7</v>
      </c>
    </row>
    <row r="785">
      <c r="A785" s="9" t="s">
        <v>29</v>
      </c>
      <c r="B785" s="11" t="s">
        <v>30</v>
      </c>
      <c r="C785" s="11" t="s">
        <v>35</v>
      </c>
      <c r="D785" s="11" t="s">
        <v>37</v>
      </c>
      <c r="E785" s="11" t="s">
        <v>4492</v>
      </c>
      <c r="F785" s="36" t="s">
        <v>4493</v>
      </c>
      <c r="G785" s="11" t="s">
        <v>4494</v>
      </c>
      <c r="H785" s="11" t="s">
        <v>4280</v>
      </c>
      <c r="I785" s="11" t="s">
        <v>16</v>
      </c>
      <c r="J785" s="37">
        <v>45701.0</v>
      </c>
      <c r="K785" s="11"/>
      <c r="L785" s="11">
        <v>2.0250331E7</v>
      </c>
    </row>
    <row r="786">
      <c r="A786" s="9" t="s">
        <v>29</v>
      </c>
      <c r="B786" s="11" t="s">
        <v>30</v>
      </c>
      <c r="C786" s="11" t="s">
        <v>35</v>
      </c>
      <c r="D786" s="11" t="s">
        <v>37</v>
      </c>
      <c r="E786" s="11" t="s">
        <v>4495</v>
      </c>
      <c r="F786" s="36" t="s">
        <v>4496</v>
      </c>
      <c r="G786" s="11" t="s">
        <v>4497</v>
      </c>
      <c r="H786" s="11" t="s">
        <v>4280</v>
      </c>
      <c r="I786" s="11" t="s">
        <v>16</v>
      </c>
      <c r="J786" s="37">
        <v>45701.0</v>
      </c>
      <c r="K786" s="11"/>
      <c r="L786" s="11">
        <v>2.0250331E7</v>
      </c>
    </row>
    <row r="787">
      <c r="A787" s="9" t="s">
        <v>29</v>
      </c>
      <c r="B787" s="11" t="s">
        <v>30</v>
      </c>
      <c r="C787" s="11" t="s">
        <v>35</v>
      </c>
      <c r="D787" s="11" t="s">
        <v>37</v>
      </c>
      <c r="E787" s="11" t="s">
        <v>4498</v>
      </c>
      <c r="F787" s="36" t="s">
        <v>4499</v>
      </c>
      <c r="G787" s="11" t="s">
        <v>4500</v>
      </c>
      <c r="H787" s="11" t="s">
        <v>4280</v>
      </c>
      <c r="I787" s="11" t="s">
        <v>16</v>
      </c>
      <c r="J787" s="37">
        <v>45701.0</v>
      </c>
      <c r="K787" s="11"/>
      <c r="L787" s="11">
        <v>2.0250331E7</v>
      </c>
    </row>
    <row r="788">
      <c r="A788" s="9" t="s">
        <v>29</v>
      </c>
      <c r="B788" s="11" t="s">
        <v>30</v>
      </c>
      <c r="C788" s="11" t="s">
        <v>35</v>
      </c>
      <c r="D788" s="11" t="s">
        <v>37</v>
      </c>
      <c r="E788" s="11" t="s">
        <v>4501</v>
      </c>
      <c r="F788" s="36" t="s">
        <v>4502</v>
      </c>
      <c r="G788" s="11" t="s">
        <v>4503</v>
      </c>
      <c r="H788" s="11" t="s">
        <v>4280</v>
      </c>
      <c r="I788" s="11" t="s">
        <v>16</v>
      </c>
      <c r="J788" s="37">
        <v>45701.0</v>
      </c>
      <c r="K788" s="11"/>
      <c r="L788" s="11">
        <v>2.0250331E7</v>
      </c>
    </row>
    <row r="789">
      <c r="A789" s="9" t="s">
        <v>29</v>
      </c>
      <c r="B789" s="11" t="s">
        <v>30</v>
      </c>
      <c r="C789" s="11" t="s">
        <v>35</v>
      </c>
      <c r="D789" s="11" t="s">
        <v>37</v>
      </c>
      <c r="E789" s="11" t="s">
        <v>4504</v>
      </c>
      <c r="F789" s="36" t="s">
        <v>4505</v>
      </c>
      <c r="G789" s="11" t="s">
        <v>4506</v>
      </c>
      <c r="H789" s="11" t="s">
        <v>4280</v>
      </c>
      <c r="I789" s="11" t="s">
        <v>16</v>
      </c>
      <c r="J789" s="37">
        <v>45701.0</v>
      </c>
      <c r="K789" s="11"/>
      <c r="L789" s="11">
        <v>2.0250331E7</v>
      </c>
    </row>
    <row r="790">
      <c r="A790" s="9" t="s">
        <v>29</v>
      </c>
      <c r="B790" s="11" t="s">
        <v>30</v>
      </c>
      <c r="C790" s="11" t="s">
        <v>35</v>
      </c>
      <c r="D790" s="11" t="s">
        <v>37</v>
      </c>
      <c r="E790" s="11" t="s">
        <v>4507</v>
      </c>
      <c r="F790" s="36" t="s">
        <v>4508</v>
      </c>
      <c r="G790" s="11" t="s">
        <v>4509</v>
      </c>
      <c r="H790" s="11" t="s">
        <v>4280</v>
      </c>
      <c r="I790" s="11" t="s">
        <v>16</v>
      </c>
      <c r="J790" s="37">
        <v>45701.0</v>
      </c>
      <c r="K790" s="11"/>
      <c r="L790" s="11">
        <v>2.0250331E7</v>
      </c>
    </row>
    <row r="791">
      <c r="A791" s="9" t="s">
        <v>29</v>
      </c>
      <c r="B791" s="11" t="s">
        <v>30</v>
      </c>
      <c r="C791" s="11" t="s">
        <v>35</v>
      </c>
      <c r="D791" s="11" t="s">
        <v>37</v>
      </c>
      <c r="E791" s="11" t="s">
        <v>4510</v>
      </c>
      <c r="F791" s="36" t="s">
        <v>4511</v>
      </c>
      <c r="G791" s="11" t="s">
        <v>4512</v>
      </c>
      <c r="H791" s="11" t="s">
        <v>4280</v>
      </c>
      <c r="I791" s="11" t="s">
        <v>16</v>
      </c>
      <c r="J791" s="37">
        <v>45701.0</v>
      </c>
      <c r="K791" s="11"/>
      <c r="L791" s="11">
        <v>2.0250331E7</v>
      </c>
    </row>
    <row r="792">
      <c r="A792" s="9" t="s">
        <v>29</v>
      </c>
      <c r="B792" s="11" t="s">
        <v>30</v>
      </c>
      <c r="C792" s="11" t="s">
        <v>35</v>
      </c>
      <c r="D792" s="11" t="s">
        <v>37</v>
      </c>
      <c r="E792" s="11" t="s">
        <v>4513</v>
      </c>
      <c r="F792" s="36" t="s">
        <v>4514</v>
      </c>
      <c r="G792" s="11" t="s">
        <v>4515</v>
      </c>
      <c r="H792" s="11" t="s">
        <v>4280</v>
      </c>
      <c r="I792" s="11" t="s">
        <v>16</v>
      </c>
      <c r="J792" s="37">
        <v>45701.0</v>
      </c>
      <c r="K792" s="11"/>
      <c r="L792" s="11">
        <v>2.0250331E7</v>
      </c>
    </row>
    <row r="793">
      <c r="A793" s="9" t="s">
        <v>29</v>
      </c>
      <c r="B793" s="11" t="s">
        <v>30</v>
      </c>
      <c r="C793" s="11" t="s">
        <v>35</v>
      </c>
      <c r="D793" s="11" t="s">
        <v>37</v>
      </c>
      <c r="E793" s="11" t="s">
        <v>4516</v>
      </c>
      <c r="F793" s="36" t="s">
        <v>4517</v>
      </c>
      <c r="G793" s="11" t="s">
        <v>4518</v>
      </c>
      <c r="H793" s="11" t="s">
        <v>4280</v>
      </c>
      <c r="I793" s="11" t="s">
        <v>16</v>
      </c>
      <c r="J793" s="37">
        <v>45701.0</v>
      </c>
      <c r="K793" s="11"/>
      <c r="L793" s="11">
        <v>2.0250331E7</v>
      </c>
    </row>
    <row r="794">
      <c r="A794" s="9" t="s">
        <v>29</v>
      </c>
      <c r="B794" s="11" t="s">
        <v>30</v>
      </c>
      <c r="C794" s="11" t="s">
        <v>35</v>
      </c>
      <c r="D794" s="11" t="s">
        <v>37</v>
      </c>
      <c r="E794" s="11" t="s">
        <v>4519</v>
      </c>
      <c r="F794" s="36" t="s">
        <v>4520</v>
      </c>
      <c r="G794" s="11" t="s">
        <v>4521</v>
      </c>
      <c r="H794" s="11" t="s">
        <v>4280</v>
      </c>
      <c r="I794" s="11" t="s">
        <v>16</v>
      </c>
      <c r="J794" s="37">
        <v>45701.0</v>
      </c>
      <c r="K794" s="11"/>
      <c r="L794" s="11">
        <v>2.0250331E7</v>
      </c>
    </row>
    <row r="795">
      <c r="A795" s="9" t="s">
        <v>29</v>
      </c>
      <c r="B795" s="11" t="s">
        <v>30</v>
      </c>
      <c r="C795" s="11" t="s">
        <v>35</v>
      </c>
      <c r="D795" s="11" t="s">
        <v>37</v>
      </c>
      <c r="E795" s="11" t="s">
        <v>4522</v>
      </c>
      <c r="F795" s="36" t="s">
        <v>4523</v>
      </c>
      <c r="G795" s="11" t="s">
        <v>4524</v>
      </c>
      <c r="H795" s="11" t="s">
        <v>4280</v>
      </c>
      <c r="I795" s="11" t="s">
        <v>16</v>
      </c>
      <c r="J795" s="37">
        <v>45701.0</v>
      </c>
      <c r="K795" s="11"/>
      <c r="L795" s="11">
        <v>2.0250331E7</v>
      </c>
    </row>
    <row r="796">
      <c r="A796" s="9" t="s">
        <v>29</v>
      </c>
      <c r="B796" s="11" t="s">
        <v>30</v>
      </c>
      <c r="C796" s="11" t="s">
        <v>35</v>
      </c>
      <c r="D796" s="11" t="s">
        <v>37</v>
      </c>
      <c r="E796" s="11" t="s">
        <v>4525</v>
      </c>
      <c r="F796" s="36" t="s">
        <v>4526</v>
      </c>
      <c r="G796" s="11" t="s">
        <v>4527</v>
      </c>
      <c r="H796" s="11" t="s">
        <v>4280</v>
      </c>
      <c r="I796" s="11" t="s">
        <v>16</v>
      </c>
      <c r="J796" s="37">
        <v>45701.0</v>
      </c>
      <c r="K796" s="11"/>
      <c r="L796" s="11">
        <v>2.0250331E7</v>
      </c>
    </row>
    <row r="797">
      <c r="A797" s="9" t="s">
        <v>29</v>
      </c>
      <c r="B797" s="11" t="s">
        <v>30</v>
      </c>
      <c r="C797" s="11" t="s">
        <v>35</v>
      </c>
      <c r="D797" s="11" t="s">
        <v>37</v>
      </c>
      <c r="E797" s="11" t="s">
        <v>4528</v>
      </c>
      <c r="F797" s="36" t="s">
        <v>4529</v>
      </c>
      <c r="G797" s="11" t="s">
        <v>4530</v>
      </c>
      <c r="H797" s="11" t="s">
        <v>4280</v>
      </c>
      <c r="I797" s="11" t="s">
        <v>16</v>
      </c>
      <c r="J797" s="37">
        <v>45701.0</v>
      </c>
      <c r="K797" s="11"/>
      <c r="L797" s="11">
        <v>2.0250331E7</v>
      </c>
    </row>
    <row r="798">
      <c r="A798" s="9" t="s">
        <v>29</v>
      </c>
      <c r="B798" s="11" t="s">
        <v>30</v>
      </c>
      <c r="C798" s="11" t="s">
        <v>35</v>
      </c>
      <c r="D798" s="11" t="s">
        <v>37</v>
      </c>
      <c r="E798" s="11" t="s">
        <v>4531</v>
      </c>
      <c r="F798" s="36" t="s">
        <v>4532</v>
      </c>
      <c r="G798" s="11" t="s">
        <v>4533</v>
      </c>
      <c r="H798" s="11" t="s">
        <v>4280</v>
      </c>
      <c r="I798" s="11" t="s">
        <v>16</v>
      </c>
      <c r="J798" s="37">
        <v>45701.0</v>
      </c>
      <c r="K798" s="11"/>
      <c r="L798" s="11">
        <v>2.0250331E7</v>
      </c>
    </row>
    <row r="799">
      <c r="A799" s="9" t="s">
        <v>29</v>
      </c>
      <c r="B799" s="11" t="s">
        <v>30</v>
      </c>
      <c r="C799" s="11" t="s">
        <v>35</v>
      </c>
      <c r="D799" s="11" t="s">
        <v>37</v>
      </c>
      <c r="E799" s="11" t="s">
        <v>4534</v>
      </c>
      <c r="F799" s="36" t="s">
        <v>4535</v>
      </c>
      <c r="G799" s="11" t="s">
        <v>4536</v>
      </c>
      <c r="H799" s="11" t="s">
        <v>4280</v>
      </c>
      <c r="I799" s="11" t="s">
        <v>16</v>
      </c>
      <c r="J799" s="37">
        <v>45701.0</v>
      </c>
      <c r="K799" s="11"/>
      <c r="L799" s="11">
        <v>2.0250331E7</v>
      </c>
    </row>
    <row r="800">
      <c r="A800" s="9" t="s">
        <v>29</v>
      </c>
      <c r="B800" s="11" t="s">
        <v>30</v>
      </c>
      <c r="C800" s="11" t="s">
        <v>35</v>
      </c>
      <c r="D800" s="11" t="s">
        <v>37</v>
      </c>
      <c r="E800" s="11" t="s">
        <v>4537</v>
      </c>
      <c r="F800" s="36" t="s">
        <v>4538</v>
      </c>
      <c r="G800" s="11" t="s">
        <v>4539</v>
      </c>
      <c r="H800" s="11" t="s">
        <v>4280</v>
      </c>
      <c r="I800" s="11" t="s">
        <v>16</v>
      </c>
      <c r="J800" s="37">
        <v>45701.0</v>
      </c>
      <c r="K800" s="11"/>
      <c r="L800" s="11">
        <v>2.0250331E7</v>
      </c>
    </row>
    <row r="801">
      <c r="A801" s="9" t="s">
        <v>29</v>
      </c>
      <c r="B801" s="11" t="s">
        <v>30</v>
      </c>
      <c r="C801" s="11" t="s">
        <v>35</v>
      </c>
      <c r="D801" s="11" t="s">
        <v>37</v>
      </c>
      <c r="E801" s="11" t="s">
        <v>4540</v>
      </c>
      <c r="F801" s="36" t="s">
        <v>4541</v>
      </c>
      <c r="G801" s="11" t="s">
        <v>4542</v>
      </c>
      <c r="H801" s="11" t="s">
        <v>4280</v>
      </c>
      <c r="I801" s="11" t="s">
        <v>16</v>
      </c>
      <c r="J801" s="37">
        <v>45701.0</v>
      </c>
      <c r="K801" s="11"/>
      <c r="L801" s="11">
        <v>2.0250331E7</v>
      </c>
    </row>
    <row r="802">
      <c r="A802" s="9" t="s">
        <v>29</v>
      </c>
      <c r="B802" s="11" t="s">
        <v>30</v>
      </c>
      <c r="C802" s="11" t="s">
        <v>35</v>
      </c>
      <c r="D802" s="11" t="s">
        <v>37</v>
      </c>
      <c r="E802" s="11" t="s">
        <v>4543</v>
      </c>
      <c r="F802" s="36" t="s">
        <v>4544</v>
      </c>
      <c r="G802" s="11" t="s">
        <v>4545</v>
      </c>
      <c r="H802" s="11" t="s">
        <v>4280</v>
      </c>
      <c r="I802" s="11" t="s">
        <v>16</v>
      </c>
      <c r="J802" s="37">
        <v>45701.0</v>
      </c>
      <c r="K802" s="11"/>
      <c r="L802" s="11">
        <v>2.0250331E7</v>
      </c>
    </row>
    <row r="803">
      <c r="A803" s="9" t="s">
        <v>29</v>
      </c>
      <c r="B803" s="11" t="s">
        <v>30</v>
      </c>
      <c r="C803" s="11" t="s">
        <v>35</v>
      </c>
      <c r="D803" s="11" t="s">
        <v>37</v>
      </c>
      <c r="E803" s="11" t="s">
        <v>4546</v>
      </c>
      <c r="F803" s="36" t="s">
        <v>4547</v>
      </c>
      <c r="G803" s="11" t="s">
        <v>4548</v>
      </c>
      <c r="H803" s="11" t="s">
        <v>4280</v>
      </c>
      <c r="I803" s="11" t="s">
        <v>16</v>
      </c>
      <c r="J803" s="37">
        <v>45701.0</v>
      </c>
      <c r="K803" s="11"/>
      <c r="L803" s="11">
        <v>2.0250331E7</v>
      </c>
    </row>
    <row r="804">
      <c r="A804" s="9" t="s">
        <v>29</v>
      </c>
      <c r="B804" s="11" t="s">
        <v>30</v>
      </c>
      <c r="C804" s="11" t="s">
        <v>35</v>
      </c>
      <c r="D804" s="11" t="s">
        <v>37</v>
      </c>
      <c r="E804" s="11" t="s">
        <v>4549</v>
      </c>
      <c r="F804" s="36" t="s">
        <v>4550</v>
      </c>
      <c r="G804" s="11" t="s">
        <v>4551</v>
      </c>
      <c r="H804" s="11" t="s">
        <v>4280</v>
      </c>
      <c r="I804" s="11" t="s">
        <v>16</v>
      </c>
      <c r="J804" s="37">
        <v>45701.0</v>
      </c>
      <c r="K804" s="11"/>
      <c r="L804" s="11">
        <v>2.0250331E7</v>
      </c>
    </row>
    <row r="805">
      <c r="A805" s="9" t="s">
        <v>29</v>
      </c>
      <c r="B805" s="11" t="s">
        <v>30</v>
      </c>
      <c r="C805" s="11" t="s">
        <v>35</v>
      </c>
      <c r="D805" s="11" t="s">
        <v>37</v>
      </c>
      <c r="E805" s="11" t="s">
        <v>4552</v>
      </c>
      <c r="F805" s="36" t="s">
        <v>4553</v>
      </c>
      <c r="G805" s="11" t="s">
        <v>4554</v>
      </c>
      <c r="H805" s="11" t="s">
        <v>4280</v>
      </c>
      <c r="I805" s="11" t="s">
        <v>16</v>
      </c>
      <c r="J805" s="37">
        <v>45701.0</v>
      </c>
      <c r="K805" s="11"/>
      <c r="L805" s="11">
        <v>2.0250331E7</v>
      </c>
    </row>
    <row r="806">
      <c r="A806" s="9" t="s">
        <v>29</v>
      </c>
      <c r="B806" s="11" t="s">
        <v>30</v>
      </c>
      <c r="C806" s="11" t="s">
        <v>35</v>
      </c>
      <c r="D806" s="11" t="s">
        <v>37</v>
      </c>
      <c r="E806" s="11" t="s">
        <v>4555</v>
      </c>
      <c r="F806" s="36" t="s">
        <v>4556</v>
      </c>
      <c r="G806" s="11" t="s">
        <v>4557</v>
      </c>
      <c r="H806" s="11" t="s">
        <v>4280</v>
      </c>
      <c r="I806" s="11" t="s">
        <v>16</v>
      </c>
      <c r="J806" s="37">
        <v>45701.0</v>
      </c>
      <c r="K806" s="11"/>
      <c r="L806" s="11">
        <v>2.0250331E7</v>
      </c>
    </row>
    <row r="807">
      <c r="A807" s="9" t="s">
        <v>29</v>
      </c>
      <c r="B807" s="11" t="s">
        <v>30</v>
      </c>
      <c r="C807" s="11" t="s">
        <v>35</v>
      </c>
      <c r="D807" s="11" t="s">
        <v>37</v>
      </c>
      <c r="E807" s="11" t="s">
        <v>4558</v>
      </c>
      <c r="F807" s="36" t="s">
        <v>4559</v>
      </c>
      <c r="G807" s="11" t="s">
        <v>4560</v>
      </c>
      <c r="H807" s="11" t="s">
        <v>4280</v>
      </c>
      <c r="I807" s="11" t="s">
        <v>16</v>
      </c>
      <c r="J807" s="37">
        <v>45701.0</v>
      </c>
      <c r="K807" s="11"/>
      <c r="L807" s="11">
        <v>2.0250331E7</v>
      </c>
    </row>
    <row r="808">
      <c r="A808" s="9" t="s">
        <v>29</v>
      </c>
      <c r="B808" s="11" t="s">
        <v>30</v>
      </c>
      <c r="C808" s="11" t="s">
        <v>35</v>
      </c>
      <c r="D808" s="11" t="s">
        <v>37</v>
      </c>
      <c r="E808" s="11" t="s">
        <v>4561</v>
      </c>
      <c r="F808" s="36" t="s">
        <v>4562</v>
      </c>
      <c r="G808" s="11" t="s">
        <v>4563</v>
      </c>
      <c r="H808" s="11" t="s">
        <v>4280</v>
      </c>
      <c r="I808" s="11" t="s">
        <v>16</v>
      </c>
      <c r="J808" s="37">
        <v>45701.0</v>
      </c>
      <c r="K808" s="11"/>
      <c r="L808" s="11">
        <v>2.0250331E7</v>
      </c>
    </row>
    <row r="809">
      <c r="A809" s="9" t="s">
        <v>29</v>
      </c>
      <c r="B809" s="11" t="s">
        <v>30</v>
      </c>
      <c r="C809" s="11" t="s">
        <v>35</v>
      </c>
      <c r="D809" s="11" t="s">
        <v>37</v>
      </c>
      <c r="E809" s="11" t="s">
        <v>4564</v>
      </c>
      <c r="F809" s="36" t="s">
        <v>4565</v>
      </c>
      <c r="G809" s="11" t="s">
        <v>4566</v>
      </c>
      <c r="H809" s="11" t="s">
        <v>4280</v>
      </c>
      <c r="I809" s="11" t="s">
        <v>16</v>
      </c>
      <c r="J809" s="37">
        <v>45701.0</v>
      </c>
      <c r="K809" s="11"/>
      <c r="L809" s="11">
        <v>2.0250331E7</v>
      </c>
    </row>
    <row r="810">
      <c r="A810" s="9" t="s">
        <v>29</v>
      </c>
      <c r="B810" s="11" t="s">
        <v>30</v>
      </c>
      <c r="C810" s="11" t="s">
        <v>35</v>
      </c>
      <c r="D810" s="11" t="s">
        <v>37</v>
      </c>
      <c r="E810" s="11" t="s">
        <v>4567</v>
      </c>
      <c r="F810" s="36" t="s">
        <v>4568</v>
      </c>
      <c r="G810" s="11" t="s">
        <v>4569</v>
      </c>
      <c r="H810" s="11" t="s">
        <v>4280</v>
      </c>
      <c r="I810" s="11" t="s">
        <v>16</v>
      </c>
      <c r="J810" s="37">
        <v>45701.0</v>
      </c>
      <c r="K810" s="11"/>
      <c r="L810" s="11">
        <v>2.0250331E7</v>
      </c>
    </row>
    <row r="811">
      <c r="A811" s="9" t="s">
        <v>29</v>
      </c>
      <c r="B811" s="11" t="s">
        <v>30</v>
      </c>
      <c r="C811" s="11" t="s">
        <v>35</v>
      </c>
      <c r="D811" s="11" t="s">
        <v>37</v>
      </c>
      <c r="E811" s="11" t="s">
        <v>4570</v>
      </c>
      <c r="F811" s="36" t="s">
        <v>4571</v>
      </c>
      <c r="G811" s="11" t="s">
        <v>4572</v>
      </c>
      <c r="H811" s="11" t="s">
        <v>4280</v>
      </c>
      <c r="I811" s="11" t="s">
        <v>16</v>
      </c>
      <c r="J811" s="37">
        <v>45701.0</v>
      </c>
      <c r="K811" s="11"/>
      <c r="L811" s="11">
        <v>2.0250331E7</v>
      </c>
    </row>
    <row r="812">
      <c r="A812" s="9" t="s">
        <v>29</v>
      </c>
      <c r="B812" s="11" t="s">
        <v>30</v>
      </c>
      <c r="C812" s="11" t="s">
        <v>35</v>
      </c>
      <c r="D812" s="11" t="s">
        <v>37</v>
      </c>
      <c r="E812" s="11" t="s">
        <v>4573</v>
      </c>
      <c r="F812" s="36" t="s">
        <v>4574</v>
      </c>
      <c r="G812" s="11" t="s">
        <v>4575</v>
      </c>
      <c r="H812" s="11" t="s">
        <v>4280</v>
      </c>
      <c r="I812" s="11" t="s">
        <v>16</v>
      </c>
      <c r="J812" s="37">
        <v>45701.0</v>
      </c>
      <c r="K812" s="11"/>
      <c r="L812" s="11">
        <v>2.0250331E7</v>
      </c>
    </row>
    <row r="813">
      <c r="A813" s="9" t="s">
        <v>29</v>
      </c>
      <c r="B813" s="11" t="s">
        <v>30</v>
      </c>
      <c r="C813" s="11" t="s">
        <v>35</v>
      </c>
      <c r="D813" s="11" t="s">
        <v>37</v>
      </c>
      <c r="E813" s="11" t="s">
        <v>4576</v>
      </c>
      <c r="F813" s="36" t="s">
        <v>4577</v>
      </c>
      <c r="G813" s="11" t="s">
        <v>4578</v>
      </c>
      <c r="H813" s="11" t="s">
        <v>4280</v>
      </c>
      <c r="I813" s="11" t="s">
        <v>16</v>
      </c>
      <c r="J813" s="37">
        <v>45701.0</v>
      </c>
      <c r="K813" s="11"/>
      <c r="L813" s="11">
        <v>2.0250331E7</v>
      </c>
    </row>
    <row r="814">
      <c r="A814" s="9" t="s">
        <v>29</v>
      </c>
      <c r="B814" s="11" t="s">
        <v>30</v>
      </c>
      <c r="C814" s="11" t="s">
        <v>35</v>
      </c>
      <c r="D814" s="11" t="s">
        <v>37</v>
      </c>
      <c r="E814" s="11" t="s">
        <v>4579</v>
      </c>
      <c r="F814" s="36" t="s">
        <v>4580</v>
      </c>
      <c r="G814" s="11" t="s">
        <v>4581</v>
      </c>
      <c r="H814" s="11" t="s">
        <v>4280</v>
      </c>
      <c r="I814" s="11" t="s">
        <v>16</v>
      </c>
      <c r="J814" s="37">
        <v>45701.0</v>
      </c>
      <c r="K814" s="11"/>
      <c r="L814" s="11">
        <v>2.0250331E7</v>
      </c>
    </row>
    <row r="815">
      <c r="A815" s="9" t="s">
        <v>29</v>
      </c>
      <c r="B815" s="11" t="s">
        <v>30</v>
      </c>
      <c r="C815" s="11" t="s">
        <v>35</v>
      </c>
      <c r="D815" s="11" t="s">
        <v>37</v>
      </c>
      <c r="E815" s="11" t="s">
        <v>4582</v>
      </c>
      <c r="F815" s="36" t="s">
        <v>4583</v>
      </c>
      <c r="G815" s="11" t="s">
        <v>4584</v>
      </c>
      <c r="H815" s="11" t="s">
        <v>4280</v>
      </c>
      <c r="I815" s="11" t="s">
        <v>16</v>
      </c>
      <c r="J815" s="37">
        <v>45701.0</v>
      </c>
      <c r="K815" s="11"/>
      <c r="L815" s="11">
        <v>2.0250331E7</v>
      </c>
    </row>
    <row r="816">
      <c r="A816" s="9" t="s">
        <v>29</v>
      </c>
      <c r="B816" s="11" t="s">
        <v>30</v>
      </c>
      <c r="C816" s="11" t="s">
        <v>35</v>
      </c>
      <c r="D816" s="11" t="s">
        <v>37</v>
      </c>
      <c r="E816" s="11" t="s">
        <v>4585</v>
      </c>
      <c r="F816" s="36" t="s">
        <v>4586</v>
      </c>
      <c r="G816" s="11" t="s">
        <v>4587</v>
      </c>
      <c r="H816" s="11" t="s">
        <v>4280</v>
      </c>
      <c r="I816" s="11" t="s">
        <v>16</v>
      </c>
      <c r="J816" s="37">
        <v>45701.0</v>
      </c>
      <c r="K816" s="11"/>
      <c r="L816" s="11">
        <v>2.0250331E7</v>
      </c>
    </row>
    <row r="817">
      <c r="A817" s="9" t="s">
        <v>29</v>
      </c>
      <c r="B817" s="11" t="s">
        <v>30</v>
      </c>
      <c r="C817" s="11" t="s">
        <v>35</v>
      </c>
      <c r="D817" s="11" t="s">
        <v>37</v>
      </c>
      <c r="E817" s="11" t="s">
        <v>4588</v>
      </c>
      <c r="F817" s="36" t="s">
        <v>4589</v>
      </c>
      <c r="G817" s="11" t="s">
        <v>4590</v>
      </c>
      <c r="H817" s="11" t="s">
        <v>4280</v>
      </c>
      <c r="I817" s="11" t="s">
        <v>16</v>
      </c>
      <c r="J817" s="37">
        <v>45701.0</v>
      </c>
      <c r="K817" s="11"/>
      <c r="L817" s="11">
        <v>2.0250331E7</v>
      </c>
    </row>
    <row r="818">
      <c r="A818" s="9" t="s">
        <v>29</v>
      </c>
      <c r="B818" s="11" t="s">
        <v>30</v>
      </c>
      <c r="C818" s="11" t="s">
        <v>35</v>
      </c>
      <c r="D818" s="11" t="s">
        <v>37</v>
      </c>
      <c r="E818" s="11" t="s">
        <v>4591</v>
      </c>
      <c r="F818" s="36" t="s">
        <v>4592</v>
      </c>
      <c r="G818" s="11" t="s">
        <v>4593</v>
      </c>
      <c r="H818" s="11" t="s">
        <v>4280</v>
      </c>
      <c r="I818" s="11" t="s">
        <v>16</v>
      </c>
      <c r="J818" s="37">
        <v>45701.0</v>
      </c>
      <c r="K818" s="11"/>
      <c r="L818" s="11">
        <v>2.0250331E7</v>
      </c>
    </row>
    <row r="819">
      <c r="A819" s="9" t="s">
        <v>29</v>
      </c>
      <c r="B819" s="11" t="s">
        <v>30</v>
      </c>
      <c r="C819" s="11" t="s">
        <v>35</v>
      </c>
      <c r="D819" s="11" t="s">
        <v>37</v>
      </c>
      <c r="E819" s="11" t="s">
        <v>4594</v>
      </c>
      <c r="F819" s="36" t="s">
        <v>4595</v>
      </c>
      <c r="G819" s="11" t="s">
        <v>4596</v>
      </c>
      <c r="H819" s="11" t="s">
        <v>4280</v>
      </c>
      <c r="I819" s="11" t="s">
        <v>16</v>
      </c>
      <c r="J819" s="37">
        <v>45701.0</v>
      </c>
      <c r="K819" s="11"/>
      <c r="L819" s="11">
        <v>2.0250331E7</v>
      </c>
    </row>
    <row r="820">
      <c r="A820" s="9" t="s">
        <v>29</v>
      </c>
      <c r="B820" s="11" t="s">
        <v>30</v>
      </c>
      <c r="C820" s="11" t="s">
        <v>35</v>
      </c>
      <c r="D820" s="11" t="s">
        <v>37</v>
      </c>
      <c r="E820" s="11" t="s">
        <v>4597</v>
      </c>
      <c r="F820" s="36" t="s">
        <v>4598</v>
      </c>
      <c r="G820" s="11" t="s">
        <v>4599</v>
      </c>
      <c r="H820" s="11" t="s">
        <v>4280</v>
      </c>
      <c r="I820" s="11" t="s">
        <v>16</v>
      </c>
      <c r="J820" s="37">
        <v>45701.0</v>
      </c>
      <c r="K820" s="11"/>
      <c r="L820" s="11">
        <v>2.0250331E7</v>
      </c>
    </row>
    <row r="821">
      <c r="A821" s="9" t="s">
        <v>29</v>
      </c>
      <c r="B821" s="11" t="s">
        <v>30</v>
      </c>
      <c r="C821" s="11" t="s">
        <v>35</v>
      </c>
      <c r="D821" s="11" t="s">
        <v>37</v>
      </c>
      <c r="E821" s="11" t="s">
        <v>4600</v>
      </c>
      <c r="F821" s="36" t="s">
        <v>4601</v>
      </c>
      <c r="G821" s="11" t="s">
        <v>4602</v>
      </c>
      <c r="H821" s="11" t="s">
        <v>4280</v>
      </c>
      <c r="I821" s="11" t="s">
        <v>16</v>
      </c>
      <c r="J821" s="37">
        <v>45701.0</v>
      </c>
      <c r="K821" s="11"/>
      <c r="L821" s="11">
        <v>2.0250331E7</v>
      </c>
    </row>
    <row r="822">
      <c r="A822" s="9" t="s">
        <v>29</v>
      </c>
      <c r="B822" s="11" t="s">
        <v>30</v>
      </c>
      <c r="C822" s="11" t="s">
        <v>35</v>
      </c>
      <c r="D822" s="11" t="s">
        <v>37</v>
      </c>
      <c r="E822" s="11" t="s">
        <v>4603</v>
      </c>
      <c r="F822" s="36" t="s">
        <v>4604</v>
      </c>
      <c r="G822" s="11" t="s">
        <v>4605</v>
      </c>
      <c r="H822" s="11" t="s">
        <v>4280</v>
      </c>
      <c r="I822" s="11" t="s">
        <v>16</v>
      </c>
      <c r="J822" s="37">
        <v>45701.0</v>
      </c>
      <c r="K822" s="11"/>
      <c r="L822" s="11">
        <v>2.0250331E7</v>
      </c>
    </row>
    <row r="823">
      <c r="A823" s="9" t="s">
        <v>29</v>
      </c>
      <c r="B823" s="11" t="s">
        <v>30</v>
      </c>
      <c r="C823" s="11" t="s">
        <v>35</v>
      </c>
      <c r="D823" s="11" t="s">
        <v>37</v>
      </c>
      <c r="E823" s="11" t="s">
        <v>4606</v>
      </c>
      <c r="F823" s="36" t="s">
        <v>4607</v>
      </c>
      <c r="G823" s="11" t="s">
        <v>4608</v>
      </c>
      <c r="H823" s="11" t="s">
        <v>4280</v>
      </c>
      <c r="I823" s="11" t="s">
        <v>16</v>
      </c>
      <c r="J823" s="37">
        <v>45701.0</v>
      </c>
      <c r="K823" s="11"/>
      <c r="L823" s="11">
        <v>2.0250331E7</v>
      </c>
    </row>
    <row r="824">
      <c r="A824" s="9" t="s">
        <v>29</v>
      </c>
      <c r="B824" s="11" t="s">
        <v>30</v>
      </c>
      <c r="C824" s="11" t="s">
        <v>35</v>
      </c>
      <c r="D824" s="11" t="s">
        <v>37</v>
      </c>
      <c r="E824" s="11" t="s">
        <v>4609</v>
      </c>
      <c r="F824" s="36" t="s">
        <v>4610</v>
      </c>
      <c r="G824" s="11" t="s">
        <v>4611</v>
      </c>
      <c r="H824" s="11" t="s">
        <v>4280</v>
      </c>
      <c r="I824" s="11" t="s">
        <v>16</v>
      </c>
      <c r="J824" s="37">
        <v>45701.0</v>
      </c>
      <c r="K824" s="11"/>
      <c r="L824" s="11">
        <v>2.0250331E7</v>
      </c>
    </row>
    <row r="825">
      <c r="A825" s="9" t="s">
        <v>29</v>
      </c>
      <c r="B825" s="11" t="s">
        <v>30</v>
      </c>
      <c r="C825" s="11" t="s">
        <v>35</v>
      </c>
      <c r="D825" s="11" t="s">
        <v>37</v>
      </c>
      <c r="E825" s="11" t="s">
        <v>4612</v>
      </c>
      <c r="F825" s="36" t="s">
        <v>4613</v>
      </c>
      <c r="G825" s="11" t="s">
        <v>4614</v>
      </c>
      <c r="H825" s="11" t="s">
        <v>4280</v>
      </c>
      <c r="I825" s="11" t="s">
        <v>16</v>
      </c>
      <c r="J825" s="37">
        <v>45701.0</v>
      </c>
      <c r="K825" s="11"/>
      <c r="L825" s="11">
        <v>2.0250331E7</v>
      </c>
    </row>
    <row r="826">
      <c r="A826" s="9" t="s">
        <v>29</v>
      </c>
      <c r="B826" s="11" t="s">
        <v>30</v>
      </c>
      <c r="C826" s="11" t="s">
        <v>35</v>
      </c>
      <c r="D826" s="11" t="s">
        <v>37</v>
      </c>
      <c r="E826" s="11" t="s">
        <v>4615</v>
      </c>
      <c r="F826" s="36" t="s">
        <v>4616</v>
      </c>
      <c r="G826" s="11" t="s">
        <v>4617</v>
      </c>
      <c r="H826" s="11" t="s">
        <v>4280</v>
      </c>
      <c r="I826" s="11" t="s">
        <v>16</v>
      </c>
      <c r="J826" s="37">
        <v>45701.0</v>
      </c>
      <c r="K826" s="11"/>
      <c r="L826" s="11">
        <v>2.0250331E7</v>
      </c>
    </row>
    <row r="827">
      <c r="A827" s="9" t="s">
        <v>29</v>
      </c>
      <c r="B827" s="11" t="s">
        <v>30</v>
      </c>
      <c r="C827" s="11" t="s">
        <v>35</v>
      </c>
      <c r="D827" s="11" t="s">
        <v>37</v>
      </c>
      <c r="E827" s="11" t="s">
        <v>4618</v>
      </c>
      <c r="F827" s="36" t="s">
        <v>4619</v>
      </c>
      <c r="G827" s="11" t="s">
        <v>4620</v>
      </c>
      <c r="H827" s="11" t="s">
        <v>4280</v>
      </c>
      <c r="I827" s="11" t="s">
        <v>16</v>
      </c>
      <c r="J827" s="37">
        <v>45701.0</v>
      </c>
      <c r="K827" s="11"/>
      <c r="L827" s="11">
        <v>2.0250331E7</v>
      </c>
    </row>
    <row r="828">
      <c r="A828" s="9" t="s">
        <v>29</v>
      </c>
      <c r="B828" s="11" t="s">
        <v>30</v>
      </c>
      <c r="C828" s="11" t="s">
        <v>35</v>
      </c>
      <c r="D828" s="11" t="s">
        <v>37</v>
      </c>
      <c r="E828" s="11" t="s">
        <v>4621</v>
      </c>
      <c r="F828" s="36" t="s">
        <v>4622</v>
      </c>
      <c r="G828" s="11" t="s">
        <v>4623</v>
      </c>
      <c r="H828" s="11" t="s">
        <v>4280</v>
      </c>
      <c r="I828" s="11" t="s">
        <v>16</v>
      </c>
      <c r="J828" s="37">
        <v>45701.0</v>
      </c>
      <c r="K828" s="11"/>
      <c r="L828" s="11">
        <v>2.0250331E7</v>
      </c>
    </row>
    <row r="829">
      <c r="A829" s="9" t="s">
        <v>29</v>
      </c>
      <c r="B829" s="11" t="s">
        <v>30</v>
      </c>
      <c r="C829" s="11" t="s">
        <v>35</v>
      </c>
      <c r="D829" s="11" t="s">
        <v>37</v>
      </c>
      <c r="E829" s="11" t="s">
        <v>4624</v>
      </c>
      <c r="F829" s="36" t="s">
        <v>4625</v>
      </c>
      <c r="G829" s="11" t="s">
        <v>4626</v>
      </c>
      <c r="H829" s="11" t="s">
        <v>4280</v>
      </c>
      <c r="I829" s="11" t="s">
        <v>16</v>
      </c>
      <c r="J829" s="37">
        <v>45701.0</v>
      </c>
      <c r="K829" s="11"/>
      <c r="L829" s="11">
        <v>2.0250331E7</v>
      </c>
    </row>
    <row r="830">
      <c r="A830" s="9" t="s">
        <v>29</v>
      </c>
      <c r="B830" s="11" t="s">
        <v>30</v>
      </c>
      <c r="C830" s="11" t="s">
        <v>35</v>
      </c>
      <c r="D830" s="11" t="s">
        <v>37</v>
      </c>
      <c r="E830" s="11" t="s">
        <v>4627</v>
      </c>
      <c r="F830" s="36" t="s">
        <v>4628</v>
      </c>
      <c r="G830" s="11" t="s">
        <v>4629</v>
      </c>
      <c r="H830" s="11" t="s">
        <v>4280</v>
      </c>
      <c r="I830" s="11" t="s">
        <v>16</v>
      </c>
      <c r="J830" s="37">
        <v>45701.0</v>
      </c>
      <c r="K830" s="11"/>
      <c r="L830" s="11">
        <v>2.0250331E7</v>
      </c>
    </row>
    <row r="831">
      <c r="A831" s="9" t="s">
        <v>29</v>
      </c>
      <c r="B831" s="11" t="s">
        <v>30</v>
      </c>
      <c r="C831" s="11" t="s">
        <v>35</v>
      </c>
      <c r="D831" s="11" t="s">
        <v>37</v>
      </c>
      <c r="E831" s="11" t="s">
        <v>4630</v>
      </c>
      <c r="F831" s="36" t="s">
        <v>4631</v>
      </c>
      <c r="G831" s="11" t="s">
        <v>4632</v>
      </c>
      <c r="H831" s="11" t="s">
        <v>4280</v>
      </c>
      <c r="I831" s="11" t="s">
        <v>16</v>
      </c>
      <c r="J831" s="37">
        <v>45701.0</v>
      </c>
      <c r="K831" s="11"/>
      <c r="L831" s="11">
        <v>2.0250331E7</v>
      </c>
    </row>
    <row r="832">
      <c r="A832" s="9" t="s">
        <v>29</v>
      </c>
      <c r="B832" s="11" t="s">
        <v>30</v>
      </c>
      <c r="C832" s="11" t="s">
        <v>35</v>
      </c>
      <c r="D832" s="11" t="s">
        <v>37</v>
      </c>
      <c r="E832" s="11" t="s">
        <v>4633</v>
      </c>
      <c r="F832" s="36" t="s">
        <v>4634</v>
      </c>
      <c r="G832" s="11" t="s">
        <v>4635</v>
      </c>
      <c r="H832" s="11" t="s">
        <v>4280</v>
      </c>
      <c r="I832" s="11" t="s">
        <v>16</v>
      </c>
      <c r="J832" s="37">
        <v>45701.0</v>
      </c>
      <c r="K832" s="11"/>
      <c r="L832" s="11">
        <v>2.0250331E7</v>
      </c>
    </row>
    <row r="833">
      <c r="A833" s="9" t="s">
        <v>29</v>
      </c>
      <c r="B833" s="11" t="s">
        <v>30</v>
      </c>
      <c r="C833" s="11" t="s">
        <v>35</v>
      </c>
      <c r="D833" s="11" t="s">
        <v>37</v>
      </c>
      <c r="E833" s="11" t="s">
        <v>4636</v>
      </c>
      <c r="F833" s="36" t="s">
        <v>4637</v>
      </c>
      <c r="G833" s="11" t="s">
        <v>4638</v>
      </c>
      <c r="H833" s="11" t="s">
        <v>4280</v>
      </c>
      <c r="I833" s="11" t="s">
        <v>16</v>
      </c>
      <c r="J833" s="37">
        <v>45701.0</v>
      </c>
      <c r="K833" s="11"/>
      <c r="L833" s="11">
        <v>2.0250331E7</v>
      </c>
    </row>
    <row r="834">
      <c r="A834" s="9" t="s">
        <v>29</v>
      </c>
      <c r="B834" s="11" t="s">
        <v>30</v>
      </c>
      <c r="C834" s="11" t="s">
        <v>35</v>
      </c>
      <c r="D834" s="11" t="s">
        <v>37</v>
      </c>
      <c r="E834" s="11" t="s">
        <v>4639</v>
      </c>
      <c r="F834" s="36" t="s">
        <v>4640</v>
      </c>
      <c r="G834" s="11" t="s">
        <v>4641</v>
      </c>
      <c r="H834" s="11" t="s">
        <v>4280</v>
      </c>
      <c r="I834" s="11" t="s">
        <v>16</v>
      </c>
      <c r="J834" s="37">
        <v>45701.0</v>
      </c>
      <c r="K834" s="11"/>
      <c r="L834" s="11">
        <v>2.0250331E7</v>
      </c>
    </row>
    <row r="835">
      <c r="A835" s="9" t="s">
        <v>29</v>
      </c>
      <c r="B835" s="11" t="s">
        <v>30</v>
      </c>
      <c r="C835" s="11" t="s">
        <v>35</v>
      </c>
      <c r="D835" s="11" t="s">
        <v>37</v>
      </c>
      <c r="E835" s="11" t="s">
        <v>4642</v>
      </c>
      <c r="F835" s="36" t="s">
        <v>4643</v>
      </c>
      <c r="G835" s="11" t="s">
        <v>4644</v>
      </c>
      <c r="H835" s="11" t="s">
        <v>4280</v>
      </c>
      <c r="I835" s="11" t="s">
        <v>16</v>
      </c>
      <c r="J835" s="37">
        <v>45701.0</v>
      </c>
      <c r="K835" s="11"/>
      <c r="L835" s="11">
        <v>2.0250331E7</v>
      </c>
    </row>
    <row r="836">
      <c r="A836" s="9" t="s">
        <v>29</v>
      </c>
      <c r="B836" s="11" t="s">
        <v>30</v>
      </c>
      <c r="C836" s="11" t="s">
        <v>35</v>
      </c>
      <c r="D836" s="11" t="s">
        <v>37</v>
      </c>
      <c r="E836" s="11" t="s">
        <v>4645</v>
      </c>
      <c r="F836" s="36" t="s">
        <v>4646</v>
      </c>
      <c r="G836" s="11" t="s">
        <v>4647</v>
      </c>
      <c r="H836" s="11" t="s">
        <v>4280</v>
      </c>
      <c r="I836" s="11" t="s">
        <v>16</v>
      </c>
      <c r="J836" s="37">
        <v>45701.0</v>
      </c>
      <c r="K836" s="11"/>
      <c r="L836" s="11">
        <v>2.0250331E7</v>
      </c>
    </row>
    <row r="837">
      <c r="A837" s="9" t="s">
        <v>29</v>
      </c>
      <c r="B837" s="11" t="s">
        <v>30</v>
      </c>
      <c r="C837" s="11" t="s">
        <v>4648</v>
      </c>
      <c r="D837" s="11" t="s">
        <v>4649</v>
      </c>
      <c r="E837" s="11" t="s">
        <v>4650</v>
      </c>
      <c r="F837" s="11">
        <v>5.15039410955718E14</v>
      </c>
      <c r="G837" s="11" t="s">
        <v>4649</v>
      </c>
      <c r="H837" s="11" t="s">
        <v>4649</v>
      </c>
      <c r="I837" s="11"/>
      <c r="J837" s="37"/>
      <c r="K837" s="11" t="s">
        <v>4651</v>
      </c>
      <c r="L837" s="11"/>
    </row>
    <row r="838">
      <c r="A838" s="9" t="s">
        <v>29</v>
      </c>
      <c r="B838" s="11" t="s">
        <v>30</v>
      </c>
      <c r="C838" s="11" t="s">
        <v>4648</v>
      </c>
      <c r="D838" s="11" t="s">
        <v>4649</v>
      </c>
      <c r="E838" s="11" t="s">
        <v>4652</v>
      </c>
      <c r="F838" s="11">
        <v>4.54003050675543E14</v>
      </c>
      <c r="G838" s="11" t="s">
        <v>4649</v>
      </c>
      <c r="H838" s="11" t="s">
        <v>4649</v>
      </c>
      <c r="I838" s="11"/>
      <c r="J838" s="37"/>
      <c r="K838" s="11" t="s">
        <v>4653</v>
      </c>
      <c r="L838" s="11"/>
    </row>
    <row r="839">
      <c r="A839" s="9" t="s">
        <v>4654</v>
      </c>
      <c r="B839" s="11" t="s">
        <v>30</v>
      </c>
      <c r="C839" s="11" t="s">
        <v>35</v>
      </c>
      <c r="D839" s="11" t="s">
        <v>37</v>
      </c>
      <c r="E839" s="11" t="s">
        <v>4655</v>
      </c>
      <c r="F839" s="11">
        <v>8.63406078319907E14</v>
      </c>
      <c r="G839" s="11" t="s">
        <v>4656</v>
      </c>
      <c r="H839" s="11" t="s">
        <v>4280</v>
      </c>
      <c r="I839" s="11" t="s">
        <v>16</v>
      </c>
      <c r="J839" s="37">
        <v>45951.0</v>
      </c>
      <c r="K839" s="11"/>
      <c r="L839" s="11">
        <v>2.0251027E7</v>
      </c>
    </row>
    <row r="840">
      <c r="A840" s="9" t="s">
        <v>4654</v>
      </c>
      <c r="B840" s="11" t="s">
        <v>30</v>
      </c>
      <c r="C840" s="11" t="s">
        <v>35</v>
      </c>
      <c r="D840" s="11" t="s">
        <v>37</v>
      </c>
      <c r="E840" s="11" t="s">
        <v>4657</v>
      </c>
      <c r="F840" s="11">
        <v>8.6450107783712E14</v>
      </c>
      <c r="G840" s="11" t="s">
        <v>4658</v>
      </c>
      <c r="H840" s="11" t="s">
        <v>4280</v>
      </c>
      <c r="I840" s="11" t="s">
        <v>16</v>
      </c>
      <c r="J840" s="37">
        <v>45951.0</v>
      </c>
      <c r="K840" s="11"/>
      <c r="L840" s="11">
        <v>2.0251027E7</v>
      </c>
    </row>
    <row r="841">
      <c r="A841" s="9" t="s">
        <v>4654</v>
      </c>
      <c r="B841" s="11" t="s">
        <v>30</v>
      </c>
      <c r="C841" s="11" t="s">
        <v>35</v>
      </c>
      <c r="D841" s="11" t="s">
        <v>37</v>
      </c>
      <c r="E841" s="11" t="s">
        <v>4659</v>
      </c>
      <c r="F841" s="11">
        <v>8.63406078302804E14</v>
      </c>
      <c r="G841" s="11" t="s">
        <v>4660</v>
      </c>
      <c r="H841" s="11" t="s">
        <v>4280</v>
      </c>
      <c r="I841" s="11" t="s">
        <v>16</v>
      </c>
      <c r="J841" s="37">
        <v>45951.0</v>
      </c>
      <c r="K841" s="11"/>
      <c r="L841" s="11">
        <v>2.0251027E7</v>
      </c>
    </row>
    <row r="842">
      <c r="A842" s="9" t="s">
        <v>4654</v>
      </c>
      <c r="B842" s="11" t="s">
        <v>30</v>
      </c>
      <c r="C842" s="11" t="s">
        <v>35</v>
      </c>
      <c r="D842" s="11" t="s">
        <v>37</v>
      </c>
      <c r="E842" s="11" t="s">
        <v>4661</v>
      </c>
      <c r="F842" s="11">
        <v>8.63406078320418E14</v>
      </c>
      <c r="G842" s="11" t="s">
        <v>4662</v>
      </c>
      <c r="H842" s="11" t="s">
        <v>4280</v>
      </c>
      <c r="I842" s="11" t="s">
        <v>16</v>
      </c>
      <c r="J842" s="37">
        <v>45951.0</v>
      </c>
      <c r="K842" s="11"/>
      <c r="L842" s="11">
        <v>2.0251027E7</v>
      </c>
    </row>
    <row r="843">
      <c r="A843" s="9" t="s">
        <v>4654</v>
      </c>
      <c r="B843" s="11" t="s">
        <v>30</v>
      </c>
      <c r="C843" s="11" t="s">
        <v>35</v>
      </c>
      <c r="D843" s="11" t="s">
        <v>37</v>
      </c>
      <c r="E843" s="11" t="s">
        <v>4663</v>
      </c>
      <c r="F843" s="11">
        <v>8.63406078299034E14</v>
      </c>
      <c r="G843" s="11" t="s">
        <v>4664</v>
      </c>
      <c r="H843" s="11" t="s">
        <v>4280</v>
      </c>
      <c r="I843" s="11" t="s">
        <v>16</v>
      </c>
      <c r="J843" s="37">
        <v>45951.0</v>
      </c>
      <c r="K843" s="11"/>
      <c r="L843" s="11">
        <v>2.0251027E7</v>
      </c>
    </row>
    <row r="844">
      <c r="A844" s="9" t="s">
        <v>4654</v>
      </c>
      <c r="B844" s="11" t="s">
        <v>30</v>
      </c>
      <c r="C844" s="11" t="s">
        <v>35</v>
      </c>
      <c r="D844" s="11" t="s">
        <v>37</v>
      </c>
      <c r="E844" s="11" t="s">
        <v>4665</v>
      </c>
      <c r="F844" s="11">
        <v>8.64501077847491E14</v>
      </c>
      <c r="G844" s="11" t="s">
        <v>4666</v>
      </c>
      <c r="H844" s="11" t="s">
        <v>4280</v>
      </c>
      <c r="I844" s="11" t="s">
        <v>16</v>
      </c>
      <c r="J844" s="37">
        <v>45951.0</v>
      </c>
      <c r="K844" s="11"/>
      <c r="L844" s="11">
        <v>2.0251027E7</v>
      </c>
    </row>
    <row r="845">
      <c r="A845" s="9" t="s">
        <v>4654</v>
      </c>
      <c r="B845" s="11" t="s">
        <v>30</v>
      </c>
      <c r="C845" s="11" t="s">
        <v>35</v>
      </c>
      <c r="D845" s="11" t="s">
        <v>37</v>
      </c>
      <c r="E845" s="11" t="s">
        <v>4667</v>
      </c>
      <c r="F845" s="11">
        <v>8.63406079904137E14</v>
      </c>
      <c r="G845" s="11" t="s">
        <v>4668</v>
      </c>
      <c r="H845" s="11" t="s">
        <v>4280</v>
      </c>
      <c r="I845" s="11" t="s">
        <v>16</v>
      </c>
      <c r="J845" s="37">
        <v>45951.0</v>
      </c>
      <c r="K845" s="11"/>
      <c r="L845" s="11">
        <v>2.0251027E7</v>
      </c>
    </row>
    <row r="846">
      <c r="A846" s="9" t="s">
        <v>4654</v>
      </c>
      <c r="B846" s="11" t="s">
        <v>30</v>
      </c>
      <c r="C846" s="11" t="s">
        <v>35</v>
      </c>
      <c r="D846" s="11" t="s">
        <v>37</v>
      </c>
      <c r="E846" s="11" t="s">
        <v>4669</v>
      </c>
      <c r="F846" s="11">
        <v>8.6450107783726E14</v>
      </c>
      <c r="G846" s="11" t="s">
        <v>4670</v>
      </c>
      <c r="H846" s="11" t="s">
        <v>4280</v>
      </c>
      <c r="I846" s="11" t="s">
        <v>16</v>
      </c>
      <c r="J846" s="37">
        <v>45951.0</v>
      </c>
      <c r="K846" s="11"/>
      <c r="L846" s="11">
        <v>2.0251027E7</v>
      </c>
    </row>
    <row r="847">
      <c r="A847" s="9" t="s">
        <v>4654</v>
      </c>
      <c r="B847" s="11" t="s">
        <v>30</v>
      </c>
      <c r="C847" s="11" t="s">
        <v>35</v>
      </c>
      <c r="D847" s="11" t="s">
        <v>37</v>
      </c>
      <c r="E847" s="11" t="s">
        <v>4671</v>
      </c>
      <c r="F847" s="11">
        <v>8.64501077837369E14</v>
      </c>
      <c r="G847" s="11" t="s">
        <v>4672</v>
      </c>
      <c r="H847" s="11" t="s">
        <v>4280</v>
      </c>
      <c r="I847" s="11" t="s">
        <v>16</v>
      </c>
      <c r="J847" s="37">
        <v>45951.0</v>
      </c>
      <c r="K847" s="11"/>
      <c r="L847" s="11">
        <v>2.0251027E7</v>
      </c>
    </row>
    <row r="848">
      <c r="A848" s="9" t="s">
        <v>4654</v>
      </c>
      <c r="B848" s="11" t="s">
        <v>30</v>
      </c>
      <c r="C848" s="11" t="s">
        <v>35</v>
      </c>
      <c r="D848" s="11" t="s">
        <v>37</v>
      </c>
      <c r="E848" s="11" t="s">
        <v>4673</v>
      </c>
      <c r="F848" s="11">
        <v>8.63406079906652E14</v>
      </c>
      <c r="G848" s="11" t="s">
        <v>4674</v>
      </c>
      <c r="H848" s="11" t="s">
        <v>4280</v>
      </c>
      <c r="I848" s="11" t="s">
        <v>16</v>
      </c>
      <c r="J848" s="37">
        <v>45951.0</v>
      </c>
      <c r="K848" s="11"/>
      <c r="L848" s="11">
        <v>2.0251027E7</v>
      </c>
    </row>
    <row r="849">
      <c r="A849" s="9" t="s">
        <v>4654</v>
      </c>
      <c r="B849" s="11" t="s">
        <v>30</v>
      </c>
      <c r="C849" s="11" t="s">
        <v>35</v>
      </c>
      <c r="D849" s="11" t="s">
        <v>37</v>
      </c>
      <c r="E849" s="11" t="s">
        <v>4675</v>
      </c>
      <c r="F849" s="11">
        <v>8.64501077837765E14</v>
      </c>
      <c r="G849" s="11" t="s">
        <v>4676</v>
      </c>
      <c r="H849" s="11" t="s">
        <v>4280</v>
      </c>
      <c r="I849" s="11" t="s">
        <v>16</v>
      </c>
      <c r="J849" s="37">
        <v>45951.0</v>
      </c>
      <c r="K849" s="11"/>
      <c r="L849" s="11">
        <v>2.0251027E7</v>
      </c>
    </row>
    <row r="850">
      <c r="A850" s="9" t="s">
        <v>4654</v>
      </c>
      <c r="B850" s="11" t="s">
        <v>30</v>
      </c>
      <c r="C850" s="11" t="s">
        <v>35</v>
      </c>
      <c r="D850" s="11" t="s">
        <v>37</v>
      </c>
      <c r="E850" s="11" t="s">
        <v>4677</v>
      </c>
      <c r="F850" s="11">
        <v>8.64501077845065E14</v>
      </c>
      <c r="G850" s="11" t="s">
        <v>4678</v>
      </c>
      <c r="H850" s="11" t="s">
        <v>4280</v>
      </c>
      <c r="I850" s="11" t="s">
        <v>16</v>
      </c>
      <c r="J850" s="37">
        <v>45951.0</v>
      </c>
      <c r="K850" s="11"/>
      <c r="L850" s="11">
        <v>2.0251027E7</v>
      </c>
    </row>
    <row r="851">
      <c r="A851" s="9" t="s">
        <v>4654</v>
      </c>
      <c r="B851" s="11" t="s">
        <v>30</v>
      </c>
      <c r="C851" s="11" t="s">
        <v>35</v>
      </c>
      <c r="D851" s="11" t="s">
        <v>37</v>
      </c>
      <c r="E851" s="11" t="s">
        <v>4679</v>
      </c>
      <c r="F851" s="11">
        <v>8.6340607990548E14</v>
      </c>
      <c r="G851" s="11" t="s">
        <v>4680</v>
      </c>
      <c r="H851" s="11" t="s">
        <v>4280</v>
      </c>
      <c r="I851" s="11" t="s">
        <v>16</v>
      </c>
      <c r="J851" s="37">
        <v>45951.0</v>
      </c>
      <c r="K851" s="11"/>
      <c r="L851" s="11">
        <v>2.0251027E7</v>
      </c>
    </row>
    <row r="852">
      <c r="A852" s="9" t="s">
        <v>4654</v>
      </c>
      <c r="B852" s="11" t="s">
        <v>30</v>
      </c>
      <c r="C852" s="11" t="s">
        <v>35</v>
      </c>
      <c r="D852" s="11" t="s">
        <v>37</v>
      </c>
      <c r="E852" s="11" t="s">
        <v>4681</v>
      </c>
      <c r="F852" s="11">
        <v>8.64501077837799E14</v>
      </c>
      <c r="G852" s="11" t="s">
        <v>4682</v>
      </c>
      <c r="H852" s="11" t="s">
        <v>4280</v>
      </c>
      <c r="I852" s="11" t="s">
        <v>16</v>
      </c>
      <c r="J852" s="37">
        <v>45951.0</v>
      </c>
      <c r="K852" s="11"/>
      <c r="L852" s="11">
        <v>2.0251027E7</v>
      </c>
    </row>
    <row r="853">
      <c r="A853" s="9" t="s">
        <v>4654</v>
      </c>
      <c r="B853" s="11" t="s">
        <v>30</v>
      </c>
      <c r="C853" s="11" t="s">
        <v>35</v>
      </c>
      <c r="D853" s="11" t="s">
        <v>37</v>
      </c>
      <c r="E853" s="11" t="s">
        <v>4683</v>
      </c>
      <c r="F853" s="11">
        <v>8.64501077837526E14</v>
      </c>
      <c r="G853" s="11" t="s">
        <v>4684</v>
      </c>
      <c r="H853" s="11" t="s">
        <v>4280</v>
      </c>
      <c r="I853" s="11" t="s">
        <v>16</v>
      </c>
      <c r="J853" s="37">
        <v>45951.0</v>
      </c>
      <c r="K853" s="11"/>
      <c r="L853" s="11">
        <v>2.0251027E7</v>
      </c>
    </row>
    <row r="854">
      <c r="A854" s="9" t="s">
        <v>4654</v>
      </c>
      <c r="B854" s="11" t="s">
        <v>30</v>
      </c>
      <c r="C854" s="11" t="s">
        <v>35</v>
      </c>
      <c r="D854" s="11" t="s">
        <v>37</v>
      </c>
      <c r="E854" s="11" t="s">
        <v>4685</v>
      </c>
      <c r="F854" s="11">
        <v>8.63406079903196E14</v>
      </c>
      <c r="G854" s="11" t="s">
        <v>4686</v>
      </c>
      <c r="H854" s="11" t="s">
        <v>4280</v>
      </c>
      <c r="I854" s="11" t="s">
        <v>16</v>
      </c>
      <c r="J854" s="37">
        <v>45951.0</v>
      </c>
      <c r="K854" s="11"/>
      <c r="L854" s="11">
        <v>2.0251027E7</v>
      </c>
    </row>
    <row r="855">
      <c r="A855" s="9" t="s">
        <v>4654</v>
      </c>
      <c r="B855" s="11" t="s">
        <v>30</v>
      </c>
      <c r="C855" s="11" t="s">
        <v>35</v>
      </c>
      <c r="D855" s="11" t="s">
        <v>37</v>
      </c>
      <c r="E855" s="11" t="s">
        <v>4687</v>
      </c>
      <c r="F855" s="11">
        <v>8.64501077846667E14</v>
      </c>
      <c r="G855" s="11" t="s">
        <v>4688</v>
      </c>
      <c r="H855" s="11" t="s">
        <v>4280</v>
      </c>
      <c r="I855" s="11" t="s">
        <v>16</v>
      </c>
      <c r="J855" s="37">
        <v>45951.0</v>
      </c>
      <c r="K855" s="11"/>
      <c r="L855" s="11">
        <v>2.0251027E7</v>
      </c>
    </row>
    <row r="856">
      <c r="A856" s="9" t="s">
        <v>4654</v>
      </c>
      <c r="B856" s="11" t="s">
        <v>30</v>
      </c>
      <c r="C856" s="11" t="s">
        <v>35</v>
      </c>
      <c r="D856" s="11" t="s">
        <v>37</v>
      </c>
      <c r="E856" s="11" t="s">
        <v>4689</v>
      </c>
      <c r="F856" s="11">
        <v>8.63406079906256E14</v>
      </c>
      <c r="G856" s="11" t="s">
        <v>4690</v>
      </c>
      <c r="H856" s="11" t="s">
        <v>4280</v>
      </c>
      <c r="I856" s="11" t="s">
        <v>16</v>
      </c>
      <c r="J856" s="37">
        <v>45951.0</v>
      </c>
      <c r="K856" s="11"/>
      <c r="L856" s="11">
        <v>2.0251027E7</v>
      </c>
    </row>
    <row r="857">
      <c r="A857" s="9" t="s">
        <v>4654</v>
      </c>
      <c r="B857" s="11" t="s">
        <v>30</v>
      </c>
      <c r="C857" s="11" t="s">
        <v>35</v>
      </c>
      <c r="D857" s="11" t="s">
        <v>37</v>
      </c>
      <c r="E857" s="11" t="s">
        <v>4691</v>
      </c>
      <c r="F857" s="11">
        <v>8.63406079906496E14</v>
      </c>
      <c r="G857" s="11" t="s">
        <v>4692</v>
      </c>
      <c r="H857" s="11" t="s">
        <v>4280</v>
      </c>
      <c r="I857" s="11" t="s">
        <v>16</v>
      </c>
      <c r="J857" s="37">
        <v>45951.0</v>
      </c>
      <c r="K857" s="11"/>
      <c r="L857" s="11">
        <v>2.0251027E7</v>
      </c>
    </row>
    <row r="858">
      <c r="A858" s="9" t="s">
        <v>4654</v>
      </c>
      <c r="B858" s="11" t="s">
        <v>30</v>
      </c>
      <c r="C858" s="11" t="s">
        <v>35</v>
      </c>
      <c r="D858" s="11" t="s">
        <v>37</v>
      </c>
      <c r="E858" s="11" t="s">
        <v>4693</v>
      </c>
      <c r="F858" s="11">
        <v>8.645010778433E14</v>
      </c>
      <c r="G858" s="11" t="s">
        <v>4694</v>
      </c>
      <c r="H858" s="11" t="s">
        <v>4280</v>
      </c>
      <c r="I858" s="11" t="s">
        <v>16</v>
      </c>
      <c r="J858" s="37">
        <v>45951.0</v>
      </c>
      <c r="K858" s="11"/>
      <c r="L858" s="11">
        <v>2.0251027E7</v>
      </c>
    </row>
    <row r="859">
      <c r="A859" s="9" t="s">
        <v>4654</v>
      </c>
      <c r="B859" s="11" t="s">
        <v>30</v>
      </c>
      <c r="C859" s="11" t="s">
        <v>35</v>
      </c>
      <c r="D859" s="11" t="s">
        <v>37</v>
      </c>
      <c r="E859" s="11" t="s">
        <v>4695</v>
      </c>
      <c r="F859" s="11">
        <v>8.63406078297012E14</v>
      </c>
      <c r="G859" s="11" t="s">
        <v>4696</v>
      </c>
      <c r="H859" s="11" t="s">
        <v>4280</v>
      </c>
      <c r="I859" s="11" t="s">
        <v>16</v>
      </c>
      <c r="J859" s="37">
        <v>45951.0</v>
      </c>
      <c r="K859" s="11"/>
      <c r="L859" s="11">
        <v>2.0251027E7</v>
      </c>
    </row>
    <row r="860">
      <c r="A860" s="9" t="s">
        <v>4654</v>
      </c>
      <c r="B860" s="11" t="s">
        <v>30</v>
      </c>
      <c r="C860" s="11" t="s">
        <v>35</v>
      </c>
      <c r="D860" s="11" t="s">
        <v>37</v>
      </c>
      <c r="E860" s="11" t="s">
        <v>4697</v>
      </c>
      <c r="F860" s="11">
        <v>8.63406079904186E14</v>
      </c>
      <c r="G860" s="11" t="s">
        <v>4698</v>
      </c>
      <c r="H860" s="11" t="s">
        <v>4280</v>
      </c>
      <c r="I860" s="11" t="s">
        <v>16</v>
      </c>
      <c r="J860" s="37">
        <v>45951.0</v>
      </c>
      <c r="K860" s="11"/>
      <c r="L860" s="11">
        <v>2.0251027E7</v>
      </c>
    </row>
    <row r="861">
      <c r="A861" s="9" t="s">
        <v>4654</v>
      </c>
      <c r="B861" s="11" t="s">
        <v>30</v>
      </c>
      <c r="C861" s="11" t="s">
        <v>35</v>
      </c>
      <c r="D861" s="11" t="s">
        <v>37</v>
      </c>
      <c r="E861" s="11" t="s">
        <v>4699</v>
      </c>
      <c r="F861" s="11">
        <v>8.64501077837047E14</v>
      </c>
      <c r="G861" s="11" t="s">
        <v>4700</v>
      </c>
      <c r="H861" s="11" t="s">
        <v>4280</v>
      </c>
      <c r="I861" s="11" t="s">
        <v>16</v>
      </c>
      <c r="J861" s="37">
        <v>45951.0</v>
      </c>
      <c r="K861" s="11"/>
      <c r="L861" s="11">
        <v>2.0251027E7</v>
      </c>
    </row>
    <row r="862">
      <c r="A862" s="9" t="s">
        <v>4654</v>
      </c>
      <c r="B862" s="11" t="s">
        <v>30</v>
      </c>
      <c r="C862" s="11" t="s">
        <v>35</v>
      </c>
      <c r="D862" s="11" t="s">
        <v>37</v>
      </c>
      <c r="E862" s="11" t="s">
        <v>4701</v>
      </c>
      <c r="F862" s="11">
        <v>8.64501077837328E14</v>
      </c>
      <c r="G862" s="11" t="s">
        <v>4702</v>
      </c>
      <c r="H862" s="11" t="s">
        <v>4280</v>
      </c>
      <c r="I862" s="11" t="s">
        <v>16</v>
      </c>
      <c r="J862" s="37">
        <v>45951.0</v>
      </c>
      <c r="K862" s="11"/>
      <c r="L862" s="11">
        <v>2.0251027E7</v>
      </c>
    </row>
    <row r="863">
      <c r="A863" s="9" t="s">
        <v>4654</v>
      </c>
      <c r="B863" s="11" t="s">
        <v>30</v>
      </c>
      <c r="C863" s="11" t="s">
        <v>35</v>
      </c>
      <c r="D863" s="11" t="s">
        <v>37</v>
      </c>
      <c r="E863" s="11" t="s">
        <v>4703</v>
      </c>
      <c r="F863" s="11">
        <v>8.63406079906389E14</v>
      </c>
      <c r="G863" s="11" t="s">
        <v>4704</v>
      </c>
      <c r="H863" s="11" t="s">
        <v>4280</v>
      </c>
      <c r="I863" s="11" t="s">
        <v>16</v>
      </c>
      <c r="J863" s="37">
        <v>45951.0</v>
      </c>
      <c r="K863" s="11"/>
      <c r="L863" s="11">
        <v>2.0251027E7</v>
      </c>
    </row>
    <row r="864">
      <c r="A864" s="9" t="s">
        <v>4654</v>
      </c>
      <c r="B864" s="11" t="s">
        <v>30</v>
      </c>
      <c r="C864" s="11" t="s">
        <v>35</v>
      </c>
      <c r="D864" s="11" t="s">
        <v>37</v>
      </c>
      <c r="E864" s="11" t="s">
        <v>4705</v>
      </c>
      <c r="F864" s="11">
        <v>8.63406079906363E14</v>
      </c>
      <c r="G864" s="11" t="s">
        <v>4706</v>
      </c>
      <c r="H864" s="11" t="s">
        <v>4280</v>
      </c>
      <c r="I864" s="11" t="s">
        <v>16</v>
      </c>
      <c r="J864" s="37">
        <v>45951.0</v>
      </c>
      <c r="K864" s="11"/>
      <c r="L864" s="11">
        <v>2.0251027E7</v>
      </c>
    </row>
    <row r="865">
      <c r="A865" s="9" t="s">
        <v>4654</v>
      </c>
      <c r="B865" s="11" t="s">
        <v>30</v>
      </c>
      <c r="C865" s="11" t="s">
        <v>35</v>
      </c>
      <c r="D865" s="11" t="s">
        <v>37</v>
      </c>
      <c r="E865" s="11" t="s">
        <v>4707</v>
      </c>
      <c r="F865" s="11">
        <v>8.63406079906272E14</v>
      </c>
      <c r="G865" s="11" t="s">
        <v>4708</v>
      </c>
      <c r="H865" s="11" t="s">
        <v>4280</v>
      </c>
      <c r="I865" s="11" t="s">
        <v>16</v>
      </c>
      <c r="J865" s="37">
        <v>45951.0</v>
      </c>
      <c r="K865" s="11"/>
      <c r="L865" s="11">
        <v>2.0251027E7</v>
      </c>
    </row>
    <row r="866">
      <c r="A866" s="9" t="s">
        <v>4654</v>
      </c>
      <c r="B866" s="11" t="s">
        <v>30</v>
      </c>
      <c r="C866" s="11" t="s">
        <v>35</v>
      </c>
      <c r="D866" s="11" t="s">
        <v>37</v>
      </c>
      <c r="E866" s="11" t="s">
        <v>4709</v>
      </c>
      <c r="F866" s="11">
        <v>8.63406079906298E14</v>
      </c>
      <c r="G866" s="11" t="s">
        <v>4710</v>
      </c>
      <c r="H866" s="11" t="s">
        <v>4280</v>
      </c>
      <c r="I866" s="11" t="s">
        <v>16</v>
      </c>
      <c r="J866" s="37">
        <v>45951.0</v>
      </c>
      <c r="K866" s="11"/>
      <c r="L866" s="11">
        <v>2.0251027E7</v>
      </c>
    </row>
    <row r="867">
      <c r="A867" s="9" t="s">
        <v>4654</v>
      </c>
      <c r="B867" s="11" t="s">
        <v>30</v>
      </c>
      <c r="C867" s="11" t="s">
        <v>35</v>
      </c>
      <c r="D867" s="11" t="s">
        <v>37</v>
      </c>
      <c r="E867" s="11" t="s">
        <v>4711</v>
      </c>
      <c r="F867" s="11">
        <v>8.63406079905563E14</v>
      </c>
      <c r="G867" s="11" t="s">
        <v>4712</v>
      </c>
      <c r="H867" s="11" t="s">
        <v>4280</v>
      </c>
      <c r="I867" s="11" t="s">
        <v>16</v>
      </c>
      <c r="J867" s="37">
        <v>45951.0</v>
      </c>
      <c r="K867" s="11"/>
      <c r="L867" s="11">
        <v>2.0251027E7</v>
      </c>
    </row>
    <row r="868">
      <c r="A868" s="9" t="s">
        <v>4654</v>
      </c>
      <c r="B868" s="11" t="s">
        <v>30</v>
      </c>
      <c r="C868" s="11" t="s">
        <v>35</v>
      </c>
      <c r="D868" s="11" t="s">
        <v>37</v>
      </c>
      <c r="E868" s="11" t="s">
        <v>4713</v>
      </c>
      <c r="F868" s="11">
        <v>8.63406079911959E14</v>
      </c>
      <c r="G868" s="11" t="s">
        <v>4714</v>
      </c>
      <c r="H868" s="11" t="s">
        <v>4280</v>
      </c>
      <c r="I868" s="11" t="s">
        <v>16</v>
      </c>
      <c r="J868" s="37">
        <v>45951.0</v>
      </c>
      <c r="K868" s="11"/>
      <c r="L868" s="11">
        <v>2.0251027E7</v>
      </c>
    </row>
    <row r="869">
      <c r="A869" s="9" t="s">
        <v>4654</v>
      </c>
      <c r="B869" s="11" t="s">
        <v>30</v>
      </c>
      <c r="C869" s="11" t="s">
        <v>35</v>
      </c>
      <c r="D869" s="11" t="s">
        <v>37</v>
      </c>
      <c r="E869" s="11" t="s">
        <v>4715</v>
      </c>
      <c r="F869" s="11">
        <v>8.64501077843029E14</v>
      </c>
      <c r="G869" s="11" t="s">
        <v>4716</v>
      </c>
      <c r="H869" s="11" t="s">
        <v>4280</v>
      </c>
      <c r="I869" s="11" t="s">
        <v>16</v>
      </c>
      <c r="J869" s="37">
        <v>45951.0</v>
      </c>
      <c r="K869" s="11"/>
      <c r="L869" s="11">
        <v>2.0251027E7</v>
      </c>
    </row>
    <row r="870">
      <c r="A870" s="9" t="s">
        <v>4654</v>
      </c>
      <c r="B870" s="11" t="s">
        <v>30</v>
      </c>
      <c r="C870" s="11" t="s">
        <v>35</v>
      </c>
      <c r="D870" s="11" t="s">
        <v>37</v>
      </c>
      <c r="E870" s="11" t="s">
        <v>4717</v>
      </c>
      <c r="F870" s="11">
        <v>8.63406078319972E14</v>
      </c>
      <c r="G870" s="11" t="s">
        <v>4718</v>
      </c>
      <c r="H870" s="11" t="s">
        <v>4280</v>
      </c>
      <c r="I870" s="11" t="s">
        <v>16</v>
      </c>
      <c r="J870" s="37">
        <v>45951.0</v>
      </c>
      <c r="K870" s="11"/>
      <c r="L870" s="11">
        <v>2.0251027E7</v>
      </c>
    </row>
    <row r="871">
      <c r="A871" s="9" t="s">
        <v>4654</v>
      </c>
      <c r="B871" s="11" t="s">
        <v>30</v>
      </c>
      <c r="C871" s="11" t="s">
        <v>35</v>
      </c>
      <c r="D871" s="11" t="s">
        <v>37</v>
      </c>
      <c r="E871" s="11" t="s">
        <v>4719</v>
      </c>
      <c r="F871" s="11">
        <v>8.63406079906124E14</v>
      </c>
      <c r="G871" s="11" t="s">
        <v>4720</v>
      </c>
      <c r="H871" s="11" t="s">
        <v>4280</v>
      </c>
      <c r="I871" s="11" t="s">
        <v>16</v>
      </c>
      <c r="J871" s="37">
        <v>45951.0</v>
      </c>
      <c r="K871" s="11"/>
      <c r="L871" s="11">
        <v>2.0251027E7</v>
      </c>
    </row>
    <row r="872">
      <c r="A872" s="9" t="s">
        <v>4654</v>
      </c>
      <c r="B872" s="11" t="s">
        <v>30</v>
      </c>
      <c r="C872" s="11" t="s">
        <v>35</v>
      </c>
      <c r="D872" s="11" t="s">
        <v>37</v>
      </c>
      <c r="E872" s="11" t="s">
        <v>4721</v>
      </c>
      <c r="F872" s="11">
        <v>8.6340607990534E14</v>
      </c>
      <c r="G872" s="11" t="s">
        <v>4722</v>
      </c>
      <c r="H872" s="11" t="s">
        <v>4280</v>
      </c>
      <c r="I872" s="11" t="s">
        <v>16</v>
      </c>
      <c r="J872" s="37">
        <v>45951.0</v>
      </c>
      <c r="K872" s="11"/>
      <c r="L872" s="11">
        <v>2.0251027E7</v>
      </c>
    </row>
    <row r="873">
      <c r="A873" s="9" t="s">
        <v>4654</v>
      </c>
      <c r="B873" s="11" t="s">
        <v>30</v>
      </c>
      <c r="C873" s="11" t="s">
        <v>35</v>
      </c>
      <c r="D873" s="11" t="s">
        <v>37</v>
      </c>
      <c r="E873" s="11" t="s">
        <v>4723</v>
      </c>
      <c r="F873" s="11">
        <v>8.64501077837955E14</v>
      </c>
      <c r="G873" s="11" t="s">
        <v>4724</v>
      </c>
      <c r="H873" s="11" t="s">
        <v>4280</v>
      </c>
      <c r="I873" s="11" t="s">
        <v>16</v>
      </c>
      <c r="J873" s="37">
        <v>45951.0</v>
      </c>
      <c r="K873" s="11"/>
      <c r="L873" s="11">
        <v>2.0251027E7</v>
      </c>
    </row>
    <row r="874">
      <c r="A874" s="9" t="s">
        <v>4654</v>
      </c>
      <c r="B874" s="11" t="s">
        <v>30</v>
      </c>
      <c r="C874" s="11" t="s">
        <v>35</v>
      </c>
      <c r="D874" s="11" t="s">
        <v>37</v>
      </c>
      <c r="E874" s="11" t="s">
        <v>4725</v>
      </c>
      <c r="F874" s="11">
        <v>8.63406078319857E14</v>
      </c>
      <c r="G874" s="11" t="s">
        <v>4726</v>
      </c>
      <c r="H874" s="11" t="s">
        <v>4280</v>
      </c>
      <c r="I874" s="11" t="s">
        <v>16</v>
      </c>
      <c r="J874" s="37">
        <v>45951.0</v>
      </c>
      <c r="K874" s="11"/>
      <c r="L874" s="11">
        <v>2.0251027E7</v>
      </c>
    </row>
    <row r="875">
      <c r="A875" s="9" t="s">
        <v>4654</v>
      </c>
      <c r="B875" s="11" t="s">
        <v>30</v>
      </c>
      <c r="C875" s="11" t="s">
        <v>35</v>
      </c>
      <c r="D875" s="11" t="s">
        <v>37</v>
      </c>
      <c r="E875" s="11" t="s">
        <v>4727</v>
      </c>
      <c r="F875" s="11">
        <v>8.64501077844258E14</v>
      </c>
      <c r="G875" s="11" t="s">
        <v>4728</v>
      </c>
      <c r="H875" s="11" t="s">
        <v>4280</v>
      </c>
      <c r="I875" s="11" t="s">
        <v>16</v>
      </c>
      <c r="J875" s="37">
        <v>45951.0</v>
      </c>
      <c r="K875" s="11"/>
      <c r="L875" s="11">
        <v>2.0251027E7</v>
      </c>
    </row>
    <row r="876">
      <c r="A876" s="9" t="s">
        <v>4654</v>
      </c>
      <c r="B876" s="11" t="s">
        <v>30</v>
      </c>
      <c r="C876" s="11" t="s">
        <v>35</v>
      </c>
      <c r="D876" s="11" t="s">
        <v>37</v>
      </c>
      <c r="E876" s="11" t="s">
        <v>4729</v>
      </c>
      <c r="F876" s="11">
        <v>8.64501077837468E14</v>
      </c>
      <c r="G876" s="11" t="s">
        <v>4730</v>
      </c>
      <c r="H876" s="11" t="s">
        <v>4280</v>
      </c>
      <c r="I876" s="11" t="s">
        <v>16</v>
      </c>
      <c r="J876" s="37">
        <v>45951.0</v>
      </c>
      <c r="K876" s="11"/>
      <c r="L876" s="11">
        <v>2.0251027E7</v>
      </c>
    </row>
    <row r="877">
      <c r="A877" s="9" t="s">
        <v>4654</v>
      </c>
      <c r="B877" s="11" t="s">
        <v>30</v>
      </c>
      <c r="C877" s="11" t="s">
        <v>35</v>
      </c>
      <c r="D877" s="11" t="s">
        <v>37</v>
      </c>
      <c r="E877" s="11" t="s">
        <v>4731</v>
      </c>
      <c r="F877" s="11">
        <v>8.63406079906694E14</v>
      </c>
      <c r="G877" s="11" t="s">
        <v>4732</v>
      </c>
      <c r="H877" s="11" t="s">
        <v>4280</v>
      </c>
      <c r="I877" s="11" t="s">
        <v>16</v>
      </c>
      <c r="J877" s="37">
        <v>45951.0</v>
      </c>
      <c r="K877" s="11"/>
      <c r="L877" s="11">
        <v>2.0251027E7</v>
      </c>
    </row>
    <row r="878">
      <c r="A878" s="9" t="s">
        <v>4654</v>
      </c>
      <c r="B878" s="11" t="s">
        <v>30</v>
      </c>
      <c r="C878" s="11" t="s">
        <v>35</v>
      </c>
      <c r="D878" s="11" t="s">
        <v>37</v>
      </c>
      <c r="E878" s="11" t="s">
        <v>4733</v>
      </c>
      <c r="F878" s="11">
        <v>8.63406079912114E14</v>
      </c>
      <c r="G878" s="11" t="s">
        <v>4734</v>
      </c>
      <c r="H878" s="11" t="s">
        <v>4280</v>
      </c>
      <c r="I878" s="11" t="s">
        <v>16</v>
      </c>
      <c r="J878" s="37">
        <v>45951.0</v>
      </c>
      <c r="K878" s="11"/>
      <c r="L878" s="11">
        <v>2.0251027E7</v>
      </c>
    </row>
    <row r="879">
      <c r="A879" s="9" t="s">
        <v>4654</v>
      </c>
      <c r="B879" s="11" t="s">
        <v>30</v>
      </c>
      <c r="C879" s="11" t="s">
        <v>35</v>
      </c>
      <c r="D879" s="11" t="s">
        <v>37</v>
      </c>
      <c r="E879" s="11" t="s">
        <v>4735</v>
      </c>
      <c r="F879" s="11">
        <v>8.64501077842948E14</v>
      </c>
      <c r="G879" s="11" t="s">
        <v>4736</v>
      </c>
      <c r="H879" s="11" t="s">
        <v>4280</v>
      </c>
      <c r="I879" s="11" t="s">
        <v>16</v>
      </c>
      <c r="J879" s="37">
        <v>45951.0</v>
      </c>
      <c r="K879" s="11"/>
      <c r="L879" s="11">
        <v>2.0251027E7</v>
      </c>
    </row>
    <row r="880">
      <c r="A880" s="9" t="s">
        <v>4654</v>
      </c>
      <c r="B880" s="11" t="s">
        <v>30</v>
      </c>
      <c r="C880" s="11" t="s">
        <v>35</v>
      </c>
      <c r="D880" s="11" t="s">
        <v>37</v>
      </c>
      <c r="E880" s="11" t="s">
        <v>4737</v>
      </c>
      <c r="F880" s="11">
        <v>8.6340607990685E14</v>
      </c>
      <c r="G880" s="11" t="s">
        <v>4738</v>
      </c>
      <c r="H880" s="11" t="s">
        <v>4280</v>
      </c>
      <c r="I880" s="11" t="s">
        <v>16</v>
      </c>
      <c r="J880" s="37">
        <v>45951.0</v>
      </c>
      <c r="K880" s="11"/>
      <c r="L880" s="11">
        <v>2.0251027E7</v>
      </c>
    </row>
    <row r="881">
      <c r="A881" s="9" t="s">
        <v>4654</v>
      </c>
      <c r="B881" s="11" t="s">
        <v>30</v>
      </c>
      <c r="C881" s="11" t="s">
        <v>35</v>
      </c>
      <c r="D881" s="11" t="s">
        <v>37</v>
      </c>
      <c r="E881" s="11" t="s">
        <v>4739</v>
      </c>
      <c r="F881" s="11">
        <v>8.63406079906819E14</v>
      </c>
      <c r="G881" s="11" t="s">
        <v>4740</v>
      </c>
      <c r="H881" s="11" t="s">
        <v>4280</v>
      </c>
      <c r="I881" s="11" t="s">
        <v>16</v>
      </c>
      <c r="J881" s="37">
        <v>45951.0</v>
      </c>
      <c r="K881" s="11"/>
      <c r="L881" s="11">
        <v>2.0251027E7</v>
      </c>
    </row>
    <row r="882">
      <c r="A882" s="9" t="s">
        <v>4654</v>
      </c>
      <c r="B882" s="11" t="s">
        <v>30</v>
      </c>
      <c r="C882" s="11" t="s">
        <v>35</v>
      </c>
      <c r="D882" s="11" t="s">
        <v>37</v>
      </c>
      <c r="E882" s="11" t="s">
        <v>4741</v>
      </c>
      <c r="F882" s="11">
        <v>8.63406079905639E14</v>
      </c>
      <c r="G882" s="11" t="s">
        <v>4742</v>
      </c>
      <c r="H882" s="11" t="s">
        <v>4280</v>
      </c>
      <c r="I882" s="11" t="s">
        <v>16</v>
      </c>
      <c r="J882" s="37">
        <v>45951.0</v>
      </c>
      <c r="K882" s="11"/>
      <c r="L882" s="11">
        <v>2.0251027E7</v>
      </c>
    </row>
    <row r="883">
      <c r="A883" s="9" t="s">
        <v>4654</v>
      </c>
      <c r="B883" s="11" t="s">
        <v>30</v>
      </c>
      <c r="C883" s="11" t="s">
        <v>35</v>
      </c>
      <c r="D883" s="11" t="s">
        <v>37</v>
      </c>
      <c r="E883" s="11" t="s">
        <v>4743</v>
      </c>
      <c r="F883" s="11">
        <v>8.64501077837443E14</v>
      </c>
      <c r="G883" s="11" t="s">
        <v>4744</v>
      </c>
      <c r="H883" s="11" t="s">
        <v>4280</v>
      </c>
      <c r="I883" s="11" t="s">
        <v>16</v>
      </c>
      <c r="J883" s="37">
        <v>45951.0</v>
      </c>
      <c r="K883" s="11"/>
      <c r="L883" s="11">
        <v>2.0251027E7</v>
      </c>
    </row>
    <row r="884">
      <c r="A884" s="9" t="s">
        <v>4654</v>
      </c>
      <c r="B884" s="11" t="s">
        <v>30</v>
      </c>
      <c r="C884" s="11" t="s">
        <v>35</v>
      </c>
      <c r="D884" s="11" t="s">
        <v>37</v>
      </c>
      <c r="E884" s="11" t="s">
        <v>4745</v>
      </c>
      <c r="F884" s="11">
        <v>8.63406078320053E14</v>
      </c>
      <c r="G884" s="11" t="s">
        <v>4746</v>
      </c>
      <c r="H884" s="11" t="s">
        <v>4280</v>
      </c>
      <c r="I884" s="11" t="s">
        <v>16</v>
      </c>
      <c r="J884" s="37">
        <v>45951.0</v>
      </c>
      <c r="K884" s="11"/>
      <c r="L884" s="11">
        <v>2.0251027E7</v>
      </c>
    </row>
    <row r="885">
      <c r="A885" s="9" t="s">
        <v>4654</v>
      </c>
      <c r="B885" s="11" t="s">
        <v>30</v>
      </c>
      <c r="C885" s="11" t="s">
        <v>35</v>
      </c>
      <c r="D885" s="11" t="s">
        <v>37</v>
      </c>
      <c r="E885" s="11" t="s">
        <v>4747</v>
      </c>
      <c r="F885" s="11">
        <v>8.64501077843557E14</v>
      </c>
      <c r="G885" s="11" t="s">
        <v>4748</v>
      </c>
      <c r="H885" s="11" t="s">
        <v>4280</v>
      </c>
      <c r="I885" s="11" t="s">
        <v>16</v>
      </c>
      <c r="J885" s="37">
        <v>45951.0</v>
      </c>
      <c r="K885" s="11"/>
      <c r="L885" s="11">
        <v>2.0251027E7</v>
      </c>
    </row>
    <row r="886">
      <c r="A886" s="9" t="s">
        <v>4654</v>
      </c>
      <c r="B886" s="11" t="s">
        <v>30</v>
      </c>
      <c r="C886" s="11" t="s">
        <v>35</v>
      </c>
      <c r="D886" s="11" t="s">
        <v>37</v>
      </c>
      <c r="E886" s="11" t="s">
        <v>4749</v>
      </c>
      <c r="F886" s="11">
        <v>8.63406078299737E14</v>
      </c>
      <c r="G886" s="11" t="s">
        <v>4750</v>
      </c>
      <c r="H886" s="11" t="s">
        <v>4280</v>
      </c>
      <c r="I886" s="11" t="s">
        <v>16</v>
      </c>
      <c r="J886" s="37">
        <v>45951.0</v>
      </c>
      <c r="K886" s="11"/>
      <c r="L886" s="11">
        <v>2.0251027E7</v>
      </c>
    </row>
    <row r="887">
      <c r="A887" s="9" t="s">
        <v>4654</v>
      </c>
      <c r="B887" s="11" t="s">
        <v>30</v>
      </c>
      <c r="C887" s="11" t="s">
        <v>35</v>
      </c>
      <c r="D887" s="11" t="s">
        <v>37</v>
      </c>
      <c r="E887" s="11" t="s">
        <v>4751</v>
      </c>
      <c r="F887" s="11">
        <v>8.6450107783689E14</v>
      </c>
      <c r="G887" s="11" t="s">
        <v>4752</v>
      </c>
      <c r="H887" s="11" t="s">
        <v>4280</v>
      </c>
      <c r="I887" s="11" t="s">
        <v>16</v>
      </c>
      <c r="J887" s="37">
        <v>45951.0</v>
      </c>
      <c r="K887" s="11"/>
      <c r="L887" s="11">
        <v>2.0251027E7</v>
      </c>
    </row>
    <row r="888">
      <c r="A888" s="9" t="s">
        <v>4654</v>
      </c>
      <c r="B888" s="11" t="s">
        <v>30</v>
      </c>
      <c r="C888" s="11" t="s">
        <v>35</v>
      </c>
      <c r="D888" s="11" t="s">
        <v>37</v>
      </c>
      <c r="E888" s="11" t="s">
        <v>4753</v>
      </c>
      <c r="F888" s="11">
        <v>8.63406079907353E14</v>
      </c>
      <c r="G888" s="11" t="s">
        <v>4754</v>
      </c>
      <c r="H888" s="11" t="s">
        <v>4280</v>
      </c>
      <c r="I888" s="11" t="s">
        <v>16</v>
      </c>
      <c r="J888" s="37">
        <v>45951.0</v>
      </c>
      <c r="K888" s="11"/>
      <c r="L888" s="11">
        <v>2.0251027E7</v>
      </c>
    </row>
    <row r="889">
      <c r="A889" s="9" t="s">
        <v>4654</v>
      </c>
      <c r="B889" s="11" t="s">
        <v>30</v>
      </c>
      <c r="C889" s="11" t="s">
        <v>35</v>
      </c>
      <c r="D889" s="11" t="s">
        <v>37</v>
      </c>
      <c r="E889" s="11" t="s">
        <v>4755</v>
      </c>
      <c r="F889" s="11">
        <v>8.64501077848002E14</v>
      </c>
      <c r="G889" s="11" t="s">
        <v>4756</v>
      </c>
      <c r="H889" s="11" t="s">
        <v>4280</v>
      </c>
      <c r="I889" s="11" t="s">
        <v>16</v>
      </c>
      <c r="J889" s="37">
        <v>45951.0</v>
      </c>
      <c r="K889" s="11"/>
      <c r="L889" s="11">
        <v>2.0251027E7</v>
      </c>
    </row>
    <row r="890">
      <c r="A890" s="9" t="s">
        <v>4654</v>
      </c>
      <c r="B890" s="11" t="s">
        <v>30</v>
      </c>
      <c r="C890" s="11" t="s">
        <v>35</v>
      </c>
      <c r="D890" s="11" t="s">
        <v>37</v>
      </c>
      <c r="E890" s="11" t="s">
        <v>4757</v>
      </c>
      <c r="F890" s="11">
        <v>8.63406079906785E14</v>
      </c>
      <c r="G890" s="11" t="s">
        <v>4758</v>
      </c>
      <c r="H890" s="11" t="s">
        <v>4280</v>
      </c>
      <c r="I890" s="11" t="s">
        <v>16</v>
      </c>
      <c r="J890" s="37">
        <v>45951.0</v>
      </c>
      <c r="K890" s="11"/>
      <c r="L890" s="11">
        <v>2.0251027E7</v>
      </c>
    </row>
    <row r="891">
      <c r="A891" s="9" t="s">
        <v>4654</v>
      </c>
      <c r="B891" s="11" t="s">
        <v>30</v>
      </c>
      <c r="C891" s="11" t="s">
        <v>35</v>
      </c>
      <c r="D891" s="11" t="s">
        <v>37</v>
      </c>
      <c r="E891" s="11" t="s">
        <v>4759</v>
      </c>
      <c r="F891" s="11">
        <v>8.63406078301475E14</v>
      </c>
      <c r="G891" s="11" t="s">
        <v>4760</v>
      </c>
      <c r="H891" s="11" t="s">
        <v>4280</v>
      </c>
      <c r="I891" s="11" t="s">
        <v>16</v>
      </c>
      <c r="J891" s="37">
        <v>45951.0</v>
      </c>
      <c r="K891" s="11"/>
      <c r="L891" s="11">
        <v>2.0251027E7</v>
      </c>
    </row>
    <row r="892">
      <c r="A892" s="9" t="s">
        <v>4654</v>
      </c>
      <c r="B892" s="11" t="s">
        <v>30</v>
      </c>
      <c r="C892" s="11" t="s">
        <v>35</v>
      </c>
      <c r="D892" s="11" t="s">
        <v>37</v>
      </c>
      <c r="E892" s="11" t="s">
        <v>4761</v>
      </c>
      <c r="F892" s="11">
        <v>8.63406078318537E14</v>
      </c>
      <c r="G892" s="11" t="s">
        <v>4762</v>
      </c>
      <c r="H892" s="11" t="s">
        <v>4280</v>
      </c>
      <c r="I892" s="11" t="s">
        <v>16</v>
      </c>
      <c r="J892" s="37">
        <v>45951.0</v>
      </c>
      <c r="K892" s="11"/>
      <c r="L892" s="11">
        <v>2.0251027E7</v>
      </c>
    </row>
    <row r="893">
      <c r="A893" s="9" t="s">
        <v>4654</v>
      </c>
      <c r="B893" s="11" t="s">
        <v>30</v>
      </c>
      <c r="C893" s="11" t="s">
        <v>35</v>
      </c>
      <c r="D893" s="11" t="s">
        <v>37</v>
      </c>
      <c r="E893" s="11" t="s">
        <v>4763</v>
      </c>
      <c r="F893" s="11">
        <v>8.64501077844191E14</v>
      </c>
      <c r="G893" s="11" t="s">
        <v>4764</v>
      </c>
      <c r="H893" s="11" t="s">
        <v>4280</v>
      </c>
      <c r="I893" s="11" t="s">
        <v>16</v>
      </c>
      <c r="J893" s="37">
        <v>45951.0</v>
      </c>
      <c r="K893" s="11"/>
      <c r="L893" s="11">
        <v>2.0251027E7</v>
      </c>
    </row>
    <row r="894">
      <c r="A894" s="9" t="s">
        <v>4654</v>
      </c>
      <c r="B894" s="11" t="s">
        <v>30</v>
      </c>
      <c r="C894" s="11" t="s">
        <v>35</v>
      </c>
      <c r="D894" s="11" t="s">
        <v>37</v>
      </c>
      <c r="E894" s="11" t="s">
        <v>4765</v>
      </c>
      <c r="F894" s="11">
        <v>8.6340607990732E14</v>
      </c>
      <c r="G894" s="11" t="s">
        <v>4766</v>
      </c>
      <c r="H894" s="11" t="s">
        <v>4280</v>
      </c>
      <c r="I894" s="11" t="s">
        <v>16</v>
      </c>
      <c r="J894" s="37">
        <v>45951.0</v>
      </c>
      <c r="K894" s="11"/>
      <c r="L894" s="11">
        <v>2.0251027E7</v>
      </c>
    </row>
    <row r="895">
      <c r="A895" s="9" t="s">
        <v>4654</v>
      </c>
      <c r="B895" s="11" t="s">
        <v>30</v>
      </c>
      <c r="C895" s="11" t="s">
        <v>35</v>
      </c>
      <c r="D895" s="11" t="s">
        <v>37</v>
      </c>
      <c r="E895" s="11" t="s">
        <v>4767</v>
      </c>
      <c r="F895" s="11">
        <v>8.64501077844159E14</v>
      </c>
      <c r="G895" s="11" t="s">
        <v>4768</v>
      </c>
      <c r="H895" s="11" t="s">
        <v>4280</v>
      </c>
      <c r="I895" s="11" t="s">
        <v>16</v>
      </c>
      <c r="J895" s="37">
        <v>45951.0</v>
      </c>
      <c r="K895" s="11"/>
      <c r="L895" s="11">
        <v>2.0251027E7</v>
      </c>
    </row>
    <row r="896">
      <c r="A896" s="9" t="s">
        <v>4654</v>
      </c>
      <c r="B896" s="11" t="s">
        <v>30</v>
      </c>
      <c r="C896" s="11" t="s">
        <v>35</v>
      </c>
      <c r="D896" s="11" t="s">
        <v>37</v>
      </c>
      <c r="E896" s="11" t="s">
        <v>4769</v>
      </c>
      <c r="F896" s="11">
        <v>8.63406079905258E14</v>
      </c>
      <c r="G896" s="11" t="s">
        <v>4770</v>
      </c>
      <c r="H896" s="11" t="s">
        <v>4280</v>
      </c>
      <c r="I896" s="11" t="s">
        <v>16</v>
      </c>
      <c r="J896" s="37">
        <v>45951.0</v>
      </c>
      <c r="K896" s="11"/>
      <c r="L896" s="11">
        <v>2.0251027E7</v>
      </c>
    </row>
    <row r="897">
      <c r="A897" s="9" t="s">
        <v>4654</v>
      </c>
      <c r="B897" s="11" t="s">
        <v>30</v>
      </c>
      <c r="C897" s="11" t="s">
        <v>35</v>
      </c>
      <c r="D897" s="11" t="s">
        <v>37</v>
      </c>
      <c r="E897" s="11" t="s">
        <v>4771</v>
      </c>
      <c r="F897" s="11">
        <v>8.64501077843805E14</v>
      </c>
      <c r="G897" s="11" t="s">
        <v>4772</v>
      </c>
      <c r="H897" s="11" t="s">
        <v>4280</v>
      </c>
      <c r="I897" s="11" t="s">
        <v>16</v>
      </c>
      <c r="J897" s="37">
        <v>45951.0</v>
      </c>
      <c r="K897" s="11"/>
      <c r="L897" s="11">
        <v>2.0251027E7</v>
      </c>
    </row>
    <row r="898">
      <c r="A898" s="9" t="s">
        <v>4654</v>
      </c>
      <c r="B898" s="11" t="s">
        <v>30</v>
      </c>
      <c r="C898" s="11" t="s">
        <v>35</v>
      </c>
      <c r="D898" s="11" t="s">
        <v>37</v>
      </c>
      <c r="E898" s="11" t="s">
        <v>4773</v>
      </c>
      <c r="F898" s="11">
        <v>8.63406079905373E14</v>
      </c>
      <c r="G898" s="11" t="s">
        <v>4774</v>
      </c>
      <c r="H898" s="11" t="s">
        <v>4280</v>
      </c>
      <c r="I898" s="11" t="s">
        <v>16</v>
      </c>
      <c r="J898" s="37">
        <v>45951.0</v>
      </c>
      <c r="K898" s="11"/>
      <c r="L898" s="11">
        <v>2.0251027E7</v>
      </c>
    </row>
    <row r="899">
      <c r="A899" s="9" t="s">
        <v>4654</v>
      </c>
      <c r="B899" s="11" t="s">
        <v>30</v>
      </c>
      <c r="C899" s="11" t="s">
        <v>35</v>
      </c>
      <c r="D899" s="11" t="s">
        <v>37</v>
      </c>
      <c r="E899" s="11" t="s">
        <v>4775</v>
      </c>
      <c r="F899" s="11">
        <v>8.64501077837344E14</v>
      </c>
      <c r="G899" s="11" t="s">
        <v>4776</v>
      </c>
      <c r="H899" s="11" t="s">
        <v>4280</v>
      </c>
      <c r="I899" s="11" t="s">
        <v>16</v>
      </c>
      <c r="J899" s="37">
        <v>45951.0</v>
      </c>
      <c r="K899" s="11"/>
      <c r="L899" s="11">
        <v>2.0251027E7</v>
      </c>
    </row>
    <row r="900">
      <c r="A900" s="9" t="s">
        <v>4654</v>
      </c>
      <c r="B900" s="11" t="s">
        <v>30</v>
      </c>
      <c r="C900" s="11" t="s">
        <v>35</v>
      </c>
      <c r="D900" s="11" t="s">
        <v>37</v>
      </c>
      <c r="E900" s="11" t="s">
        <v>4777</v>
      </c>
      <c r="F900" s="11">
        <v>8.64501077837518E14</v>
      </c>
      <c r="G900" s="11" t="s">
        <v>4778</v>
      </c>
      <c r="H900" s="11" t="s">
        <v>4280</v>
      </c>
      <c r="I900" s="11" t="s">
        <v>16</v>
      </c>
      <c r="J900" s="37">
        <v>45951.0</v>
      </c>
      <c r="K900" s="11"/>
      <c r="L900" s="11">
        <v>2.0251027E7</v>
      </c>
    </row>
    <row r="901">
      <c r="A901" s="9" t="s">
        <v>4654</v>
      </c>
      <c r="B901" s="11" t="s">
        <v>30</v>
      </c>
      <c r="C901" s="11" t="s">
        <v>35</v>
      </c>
      <c r="D901" s="11" t="s">
        <v>37</v>
      </c>
      <c r="E901" s="11" t="s">
        <v>4779</v>
      </c>
      <c r="F901" s="11">
        <v>8.64501077843136E14</v>
      </c>
      <c r="G901" s="11" t="s">
        <v>4780</v>
      </c>
      <c r="H901" s="11" t="s">
        <v>4280</v>
      </c>
      <c r="I901" s="11" t="s">
        <v>16</v>
      </c>
      <c r="J901" s="37">
        <v>45951.0</v>
      </c>
      <c r="K901" s="11"/>
      <c r="L901" s="11">
        <v>2.0251027E7</v>
      </c>
    </row>
    <row r="902">
      <c r="A902" s="9" t="s">
        <v>4654</v>
      </c>
      <c r="B902" s="11" t="s">
        <v>30</v>
      </c>
      <c r="C902" s="11" t="s">
        <v>35</v>
      </c>
      <c r="D902" s="11" t="s">
        <v>37</v>
      </c>
      <c r="E902" s="11" t="s">
        <v>4781</v>
      </c>
      <c r="F902" s="11">
        <v>8.64501077843292E14</v>
      </c>
      <c r="G902" s="11" t="s">
        <v>4782</v>
      </c>
      <c r="H902" s="11" t="s">
        <v>4280</v>
      </c>
      <c r="I902" s="11" t="s">
        <v>16</v>
      </c>
      <c r="J902" s="37">
        <v>45951.0</v>
      </c>
      <c r="K902" s="11"/>
      <c r="L902" s="11">
        <v>2.0251027E7</v>
      </c>
    </row>
    <row r="903">
      <c r="A903" s="9" t="s">
        <v>4654</v>
      </c>
      <c r="B903" s="11" t="s">
        <v>30</v>
      </c>
      <c r="C903" s="11" t="s">
        <v>35</v>
      </c>
      <c r="D903" s="11" t="s">
        <v>37</v>
      </c>
      <c r="E903" s="11" t="s">
        <v>4783</v>
      </c>
      <c r="F903" s="11">
        <v>8.63406079907486E14</v>
      </c>
      <c r="G903" s="11" t="s">
        <v>4784</v>
      </c>
      <c r="H903" s="11" t="s">
        <v>4280</v>
      </c>
      <c r="I903" s="11" t="s">
        <v>16</v>
      </c>
      <c r="J903" s="37">
        <v>45951.0</v>
      </c>
      <c r="K903" s="11"/>
      <c r="L903" s="11">
        <v>2.0251027E7</v>
      </c>
    </row>
    <row r="904">
      <c r="A904" s="9" t="s">
        <v>4654</v>
      </c>
      <c r="B904" s="11" t="s">
        <v>30</v>
      </c>
      <c r="C904" s="11" t="s">
        <v>35</v>
      </c>
      <c r="D904" s="11" t="s">
        <v>37</v>
      </c>
      <c r="E904" s="11" t="s">
        <v>4785</v>
      </c>
      <c r="F904" s="11">
        <v>8.64501077846709E14</v>
      </c>
      <c r="G904" s="11" t="s">
        <v>4786</v>
      </c>
      <c r="H904" s="11" t="s">
        <v>4280</v>
      </c>
      <c r="I904" s="11" t="s">
        <v>16</v>
      </c>
      <c r="J904" s="37">
        <v>45951.0</v>
      </c>
      <c r="K904" s="11"/>
      <c r="L904" s="11">
        <v>2.0251027E7</v>
      </c>
    </row>
    <row r="905">
      <c r="A905" s="9" t="s">
        <v>4654</v>
      </c>
      <c r="B905" s="11" t="s">
        <v>30</v>
      </c>
      <c r="C905" s="11" t="s">
        <v>35</v>
      </c>
      <c r="D905" s="11" t="s">
        <v>37</v>
      </c>
      <c r="E905" s="11" t="s">
        <v>4787</v>
      </c>
      <c r="F905" s="11">
        <v>8.64501077846949E14</v>
      </c>
      <c r="G905" s="11" t="s">
        <v>4788</v>
      </c>
      <c r="H905" s="11" t="s">
        <v>4280</v>
      </c>
      <c r="I905" s="11" t="s">
        <v>16</v>
      </c>
      <c r="J905" s="37">
        <v>45951.0</v>
      </c>
      <c r="K905" s="11"/>
      <c r="L905" s="11">
        <v>2.0251027E7</v>
      </c>
    </row>
    <row r="906">
      <c r="A906" s="9" t="s">
        <v>4654</v>
      </c>
      <c r="B906" s="11" t="s">
        <v>30</v>
      </c>
      <c r="C906" s="11" t="s">
        <v>35</v>
      </c>
      <c r="D906" s="11" t="s">
        <v>37</v>
      </c>
      <c r="E906" s="11" t="s">
        <v>4789</v>
      </c>
      <c r="F906" s="11">
        <v>8.64501077844985E14</v>
      </c>
      <c r="G906" s="11" t="s">
        <v>4790</v>
      </c>
      <c r="H906" s="11" t="s">
        <v>4280</v>
      </c>
      <c r="I906" s="11" t="s">
        <v>16</v>
      </c>
      <c r="J906" s="37">
        <v>45951.0</v>
      </c>
      <c r="K906" s="11"/>
      <c r="L906" s="11">
        <v>2.0251027E7</v>
      </c>
    </row>
    <row r="907">
      <c r="A907" s="9" t="s">
        <v>4654</v>
      </c>
      <c r="B907" s="11" t="s">
        <v>30</v>
      </c>
      <c r="C907" s="11" t="s">
        <v>35</v>
      </c>
      <c r="D907" s="11" t="s">
        <v>37</v>
      </c>
      <c r="E907" s="11" t="s">
        <v>4791</v>
      </c>
      <c r="F907" s="11">
        <v>8.64501077842898E14</v>
      </c>
      <c r="G907" s="11" t="s">
        <v>4792</v>
      </c>
      <c r="H907" s="11" t="s">
        <v>4280</v>
      </c>
      <c r="I907" s="11" t="s">
        <v>16</v>
      </c>
      <c r="J907" s="37">
        <v>45951.0</v>
      </c>
      <c r="K907" s="11"/>
      <c r="L907" s="11">
        <v>2.0251027E7</v>
      </c>
    </row>
    <row r="908">
      <c r="A908" s="9" t="s">
        <v>4654</v>
      </c>
      <c r="B908" s="11" t="s">
        <v>30</v>
      </c>
      <c r="C908" s="11" t="s">
        <v>35</v>
      </c>
      <c r="D908" s="11" t="s">
        <v>37</v>
      </c>
      <c r="E908" s="11" t="s">
        <v>4793</v>
      </c>
      <c r="F908" s="11">
        <v>8.64501077841866E14</v>
      </c>
      <c r="G908" s="11" t="s">
        <v>4794</v>
      </c>
      <c r="H908" s="11" t="s">
        <v>4280</v>
      </c>
      <c r="I908" s="11" t="s">
        <v>16</v>
      </c>
      <c r="J908" s="37">
        <v>45951.0</v>
      </c>
      <c r="K908" s="11"/>
      <c r="L908" s="11">
        <v>2.0251027E7</v>
      </c>
    </row>
    <row r="909">
      <c r="A909" s="9" t="s">
        <v>4654</v>
      </c>
      <c r="B909" s="11" t="s">
        <v>30</v>
      </c>
      <c r="C909" s="11" t="s">
        <v>35</v>
      </c>
      <c r="D909" s="11" t="s">
        <v>37</v>
      </c>
      <c r="E909" s="11" t="s">
        <v>4795</v>
      </c>
      <c r="F909" s="11">
        <v>8.64501077841825E14</v>
      </c>
      <c r="G909" s="11" t="s">
        <v>4796</v>
      </c>
      <c r="H909" s="11" t="s">
        <v>4280</v>
      </c>
      <c r="I909" s="11" t="s">
        <v>16</v>
      </c>
      <c r="J909" s="37">
        <v>45951.0</v>
      </c>
      <c r="K909" s="11"/>
      <c r="L909" s="11">
        <v>2.0251027E7</v>
      </c>
    </row>
    <row r="910">
      <c r="A910" s="9" t="s">
        <v>4654</v>
      </c>
      <c r="B910" s="11" t="s">
        <v>30</v>
      </c>
      <c r="C910" s="11" t="s">
        <v>35</v>
      </c>
      <c r="D910" s="11" t="s">
        <v>37</v>
      </c>
      <c r="E910" s="11" t="s">
        <v>4797</v>
      </c>
      <c r="F910" s="11">
        <v>8.64501077845743E14</v>
      </c>
      <c r="G910" s="11" t="s">
        <v>4798</v>
      </c>
      <c r="H910" s="11" t="s">
        <v>4280</v>
      </c>
      <c r="I910" s="11" t="s">
        <v>16</v>
      </c>
      <c r="J910" s="37">
        <v>45951.0</v>
      </c>
      <c r="K910" s="11"/>
      <c r="L910" s="11">
        <v>2.0251027E7</v>
      </c>
    </row>
    <row r="911">
      <c r="A911" s="9" t="s">
        <v>4654</v>
      </c>
      <c r="B911" s="11" t="s">
        <v>30</v>
      </c>
      <c r="C911" s="11" t="s">
        <v>35</v>
      </c>
      <c r="D911" s="11" t="s">
        <v>37</v>
      </c>
      <c r="E911" s="11" t="s">
        <v>4799</v>
      </c>
      <c r="F911" s="11">
        <v>8.63406078320137E14</v>
      </c>
      <c r="G911" s="11" t="s">
        <v>4800</v>
      </c>
      <c r="H911" s="11" t="s">
        <v>4280</v>
      </c>
      <c r="I911" s="11" t="s">
        <v>16</v>
      </c>
      <c r="J911" s="37">
        <v>45951.0</v>
      </c>
      <c r="K911" s="11"/>
      <c r="L911" s="11">
        <v>2.0251027E7</v>
      </c>
    </row>
    <row r="912">
      <c r="A912" s="9" t="s">
        <v>4654</v>
      </c>
      <c r="B912" s="11" t="s">
        <v>30</v>
      </c>
      <c r="C912" s="11" t="s">
        <v>35</v>
      </c>
      <c r="D912" s="11" t="s">
        <v>37</v>
      </c>
      <c r="E912" s="11" t="s">
        <v>4801</v>
      </c>
      <c r="F912" s="11">
        <v>8.64501075643082E14</v>
      </c>
      <c r="G912" s="11" t="s">
        <v>4802</v>
      </c>
      <c r="H912" s="11" t="s">
        <v>4280</v>
      </c>
      <c r="I912" s="11" t="s">
        <v>16</v>
      </c>
      <c r="J912" s="37">
        <v>45951.0</v>
      </c>
      <c r="K912" s="11"/>
      <c r="L912" s="11">
        <v>2.0251027E7</v>
      </c>
    </row>
    <row r="913">
      <c r="A913" s="9" t="s">
        <v>4654</v>
      </c>
      <c r="B913" s="11" t="s">
        <v>30</v>
      </c>
      <c r="C913" s="11" t="s">
        <v>35</v>
      </c>
      <c r="D913" s="11" t="s">
        <v>37</v>
      </c>
      <c r="E913" s="11" t="s">
        <v>4803</v>
      </c>
      <c r="F913" s="11">
        <v>8.64501075643249E14</v>
      </c>
      <c r="G913" s="11" t="s">
        <v>4804</v>
      </c>
      <c r="H913" s="11" t="s">
        <v>4280</v>
      </c>
      <c r="I913" s="11" t="s">
        <v>16</v>
      </c>
      <c r="J913" s="37">
        <v>45951.0</v>
      </c>
      <c r="K913" s="11"/>
      <c r="L913" s="11">
        <v>2.0251027E7</v>
      </c>
    </row>
    <row r="914">
      <c r="A914" s="9" t="s">
        <v>4654</v>
      </c>
      <c r="B914" s="11" t="s">
        <v>30</v>
      </c>
      <c r="C914" s="11" t="s">
        <v>35</v>
      </c>
      <c r="D914" s="11" t="s">
        <v>37</v>
      </c>
      <c r="E914" s="11" t="s">
        <v>4805</v>
      </c>
      <c r="F914" s="11">
        <v>8.63406078290173E14</v>
      </c>
      <c r="G914" s="11" t="s">
        <v>4806</v>
      </c>
      <c r="H914" s="11" t="s">
        <v>4280</v>
      </c>
      <c r="I914" s="11" t="s">
        <v>16</v>
      </c>
      <c r="J914" s="37">
        <v>45951.0</v>
      </c>
      <c r="K914" s="11"/>
      <c r="L914" s="11">
        <v>2.0251027E7</v>
      </c>
    </row>
    <row r="915">
      <c r="A915" s="9" t="s">
        <v>4654</v>
      </c>
      <c r="B915" s="11" t="s">
        <v>30</v>
      </c>
      <c r="C915" s="11" t="s">
        <v>35</v>
      </c>
      <c r="D915" s="11" t="s">
        <v>37</v>
      </c>
      <c r="E915" s="11" t="s">
        <v>4807</v>
      </c>
      <c r="F915" s="11">
        <v>8.64501075644536E14</v>
      </c>
      <c r="G915" s="11" t="s">
        <v>4808</v>
      </c>
      <c r="H915" s="11" t="s">
        <v>4280</v>
      </c>
      <c r="I915" s="11" t="s">
        <v>16</v>
      </c>
      <c r="J915" s="37">
        <v>45951.0</v>
      </c>
      <c r="K915" s="11"/>
      <c r="L915" s="11">
        <v>2.0251027E7</v>
      </c>
    </row>
    <row r="916">
      <c r="A916" s="9" t="s">
        <v>4654</v>
      </c>
      <c r="B916" s="11" t="s">
        <v>30</v>
      </c>
      <c r="C916" s="11" t="s">
        <v>35</v>
      </c>
      <c r="D916" s="11" t="s">
        <v>37</v>
      </c>
      <c r="E916" s="11" t="s">
        <v>4809</v>
      </c>
      <c r="F916" s="11">
        <v>8.63406078301707E14</v>
      </c>
      <c r="G916" s="11" t="s">
        <v>4810</v>
      </c>
      <c r="H916" s="11" t="s">
        <v>4280</v>
      </c>
      <c r="I916" s="11" t="s">
        <v>16</v>
      </c>
      <c r="J916" s="37">
        <v>45951.0</v>
      </c>
      <c r="K916" s="11"/>
      <c r="L916" s="11">
        <v>2.0251027E7</v>
      </c>
    </row>
    <row r="917">
      <c r="A917" s="9" t="s">
        <v>4654</v>
      </c>
      <c r="B917" s="11" t="s">
        <v>30</v>
      </c>
      <c r="C917" s="11" t="s">
        <v>35</v>
      </c>
      <c r="D917" s="11" t="s">
        <v>37</v>
      </c>
      <c r="E917" s="11" t="s">
        <v>4811</v>
      </c>
      <c r="F917" s="11">
        <v>8.6450107784165E14</v>
      </c>
      <c r="G917" s="11" t="s">
        <v>4812</v>
      </c>
      <c r="H917" s="11" t="s">
        <v>4280</v>
      </c>
      <c r="I917" s="11" t="s">
        <v>16</v>
      </c>
      <c r="J917" s="37">
        <v>45951.0</v>
      </c>
      <c r="K917" s="11"/>
      <c r="L917" s="11">
        <v>2.0251027E7</v>
      </c>
    </row>
    <row r="918">
      <c r="A918" s="9" t="s">
        <v>4654</v>
      </c>
      <c r="B918" s="11" t="s">
        <v>30</v>
      </c>
      <c r="C918" s="11" t="s">
        <v>35</v>
      </c>
      <c r="D918" s="11" t="s">
        <v>37</v>
      </c>
      <c r="E918" s="11" t="s">
        <v>4813</v>
      </c>
      <c r="F918" s="11">
        <v>8.63406078301681E14</v>
      </c>
      <c r="G918" s="11" t="s">
        <v>4814</v>
      </c>
      <c r="H918" s="11" t="s">
        <v>4280</v>
      </c>
      <c r="I918" s="11" t="s">
        <v>16</v>
      </c>
      <c r="J918" s="37">
        <v>45951.0</v>
      </c>
      <c r="K918" s="11"/>
      <c r="L918" s="11">
        <v>2.0251027E7</v>
      </c>
    </row>
    <row r="919">
      <c r="A919" s="9" t="s">
        <v>4654</v>
      </c>
      <c r="B919" s="11" t="s">
        <v>30</v>
      </c>
      <c r="C919" s="11" t="s">
        <v>35</v>
      </c>
      <c r="D919" s="11" t="s">
        <v>37</v>
      </c>
      <c r="E919" s="11" t="s">
        <v>4815</v>
      </c>
      <c r="F919" s="11">
        <v>8.6450107784014E14</v>
      </c>
      <c r="G919" s="11" t="s">
        <v>4816</v>
      </c>
      <c r="H919" s="11" t="s">
        <v>4280</v>
      </c>
      <c r="I919" s="11" t="s">
        <v>16</v>
      </c>
      <c r="J919" s="37">
        <v>45951.0</v>
      </c>
      <c r="K919" s="11"/>
      <c r="L919" s="11">
        <v>2.0251027E7</v>
      </c>
    </row>
    <row r="920">
      <c r="A920" s="9" t="s">
        <v>4654</v>
      </c>
      <c r="B920" s="11" t="s">
        <v>30</v>
      </c>
      <c r="C920" s="11" t="s">
        <v>35</v>
      </c>
      <c r="D920" s="11" t="s">
        <v>37</v>
      </c>
      <c r="E920" s="11" t="s">
        <v>4817</v>
      </c>
      <c r="F920" s="11">
        <v>8.63406078318404E14</v>
      </c>
      <c r="G920" s="11" t="s">
        <v>4818</v>
      </c>
      <c r="H920" s="11" t="s">
        <v>4280</v>
      </c>
      <c r="I920" s="11" t="s">
        <v>16</v>
      </c>
      <c r="J920" s="37">
        <v>45951.0</v>
      </c>
      <c r="K920" s="11"/>
      <c r="L920" s="11">
        <v>2.0251027E7</v>
      </c>
    </row>
    <row r="921">
      <c r="A921" s="9" t="s">
        <v>4654</v>
      </c>
      <c r="B921" s="11" t="s">
        <v>30</v>
      </c>
      <c r="C921" s="11" t="s">
        <v>35</v>
      </c>
      <c r="D921" s="11" t="s">
        <v>37</v>
      </c>
      <c r="E921" s="11" t="s">
        <v>4819</v>
      </c>
      <c r="F921" s="11">
        <v>8.6450107784429E14</v>
      </c>
      <c r="G921" s="11" t="s">
        <v>4820</v>
      </c>
      <c r="H921" s="11" t="s">
        <v>4280</v>
      </c>
      <c r="I921" s="11" t="s">
        <v>16</v>
      </c>
      <c r="J921" s="37">
        <v>45951.0</v>
      </c>
      <c r="K921" s="11"/>
      <c r="L921" s="11">
        <v>2.0251027E7</v>
      </c>
    </row>
    <row r="922">
      <c r="A922" s="9" t="s">
        <v>4654</v>
      </c>
      <c r="B922" s="11" t="s">
        <v>30</v>
      </c>
      <c r="C922" s="11" t="s">
        <v>35</v>
      </c>
      <c r="D922" s="11" t="s">
        <v>37</v>
      </c>
      <c r="E922" s="11" t="s">
        <v>4821</v>
      </c>
      <c r="F922" s="11">
        <v>8.63406078298846E14</v>
      </c>
      <c r="G922" s="11" t="s">
        <v>4822</v>
      </c>
      <c r="H922" s="11" t="s">
        <v>4280</v>
      </c>
      <c r="I922" s="11" t="s">
        <v>16</v>
      </c>
      <c r="J922" s="37">
        <v>45951.0</v>
      </c>
      <c r="K922" s="11"/>
      <c r="L922" s="11">
        <v>2.0251027E7</v>
      </c>
    </row>
    <row r="923">
      <c r="A923" s="9" t="s">
        <v>4654</v>
      </c>
      <c r="B923" s="11" t="s">
        <v>30</v>
      </c>
      <c r="C923" s="11" t="s">
        <v>35</v>
      </c>
      <c r="D923" s="11" t="s">
        <v>37</v>
      </c>
      <c r="E923" s="11" t="s">
        <v>4823</v>
      </c>
      <c r="F923" s="11">
        <v>8.6340607831998E14</v>
      </c>
      <c r="G923" s="11" t="s">
        <v>4824</v>
      </c>
      <c r="H923" s="11" t="s">
        <v>4280</v>
      </c>
      <c r="I923" s="11" t="s">
        <v>16</v>
      </c>
      <c r="J923" s="37">
        <v>45951.0</v>
      </c>
      <c r="K923" s="11"/>
      <c r="L923" s="11">
        <v>2.0251027E7</v>
      </c>
    </row>
    <row r="924">
      <c r="A924" s="9" t="s">
        <v>4654</v>
      </c>
      <c r="B924" s="11" t="s">
        <v>30</v>
      </c>
      <c r="C924" s="11" t="s">
        <v>35</v>
      </c>
      <c r="D924" s="11" t="s">
        <v>37</v>
      </c>
      <c r="E924" s="11" t="s">
        <v>4825</v>
      </c>
      <c r="F924" s="11">
        <v>8.63406079906181E14</v>
      </c>
      <c r="G924" s="11" t="s">
        <v>4826</v>
      </c>
      <c r="H924" s="11" t="s">
        <v>4280</v>
      </c>
      <c r="I924" s="11" t="s">
        <v>16</v>
      </c>
      <c r="J924" s="37">
        <v>45951.0</v>
      </c>
      <c r="K924" s="11"/>
      <c r="L924" s="11">
        <v>2.0251027E7</v>
      </c>
    </row>
    <row r="925">
      <c r="A925" s="9" t="s">
        <v>4654</v>
      </c>
      <c r="B925" s="11" t="s">
        <v>30</v>
      </c>
      <c r="C925" s="11" t="s">
        <v>35</v>
      </c>
      <c r="D925" s="11" t="s">
        <v>37</v>
      </c>
      <c r="E925" s="11" t="s">
        <v>4827</v>
      </c>
      <c r="F925" s="11">
        <v>8.63406079905803E14</v>
      </c>
      <c r="G925" s="11" t="s">
        <v>4828</v>
      </c>
      <c r="H925" s="11" t="s">
        <v>4280</v>
      </c>
      <c r="I925" s="11" t="s">
        <v>16</v>
      </c>
      <c r="J925" s="37">
        <v>45951.0</v>
      </c>
      <c r="K925" s="11"/>
      <c r="L925" s="11">
        <v>2.0251027E7</v>
      </c>
    </row>
    <row r="926">
      <c r="A926" s="9" t="s">
        <v>4654</v>
      </c>
      <c r="B926" s="11" t="s">
        <v>30</v>
      </c>
      <c r="C926" s="11" t="s">
        <v>35</v>
      </c>
      <c r="D926" s="11" t="s">
        <v>37</v>
      </c>
      <c r="E926" s="11" t="s">
        <v>4829</v>
      </c>
      <c r="F926" s="11">
        <v>8.6340607831837E14</v>
      </c>
      <c r="G926" s="11" t="s">
        <v>4830</v>
      </c>
      <c r="H926" s="11" t="s">
        <v>4280</v>
      </c>
      <c r="I926" s="11" t="s">
        <v>16</v>
      </c>
      <c r="J926" s="37">
        <v>45951.0</v>
      </c>
      <c r="K926" s="11"/>
      <c r="L926" s="11">
        <v>2.0251027E7</v>
      </c>
    </row>
    <row r="927">
      <c r="A927" s="9" t="s">
        <v>4654</v>
      </c>
      <c r="B927" s="11" t="s">
        <v>30</v>
      </c>
      <c r="C927" s="11" t="s">
        <v>35</v>
      </c>
      <c r="D927" s="11" t="s">
        <v>37</v>
      </c>
      <c r="E927" s="11" t="s">
        <v>4831</v>
      </c>
      <c r="F927" s="11">
        <v>8.64501077837823E14</v>
      </c>
      <c r="G927" s="11" t="s">
        <v>4832</v>
      </c>
      <c r="H927" s="11" t="s">
        <v>4280</v>
      </c>
      <c r="I927" s="11" t="s">
        <v>16</v>
      </c>
      <c r="J927" s="37">
        <v>45951.0</v>
      </c>
      <c r="K927" s="11"/>
      <c r="L927" s="11">
        <v>2.0251027E7</v>
      </c>
    </row>
    <row r="928">
      <c r="A928" s="9" t="s">
        <v>4654</v>
      </c>
      <c r="B928" s="11" t="s">
        <v>30</v>
      </c>
      <c r="C928" s="11" t="s">
        <v>35</v>
      </c>
      <c r="D928" s="11" t="s">
        <v>37</v>
      </c>
      <c r="E928" s="11" t="s">
        <v>4833</v>
      </c>
      <c r="F928" s="11">
        <v>8.6450107784405E14</v>
      </c>
      <c r="G928" s="11" t="s">
        <v>4834</v>
      </c>
      <c r="H928" s="11" t="s">
        <v>4280</v>
      </c>
      <c r="I928" s="11" t="s">
        <v>16</v>
      </c>
      <c r="J928" s="37">
        <v>45951.0</v>
      </c>
      <c r="K928" s="11"/>
      <c r="L928" s="11">
        <v>2.0251027E7</v>
      </c>
    </row>
    <row r="929">
      <c r="A929" s="9" t="s">
        <v>4654</v>
      </c>
      <c r="B929" s="11" t="s">
        <v>30</v>
      </c>
      <c r="C929" s="11" t="s">
        <v>35</v>
      </c>
      <c r="D929" s="11" t="s">
        <v>37</v>
      </c>
      <c r="E929" s="11" t="s">
        <v>4835</v>
      </c>
      <c r="F929" s="11">
        <v>8.6450107784392E14</v>
      </c>
      <c r="G929" s="11" t="s">
        <v>4836</v>
      </c>
      <c r="H929" s="11" t="s">
        <v>4280</v>
      </c>
      <c r="I929" s="11" t="s">
        <v>16</v>
      </c>
      <c r="J929" s="37">
        <v>45951.0</v>
      </c>
      <c r="K929" s="11"/>
      <c r="L929" s="11">
        <v>2.0251027E7</v>
      </c>
    </row>
    <row r="930">
      <c r="A930" s="9" t="s">
        <v>4654</v>
      </c>
      <c r="B930" s="11" t="s">
        <v>30</v>
      </c>
      <c r="C930" s="11" t="s">
        <v>35</v>
      </c>
      <c r="D930" s="11" t="s">
        <v>37</v>
      </c>
      <c r="E930" s="11" t="s">
        <v>4837</v>
      </c>
      <c r="F930" s="11">
        <v>8.63406079902792E14</v>
      </c>
      <c r="G930" s="11" t="s">
        <v>4838</v>
      </c>
      <c r="H930" s="11" t="s">
        <v>4280</v>
      </c>
      <c r="I930" s="11" t="s">
        <v>16</v>
      </c>
      <c r="J930" s="37">
        <v>45951.0</v>
      </c>
      <c r="K930" s="11"/>
      <c r="L930" s="11">
        <v>2.0251027E7</v>
      </c>
    </row>
    <row r="931">
      <c r="A931" s="9" t="s">
        <v>4654</v>
      </c>
      <c r="B931" s="11" t="s">
        <v>30</v>
      </c>
      <c r="C931" s="11" t="s">
        <v>35</v>
      </c>
      <c r="D931" s="11" t="s">
        <v>37</v>
      </c>
      <c r="E931" s="11" t="s">
        <v>4839</v>
      </c>
      <c r="F931" s="11">
        <v>8.63406079904103E14</v>
      </c>
      <c r="G931" s="11" t="s">
        <v>4840</v>
      </c>
      <c r="H931" s="11" t="s">
        <v>4280</v>
      </c>
      <c r="I931" s="11" t="s">
        <v>16</v>
      </c>
      <c r="J931" s="37">
        <v>45951.0</v>
      </c>
      <c r="K931" s="11"/>
      <c r="L931" s="11">
        <v>2.0251027E7</v>
      </c>
    </row>
    <row r="932">
      <c r="A932" s="9" t="s">
        <v>4654</v>
      </c>
      <c r="B932" s="11" t="s">
        <v>30</v>
      </c>
      <c r="C932" s="11" t="s">
        <v>35</v>
      </c>
      <c r="D932" s="11" t="s">
        <v>37</v>
      </c>
      <c r="E932" s="11" t="s">
        <v>4841</v>
      </c>
      <c r="F932" s="11">
        <v>8.63406079904061E14</v>
      </c>
      <c r="G932" s="11" t="s">
        <v>4842</v>
      </c>
      <c r="H932" s="11" t="s">
        <v>4280</v>
      </c>
      <c r="I932" s="11" t="s">
        <v>16</v>
      </c>
      <c r="J932" s="37">
        <v>45951.0</v>
      </c>
      <c r="K932" s="11"/>
      <c r="L932" s="11">
        <v>2.0251027E7</v>
      </c>
    </row>
    <row r="933">
      <c r="A933" s="9" t="s">
        <v>4654</v>
      </c>
      <c r="B933" s="11" t="s">
        <v>30</v>
      </c>
      <c r="C933" s="11" t="s">
        <v>35</v>
      </c>
      <c r="D933" s="11" t="s">
        <v>37</v>
      </c>
      <c r="E933" s="11" t="s">
        <v>4843</v>
      </c>
      <c r="F933" s="11">
        <v>8.63406079905993E14</v>
      </c>
      <c r="G933" s="11" t="s">
        <v>4844</v>
      </c>
      <c r="H933" s="11" t="s">
        <v>4280</v>
      </c>
      <c r="I933" s="11" t="s">
        <v>16</v>
      </c>
      <c r="J933" s="37">
        <v>45951.0</v>
      </c>
      <c r="K933" s="11"/>
      <c r="L933" s="11">
        <v>2.0251027E7</v>
      </c>
    </row>
    <row r="934">
      <c r="A934" s="9" t="s">
        <v>4654</v>
      </c>
      <c r="B934" s="11" t="s">
        <v>30</v>
      </c>
      <c r="C934" s="11" t="s">
        <v>35</v>
      </c>
      <c r="D934" s="11" t="s">
        <v>37</v>
      </c>
      <c r="E934" s="11" t="s">
        <v>4845</v>
      </c>
      <c r="F934" s="11">
        <v>8.63406079906264E14</v>
      </c>
      <c r="G934" s="11" t="s">
        <v>4846</v>
      </c>
      <c r="H934" s="11" t="s">
        <v>4280</v>
      </c>
      <c r="I934" s="11" t="s">
        <v>16</v>
      </c>
      <c r="J934" s="37">
        <v>45951.0</v>
      </c>
      <c r="K934" s="11"/>
      <c r="L934" s="11">
        <v>2.0251027E7</v>
      </c>
    </row>
    <row r="935">
      <c r="A935" s="9" t="s">
        <v>4654</v>
      </c>
      <c r="B935" s="11" t="s">
        <v>30</v>
      </c>
      <c r="C935" s="11" t="s">
        <v>35</v>
      </c>
      <c r="D935" s="11" t="s">
        <v>37</v>
      </c>
      <c r="E935" s="11" t="s">
        <v>4847</v>
      </c>
      <c r="F935" s="11">
        <v>8.63406079912239E14</v>
      </c>
      <c r="G935" s="11" t="s">
        <v>4848</v>
      </c>
      <c r="H935" s="11" t="s">
        <v>4280</v>
      </c>
      <c r="I935" s="11" t="s">
        <v>16</v>
      </c>
      <c r="J935" s="37">
        <v>45951.0</v>
      </c>
      <c r="K935" s="11"/>
      <c r="L935" s="11">
        <v>2.0251027E7</v>
      </c>
    </row>
    <row r="936">
      <c r="A936" s="9" t="s">
        <v>4654</v>
      </c>
      <c r="B936" s="11" t="s">
        <v>30</v>
      </c>
      <c r="C936" s="11" t="s">
        <v>35</v>
      </c>
      <c r="D936" s="11" t="s">
        <v>37</v>
      </c>
      <c r="E936" s="11" t="s">
        <v>4849</v>
      </c>
      <c r="F936" s="11">
        <v>8.63406079912015E14</v>
      </c>
      <c r="G936" s="11" t="s">
        <v>4850</v>
      </c>
      <c r="H936" s="11" t="s">
        <v>4280</v>
      </c>
      <c r="I936" s="11" t="s">
        <v>16</v>
      </c>
      <c r="J936" s="37">
        <v>45951.0</v>
      </c>
      <c r="K936" s="11"/>
      <c r="L936" s="11">
        <v>2.0251027E7</v>
      </c>
    </row>
    <row r="937">
      <c r="A937" s="9" t="s">
        <v>4654</v>
      </c>
      <c r="B937" s="11" t="s">
        <v>30</v>
      </c>
      <c r="C937" s="11" t="s">
        <v>35</v>
      </c>
      <c r="D937" s="11" t="s">
        <v>37</v>
      </c>
      <c r="E937" s="11" t="s">
        <v>4851</v>
      </c>
      <c r="F937" s="11">
        <v>8.63406079906421E14</v>
      </c>
      <c r="G937" s="11" t="s">
        <v>4852</v>
      </c>
      <c r="H937" s="11" t="s">
        <v>4280</v>
      </c>
      <c r="I937" s="11" t="s">
        <v>16</v>
      </c>
      <c r="J937" s="37">
        <v>45951.0</v>
      </c>
      <c r="K937" s="11"/>
      <c r="L937" s="11">
        <v>2.0251027E7</v>
      </c>
    </row>
    <row r="938">
      <c r="A938" s="9" t="s">
        <v>4654</v>
      </c>
      <c r="B938" s="11" t="s">
        <v>30</v>
      </c>
      <c r="C938" s="11" t="s">
        <v>35</v>
      </c>
      <c r="D938" s="11" t="s">
        <v>37</v>
      </c>
      <c r="E938" s="11" t="s">
        <v>4853</v>
      </c>
      <c r="F938" s="11">
        <v>8.63406079905845E14</v>
      </c>
      <c r="G938" s="11" t="s">
        <v>4854</v>
      </c>
      <c r="H938" s="11" t="s">
        <v>4280</v>
      </c>
      <c r="I938" s="11" t="s">
        <v>16</v>
      </c>
      <c r="J938" s="37">
        <v>45951.0</v>
      </c>
      <c r="K938" s="11"/>
      <c r="L938" s="11">
        <v>2.0251027E7</v>
      </c>
    </row>
    <row r="939">
      <c r="A939" s="9" t="s">
        <v>4654</v>
      </c>
      <c r="B939" s="11" t="s">
        <v>30</v>
      </c>
      <c r="C939" s="11" t="s">
        <v>35</v>
      </c>
      <c r="D939" s="11" t="s">
        <v>37</v>
      </c>
      <c r="E939" s="11" t="s">
        <v>4855</v>
      </c>
      <c r="F939" s="11">
        <v>8.6340607990628E14</v>
      </c>
      <c r="G939" s="11" t="s">
        <v>4856</v>
      </c>
      <c r="H939" s="11" t="s">
        <v>4280</v>
      </c>
      <c r="I939" s="11" t="s">
        <v>16</v>
      </c>
      <c r="J939" s="37">
        <v>45951.0</v>
      </c>
      <c r="K939" s="11"/>
      <c r="L939" s="11">
        <v>2.0251027E7</v>
      </c>
    </row>
    <row r="940">
      <c r="A940" s="9" t="s">
        <v>4654</v>
      </c>
      <c r="B940" s="11" t="s">
        <v>30</v>
      </c>
      <c r="C940" s="11" t="s">
        <v>35</v>
      </c>
      <c r="D940" s="11" t="s">
        <v>37</v>
      </c>
      <c r="E940" s="11" t="s">
        <v>4857</v>
      </c>
      <c r="F940" s="11">
        <v>8.645010778375E14</v>
      </c>
      <c r="G940" s="11" t="s">
        <v>4858</v>
      </c>
      <c r="H940" s="11" t="s">
        <v>4280</v>
      </c>
      <c r="I940" s="11" t="s">
        <v>16</v>
      </c>
      <c r="J940" s="37">
        <v>45951.0</v>
      </c>
      <c r="K940" s="11"/>
      <c r="L940" s="11">
        <v>2.0251027E7</v>
      </c>
    </row>
    <row r="941">
      <c r="A941" s="9" t="s">
        <v>4654</v>
      </c>
      <c r="B941" s="11" t="s">
        <v>30</v>
      </c>
      <c r="C941" s="11" t="s">
        <v>35</v>
      </c>
      <c r="D941" s="11" t="s">
        <v>37</v>
      </c>
      <c r="E941" s="11" t="s">
        <v>4859</v>
      </c>
      <c r="F941" s="11">
        <v>8.63406078320038E14</v>
      </c>
      <c r="G941" s="11" t="s">
        <v>4860</v>
      </c>
      <c r="H941" s="11" t="s">
        <v>4280</v>
      </c>
      <c r="I941" s="11" t="s">
        <v>16</v>
      </c>
      <c r="J941" s="37">
        <v>45951.0</v>
      </c>
      <c r="K941" s="11"/>
      <c r="L941" s="11">
        <v>2.0251027E7</v>
      </c>
    </row>
    <row r="942">
      <c r="A942" s="9" t="s">
        <v>4654</v>
      </c>
      <c r="B942" s="11" t="s">
        <v>30</v>
      </c>
      <c r="C942" s="11" t="s">
        <v>35</v>
      </c>
      <c r="D942" s="11" t="s">
        <v>37</v>
      </c>
      <c r="E942" s="11" t="s">
        <v>4861</v>
      </c>
      <c r="F942" s="11">
        <v>8.64501077837435E14</v>
      </c>
      <c r="G942" s="11" t="s">
        <v>4862</v>
      </c>
      <c r="H942" s="11" t="s">
        <v>4280</v>
      </c>
      <c r="I942" s="11" t="s">
        <v>16</v>
      </c>
      <c r="J942" s="37">
        <v>45951.0</v>
      </c>
      <c r="K942" s="11"/>
      <c r="L942" s="11">
        <v>2.0251027E7</v>
      </c>
    </row>
    <row r="943">
      <c r="A943" s="9" t="s">
        <v>4654</v>
      </c>
      <c r="B943" s="11" t="s">
        <v>30</v>
      </c>
      <c r="C943" s="11" t="s">
        <v>35</v>
      </c>
      <c r="D943" s="11" t="s">
        <v>37</v>
      </c>
      <c r="E943" s="11" t="s">
        <v>4863</v>
      </c>
      <c r="F943" s="11">
        <v>8.63406079903212E14</v>
      </c>
      <c r="G943" s="11" t="s">
        <v>4864</v>
      </c>
      <c r="H943" s="11" t="s">
        <v>4280</v>
      </c>
      <c r="I943" s="11" t="s">
        <v>16</v>
      </c>
      <c r="J943" s="37">
        <v>45951.0</v>
      </c>
      <c r="K943" s="11"/>
      <c r="L943" s="11">
        <v>2.0251027E7</v>
      </c>
    </row>
    <row r="944">
      <c r="A944" s="9" t="s">
        <v>4654</v>
      </c>
      <c r="B944" s="11" t="s">
        <v>30</v>
      </c>
      <c r="C944" s="11" t="s">
        <v>35</v>
      </c>
      <c r="D944" s="11" t="s">
        <v>37</v>
      </c>
      <c r="E944" s="11" t="s">
        <v>4865</v>
      </c>
      <c r="F944" s="11">
        <v>8.6450107783793E14</v>
      </c>
      <c r="G944" s="11" t="s">
        <v>4866</v>
      </c>
      <c r="H944" s="11" t="s">
        <v>4280</v>
      </c>
      <c r="I944" s="11" t="s">
        <v>16</v>
      </c>
      <c r="J944" s="37">
        <v>45951.0</v>
      </c>
      <c r="K944" s="11"/>
      <c r="L944" s="11">
        <v>2.0251027E7</v>
      </c>
    </row>
    <row r="945">
      <c r="A945" s="9" t="s">
        <v>4654</v>
      </c>
      <c r="B945" s="11" t="s">
        <v>30</v>
      </c>
      <c r="C945" s="11" t="s">
        <v>35</v>
      </c>
      <c r="D945" s="11" t="s">
        <v>37</v>
      </c>
      <c r="E945" s="11" t="s">
        <v>4867</v>
      </c>
      <c r="F945" s="11">
        <v>8.63406079905753E14</v>
      </c>
      <c r="G945" s="11" t="s">
        <v>4868</v>
      </c>
      <c r="H945" s="11" t="s">
        <v>4280</v>
      </c>
      <c r="I945" s="11" t="s">
        <v>16</v>
      </c>
      <c r="J945" s="37">
        <v>45951.0</v>
      </c>
      <c r="K945" s="11"/>
      <c r="L945" s="11">
        <v>2.0251027E7</v>
      </c>
    </row>
    <row r="946">
      <c r="A946" s="9" t="s">
        <v>4654</v>
      </c>
      <c r="B946" s="11" t="s">
        <v>30</v>
      </c>
      <c r="C946" s="11" t="s">
        <v>35</v>
      </c>
      <c r="D946" s="11" t="s">
        <v>37</v>
      </c>
      <c r="E946" s="11" t="s">
        <v>4869</v>
      </c>
      <c r="F946" s="11">
        <v>8.63406079912155E14</v>
      </c>
      <c r="G946" s="11" t="s">
        <v>4870</v>
      </c>
      <c r="H946" s="11" t="s">
        <v>4280</v>
      </c>
      <c r="I946" s="11" t="s">
        <v>16</v>
      </c>
      <c r="J946" s="37">
        <v>45951.0</v>
      </c>
      <c r="K946" s="11"/>
      <c r="L946" s="11">
        <v>2.0251027E7</v>
      </c>
    </row>
    <row r="947">
      <c r="A947" s="9" t="s">
        <v>4654</v>
      </c>
      <c r="B947" s="11" t="s">
        <v>30</v>
      </c>
      <c r="C947" s="11" t="s">
        <v>35</v>
      </c>
      <c r="D947" s="11" t="s">
        <v>37</v>
      </c>
      <c r="E947" s="11" t="s">
        <v>4871</v>
      </c>
      <c r="F947" s="11">
        <v>8.634060799069E14</v>
      </c>
      <c r="G947" s="11" t="s">
        <v>4872</v>
      </c>
      <c r="H947" s="11" t="s">
        <v>4280</v>
      </c>
      <c r="I947" s="11" t="s">
        <v>16</v>
      </c>
      <c r="J947" s="37">
        <v>45951.0</v>
      </c>
      <c r="K947" s="11"/>
      <c r="L947" s="11">
        <v>2.0251027E7</v>
      </c>
    </row>
    <row r="948">
      <c r="A948" s="9" t="s">
        <v>4654</v>
      </c>
      <c r="B948" s="11" t="s">
        <v>30</v>
      </c>
      <c r="C948" s="11" t="s">
        <v>35</v>
      </c>
      <c r="D948" s="11" t="s">
        <v>37</v>
      </c>
      <c r="E948" s="11" t="s">
        <v>4873</v>
      </c>
      <c r="F948" s="11">
        <v>8.63406079906199E14</v>
      </c>
      <c r="G948" s="11" t="s">
        <v>4874</v>
      </c>
      <c r="H948" s="11" t="s">
        <v>4280</v>
      </c>
      <c r="I948" s="11" t="s">
        <v>16</v>
      </c>
      <c r="J948" s="37">
        <v>45951.0</v>
      </c>
      <c r="K948" s="11"/>
      <c r="L948" s="11">
        <v>2.0251027E7</v>
      </c>
    </row>
    <row r="949">
      <c r="A949" s="9" t="s">
        <v>4654</v>
      </c>
      <c r="B949" s="11" t="s">
        <v>30</v>
      </c>
      <c r="C949" s="11" t="s">
        <v>35</v>
      </c>
      <c r="D949" s="11" t="s">
        <v>37</v>
      </c>
      <c r="E949" s="11" t="s">
        <v>4875</v>
      </c>
      <c r="F949" s="11">
        <v>8.63406079906165E14</v>
      </c>
      <c r="G949" s="11" t="s">
        <v>4876</v>
      </c>
      <c r="H949" s="11" t="s">
        <v>4280</v>
      </c>
      <c r="I949" s="11" t="s">
        <v>16</v>
      </c>
      <c r="J949" s="37">
        <v>45951.0</v>
      </c>
      <c r="K949" s="11"/>
      <c r="L949" s="11">
        <v>2.0251027E7</v>
      </c>
    </row>
    <row r="950">
      <c r="A950" s="9" t="s">
        <v>4654</v>
      </c>
      <c r="B950" s="11" t="s">
        <v>30</v>
      </c>
      <c r="C950" s="11" t="s">
        <v>35</v>
      </c>
      <c r="D950" s="11" t="s">
        <v>37</v>
      </c>
      <c r="E950" s="11" t="s">
        <v>4877</v>
      </c>
      <c r="F950" s="11">
        <v>8.63406078319873E14</v>
      </c>
      <c r="G950" s="11" t="s">
        <v>4878</v>
      </c>
      <c r="H950" s="11" t="s">
        <v>4280</v>
      </c>
      <c r="I950" s="11" t="s">
        <v>16</v>
      </c>
      <c r="J950" s="37">
        <v>45951.0</v>
      </c>
      <c r="K950" s="11"/>
      <c r="L950" s="11">
        <v>2.0251027E7</v>
      </c>
    </row>
    <row r="951">
      <c r="A951" s="9" t="s">
        <v>4654</v>
      </c>
      <c r="B951" s="11" t="s">
        <v>30</v>
      </c>
      <c r="C951" s="11" t="s">
        <v>35</v>
      </c>
      <c r="D951" s="11" t="s">
        <v>37</v>
      </c>
      <c r="E951" s="11" t="s">
        <v>4879</v>
      </c>
      <c r="F951" s="11">
        <v>8.64501077847681E14</v>
      </c>
      <c r="G951" s="11" t="s">
        <v>4880</v>
      </c>
      <c r="H951" s="11" t="s">
        <v>4280</v>
      </c>
      <c r="I951" s="11" t="s">
        <v>16</v>
      </c>
      <c r="J951" s="37">
        <v>45951.0</v>
      </c>
      <c r="K951" s="11"/>
      <c r="L951" s="11">
        <v>2.0251027E7</v>
      </c>
    </row>
    <row r="952">
      <c r="A952" s="9" t="s">
        <v>4654</v>
      </c>
      <c r="B952" s="11" t="s">
        <v>30</v>
      </c>
      <c r="C952" s="11" t="s">
        <v>35</v>
      </c>
      <c r="D952" s="11" t="s">
        <v>37</v>
      </c>
      <c r="E952" s="11" t="s">
        <v>4881</v>
      </c>
      <c r="F952" s="11">
        <v>8.64501077843474E14</v>
      </c>
      <c r="G952" s="11" t="s">
        <v>4882</v>
      </c>
      <c r="H952" s="11" t="s">
        <v>4280</v>
      </c>
      <c r="I952" s="11" t="s">
        <v>16</v>
      </c>
      <c r="J952" s="37">
        <v>45951.0</v>
      </c>
      <c r="K952" s="11"/>
      <c r="L952" s="11">
        <v>2.0251027E7</v>
      </c>
    </row>
    <row r="953">
      <c r="A953" s="9" t="s">
        <v>4654</v>
      </c>
      <c r="B953" s="11" t="s">
        <v>30</v>
      </c>
      <c r="C953" s="11" t="s">
        <v>35</v>
      </c>
      <c r="D953" s="11" t="s">
        <v>37</v>
      </c>
      <c r="E953" s="11" t="s">
        <v>4883</v>
      </c>
      <c r="F953" s="11">
        <v>8.63406079906744E14</v>
      </c>
      <c r="G953" s="11" t="s">
        <v>4884</v>
      </c>
      <c r="H953" s="11" t="s">
        <v>4280</v>
      </c>
      <c r="I953" s="11" t="s">
        <v>16</v>
      </c>
      <c r="J953" s="37">
        <v>45951.0</v>
      </c>
      <c r="K953" s="11"/>
      <c r="L953" s="11">
        <v>2.0251027E7</v>
      </c>
    </row>
    <row r="954">
      <c r="A954" s="9" t="s">
        <v>4654</v>
      </c>
      <c r="B954" s="11" t="s">
        <v>30</v>
      </c>
      <c r="C954" s="11" t="s">
        <v>35</v>
      </c>
      <c r="D954" s="11" t="s">
        <v>37</v>
      </c>
      <c r="E954" s="11" t="s">
        <v>4885</v>
      </c>
      <c r="F954" s="11">
        <v>8.6340607990666E14</v>
      </c>
      <c r="G954" s="11" t="s">
        <v>4886</v>
      </c>
      <c r="H954" s="11" t="s">
        <v>4280</v>
      </c>
      <c r="I954" s="11" t="s">
        <v>16</v>
      </c>
      <c r="J954" s="37">
        <v>45951.0</v>
      </c>
      <c r="K954" s="11"/>
      <c r="L954" s="11">
        <v>2.0251027E7</v>
      </c>
    </row>
    <row r="955">
      <c r="A955" s="9" t="s">
        <v>4654</v>
      </c>
      <c r="B955" s="11" t="s">
        <v>30</v>
      </c>
      <c r="C955" s="11" t="s">
        <v>35</v>
      </c>
      <c r="D955" s="11" t="s">
        <v>37</v>
      </c>
      <c r="E955" s="11" t="s">
        <v>4887</v>
      </c>
      <c r="F955" s="11">
        <v>8.64501077836734E14</v>
      </c>
      <c r="G955" s="11" t="s">
        <v>4888</v>
      </c>
      <c r="H955" s="11" t="s">
        <v>4280</v>
      </c>
      <c r="I955" s="11" t="s">
        <v>16</v>
      </c>
      <c r="J955" s="37">
        <v>45951.0</v>
      </c>
      <c r="K955" s="11"/>
      <c r="L955" s="11">
        <v>2.0251027E7</v>
      </c>
    </row>
    <row r="956">
      <c r="A956" s="9" t="s">
        <v>4654</v>
      </c>
      <c r="B956" s="11" t="s">
        <v>30</v>
      </c>
      <c r="C956" s="11" t="s">
        <v>35</v>
      </c>
      <c r="D956" s="11" t="s">
        <v>37</v>
      </c>
      <c r="E956" s="11" t="s">
        <v>4889</v>
      </c>
      <c r="F956" s="11">
        <v>8.64501077836668E14</v>
      </c>
      <c r="G956" s="11" t="s">
        <v>4890</v>
      </c>
      <c r="H956" s="11" t="s">
        <v>4280</v>
      </c>
      <c r="I956" s="11" t="s">
        <v>16</v>
      </c>
      <c r="J956" s="37">
        <v>45951.0</v>
      </c>
      <c r="K956" s="11"/>
      <c r="L956" s="11">
        <v>2.0251027E7</v>
      </c>
    </row>
    <row r="957">
      <c r="A957" s="9" t="s">
        <v>4654</v>
      </c>
      <c r="B957" s="11" t="s">
        <v>30</v>
      </c>
      <c r="C957" s="11" t="s">
        <v>35</v>
      </c>
      <c r="D957" s="11" t="s">
        <v>37</v>
      </c>
      <c r="E957" s="11" t="s">
        <v>4891</v>
      </c>
      <c r="F957" s="11">
        <v>8.64501077842724E14</v>
      </c>
      <c r="G957" s="11" t="s">
        <v>4892</v>
      </c>
      <c r="H957" s="11" t="s">
        <v>4280</v>
      </c>
      <c r="I957" s="11" t="s">
        <v>16</v>
      </c>
      <c r="J957" s="37">
        <v>45951.0</v>
      </c>
      <c r="K957" s="11"/>
      <c r="L957" s="11">
        <v>2.0251027E7</v>
      </c>
    </row>
    <row r="958">
      <c r="A958" s="9" t="s">
        <v>4654</v>
      </c>
      <c r="B958" s="11" t="s">
        <v>30</v>
      </c>
      <c r="C958" s="11" t="s">
        <v>35</v>
      </c>
      <c r="D958" s="11" t="s">
        <v>37</v>
      </c>
      <c r="E958" s="11" t="s">
        <v>4893</v>
      </c>
      <c r="F958" s="11">
        <v>8.64501077847848E14</v>
      </c>
      <c r="G958" s="11" t="s">
        <v>4894</v>
      </c>
      <c r="H958" s="11" t="s">
        <v>4280</v>
      </c>
      <c r="I958" s="11" t="s">
        <v>16</v>
      </c>
      <c r="J958" s="37">
        <v>45951.0</v>
      </c>
      <c r="K958" s="11"/>
      <c r="L958" s="11">
        <v>2.0251027E7</v>
      </c>
    </row>
    <row r="959">
      <c r="A959" s="9" t="s">
        <v>4654</v>
      </c>
      <c r="B959" s="11" t="s">
        <v>30</v>
      </c>
      <c r="C959" s="11" t="s">
        <v>35</v>
      </c>
      <c r="D959" s="11" t="s">
        <v>37</v>
      </c>
      <c r="E959" s="11" t="s">
        <v>4895</v>
      </c>
      <c r="F959" s="11">
        <v>8.634060799051E14</v>
      </c>
      <c r="G959" s="11" t="s">
        <v>4896</v>
      </c>
      <c r="H959" s="11" t="s">
        <v>4280</v>
      </c>
      <c r="I959" s="11" t="s">
        <v>16</v>
      </c>
      <c r="J959" s="37">
        <v>45951.0</v>
      </c>
      <c r="K959" s="11"/>
      <c r="L959" s="11">
        <v>2.0251027E7</v>
      </c>
    </row>
    <row r="960">
      <c r="A960" s="9" t="s">
        <v>4654</v>
      </c>
      <c r="B960" s="11" t="s">
        <v>30</v>
      </c>
      <c r="C960" s="11" t="s">
        <v>35</v>
      </c>
      <c r="D960" s="11" t="s">
        <v>37</v>
      </c>
      <c r="E960" s="11" t="s">
        <v>4897</v>
      </c>
      <c r="F960" s="11">
        <v>8.63406079905274E14</v>
      </c>
      <c r="G960" s="11" t="s">
        <v>4898</v>
      </c>
      <c r="H960" s="11" t="s">
        <v>4280</v>
      </c>
      <c r="I960" s="11" t="s">
        <v>16</v>
      </c>
      <c r="J960" s="37">
        <v>45951.0</v>
      </c>
      <c r="K960" s="11"/>
      <c r="L960" s="11">
        <v>2.0251027E7</v>
      </c>
    </row>
    <row r="961">
      <c r="A961" s="9" t="s">
        <v>4654</v>
      </c>
      <c r="B961" s="11" t="s">
        <v>30</v>
      </c>
      <c r="C961" s="11" t="s">
        <v>35</v>
      </c>
      <c r="D961" s="11" t="s">
        <v>37</v>
      </c>
      <c r="E961" s="11" t="s">
        <v>4899</v>
      </c>
      <c r="F961" s="11">
        <v>8.63406079906157E14</v>
      </c>
      <c r="G961" s="11" t="s">
        <v>4900</v>
      </c>
      <c r="H961" s="11" t="s">
        <v>4280</v>
      </c>
      <c r="I961" s="11" t="s">
        <v>16</v>
      </c>
      <c r="J961" s="37">
        <v>45951.0</v>
      </c>
      <c r="K961" s="11"/>
      <c r="L961" s="11">
        <v>2.0251027E7</v>
      </c>
    </row>
    <row r="962">
      <c r="A962" s="9" t="s">
        <v>4654</v>
      </c>
      <c r="B962" s="11" t="s">
        <v>30</v>
      </c>
      <c r="C962" s="11" t="s">
        <v>35</v>
      </c>
      <c r="D962" s="11" t="s">
        <v>37</v>
      </c>
      <c r="E962" s="11" t="s">
        <v>4901</v>
      </c>
      <c r="F962" s="11">
        <v>8.63406079905134E14</v>
      </c>
      <c r="G962" s="11" t="s">
        <v>4902</v>
      </c>
      <c r="H962" s="11" t="s">
        <v>4280</v>
      </c>
      <c r="I962" s="11" t="s">
        <v>16</v>
      </c>
      <c r="J962" s="37">
        <v>45951.0</v>
      </c>
      <c r="K962" s="11"/>
      <c r="L962" s="11">
        <v>2.0251027E7</v>
      </c>
    </row>
    <row r="963">
      <c r="A963" s="9" t="s">
        <v>4654</v>
      </c>
      <c r="B963" s="11" t="s">
        <v>30</v>
      </c>
      <c r="C963" s="11" t="s">
        <v>35</v>
      </c>
      <c r="D963" s="11" t="s">
        <v>37</v>
      </c>
      <c r="E963" s="11" t="s">
        <v>4903</v>
      </c>
      <c r="F963" s="11">
        <v>8.64501077843227E14</v>
      </c>
      <c r="G963" s="11" t="s">
        <v>4904</v>
      </c>
      <c r="H963" s="11" t="s">
        <v>4280</v>
      </c>
      <c r="I963" s="11" t="s">
        <v>16</v>
      </c>
      <c r="J963" s="37">
        <v>45951.0</v>
      </c>
      <c r="K963" s="11"/>
      <c r="L963" s="11">
        <v>2.0251027E7</v>
      </c>
    </row>
    <row r="964">
      <c r="A964" s="9" t="s">
        <v>4654</v>
      </c>
      <c r="B964" s="11" t="s">
        <v>30</v>
      </c>
      <c r="C964" s="11" t="s">
        <v>35</v>
      </c>
      <c r="D964" s="11" t="s">
        <v>37</v>
      </c>
      <c r="E964" s="11" t="s">
        <v>4905</v>
      </c>
      <c r="F964" s="11">
        <v>8.63406079907288E14</v>
      </c>
      <c r="G964" s="11" t="s">
        <v>4906</v>
      </c>
      <c r="H964" s="11" t="s">
        <v>4280</v>
      </c>
      <c r="I964" s="11" t="s">
        <v>16</v>
      </c>
      <c r="J964" s="37">
        <v>45951.0</v>
      </c>
      <c r="K964" s="11"/>
      <c r="L964" s="11">
        <v>2.0251027E7</v>
      </c>
    </row>
    <row r="965">
      <c r="A965" s="9" t="s">
        <v>4654</v>
      </c>
      <c r="B965" s="11" t="s">
        <v>30</v>
      </c>
      <c r="C965" s="11" t="s">
        <v>35</v>
      </c>
      <c r="D965" s="11" t="s">
        <v>37</v>
      </c>
      <c r="E965" s="11" t="s">
        <v>4907</v>
      </c>
      <c r="F965" s="11">
        <v>8.64501077846444E14</v>
      </c>
      <c r="G965" s="11" t="s">
        <v>4908</v>
      </c>
      <c r="H965" s="11" t="s">
        <v>4280</v>
      </c>
      <c r="I965" s="11" t="s">
        <v>16</v>
      </c>
      <c r="J965" s="37">
        <v>45951.0</v>
      </c>
      <c r="K965" s="11"/>
      <c r="L965" s="11">
        <v>2.0251027E7</v>
      </c>
    </row>
    <row r="966">
      <c r="A966" s="9" t="s">
        <v>4654</v>
      </c>
      <c r="B966" s="11" t="s">
        <v>30</v>
      </c>
      <c r="C966" s="11" t="s">
        <v>35</v>
      </c>
      <c r="D966" s="11" t="s">
        <v>37</v>
      </c>
      <c r="E966" s="11" t="s">
        <v>4909</v>
      </c>
      <c r="F966" s="11">
        <v>8.64501077847905E14</v>
      </c>
      <c r="G966" s="11" t="s">
        <v>4910</v>
      </c>
      <c r="H966" s="11" t="s">
        <v>4280</v>
      </c>
      <c r="I966" s="11" t="s">
        <v>16</v>
      </c>
      <c r="J966" s="37">
        <v>45951.0</v>
      </c>
      <c r="K966" s="11"/>
      <c r="L966" s="11">
        <v>2.0251027E7</v>
      </c>
    </row>
    <row r="967">
      <c r="A967" s="9" t="s">
        <v>4654</v>
      </c>
      <c r="B967" s="11" t="s">
        <v>30</v>
      </c>
      <c r="C967" s="11" t="s">
        <v>35</v>
      </c>
      <c r="D967" s="11" t="s">
        <v>37</v>
      </c>
      <c r="E967" s="11" t="s">
        <v>4911</v>
      </c>
      <c r="F967" s="11">
        <v>8.64501077847434E14</v>
      </c>
      <c r="G967" s="11" t="s">
        <v>4912</v>
      </c>
      <c r="H967" s="11" t="s">
        <v>4280</v>
      </c>
      <c r="I967" s="11" t="s">
        <v>16</v>
      </c>
      <c r="J967" s="37">
        <v>45951.0</v>
      </c>
      <c r="K967" s="11"/>
      <c r="L967" s="11">
        <v>2.0251027E7</v>
      </c>
    </row>
    <row r="968">
      <c r="A968" s="9" t="s">
        <v>4654</v>
      </c>
      <c r="B968" s="11" t="s">
        <v>30</v>
      </c>
      <c r="C968" s="11" t="s">
        <v>35</v>
      </c>
      <c r="D968" s="11" t="s">
        <v>37</v>
      </c>
      <c r="E968" s="11" t="s">
        <v>4913</v>
      </c>
      <c r="F968" s="11">
        <v>8.64501077837195E14</v>
      </c>
      <c r="G968" s="11" t="s">
        <v>4914</v>
      </c>
      <c r="H968" s="11" t="s">
        <v>4280</v>
      </c>
      <c r="I968" s="11" t="s">
        <v>16</v>
      </c>
      <c r="J968" s="37">
        <v>45951.0</v>
      </c>
      <c r="K968" s="11"/>
      <c r="L968" s="11">
        <v>2.0251027E7</v>
      </c>
    </row>
    <row r="969">
      <c r="A969" s="9" t="s">
        <v>4654</v>
      </c>
      <c r="B969" s="11" t="s">
        <v>30</v>
      </c>
      <c r="C969" s="11" t="s">
        <v>35</v>
      </c>
      <c r="D969" s="11" t="s">
        <v>37</v>
      </c>
      <c r="E969" s="11" t="s">
        <v>4915</v>
      </c>
      <c r="F969" s="11">
        <v>8.64501077844639E14</v>
      </c>
      <c r="G969" s="11" t="s">
        <v>4916</v>
      </c>
      <c r="H969" s="11" t="s">
        <v>4280</v>
      </c>
      <c r="I969" s="11" t="s">
        <v>16</v>
      </c>
      <c r="J969" s="37">
        <v>45951.0</v>
      </c>
      <c r="K969" s="11"/>
      <c r="L969" s="11">
        <v>2.0251027E7</v>
      </c>
    </row>
    <row r="970">
      <c r="A970" s="9" t="s">
        <v>4654</v>
      </c>
      <c r="B970" s="11" t="s">
        <v>30</v>
      </c>
      <c r="C970" s="11" t="s">
        <v>35</v>
      </c>
      <c r="D970" s="11" t="s">
        <v>37</v>
      </c>
      <c r="E970" s="11" t="s">
        <v>4917</v>
      </c>
      <c r="F970" s="11">
        <v>8.64501077847251E14</v>
      </c>
      <c r="G970" s="11" t="s">
        <v>4918</v>
      </c>
      <c r="H970" s="11" t="s">
        <v>4280</v>
      </c>
      <c r="I970" s="11" t="s">
        <v>16</v>
      </c>
      <c r="J970" s="37">
        <v>45951.0</v>
      </c>
      <c r="K970" s="11"/>
      <c r="L970" s="11">
        <v>2.0251027E7</v>
      </c>
    </row>
    <row r="971">
      <c r="A971" s="9" t="s">
        <v>4654</v>
      </c>
      <c r="B971" s="11" t="s">
        <v>30</v>
      </c>
      <c r="C971" s="11" t="s">
        <v>35</v>
      </c>
      <c r="D971" s="11" t="s">
        <v>37</v>
      </c>
      <c r="E971" s="11" t="s">
        <v>4919</v>
      </c>
      <c r="F971" s="11">
        <v>8.64501077844738E14</v>
      </c>
      <c r="G971" s="11" t="s">
        <v>4920</v>
      </c>
      <c r="H971" s="11" t="s">
        <v>4280</v>
      </c>
      <c r="I971" s="11" t="s">
        <v>16</v>
      </c>
      <c r="J971" s="37">
        <v>45951.0</v>
      </c>
      <c r="K971" s="11"/>
      <c r="L971" s="11">
        <v>2.0251027E7</v>
      </c>
    </row>
    <row r="972">
      <c r="A972" s="9" t="s">
        <v>4654</v>
      </c>
      <c r="B972" s="11" t="s">
        <v>30</v>
      </c>
      <c r="C972" s="11" t="s">
        <v>35</v>
      </c>
      <c r="D972" s="11" t="s">
        <v>37</v>
      </c>
      <c r="E972" s="11" t="s">
        <v>4921</v>
      </c>
      <c r="F972" s="11">
        <v>8.6340607832016E14</v>
      </c>
      <c r="G972" s="11" t="s">
        <v>4922</v>
      </c>
      <c r="H972" s="11" t="s">
        <v>4280</v>
      </c>
      <c r="I972" s="11" t="s">
        <v>16</v>
      </c>
      <c r="J972" s="37">
        <v>45951.0</v>
      </c>
      <c r="K972" s="11"/>
      <c r="L972" s="11">
        <v>2.0251027E7</v>
      </c>
    </row>
    <row r="973">
      <c r="A973" s="9" t="s">
        <v>4654</v>
      </c>
      <c r="B973" s="11" t="s">
        <v>30</v>
      </c>
      <c r="C973" s="11" t="s">
        <v>35</v>
      </c>
      <c r="D973" s="11" t="s">
        <v>37</v>
      </c>
      <c r="E973" s="11" t="s">
        <v>4923</v>
      </c>
      <c r="F973" s="11">
        <v>8.63406078319998E14</v>
      </c>
      <c r="G973" s="11" t="s">
        <v>4924</v>
      </c>
      <c r="H973" s="11" t="s">
        <v>4280</v>
      </c>
      <c r="I973" s="11" t="s">
        <v>16</v>
      </c>
      <c r="J973" s="37">
        <v>45951.0</v>
      </c>
      <c r="K973" s="11"/>
      <c r="L973" s="11">
        <v>2.0251027E7</v>
      </c>
    </row>
    <row r="974">
      <c r="A974" s="9" t="s">
        <v>4654</v>
      </c>
      <c r="B974" s="11" t="s">
        <v>30</v>
      </c>
      <c r="C974" s="11" t="s">
        <v>35</v>
      </c>
      <c r="D974" s="11" t="s">
        <v>37</v>
      </c>
      <c r="E974" s="11" t="s">
        <v>4925</v>
      </c>
      <c r="F974" s="11">
        <v>8.64501075643488E14</v>
      </c>
      <c r="G974" s="11" t="s">
        <v>4926</v>
      </c>
      <c r="H974" s="11" t="s">
        <v>4280</v>
      </c>
      <c r="I974" s="11" t="s">
        <v>16</v>
      </c>
      <c r="J974" s="37">
        <v>45951.0</v>
      </c>
      <c r="K974" s="11"/>
      <c r="L974" s="11">
        <v>2.0251027E7</v>
      </c>
    </row>
    <row r="975">
      <c r="A975" s="9" t="s">
        <v>4654</v>
      </c>
      <c r="B975" s="11" t="s">
        <v>30</v>
      </c>
      <c r="C975" s="11" t="s">
        <v>35</v>
      </c>
      <c r="D975" s="11" t="s">
        <v>37</v>
      </c>
      <c r="E975" s="11" t="s">
        <v>4927</v>
      </c>
      <c r="F975" s="11">
        <v>8.63406078290157E14</v>
      </c>
      <c r="G975" s="11" t="s">
        <v>4928</v>
      </c>
      <c r="H975" s="11" t="s">
        <v>4280</v>
      </c>
      <c r="I975" s="11" t="s">
        <v>16</v>
      </c>
      <c r="J975" s="37">
        <v>45951.0</v>
      </c>
      <c r="K975" s="11"/>
      <c r="L975" s="11">
        <v>2.0251027E7</v>
      </c>
    </row>
    <row r="976">
      <c r="A976" s="9" t="s">
        <v>4654</v>
      </c>
      <c r="B976" s="11" t="s">
        <v>30</v>
      </c>
      <c r="C976" s="11" t="s">
        <v>35</v>
      </c>
      <c r="D976" s="11" t="s">
        <v>37</v>
      </c>
      <c r="E976" s="11" t="s">
        <v>4929</v>
      </c>
      <c r="F976" s="11">
        <v>8.64501077841486E14</v>
      </c>
      <c r="G976" s="11" t="s">
        <v>4930</v>
      </c>
      <c r="H976" s="11" t="s">
        <v>4280</v>
      </c>
      <c r="I976" s="11" t="s">
        <v>16</v>
      </c>
      <c r="J976" s="37">
        <v>45951.0</v>
      </c>
      <c r="K976" s="11"/>
      <c r="L976" s="11">
        <v>2.0251027E7</v>
      </c>
    </row>
    <row r="977">
      <c r="A977" s="9" t="s">
        <v>4654</v>
      </c>
      <c r="B977" s="11" t="s">
        <v>30</v>
      </c>
      <c r="C977" s="11" t="s">
        <v>35</v>
      </c>
      <c r="D977" s="11" t="s">
        <v>37</v>
      </c>
      <c r="E977" s="11" t="s">
        <v>4931</v>
      </c>
      <c r="F977" s="11">
        <v>8.6450107784373E14</v>
      </c>
      <c r="G977" s="11" t="s">
        <v>4932</v>
      </c>
      <c r="H977" s="11" t="s">
        <v>4280</v>
      </c>
      <c r="I977" s="11" t="s">
        <v>16</v>
      </c>
      <c r="J977" s="37">
        <v>45951.0</v>
      </c>
      <c r="K977" s="11"/>
      <c r="L977" s="11">
        <v>2.0251027E7</v>
      </c>
    </row>
    <row r="978">
      <c r="A978" s="9" t="s">
        <v>4654</v>
      </c>
      <c r="B978" s="11" t="s">
        <v>30</v>
      </c>
      <c r="C978" s="11" t="s">
        <v>35</v>
      </c>
      <c r="D978" s="11" t="s">
        <v>37</v>
      </c>
      <c r="E978" s="11" t="s">
        <v>4933</v>
      </c>
      <c r="F978" s="11">
        <v>8.64501077842955E14</v>
      </c>
      <c r="G978" s="11" t="s">
        <v>4934</v>
      </c>
      <c r="H978" s="11" t="s">
        <v>4280</v>
      </c>
      <c r="I978" s="11" t="s">
        <v>16</v>
      </c>
      <c r="J978" s="37">
        <v>45951.0</v>
      </c>
      <c r="K978" s="11"/>
      <c r="L978" s="11">
        <v>2.0251027E7</v>
      </c>
    </row>
    <row r="979">
      <c r="A979" s="9" t="s">
        <v>4654</v>
      </c>
      <c r="B979" s="11" t="s">
        <v>30</v>
      </c>
      <c r="C979" s="11" t="s">
        <v>35</v>
      </c>
      <c r="D979" s="11" t="s">
        <v>37</v>
      </c>
      <c r="E979" s="11" t="s">
        <v>4935</v>
      </c>
      <c r="F979" s="11">
        <v>8.64501077837039E14</v>
      </c>
      <c r="G979" s="11" t="s">
        <v>4936</v>
      </c>
      <c r="H979" s="11" t="s">
        <v>4280</v>
      </c>
      <c r="I979" s="11" t="s">
        <v>16</v>
      </c>
      <c r="J979" s="37">
        <v>45951.0</v>
      </c>
      <c r="K979" s="11"/>
      <c r="L979" s="11">
        <v>2.0251027E7</v>
      </c>
    </row>
    <row r="980">
      <c r="A980" s="9" t="s">
        <v>4654</v>
      </c>
      <c r="B980" s="11" t="s">
        <v>30</v>
      </c>
      <c r="C980" s="11" t="s">
        <v>35</v>
      </c>
      <c r="D980" s="11" t="s">
        <v>37</v>
      </c>
      <c r="E980" s="11" t="s">
        <v>4937</v>
      </c>
      <c r="F980" s="11">
        <v>8.64501077837096E14</v>
      </c>
      <c r="G980" s="11" t="s">
        <v>4938</v>
      </c>
      <c r="H980" s="11" t="s">
        <v>4280</v>
      </c>
      <c r="I980" s="11" t="s">
        <v>16</v>
      </c>
      <c r="J980" s="37">
        <v>45951.0</v>
      </c>
      <c r="K980" s="11"/>
      <c r="L980" s="11">
        <v>2.0251027E7</v>
      </c>
    </row>
    <row r="981">
      <c r="A981" s="9" t="s">
        <v>4654</v>
      </c>
      <c r="B981" s="11" t="s">
        <v>30</v>
      </c>
      <c r="C981" s="11" t="s">
        <v>35</v>
      </c>
      <c r="D981" s="11" t="s">
        <v>37</v>
      </c>
      <c r="E981" s="11" t="s">
        <v>4939</v>
      </c>
      <c r="F981" s="11">
        <v>8.64501077843052E14</v>
      </c>
      <c r="G981" s="11" t="s">
        <v>4940</v>
      </c>
      <c r="H981" s="11" t="s">
        <v>4280</v>
      </c>
      <c r="I981" s="11" t="s">
        <v>16</v>
      </c>
      <c r="J981" s="37">
        <v>45951.0</v>
      </c>
      <c r="K981" s="11"/>
      <c r="L981" s="11">
        <v>2.0251027E7</v>
      </c>
    </row>
    <row r="982">
      <c r="A982" s="9" t="s">
        <v>4654</v>
      </c>
      <c r="B982" s="11" t="s">
        <v>30</v>
      </c>
      <c r="C982" s="11" t="s">
        <v>35</v>
      </c>
      <c r="D982" s="11" t="s">
        <v>37</v>
      </c>
      <c r="E982" s="11" t="s">
        <v>4941</v>
      </c>
      <c r="F982" s="11">
        <v>8.64501077845008E14</v>
      </c>
      <c r="G982" s="11" t="s">
        <v>4942</v>
      </c>
      <c r="H982" s="11" t="s">
        <v>4280</v>
      </c>
      <c r="I982" s="11" t="s">
        <v>16</v>
      </c>
      <c r="J982" s="37">
        <v>45951.0</v>
      </c>
      <c r="K982" s="11"/>
      <c r="L982" s="11">
        <v>2.0251027E7</v>
      </c>
    </row>
    <row r="983">
      <c r="A983" s="9" t="s">
        <v>4654</v>
      </c>
      <c r="B983" s="11" t="s">
        <v>30</v>
      </c>
      <c r="C983" s="11" t="s">
        <v>35</v>
      </c>
      <c r="D983" s="11" t="s">
        <v>37</v>
      </c>
      <c r="E983" s="11" t="s">
        <v>4943</v>
      </c>
      <c r="F983" s="11">
        <v>8.63406078303414E14</v>
      </c>
      <c r="G983" s="11" t="s">
        <v>4944</v>
      </c>
      <c r="H983" s="11" t="s">
        <v>4280</v>
      </c>
      <c r="I983" s="11" t="s">
        <v>16</v>
      </c>
      <c r="J983" s="37">
        <v>45951.0</v>
      </c>
      <c r="K983" s="11"/>
      <c r="L983" s="11">
        <v>2.0251027E7</v>
      </c>
    </row>
    <row r="984">
      <c r="A984" s="9" t="s">
        <v>4654</v>
      </c>
      <c r="B984" s="11" t="s">
        <v>30</v>
      </c>
      <c r="C984" s="11" t="s">
        <v>35</v>
      </c>
      <c r="D984" s="11" t="s">
        <v>37</v>
      </c>
      <c r="E984" s="11" t="s">
        <v>4945</v>
      </c>
      <c r="F984" s="11">
        <v>8.64501077840066E14</v>
      </c>
      <c r="G984" s="11" t="s">
        <v>4946</v>
      </c>
      <c r="H984" s="11" t="s">
        <v>4280</v>
      </c>
      <c r="I984" s="11" t="s">
        <v>16</v>
      </c>
      <c r="J984" s="37">
        <v>45951.0</v>
      </c>
      <c r="K984" s="11"/>
      <c r="L984" s="11">
        <v>2.0251027E7</v>
      </c>
    </row>
    <row r="985">
      <c r="A985" s="9" t="s">
        <v>4654</v>
      </c>
      <c r="B985" s="11" t="s">
        <v>30</v>
      </c>
      <c r="C985" s="11" t="s">
        <v>35</v>
      </c>
      <c r="D985" s="11" t="s">
        <v>37</v>
      </c>
      <c r="E985" s="11" t="s">
        <v>4947</v>
      </c>
      <c r="F985" s="11">
        <v>8.64501075643058E14</v>
      </c>
      <c r="G985" s="11" t="s">
        <v>4948</v>
      </c>
      <c r="H985" s="11" t="s">
        <v>4280</v>
      </c>
      <c r="I985" s="11" t="s">
        <v>16</v>
      </c>
      <c r="J985" s="37">
        <v>45951.0</v>
      </c>
      <c r="K985" s="11"/>
      <c r="L985" s="11">
        <v>2.0251027E7</v>
      </c>
    </row>
    <row r="986">
      <c r="A986" s="9" t="s">
        <v>4654</v>
      </c>
      <c r="B986" s="11" t="s">
        <v>30</v>
      </c>
      <c r="C986" s="11" t="s">
        <v>35</v>
      </c>
      <c r="D986" s="11" t="s">
        <v>37</v>
      </c>
      <c r="E986" s="11" t="s">
        <v>4949</v>
      </c>
      <c r="F986" s="11">
        <v>8.63406078320319E14</v>
      </c>
      <c r="G986" s="11" t="s">
        <v>4950</v>
      </c>
      <c r="H986" s="11" t="s">
        <v>4280</v>
      </c>
      <c r="I986" s="11" t="s">
        <v>16</v>
      </c>
      <c r="J986" s="37">
        <v>45951.0</v>
      </c>
      <c r="K986" s="11"/>
      <c r="L986" s="11">
        <v>2.0251027E7</v>
      </c>
    </row>
    <row r="987">
      <c r="A987" s="9" t="s">
        <v>4654</v>
      </c>
      <c r="B987" s="11" t="s">
        <v>30</v>
      </c>
      <c r="C987" s="11" t="s">
        <v>35</v>
      </c>
      <c r="D987" s="11" t="s">
        <v>37</v>
      </c>
      <c r="E987" s="11" t="s">
        <v>4951</v>
      </c>
      <c r="F987" s="11">
        <v>8.63406078290827E14</v>
      </c>
      <c r="G987" s="11" t="s">
        <v>4952</v>
      </c>
      <c r="H987" s="11" t="s">
        <v>4280</v>
      </c>
      <c r="I987" s="11" t="s">
        <v>16</v>
      </c>
      <c r="J987" s="37">
        <v>45951.0</v>
      </c>
      <c r="K987" s="11"/>
      <c r="L987" s="11">
        <v>2.0251027E7</v>
      </c>
    </row>
    <row r="988">
      <c r="A988" s="9" t="s">
        <v>4654</v>
      </c>
      <c r="B988" s="11" t="s">
        <v>30</v>
      </c>
      <c r="C988" s="11" t="s">
        <v>35</v>
      </c>
      <c r="D988" s="11" t="s">
        <v>37</v>
      </c>
      <c r="E988" s="11" t="s">
        <v>4953</v>
      </c>
      <c r="F988" s="11">
        <v>8.63406078290728E14</v>
      </c>
      <c r="G988" s="11" t="s">
        <v>4954</v>
      </c>
      <c r="H988" s="11" t="s">
        <v>4280</v>
      </c>
      <c r="I988" s="11" t="s">
        <v>16</v>
      </c>
      <c r="J988" s="37">
        <v>45951.0</v>
      </c>
      <c r="K988" s="11"/>
      <c r="L988" s="11">
        <v>2.0251027E7</v>
      </c>
    </row>
    <row r="989">
      <c r="A989" s="9" t="s">
        <v>4654</v>
      </c>
      <c r="B989" s="11" t="s">
        <v>30</v>
      </c>
      <c r="C989" s="11" t="s">
        <v>35</v>
      </c>
      <c r="D989" s="11" t="s">
        <v>37</v>
      </c>
      <c r="E989" s="11" t="s">
        <v>4955</v>
      </c>
      <c r="F989" s="11">
        <v>8.64501075643348E14</v>
      </c>
      <c r="G989" s="11" t="s">
        <v>4956</v>
      </c>
      <c r="H989" s="11" t="s">
        <v>4280</v>
      </c>
      <c r="I989" s="11" t="s">
        <v>16</v>
      </c>
      <c r="J989" s="37">
        <v>45951.0</v>
      </c>
      <c r="K989" s="11"/>
      <c r="L989" s="11">
        <v>2.0251027E7</v>
      </c>
    </row>
    <row r="990">
      <c r="A990" s="9" t="s">
        <v>4654</v>
      </c>
      <c r="B990" s="11" t="s">
        <v>30</v>
      </c>
      <c r="C990" s="11" t="s">
        <v>35</v>
      </c>
      <c r="D990" s="11" t="s">
        <v>37</v>
      </c>
      <c r="E990" s="11" t="s">
        <v>4957</v>
      </c>
      <c r="F990" s="11">
        <v>8.63406078290769E14</v>
      </c>
      <c r="G990" s="11" t="s">
        <v>4958</v>
      </c>
      <c r="H990" s="11" t="s">
        <v>4280</v>
      </c>
      <c r="I990" s="11" t="s">
        <v>16</v>
      </c>
      <c r="J990" s="37">
        <v>45951.0</v>
      </c>
      <c r="K990" s="11"/>
      <c r="L990" s="11">
        <v>2.0251027E7</v>
      </c>
    </row>
    <row r="991">
      <c r="A991" s="9" t="s">
        <v>4654</v>
      </c>
      <c r="B991" s="11" t="s">
        <v>30</v>
      </c>
      <c r="C991" s="11" t="s">
        <v>35</v>
      </c>
      <c r="D991" s="11" t="s">
        <v>37</v>
      </c>
      <c r="E991" s="11" t="s">
        <v>4959</v>
      </c>
      <c r="F991" s="11">
        <v>8.64501077836882E14</v>
      </c>
      <c r="G991" s="11" t="s">
        <v>4960</v>
      </c>
      <c r="H991" s="11" t="s">
        <v>4280</v>
      </c>
      <c r="I991" s="11" t="s">
        <v>16</v>
      </c>
      <c r="J991" s="37">
        <v>45951.0</v>
      </c>
      <c r="K991" s="11"/>
      <c r="L991" s="11">
        <v>2.0251027E7</v>
      </c>
    </row>
    <row r="992">
      <c r="A992" s="9" t="s">
        <v>4654</v>
      </c>
      <c r="B992" s="11" t="s">
        <v>30</v>
      </c>
      <c r="C992" s="11" t="s">
        <v>35</v>
      </c>
      <c r="D992" s="11" t="s">
        <v>37</v>
      </c>
      <c r="E992" s="11" t="s">
        <v>4961</v>
      </c>
      <c r="F992" s="11">
        <v>8.64501077841114E14</v>
      </c>
      <c r="G992" s="11" t="s">
        <v>4962</v>
      </c>
      <c r="H992" s="11" t="s">
        <v>4280</v>
      </c>
      <c r="I992" s="11" t="s">
        <v>16</v>
      </c>
      <c r="J992" s="37">
        <v>45951.0</v>
      </c>
      <c r="K992" s="11"/>
      <c r="L992" s="11">
        <v>2.0251027E7</v>
      </c>
    </row>
    <row r="993">
      <c r="A993" s="9" t="s">
        <v>4654</v>
      </c>
      <c r="B993" s="11" t="s">
        <v>30</v>
      </c>
      <c r="C993" s="11" t="s">
        <v>35</v>
      </c>
      <c r="D993" s="11" t="s">
        <v>37</v>
      </c>
      <c r="E993" s="11" t="s">
        <v>4963</v>
      </c>
      <c r="F993" s="11">
        <v>8.64501077841049E14</v>
      </c>
      <c r="G993" s="11" t="s">
        <v>4964</v>
      </c>
      <c r="H993" s="11" t="s">
        <v>4280</v>
      </c>
      <c r="I993" s="11" t="s">
        <v>16</v>
      </c>
      <c r="J993" s="37">
        <v>45951.0</v>
      </c>
      <c r="K993" s="11"/>
      <c r="L993" s="11">
        <v>2.0251027E7</v>
      </c>
    </row>
    <row r="994">
      <c r="A994" s="9" t="s">
        <v>4654</v>
      </c>
      <c r="B994" s="11" t="s">
        <v>30</v>
      </c>
      <c r="C994" s="11" t="s">
        <v>35</v>
      </c>
      <c r="D994" s="11" t="s">
        <v>37</v>
      </c>
      <c r="E994" s="11" t="s">
        <v>4965</v>
      </c>
      <c r="F994" s="11">
        <v>8.63406078318446E14</v>
      </c>
      <c r="G994" s="11" t="s">
        <v>4966</v>
      </c>
      <c r="H994" s="11" t="s">
        <v>4280</v>
      </c>
      <c r="I994" s="11" t="s">
        <v>16</v>
      </c>
      <c r="J994" s="37">
        <v>45951.0</v>
      </c>
      <c r="K994" s="11"/>
      <c r="L994" s="11">
        <v>2.0251027E7</v>
      </c>
    </row>
    <row r="995">
      <c r="A995" s="9" t="s">
        <v>4654</v>
      </c>
      <c r="B995" s="11" t="s">
        <v>30</v>
      </c>
      <c r="C995" s="11" t="s">
        <v>35</v>
      </c>
      <c r="D995" s="11" t="s">
        <v>37</v>
      </c>
      <c r="E995" s="11" t="s">
        <v>4967</v>
      </c>
      <c r="F995" s="11">
        <v>8.64501077837013E14</v>
      </c>
      <c r="G995" s="11" t="s">
        <v>4968</v>
      </c>
      <c r="H995" s="11" t="s">
        <v>4280</v>
      </c>
      <c r="I995" s="11" t="s">
        <v>16</v>
      </c>
      <c r="J995" s="37">
        <v>45951.0</v>
      </c>
      <c r="K995" s="11"/>
      <c r="L995" s="11">
        <v>2.0251027E7</v>
      </c>
    </row>
    <row r="996">
      <c r="A996" s="9" t="s">
        <v>4654</v>
      </c>
      <c r="B996" s="11" t="s">
        <v>30</v>
      </c>
      <c r="C996" s="11" t="s">
        <v>35</v>
      </c>
      <c r="D996" s="11" t="s">
        <v>37</v>
      </c>
      <c r="E996" s="11" t="s">
        <v>4969</v>
      </c>
      <c r="F996" s="11">
        <v>8.64501077844209E14</v>
      </c>
      <c r="G996" s="11" t="s">
        <v>4970</v>
      </c>
      <c r="H996" s="11" t="s">
        <v>4280</v>
      </c>
      <c r="I996" s="11" t="s">
        <v>16</v>
      </c>
      <c r="J996" s="37">
        <v>45951.0</v>
      </c>
      <c r="K996" s="11"/>
      <c r="L996" s="11">
        <v>2.0251027E7</v>
      </c>
    </row>
    <row r="997">
      <c r="A997" s="9" t="s">
        <v>4654</v>
      </c>
      <c r="B997" s="11" t="s">
        <v>30</v>
      </c>
      <c r="C997" s="11" t="s">
        <v>35</v>
      </c>
      <c r="D997" s="11" t="s">
        <v>37</v>
      </c>
      <c r="E997" s="11" t="s">
        <v>4971</v>
      </c>
      <c r="F997" s="11">
        <v>8.64501077844084E14</v>
      </c>
      <c r="G997" s="11" t="s">
        <v>4972</v>
      </c>
      <c r="H997" s="11" t="s">
        <v>4280</v>
      </c>
      <c r="I997" s="11" t="s">
        <v>16</v>
      </c>
      <c r="J997" s="37">
        <v>45951.0</v>
      </c>
      <c r="K997" s="11"/>
      <c r="L997" s="11">
        <v>2.0251027E7</v>
      </c>
    </row>
    <row r="998">
      <c r="A998" s="9" t="s">
        <v>4654</v>
      </c>
      <c r="B998" s="11" t="s">
        <v>30</v>
      </c>
      <c r="C998" s="11" t="s">
        <v>35</v>
      </c>
      <c r="D998" s="11" t="s">
        <v>37</v>
      </c>
      <c r="E998" s="11" t="s">
        <v>4973</v>
      </c>
      <c r="F998" s="11">
        <v>8.63406078318743E14</v>
      </c>
      <c r="G998" s="11" t="s">
        <v>4974</v>
      </c>
      <c r="H998" s="11" t="s">
        <v>4280</v>
      </c>
      <c r="I998" s="11" t="s">
        <v>16</v>
      </c>
      <c r="J998" s="37">
        <v>45951.0</v>
      </c>
      <c r="K998" s="11"/>
      <c r="L998" s="11">
        <v>2.0251027E7</v>
      </c>
    </row>
    <row r="999">
      <c r="A999" s="9" t="s">
        <v>4654</v>
      </c>
      <c r="B999" s="11" t="s">
        <v>30</v>
      </c>
      <c r="C999" s="11" t="s">
        <v>35</v>
      </c>
      <c r="D999" s="11" t="s">
        <v>37</v>
      </c>
      <c r="E999" s="11" t="s">
        <v>4975</v>
      </c>
      <c r="F999" s="11">
        <v>8.63406079907361E14</v>
      </c>
      <c r="G999" s="11" t="s">
        <v>4976</v>
      </c>
      <c r="H999" s="11" t="s">
        <v>4280</v>
      </c>
      <c r="I999" s="11" t="s">
        <v>16</v>
      </c>
      <c r="J999" s="37">
        <v>45951.0</v>
      </c>
      <c r="K999" s="11"/>
      <c r="L999" s="11">
        <v>2.0251027E7</v>
      </c>
    </row>
    <row r="1000">
      <c r="A1000" s="9" t="s">
        <v>4654</v>
      </c>
      <c r="B1000" s="11" t="s">
        <v>30</v>
      </c>
      <c r="C1000" s="11" t="s">
        <v>35</v>
      </c>
      <c r="D1000" s="11" t="s">
        <v>37</v>
      </c>
      <c r="E1000" s="11" t="s">
        <v>4977</v>
      </c>
      <c r="F1000" s="11">
        <v>8.63406079906603E14</v>
      </c>
      <c r="G1000" s="11" t="s">
        <v>4978</v>
      </c>
      <c r="H1000" s="11" t="s">
        <v>4280</v>
      </c>
      <c r="I1000" s="11" t="s">
        <v>16</v>
      </c>
      <c r="J1000" s="37">
        <v>45951.0</v>
      </c>
      <c r="K1000" s="11"/>
      <c r="L1000" s="11">
        <v>2.0251027E7</v>
      </c>
    </row>
    <row r="1001">
      <c r="A1001" s="9" t="s">
        <v>4654</v>
      </c>
      <c r="B1001" s="11" t="s">
        <v>30</v>
      </c>
      <c r="C1001" s="11" t="s">
        <v>35</v>
      </c>
      <c r="D1001" s="11" t="s">
        <v>37</v>
      </c>
      <c r="E1001" s="11" t="s">
        <v>4979</v>
      </c>
      <c r="F1001" s="11">
        <v>8.63406079905597E14</v>
      </c>
      <c r="G1001" s="11" t="s">
        <v>4980</v>
      </c>
      <c r="H1001" s="11" t="s">
        <v>4280</v>
      </c>
      <c r="I1001" s="11" t="s">
        <v>16</v>
      </c>
      <c r="J1001" s="37">
        <v>45951.0</v>
      </c>
      <c r="K1001" s="11"/>
      <c r="L1001" s="11">
        <v>2.0251027E7</v>
      </c>
    </row>
    <row r="1002">
      <c r="A1002" s="9" t="s">
        <v>4654</v>
      </c>
      <c r="B1002" s="11" t="s">
        <v>30</v>
      </c>
      <c r="C1002" s="11" t="s">
        <v>35</v>
      </c>
      <c r="D1002" s="11" t="s">
        <v>37</v>
      </c>
      <c r="E1002" s="11" t="s">
        <v>4981</v>
      </c>
      <c r="F1002" s="11">
        <v>8.63406079912213E14</v>
      </c>
      <c r="G1002" s="11" t="s">
        <v>4982</v>
      </c>
      <c r="H1002" s="11" t="s">
        <v>4280</v>
      </c>
      <c r="I1002" s="11" t="s">
        <v>16</v>
      </c>
      <c r="J1002" s="37">
        <v>45951.0</v>
      </c>
      <c r="K1002" s="11"/>
      <c r="L1002" s="11">
        <v>2.0251027E7</v>
      </c>
    </row>
    <row r="1003">
      <c r="A1003" s="9" t="s">
        <v>4654</v>
      </c>
      <c r="B1003" s="11" t="s">
        <v>30</v>
      </c>
      <c r="C1003" s="11" t="s">
        <v>35</v>
      </c>
      <c r="D1003" s="11" t="s">
        <v>37</v>
      </c>
      <c r="E1003" s="11" t="s">
        <v>4983</v>
      </c>
      <c r="F1003" s="11">
        <v>8.63406078319881E14</v>
      </c>
      <c r="G1003" s="11" t="s">
        <v>4984</v>
      </c>
      <c r="H1003" s="11" t="s">
        <v>4280</v>
      </c>
      <c r="I1003" s="11" t="s">
        <v>16</v>
      </c>
      <c r="J1003" s="37">
        <v>45951.0</v>
      </c>
      <c r="K1003" s="11"/>
      <c r="L1003" s="11">
        <v>2.0251027E7</v>
      </c>
    </row>
    <row r="1004">
      <c r="A1004" s="9" t="s">
        <v>4654</v>
      </c>
      <c r="B1004" s="11" t="s">
        <v>30</v>
      </c>
      <c r="C1004" s="11" t="s">
        <v>35</v>
      </c>
      <c r="D1004" s="11" t="s">
        <v>37</v>
      </c>
      <c r="E1004" s="11" t="s">
        <v>4985</v>
      </c>
      <c r="F1004" s="11">
        <v>8.64501077837815E14</v>
      </c>
      <c r="G1004" s="11" t="s">
        <v>4986</v>
      </c>
      <c r="H1004" s="11" t="s">
        <v>4280</v>
      </c>
      <c r="I1004" s="11" t="s">
        <v>16</v>
      </c>
      <c r="J1004" s="37">
        <v>45951.0</v>
      </c>
      <c r="K1004" s="11"/>
      <c r="L1004" s="11">
        <v>2.0251027E7</v>
      </c>
    </row>
    <row r="1005">
      <c r="A1005" s="9" t="s">
        <v>4654</v>
      </c>
      <c r="B1005" s="11" t="s">
        <v>30</v>
      </c>
      <c r="C1005" s="11" t="s">
        <v>35</v>
      </c>
      <c r="D1005" s="11" t="s">
        <v>37</v>
      </c>
      <c r="E1005" s="11" t="s">
        <v>4987</v>
      </c>
      <c r="F1005" s="11">
        <v>8.64501077837302E14</v>
      </c>
      <c r="G1005" s="11" t="s">
        <v>4988</v>
      </c>
      <c r="H1005" s="11" t="s">
        <v>4280</v>
      </c>
      <c r="I1005" s="11" t="s">
        <v>16</v>
      </c>
      <c r="J1005" s="37">
        <v>45951.0</v>
      </c>
      <c r="K1005" s="11"/>
      <c r="L1005" s="11">
        <v>2.0251027E7</v>
      </c>
    </row>
    <row r="1006">
      <c r="A1006" s="9" t="s">
        <v>4654</v>
      </c>
      <c r="B1006" s="11" t="s">
        <v>30</v>
      </c>
      <c r="C1006" s="11" t="s">
        <v>35</v>
      </c>
      <c r="D1006" s="11" t="s">
        <v>37</v>
      </c>
      <c r="E1006" s="11" t="s">
        <v>4989</v>
      </c>
      <c r="F1006" s="11">
        <v>8.63406078296147E14</v>
      </c>
      <c r="G1006" s="11" t="s">
        <v>4990</v>
      </c>
      <c r="H1006" s="11" t="s">
        <v>4280</v>
      </c>
      <c r="I1006" s="11" t="s">
        <v>16</v>
      </c>
      <c r="J1006" s="37">
        <v>45951.0</v>
      </c>
      <c r="K1006" s="11"/>
      <c r="L1006" s="11">
        <v>2.0251027E7</v>
      </c>
    </row>
    <row r="1007">
      <c r="A1007" s="9" t="s">
        <v>4654</v>
      </c>
      <c r="B1007" s="11" t="s">
        <v>30</v>
      </c>
      <c r="C1007" s="11" t="s">
        <v>35</v>
      </c>
      <c r="D1007" s="11" t="s">
        <v>37</v>
      </c>
      <c r="E1007" s="11" t="s">
        <v>4991</v>
      </c>
      <c r="F1007" s="11">
        <v>8.64501077837203E14</v>
      </c>
      <c r="G1007" s="11" t="s">
        <v>4992</v>
      </c>
      <c r="H1007" s="11" t="s">
        <v>4280</v>
      </c>
      <c r="I1007" s="11" t="s">
        <v>16</v>
      </c>
      <c r="J1007" s="37">
        <v>45951.0</v>
      </c>
      <c r="K1007" s="11"/>
      <c r="L1007" s="11">
        <v>2.0251027E7</v>
      </c>
    </row>
    <row r="1008">
      <c r="A1008" s="9" t="s">
        <v>4654</v>
      </c>
      <c r="B1008" s="11" t="s">
        <v>30</v>
      </c>
      <c r="C1008" s="11" t="s">
        <v>35</v>
      </c>
      <c r="D1008" s="11" t="s">
        <v>37</v>
      </c>
      <c r="E1008" s="11" t="s">
        <v>4993</v>
      </c>
      <c r="F1008" s="11">
        <v>8.63406079906249E14</v>
      </c>
      <c r="G1008" s="11" t="s">
        <v>4994</v>
      </c>
      <c r="H1008" s="11" t="s">
        <v>4280</v>
      </c>
      <c r="I1008" s="11" t="s">
        <v>16</v>
      </c>
      <c r="J1008" s="37">
        <v>45951.0</v>
      </c>
      <c r="K1008" s="11"/>
      <c r="L1008" s="11">
        <v>2.0251027E7</v>
      </c>
    </row>
    <row r="1009">
      <c r="A1009" s="9" t="s">
        <v>4654</v>
      </c>
      <c r="B1009" s="11" t="s">
        <v>30</v>
      </c>
      <c r="C1009" s="11" t="s">
        <v>35</v>
      </c>
      <c r="D1009" s="11" t="s">
        <v>37</v>
      </c>
      <c r="E1009" s="11" t="s">
        <v>4995</v>
      </c>
      <c r="F1009" s="11">
        <v>8.6340607990713E14</v>
      </c>
      <c r="G1009" s="11" t="s">
        <v>4996</v>
      </c>
      <c r="H1009" s="11" t="s">
        <v>4280</v>
      </c>
      <c r="I1009" s="11" t="s">
        <v>16</v>
      </c>
      <c r="J1009" s="37">
        <v>45951.0</v>
      </c>
      <c r="K1009" s="11"/>
      <c r="L1009" s="11">
        <v>2.0251027E7</v>
      </c>
    </row>
    <row r="1010">
      <c r="A1010" s="9" t="s">
        <v>4654</v>
      </c>
      <c r="B1010" s="11" t="s">
        <v>30</v>
      </c>
      <c r="C1010" s="11" t="s">
        <v>35</v>
      </c>
      <c r="D1010" s="11" t="s">
        <v>37</v>
      </c>
      <c r="E1010" s="11" t="s">
        <v>4997</v>
      </c>
      <c r="F1010" s="11">
        <v>8.63406078319931E14</v>
      </c>
      <c r="G1010" s="11" t="s">
        <v>4998</v>
      </c>
      <c r="H1010" s="11" t="s">
        <v>4280</v>
      </c>
      <c r="I1010" s="11" t="s">
        <v>16</v>
      </c>
      <c r="J1010" s="37">
        <v>45951.0</v>
      </c>
      <c r="K1010" s="11"/>
      <c r="L1010" s="11">
        <v>2.0251027E7</v>
      </c>
    </row>
    <row r="1011">
      <c r="A1011" s="9" t="s">
        <v>4654</v>
      </c>
      <c r="B1011" s="11" t="s">
        <v>30</v>
      </c>
      <c r="C1011" s="11" t="s">
        <v>35</v>
      </c>
      <c r="D1011" s="11" t="s">
        <v>37</v>
      </c>
      <c r="E1011" s="11" t="s">
        <v>4999</v>
      </c>
      <c r="F1011" s="11">
        <v>8.64501077842765E14</v>
      </c>
      <c r="G1011" s="11" t="s">
        <v>5000</v>
      </c>
      <c r="H1011" s="11" t="s">
        <v>4280</v>
      </c>
      <c r="I1011" s="11" t="s">
        <v>16</v>
      </c>
      <c r="J1011" s="37">
        <v>45951.0</v>
      </c>
      <c r="K1011" s="11"/>
      <c r="L1011" s="11">
        <v>2.0251027E7</v>
      </c>
    </row>
    <row r="1012">
      <c r="A1012" s="9" t="s">
        <v>4654</v>
      </c>
      <c r="B1012" s="11" t="s">
        <v>30</v>
      </c>
      <c r="C1012" s="11" t="s">
        <v>35</v>
      </c>
      <c r="D1012" s="11" t="s">
        <v>37</v>
      </c>
      <c r="E1012" s="11" t="s">
        <v>5001</v>
      </c>
      <c r="F1012" s="11">
        <v>8.64501077847517E14</v>
      </c>
      <c r="G1012" s="11" t="s">
        <v>5002</v>
      </c>
      <c r="H1012" s="11" t="s">
        <v>4280</v>
      </c>
      <c r="I1012" s="11" t="s">
        <v>16</v>
      </c>
      <c r="J1012" s="37">
        <v>45951.0</v>
      </c>
      <c r="K1012" s="11"/>
      <c r="L1012" s="11">
        <v>2.0251027E7</v>
      </c>
    </row>
    <row r="1013">
      <c r="A1013" s="9" t="s">
        <v>4654</v>
      </c>
      <c r="B1013" s="11" t="s">
        <v>30</v>
      </c>
      <c r="C1013" s="11" t="s">
        <v>35</v>
      </c>
      <c r="D1013" s="11" t="s">
        <v>37</v>
      </c>
      <c r="E1013" s="11" t="s">
        <v>5003</v>
      </c>
      <c r="F1013" s="11">
        <v>8.63406079902891E14</v>
      </c>
      <c r="G1013" s="11" t="s">
        <v>5004</v>
      </c>
      <c r="H1013" s="11" t="s">
        <v>4280</v>
      </c>
      <c r="I1013" s="11" t="s">
        <v>16</v>
      </c>
      <c r="J1013" s="37">
        <v>45951.0</v>
      </c>
      <c r="K1013" s="11"/>
      <c r="L1013" s="11">
        <v>2.0251027E7</v>
      </c>
    </row>
    <row r="1014">
      <c r="A1014" s="9" t="s">
        <v>4654</v>
      </c>
      <c r="B1014" s="11" t="s">
        <v>30</v>
      </c>
      <c r="C1014" s="11" t="s">
        <v>35</v>
      </c>
      <c r="D1014" s="11" t="s">
        <v>37</v>
      </c>
      <c r="E1014" s="11" t="s">
        <v>5005</v>
      </c>
      <c r="F1014" s="11">
        <v>8.63406079906082E14</v>
      </c>
      <c r="G1014" s="11" t="s">
        <v>5006</v>
      </c>
      <c r="H1014" s="11" t="s">
        <v>4280</v>
      </c>
      <c r="I1014" s="11" t="s">
        <v>16</v>
      </c>
      <c r="J1014" s="37">
        <v>45951.0</v>
      </c>
      <c r="K1014" s="11"/>
      <c r="L1014" s="11">
        <v>2.0251027E7</v>
      </c>
    </row>
    <row r="1015">
      <c r="A1015" s="9" t="s">
        <v>4654</v>
      </c>
      <c r="B1015" s="11" t="s">
        <v>30</v>
      </c>
      <c r="C1015" s="11" t="s">
        <v>35</v>
      </c>
      <c r="D1015" s="11" t="s">
        <v>37</v>
      </c>
      <c r="E1015" s="11" t="s">
        <v>5007</v>
      </c>
      <c r="F1015" s="11">
        <v>8.63406079906223E14</v>
      </c>
      <c r="G1015" s="11" t="s">
        <v>5008</v>
      </c>
      <c r="H1015" s="11" t="s">
        <v>4280</v>
      </c>
      <c r="I1015" s="11" t="s">
        <v>16</v>
      </c>
      <c r="J1015" s="37">
        <v>45951.0</v>
      </c>
      <c r="K1015" s="11"/>
      <c r="L1015" s="11">
        <v>2.0251027E7</v>
      </c>
    </row>
    <row r="1016">
      <c r="A1016" s="9" t="s">
        <v>4654</v>
      </c>
      <c r="B1016" s="11" t="s">
        <v>30</v>
      </c>
      <c r="C1016" s="11" t="s">
        <v>35</v>
      </c>
      <c r="D1016" s="11" t="s">
        <v>37</v>
      </c>
      <c r="E1016" s="11" t="s">
        <v>5009</v>
      </c>
      <c r="F1016" s="11">
        <v>8.64501077843433E14</v>
      </c>
      <c r="G1016" s="11" t="s">
        <v>5010</v>
      </c>
      <c r="H1016" s="11" t="s">
        <v>4280</v>
      </c>
      <c r="I1016" s="11" t="s">
        <v>16</v>
      </c>
      <c r="J1016" s="37">
        <v>45951.0</v>
      </c>
      <c r="K1016" s="11"/>
      <c r="L1016" s="11">
        <v>2.0251027E7</v>
      </c>
    </row>
    <row r="1017">
      <c r="A1017" s="9" t="s">
        <v>4654</v>
      </c>
      <c r="B1017" s="11" t="s">
        <v>30</v>
      </c>
      <c r="C1017" s="11" t="s">
        <v>35</v>
      </c>
      <c r="D1017" s="11" t="s">
        <v>37</v>
      </c>
      <c r="E1017" s="11" t="s">
        <v>5011</v>
      </c>
      <c r="F1017" s="11">
        <v>8.63406078319774E14</v>
      </c>
      <c r="G1017" s="11" t="s">
        <v>5012</v>
      </c>
      <c r="H1017" s="11" t="s">
        <v>4280</v>
      </c>
      <c r="I1017" s="11" t="s">
        <v>16</v>
      </c>
      <c r="J1017" s="37">
        <v>45951.0</v>
      </c>
      <c r="K1017" s="11"/>
      <c r="L1017" s="11">
        <v>2.0251027E7</v>
      </c>
    </row>
    <row r="1018">
      <c r="A1018" s="9" t="s">
        <v>4654</v>
      </c>
      <c r="B1018" s="11" t="s">
        <v>30</v>
      </c>
      <c r="C1018" s="11" t="s">
        <v>35</v>
      </c>
      <c r="D1018" s="11" t="s">
        <v>37</v>
      </c>
      <c r="E1018" s="11" t="s">
        <v>5013</v>
      </c>
      <c r="F1018" s="11">
        <v>8.64501077837674E14</v>
      </c>
      <c r="G1018" s="11" t="s">
        <v>5014</v>
      </c>
      <c r="H1018" s="11" t="s">
        <v>4280</v>
      </c>
      <c r="I1018" s="11" t="s">
        <v>16</v>
      </c>
      <c r="J1018" s="37">
        <v>45951.0</v>
      </c>
      <c r="K1018" s="11"/>
      <c r="L1018" s="11">
        <v>2.0251027E7</v>
      </c>
    </row>
    <row r="1019">
      <c r="A1019" s="9" t="s">
        <v>4654</v>
      </c>
      <c r="B1019" s="11" t="s">
        <v>30</v>
      </c>
      <c r="C1019" s="11" t="s">
        <v>35</v>
      </c>
      <c r="D1019" s="11" t="s">
        <v>37</v>
      </c>
      <c r="E1019" s="11" t="s">
        <v>5015</v>
      </c>
      <c r="F1019" s="11">
        <v>8.63406079905225E14</v>
      </c>
      <c r="G1019" s="11" t="s">
        <v>5016</v>
      </c>
      <c r="H1019" s="11" t="s">
        <v>4280</v>
      </c>
      <c r="I1019" s="11" t="s">
        <v>16</v>
      </c>
      <c r="J1019" s="37">
        <v>45951.0</v>
      </c>
      <c r="K1019" s="11"/>
      <c r="L1019" s="11">
        <v>2.0251027E7</v>
      </c>
    </row>
    <row r="1020">
      <c r="A1020" s="9" t="s">
        <v>4654</v>
      </c>
      <c r="B1020" s="11" t="s">
        <v>30</v>
      </c>
      <c r="C1020" s="11" t="s">
        <v>35</v>
      </c>
      <c r="D1020" s="11" t="s">
        <v>37</v>
      </c>
      <c r="E1020" s="11" t="s">
        <v>5017</v>
      </c>
      <c r="F1020" s="11">
        <v>8.63406079906058E14</v>
      </c>
      <c r="G1020" s="11" t="s">
        <v>5018</v>
      </c>
      <c r="H1020" s="11" t="s">
        <v>4280</v>
      </c>
      <c r="I1020" s="11" t="s">
        <v>16</v>
      </c>
      <c r="J1020" s="37">
        <v>45951.0</v>
      </c>
      <c r="K1020" s="11"/>
      <c r="L1020" s="11">
        <v>2.0251027E7</v>
      </c>
    </row>
    <row r="1021">
      <c r="A1021" s="9" t="s">
        <v>4654</v>
      </c>
      <c r="B1021" s="11" t="s">
        <v>30</v>
      </c>
      <c r="C1021" s="11" t="s">
        <v>35</v>
      </c>
      <c r="D1021" s="11" t="s">
        <v>37</v>
      </c>
      <c r="E1021" s="11" t="s">
        <v>5019</v>
      </c>
      <c r="F1021" s="11">
        <v>8.63406079906066E14</v>
      </c>
      <c r="G1021" s="11" t="s">
        <v>5020</v>
      </c>
      <c r="H1021" s="11" t="s">
        <v>4280</v>
      </c>
      <c r="I1021" s="11" t="s">
        <v>16</v>
      </c>
      <c r="J1021" s="37">
        <v>45951.0</v>
      </c>
      <c r="K1021" s="11"/>
      <c r="L1021" s="11">
        <v>2.0251027E7</v>
      </c>
    </row>
    <row r="1022">
      <c r="A1022" s="9" t="s">
        <v>4654</v>
      </c>
      <c r="B1022" s="11" t="s">
        <v>30</v>
      </c>
      <c r="C1022" s="11" t="s">
        <v>35</v>
      </c>
      <c r="D1022" s="11" t="s">
        <v>37</v>
      </c>
      <c r="E1022" s="11" t="s">
        <v>5021</v>
      </c>
      <c r="F1022" s="11">
        <v>8.64501077837401E14</v>
      </c>
      <c r="G1022" s="11" t="s">
        <v>5022</v>
      </c>
      <c r="H1022" s="11" t="s">
        <v>4280</v>
      </c>
      <c r="I1022" s="11" t="s">
        <v>16</v>
      </c>
      <c r="J1022" s="37">
        <v>45951.0</v>
      </c>
      <c r="K1022" s="11"/>
      <c r="L1022" s="11">
        <v>2.0251027E7</v>
      </c>
    </row>
    <row r="1023">
      <c r="A1023" s="9" t="s">
        <v>4654</v>
      </c>
      <c r="B1023" s="11" t="s">
        <v>30</v>
      </c>
      <c r="C1023" s="11" t="s">
        <v>35</v>
      </c>
      <c r="D1023" s="11" t="s">
        <v>37</v>
      </c>
      <c r="E1023" s="11" t="s">
        <v>5023</v>
      </c>
      <c r="F1023" s="11">
        <v>8.63406079905282E14</v>
      </c>
      <c r="G1023" s="11" t="s">
        <v>5024</v>
      </c>
      <c r="H1023" s="11" t="s">
        <v>4280</v>
      </c>
      <c r="I1023" s="11" t="s">
        <v>16</v>
      </c>
      <c r="J1023" s="37">
        <v>45951.0</v>
      </c>
      <c r="K1023" s="11"/>
      <c r="L1023" s="11">
        <v>2.0251027E7</v>
      </c>
    </row>
    <row r="1024">
      <c r="A1024" s="9" t="s">
        <v>4654</v>
      </c>
      <c r="B1024" s="11" t="s">
        <v>30</v>
      </c>
      <c r="C1024" s="11" t="s">
        <v>35</v>
      </c>
      <c r="D1024" s="11" t="s">
        <v>37</v>
      </c>
      <c r="E1024" s="11" t="s">
        <v>5025</v>
      </c>
      <c r="F1024" s="11">
        <v>8.64501077847566E14</v>
      </c>
      <c r="G1024" s="11" t="s">
        <v>5026</v>
      </c>
      <c r="H1024" s="11" t="s">
        <v>4280</v>
      </c>
      <c r="I1024" s="11" t="s">
        <v>16</v>
      </c>
      <c r="J1024" s="37">
        <v>45951.0</v>
      </c>
      <c r="K1024" s="11"/>
      <c r="L1024" s="11">
        <v>2.0251027E7</v>
      </c>
    </row>
    <row r="1025">
      <c r="A1025" s="9" t="s">
        <v>4654</v>
      </c>
      <c r="B1025" s="11" t="s">
        <v>30</v>
      </c>
      <c r="C1025" s="11" t="s">
        <v>35</v>
      </c>
      <c r="D1025" s="11" t="s">
        <v>37</v>
      </c>
      <c r="E1025" s="11" t="s">
        <v>5027</v>
      </c>
      <c r="F1025" s="11">
        <v>8.64501077837393E14</v>
      </c>
      <c r="G1025" s="11" t="s">
        <v>5028</v>
      </c>
      <c r="H1025" s="11" t="s">
        <v>4280</v>
      </c>
      <c r="I1025" s="11" t="s">
        <v>16</v>
      </c>
      <c r="J1025" s="37">
        <v>45951.0</v>
      </c>
      <c r="K1025" s="11"/>
      <c r="L1025" s="11">
        <v>2.0251027E7</v>
      </c>
    </row>
    <row r="1026">
      <c r="A1026" s="9" t="s">
        <v>4654</v>
      </c>
      <c r="B1026" s="11" t="s">
        <v>30</v>
      </c>
      <c r="C1026" s="11" t="s">
        <v>35</v>
      </c>
      <c r="D1026" s="11" t="s">
        <v>37</v>
      </c>
      <c r="E1026" s="11" t="s">
        <v>5029</v>
      </c>
      <c r="F1026" s="11">
        <v>8.63406079907445E14</v>
      </c>
      <c r="G1026" s="11" t="s">
        <v>5030</v>
      </c>
      <c r="H1026" s="11" t="s">
        <v>4280</v>
      </c>
      <c r="I1026" s="11" t="s">
        <v>16</v>
      </c>
      <c r="J1026" s="37">
        <v>45951.0</v>
      </c>
      <c r="K1026" s="11"/>
      <c r="L1026" s="11">
        <v>2.0251027E7</v>
      </c>
    </row>
    <row r="1027">
      <c r="A1027" s="9" t="s">
        <v>4654</v>
      </c>
      <c r="B1027" s="11" t="s">
        <v>30</v>
      </c>
      <c r="C1027" s="11" t="s">
        <v>35</v>
      </c>
      <c r="D1027" s="11" t="s">
        <v>37</v>
      </c>
      <c r="E1027" s="11" t="s">
        <v>5031</v>
      </c>
      <c r="F1027" s="11">
        <v>8.64501077837286E14</v>
      </c>
      <c r="G1027" s="11" t="s">
        <v>5032</v>
      </c>
      <c r="H1027" s="11" t="s">
        <v>4280</v>
      </c>
      <c r="I1027" s="11" t="s">
        <v>16</v>
      </c>
      <c r="J1027" s="37">
        <v>45951.0</v>
      </c>
      <c r="K1027" s="11"/>
      <c r="L1027" s="11">
        <v>2.0251027E7</v>
      </c>
    </row>
    <row r="1028">
      <c r="A1028" s="9" t="s">
        <v>4654</v>
      </c>
      <c r="B1028" s="11" t="s">
        <v>30</v>
      </c>
      <c r="C1028" s="11" t="s">
        <v>35</v>
      </c>
      <c r="D1028" s="11" t="s">
        <v>37</v>
      </c>
      <c r="E1028" s="11" t="s">
        <v>5033</v>
      </c>
      <c r="F1028" s="11">
        <v>8.63406079906678E14</v>
      </c>
      <c r="G1028" s="11" t="s">
        <v>5034</v>
      </c>
      <c r="H1028" s="11" t="s">
        <v>4280</v>
      </c>
      <c r="I1028" s="11" t="s">
        <v>16</v>
      </c>
      <c r="J1028" s="37">
        <v>45951.0</v>
      </c>
      <c r="K1028" s="11"/>
      <c r="L1028" s="11">
        <v>2.0251027E7</v>
      </c>
    </row>
    <row r="1029">
      <c r="A1029" s="9" t="s">
        <v>4654</v>
      </c>
      <c r="B1029" s="11" t="s">
        <v>30</v>
      </c>
      <c r="C1029" s="11" t="s">
        <v>35</v>
      </c>
      <c r="D1029" s="11" t="s">
        <v>37</v>
      </c>
      <c r="E1029" s="11" t="s">
        <v>5035</v>
      </c>
      <c r="F1029" s="11">
        <v>8.63406079906835E14</v>
      </c>
      <c r="G1029" s="11" t="s">
        <v>5036</v>
      </c>
      <c r="H1029" s="11" t="s">
        <v>4280</v>
      </c>
      <c r="I1029" s="11" t="s">
        <v>16</v>
      </c>
      <c r="J1029" s="37">
        <v>45951.0</v>
      </c>
      <c r="K1029" s="11"/>
      <c r="L1029" s="11">
        <v>2.0251027E7</v>
      </c>
    </row>
    <row r="1030">
      <c r="A1030" s="9" t="s">
        <v>4654</v>
      </c>
      <c r="B1030" s="11" t="s">
        <v>30</v>
      </c>
      <c r="C1030" s="11" t="s">
        <v>35</v>
      </c>
      <c r="D1030" s="11" t="s">
        <v>37</v>
      </c>
      <c r="E1030" s="11" t="s">
        <v>5037</v>
      </c>
      <c r="F1030" s="11">
        <v>8.63406079906843E14</v>
      </c>
      <c r="G1030" s="11" t="s">
        <v>5038</v>
      </c>
      <c r="H1030" s="11" t="s">
        <v>4280</v>
      </c>
      <c r="I1030" s="11" t="s">
        <v>16</v>
      </c>
      <c r="J1030" s="37">
        <v>45951.0</v>
      </c>
      <c r="K1030" s="11"/>
      <c r="L1030" s="11">
        <v>2.0251027E7</v>
      </c>
    </row>
    <row r="1031">
      <c r="A1031" s="9" t="s">
        <v>4654</v>
      </c>
      <c r="B1031" s="11" t="s">
        <v>30</v>
      </c>
      <c r="C1031" s="11" t="s">
        <v>35</v>
      </c>
      <c r="D1031" s="11" t="s">
        <v>37</v>
      </c>
      <c r="E1031" s="11" t="s">
        <v>5039</v>
      </c>
      <c r="F1031" s="11">
        <v>8.64501077842989E14</v>
      </c>
      <c r="G1031" s="11" t="s">
        <v>5040</v>
      </c>
      <c r="H1031" s="11" t="s">
        <v>4280</v>
      </c>
      <c r="I1031" s="11" t="s">
        <v>16</v>
      </c>
      <c r="J1031" s="37">
        <v>45951.0</v>
      </c>
      <c r="K1031" s="11"/>
      <c r="L1031" s="11">
        <v>2.0251027E7</v>
      </c>
    </row>
    <row r="1032">
      <c r="A1032" s="9" t="s">
        <v>4654</v>
      </c>
      <c r="B1032" s="11" t="s">
        <v>30</v>
      </c>
      <c r="C1032" s="11" t="s">
        <v>35</v>
      </c>
      <c r="D1032" s="11" t="s">
        <v>37</v>
      </c>
      <c r="E1032" s="11" t="s">
        <v>5041</v>
      </c>
      <c r="F1032" s="11">
        <v>8.63406079906975E14</v>
      </c>
      <c r="G1032" s="11" t="s">
        <v>5042</v>
      </c>
      <c r="H1032" s="11" t="s">
        <v>4280</v>
      </c>
      <c r="I1032" s="11" t="s">
        <v>16</v>
      </c>
      <c r="J1032" s="37">
        <v>45951.0</v>
      </c>
      <c r="K1032" s="11"/>
      <c r="L1032" s="11">
        <v>2.0251027E7</v>
      </c>
    </row>
    <row r="1033">
      <c r="A1033" s="9" t="s">
        <v>4654</v>
      </c>
      <c r="B1033" s="11" t="s">
        <v>30</v>
      </c>
      <c r="C1033" s="11" t="s">
        <v>35</v>
      </c>
      <c r="D1033" s="11" t="s">
        <v>37</v>
      </c>
      <c r="E1033" s="11" t="s">
        <v>5043</v>
      </c>
      <c r="F1033" s="11">
        <v>8.6340607831984E14</v>
      </c>
      <c r="G1033" s="11" t="s">
        <v>5044</v>
      </c>
      <c r="H1033" s="11" t="s">
        <v>4280</v>
      </c>
      <c r="I1033" s="11" t="s">
        <v>16</v>
      </c>
      <c r="J1033" s="37">
        <v>45951.0</v>
      </c>
      <c r="K1033" s="11"/>
      <c r="L1033" s="11">
        <v>2.0251027E7</v>
      </c>
    </row>
    <row r="1034">
      <c r="A1034" s="9" t="s">
        <v>4654</v>
      </c>
      <c r="B1034" s="11" t="s">
        <v>30</v>
      </c>
      <c r="C1034" s="11" t="s">
        <v>35</v>
      </c>
      <c r="D1034" s="11" t="s">
        <v>37</v>
      </c>
      <c r="E1034" s="11" t="s">
        <v>5045</v>
      </c>
      <c r="F1034" s="11">
        <v>8.63406079912197E14</v>
      </c>
      <c r="G1034" s="11" t="s">
        <v>5046</v>
      </c>
      <c r="H1034" s="11" t="s">
        <v>4280</v>
      </c>
      <c r="I1034" s="11" t="s">
        <v>16</v>
      </c>
      <c r="J1034" s="37">
        <v>45951.0</v>
      </c>
      <c r="K1034" s="11"/>
      <c r="L1034" s="11">
        <v>2.0251027E7</v>
      </c>
    </row>
    <row r="1035">
      <c r="A1035" s="9" t="s">
        <v>4654</v>
      </c>
      <c r="B1035" s="11" t="s">
        <v>30</v>
      </c>
      <c r="C1035" s="11" t="s">
        <v>35</v>
      </c>
      <c r="D1035" s="11" t="s">
        <v>37</v>
      </c>
      <c r="E1035" s="11" t="s">
        <v>5047</v>
      </c>
      <c r="F1035" s="11">
        <v>8.63406079906926E14</v>
      </c>
      <c r="G1035" s="11" t="s">
        <v>5048</v>
      </c>
      <c r="H1035" s="11" t="s">
        <v>4280</v>
      </c>
      <c r="I1035" s="11" t="s">
        <v>16</v>
      </c>
      <c r="J1035" s="37">
        <v>45951.0</v>
      </c>
      <c r="K1035" s="11"/>
      <c r="L1035" s="11">
        <v>2.0251027E7</v>
      </c>
    </row>
    <row r="1036">
      <c r="A1036" s="9" t="s">
        <v>4654</v>
      </c>
      <c r="B1036" s="11" t="s">
        <v>30</v>
      </c>
      <c r="C1036" s="11" t="s">
        <v>35</v>
      </c>
      <c r="D1036" s="11" t="s">
        <v>37</v>
      </c>
      <c r="E1036" s="11" t="s">
        <v>5049</v>
      </c>
      <c r="F1036" s="11">
        <v>8.63406079906983E14</v>
      </c>
      <c r="G1036" s="11" t="s">
        <v>5050</v>
      </c>
      <c r="H1036" s="11" t="s">
        <v>4280</v>
      </c>
      <c r="I1036" s="11" t="s">
        <v>16</v>
      </c>
      <c r="J1036" s="37">
        <v>45951.0</v>
      </c>
      <c r="K1036" s="11"/>
      <c r="L1036" s="11">
        <v>2.0251027E7</v>
      </c>
    </row>
    <row r="1037">
      <c r="A1037" s="9" t="s">
        <v>4654</v>
      </c>
      <c r="B1037" s="11" t="s">
        <v>30</v>
      </c>
      <c r="C1037" s="11" t="s">
        <v>35</v>
      </c>
      <c r="D1037" s="11" t="s">
        <v>37</v>
      </c>
      <c r="E1037" s="11" t="s">
        <v>5051</v>
      </c>
      <c r="F1037" s="11">
        <v>8.63406079912171E14</v>
      </c>
      <c r="G1037" s="11" t="s">
        <v>5052</v>
      </c>
      <c r="H1037" s="11" t="s">
        <v>4280</v>
      </c>
      <c r="I1037" s="11" t="s">
        <v>16</v>
      </c>
      <c r="J1037" s="37">
        <v>45951.0</v>
      </c>
      <c r="K1037" s="11"/>
      <c r="L1037" s="11">
        <v>2.0251027E7</v>
      </c>
    </row>
    <row r="1038">
      <c r="A1038" s="9" t="s">
        <v>4654</v>
      </c>
      <c r="B1038" s="11" t="s">
        <v>30</v>
      </c>
      <c r="C1038" s="11" t="s">
        <v>35</v>
      </c>
      <c r="D1038" s="11" t="s">
        <v>37</v>
      </c>
      <c r="E1038" s="11" t="s">
        <v>5053</v>
      </c>
      <c r="F1038" s="11">
        <v>8.63406079906777E14</v>
      </c>
      <c r="G1038" s="11" t="s">
        <v>5054</v>
      </c>
      <c r="H1038" s="11" t="s">
        <v>4280</v>
      </c>
      <c r="I1038" s="11" t="s">
        <v>16</v>
      </c>
      <c r="J1038" s="37">
        <v>45951.0</v>
      </c>
      <c r="K1038" s="11"/>
      <c r="L1038" s="11">
        <v>2.0251027E7</v>
      </c>
    </row>
    <row r="1039">
      <c r="A1039" s="9" t="s">
        <v>4654</v>
      </c>
      <c r="B1039" s="11" t="s">
        <v>30</v>
      </c>
      <c r="C1039" s="11" t="s">
        <v>35</v>
      </c>
      <c r="D1039" s="11" t="s">
        <v>37</v>
      </c>
      <c r="E1039" s="11" t="s">
        <v>5055</v>
      </c>
      <c r="F1039" s="11">
        <v>8.63406079905647E14</v>
      </c>
      <c r="G1039" s="11" t="s">
        <v>5056</v>
      </c>
      <c r="H1039" s="11" t="s">
        <v>4280</v>
      </c>
      <c r="I1039" s="11" t="s">
        <v>16</v>
      </c>
      <c r="J1039" s="37">
        <v>45951.0</v>
      </c>
      <c r="K1039" s="11"/>
      <c r="L1039" s="11">
        <v>2.0251027E7</v>
      </c>
    </row>
    <row r="1040">
      <c r="A1040" s="9" t="s">
        <v>4654</v>
      </c>
      <c r="B1040" s="11" t="s">
        <v>30</v>
      </c>
      <c r="C1040" s="11" t="s">
        <v>35</v>
      </c>
      <c r="D1040" s="11" t="s">
        <v>37</v>
      </c>
      <c r="E1040" s="11" t="s">
        <v>5057</v>
      </c>
      <c r="F1040" s="11">
        <v>8.63406078298887E14</v>
      </c>
      <c r="G1040" s="11" t="s">
        <v>5058</v>
      </c>
      <c r="H1040" s="11" t="s">
        <v>4280</v>
      </c>
      <c r="I1040" s="11" t="s">
        <v>16</v>
      </c>
      <c r="J1040" s="37">
        <v>45951.0</v>
      </c>
      <c r="K1040" s="11"/>
      <c r="L1040" s="11">
        <v>2.0251027E7</v>
      </c>
    </row>
    <row r="1041">
      <c r="A1041" s="9" t="s">
        <v>4654</v>
      </c>
      <c r="B1041" s="11" t="s">
        <v>30</v>
      </c>
      <c r="C1041" s="11" t="s">
        <v>35</v>
      </c>
      <c r="D1041" s="11" t="s">
        <v>37</v>
      </c>
      <c r="E1041" s="11" t="s">
        <v>5059</v>
      </c>
      <c r="F1041" s="11">
        <v>8.6450107783774E14</v>
      </c>
      <c r="G1041" s="11" t="s">
        <v>5060</v>
      </c>
      <c r="H1041" s="11" t="s">
        <v>4280</v>
      </c>
      <c r="I1041" s="11" t="s">
        <v>16</v>
      </c>
      <c r="J1041" s="37">
        <v>45951.0</v>
      </c>
      <c r="K1041" s="11"/>
      <c r="L1041" s="11">
        <v>2.0251027E7</v>
      </c>
    </row>
    <row r="1042">
      <c r="A1042" s="9" t="s">
        <v>4654</v>
      </c>
      <c r="B1042" s="11" t="s">
        <v>30</v>
      </c>
      <c r="C1042" s="11" t="s">
        <v>35</v>
      </c>
      <c r="D1042" s="11" t="s">
        <v>37</v>
      </c>
      <c r="E1042" s="11" t="s">
        <v>5061</v>
      </c>
      <c r="F1042" s="11">
        <v>8.63406079905761E14</v>
      </c>
      <c r="G1042" s="11" t="s">
        <v>5062</v>
      </c>
      <c r="H1042" s="11" t="s">
        <v>4280</v>
      </c>
      <c r="I1042" s="11" t="s">
        <v>16</v>
      </c>
      <c r="J1042" s="37">
        <v>45951.0</v>
      </c>
      <c r="K1042" s="11"/>
      <c r="L1042" s="11">
        <v>2.0251027E7</v>
      </c>
    </row>
    <row r="1043">
      <c r="A1043" s="9" t="s">
        <v>4654</v>
      </c>
      <c r="B1043" s="11" t="s">
        <v>30</v>
      </c>
      <c r="C1043" s="11" t="s">
        <v>35</v>
      </c>
      <c r="D1043" s="11" t="s">
        <v>37</v>
      </c>
      <c r="E1043" s="11" t="s">
        <v>5063</v>
      </c>
      <c r="F1043" s="11">
        <v>8.6340607830201E14</v>
      </c>
      <c r="G1043" s="11" t="s">
        <v>5064</v>
      </c>
      <c r="H1043" s="11" t="s">
        <v>4280</v>
      </c>
      <c r="I1043" s="11" t="s">
        <v>16</v>
      </c>
      <c r="J1043" s="37">
        <v>45951.0</v>
      </c>
      <c r="K1043" s="11"/>
      <c r="L1043" s="11">
        <v>2.0251027E7</v>
      </c>
    </row>
    <row r="1044">
      <c r="A1044" s="9" t="s">
        <v>4654</v>
      </c>
      <c r="B1044" s="11" t="s">
        <v>30</v>
      </c>
      <c r="C1044" s="11" t="s">
        <v>35</v>
      </c>
      <c r="D1044" s="11" t="s">
        <v>37</v>
      </c>
      <c r="E1044" s="11" t="s">
        <v>5065</v>
      </c>
      <c r="F1044" s="11">
        <v>8.64501077837963E14</v>
      </c>
      <c r="G1044" s="11" t="s">
        <v>5066</v>
      </c>
      <c r="H1044" s="11" t="s">
        <v>4280</v>
      </c>
      <c r="I1044" s="11" t="s">
        <v>16</v>
      </c>
      <c r="J1044" s="37">
        <v>45951.0</v>
      </c>
      <c r="K1044" s="11"/>
      <c r="L1044" s="11">
        <v>2.0251027E7</v>
      </c>
    </row>
    <row r="1045">
      <c r="A1045" s="9" t="s">
        <v>4654</v>
      </c>
      <c r="B1045" s="11" t="s">
        <v>30</v>
      </c>
      <c r="C1045" s="11" t="s">
        <v>35</v>
      </c>
      <c r="D1045" s="11" t="s">
        <v>37</v>
      </c>
      <c r="E1045" s="11" t="s">
        <v>5067</v>
      </c>
      <c r="F1045" s="11">
        <v>8.64501077837989E14</v>
      </c>
      <c r="G1045" s="11" t="s">
        <v>5068</v>
      </c>
      <c r="H1045" s="11" t="s">
        <v>4280</v>
      </c>
      <c r="I1045" s="11" t="s">
        <v>16</v>
      </c>
      <c r="J1045" s="37">
        <v>45951.0</v>
      </c>
      <c r="K1045" s="11"/>
      <c r="L1045" s="11">
        <v>2.0251027E7</v>
      </c>
    </row>
    <row r="1046">
      <c r="A1046" s="9" t="s">
        <v>4654</v>
      </c>
      <c r="B1046" s="11" t="s">
        <v>30</v>
      </c>
      <c r="C1046" s="11" t="s">
        <v>35</v>
      </c>
      <c r="D1046" s="11" t="s">
        <v>37</v>
      </c>
      <c r="E1046" s="11" t="s">
        <v>5069</v>
      </c>
      <c r="F1046" s="11">
        <v>8.64501077838011E14</v>
      </c>
      <c r="G1046" s="11" t="s">
        <v>5070</v>
      </c>
      <c r="H1046" s="11" t="s">
        <v>4280</v>
      </c>
      <c r="I1046" s="11" t="s">
        <v>16</v>
      </c>
      <c r="J1046" s="37">
        <v>45951.0</v>
      </c>
      <c r="K1046" s="11"/>
      <c r="L1046" s="11">
        <v>2.0251027E7</v>
      </c>
    </row>
    <row r="1047">
      <c r="A1047" s="9" t="s">
        <v>4654</v>
      </c>
      <c r="B1047" s="11" t="s">
        <v>30</v>
      </c>
      <c r="C1047" s="11" t="s">
        <v>35</v>
      </c>
      <c r="D1047" s="11" t="s">
        <v>37</v>
      </c>
      <c r="E1047" s="11" t="s">
        <v>5071</v>
      </c>
      <c r="F1047" s="11">
        <v>8.64501077847822E14</v>
      </c>
      <c r="G1047" s="11" t="s">
        <v>5072</v>
      </c>
      <c r="H1047" s="11" t="s">
        <v>4280</v>
      </c>
      <c r="I1047" s="11" t="s">
        <v>16</v>
      </c>
      <c r="J1047" s="37">
        <v>45951.0</v>
      </c>
      <c r="K1047" s="11"/>
      <c r="L1047" s="11">
        <v>2.0251027E7</v>
      </c>
    </row>
    <row r="1048">
      <c r="A1048" s="9" t="s">
        <v>4654</v>
      </c>
      <c r="B1048" s="11" t="s">
        <v>30</v>
      </c>
      <c r="C1048" s="11" t="s">
        <v>35</v>
      </c>
      <c r="D1048" s="11" t="s">
        <v>37</v>
      </c>
      <c r="E1048" s="11" t="s">
        <v>5073</v>
      </c>
      <c r="F1048" s="11">
        <v>8.6450107783665E14</v>
      </c>
      <c r="G1048" s="11" t="s">
        <v>5074</v>
      </c>
      <c r="H1048" s="11" t="s">
        <v>4280</v>
      </c>
      <c r="I1048" s="11" t="s">
        <v>16</v>
      </c>
      <c r="J1048" s="37">
        <v>45951.0</v>
      </c>
      <c r="K1048" s="11"/>
      <c r="L1048" s="11">
        <v>2.0251027E7</v>
      </c>
    </row>
    <row r="1049">
      <c r="A1049" s="9" t="s">
        <v>4654</v>
      </c>
      <c r="B1049" s="11" t="s">
        <v>30</v>
      </c>
      <c r="C1049" s="11" t="s">
        <v>35</v>
      </c>
      <c r="D1049" s="11" t="s">
        <v>37</v>
      </c>
      <c r="E1049" s="11" t="s">
        <v>5075</v>
      </c>
      <c r="F1049" s="11">
        <v>8.63406079906215E14</v>
      </c>
      <c r="G1049" s="11" t="s">
        <v>5076</v>
      </c>
      <c r="H1049" s="11" t="s">
        <v>4280</v>
      </c>
      <c r="I1049" s="11" t="s">
        <v>16</v>
      </c>
      <c r="J1049" s="37">
        <v>45951.0</v>
      </c>
      <c r="K1049" s="11"/>
      <c r="L1049" s="11">
        <v>2.0251027E7</v>
      </c>
    </row>
    <row r="1050">
      <c r="A1050" s="9" t="s">
        <v>4654</v>
      </c>
      <c r="B1050" s="11" t="s">
        <v>30</v>
      </c>
      <c r="C1050" s="11" t="s">
        <v>35</v>
      </c>
      <c r="D1050" s="11" t="s">
        <v>37</v>
      </c>
      <c r="E1050" s="11" t="s">
        <v>5077</v>
      </c>
      <c r="F1050" s="11">
        <v>8.63406079906439E14</v>
      </c>
      <c r="G1050" s="11" t="s">
        <v>5078</v>
      </c>
      <c r="H1050" s="11" t="s">
        <v>4280</v>
      </c>
      <c r="I1050" s="11" t="s">
        <v>16</v>
      </c>
      <c r="J1050" s="37">
        <v>45951.0</v>
      </c>
      <c r="K1050" s="11"/>
      <c r="L1050" s="11">
        <v>2.0251027E7</v>
      </c>
    </row>
    <row r="1051">
      <c r="A1051" s="9" t="s">
        <v>4654</v>
      </c>
      <c r="B1051" s="11" t="s">
        <v>30</v>
      </c>
      <c r="C1051" s="11" t="s">
        <v>35</v>
      </c>
      <c r="D1051" s="11" t="s">
        <v>37</v>
      </c>
      <c r="E1051" s="11" t="s">
        <v>5079</v>
      </c>
      <c r="F1051" s="11">
        <v>8.63406078318511E14</v>
      </c>
      <c r="G1051" s="11" t="s">
        <v>5080</v>
      </c>
      <c r="H1051" s="11" t="s">
        <v>4280</v>
      </c>
      <c r="I1051" s="11" t="s">
        <v>16</v>
      </c>
      <c r="J1051" s="37">
        <v>45951.0</v>
      </c>
      <c r="K1051" s="11"/>
      <c r="L1051" s="11">
        <v>2.0251027E7</v>
      </c>
    </row>
    <row r="1052">
      <c r="A1052" s="9" t="s">
        <v>4654</v>
      </c>
      <c r="B1052" s="11" t="s">
        <v>30</v>
      </c>
      <c r="C1052" s="11" t="s">
        <v>35</v>
      </c>
      <c r="D1052" s="11" t="s">
        <v>37</v>
      </c>
      <c r="E1052" s="11" t="s">
        <v>5081</v>
      </c>
      <c r="F1052" s="11">
        <v>8.63406079904079E14</v>
      </c>
      <c r="G1052" s="11" t="s">
        <v>5082</v>
      </c>
      <c r="H1052" s="11" t="s">
        <v>4280</v>
      </c>
      <c r="I1052" s="11" t="s">
        <v>16</v>
      </c>
      <c r="J1052" s="37">
        <v>45951.0</v>
      </c>
      <c r="K1052" s="11"/>
      <c r="L1052" s="11">
        <v>2.0251027E7</v>
      </c>
    </row>
    <row r="1053">
      <c r="A1053" s="9" t="s">
        <v>4654</v>
      </c>
      <c r="B1053" s="11" t="s">
        <v>30</v>
      </c>
      <c r="C1053" s="11" t="s">
        <v>35</v>
      </c>
      <c r="D1053" s="11" t="s">
        <v>37</v>
      </c>
      <c r="E1053" s="11" t="s">
        <v>5083</v>
      </c>
      <c r="F1053" s="11">
        <v>8.63406079905456E14</v>
      </c>
      <c r="G1053" s="11" t="s">
        <v>5084</v>
      </c>
      <c r="H1053" s="11" t="s">
        <v>4280</v>
      </c>
      <c r="I1053" s="11" t="s">
        <v>16</v>
      </c>
      <c r="J1053" s="37">
        <v>45951.0</v>
      </c>
      <c r="K1053" s="11"/>
      <c r="L1053" s="11">
        <v>2.0251027E7</v>
      </c>
    </row>
    <row r="1054">
      <c r="A1054" s="9" t="s">
        <v>4654</v>
      </c>
      <c r="B1054" s="11" t="s">
        <v>30</v>
      </c>
      <c r="C1054" s="11" t="s">
        <v>35</v>
      </c>
      <c r="D1054" s="11" t="s">
        <v>37</v>
      </c>
      <c r="E1054" s="11" t="s">
        <v>5085</v>
      </c>
      <c r="F1054" s="11">
        <v>8.63406079905431E14</v>
      </c>
      <c r="G1054" s="11" t="s">
        <v>5086</v>
      </c>
      <c r="H1054" s="11" t="s">
        <v>4280</v>
      </c>
      <c r="I1054" s="11" t="s">
        <v>16</v>
      </c>
      <c r="J1054" s="37">
        <v>45951.0</v>
      </c>
      <c r="K1054" s="11"/>
      <c r="L1054" s="11">
        <v>2.0251027E7</v>
      </c>
    </row>
    <row r="1055">
      <c r="A1055" s="9" t="s">
        <v>4654</v>
      </c>
      <c r="B1055" s="11" t="s">
        <v>30</v>
      </c>
      <c r="C1055" s="11" t="s">
        <v>35</v>
      </c>
      <c r="D1055" s="11" t="s">
        <v>37</v>
      </c>
      <c r="E1055" s="11" t="s">
        <v>5087</v>
      </c>
      <c r="F1055" s="11">
        <v>8.63406079905522E14</v>
      </c>
      <c r="G1055" s="11" t="s">
        <v>5088</v>
      </c>
      <c r="H1055" s="11" t="s">
        <v>4280</v>
      </c>
      <c r="I1055" s="11" t="s">
        <v>16</v>
      </c>
      <c r="J1055" s="37">
        <v>45951.0</v>
      </c>
      <c r="K1055" s="11"/>
      <c r="L1055" s="11">
        <v>2.0251027E7</v>
      </c>
    </row>
    <row r="1056">
      <c r="A1056" s="9" t="s">
        <v>4654</v>
      </c>
      <c r="B1056" s="11" t="s">
        <v>30</v>
      </c>
      <c r="C1056" s="11" t="s">
        <v>35</v>
      </c>
      <c r="D1056" s="11" t="s">
        <v>37</v>
      </c>
      <c r="E1056" s="11" t="s">
        <v>5089</v>
      </c>
      <c r="F1056" s="11">
        <v>8.645010778466E14</v>
      </c>
      <c r="G1056" s="11" t="s">
        <v>5090</v>
      </c>
      <c r="H1056" s="11" t="s">
        <v>4280</v>
      </c>
      <c r="I1056" s="11" t="s">
        <v>16</v>
      </c>
      <c r="J1056" s="37">
        <v>45951.0</v>
      </c>
      <c r="K1056" s="11"/>
      <c r="L1056" s="11">
        <v>2.0251027E7</v>
      </c>
    </row>
    <row r="1057">
      <c r="A1057" s="9" t="s">
        <v>4654</v>
      </c>
      <c r="B1057" s="11" t="s">
        <v>30</v>
      </c>
      <c r="C1057" s="11" t="s">
        <v>35</v>
      </c>
      <c r="D1057" s="11" t="s">
        <v>37</v>
      </c>
      <c r="E1057" s="11" t="s">
        <v>5091</v>
      </c>
      <c r="F1057" s="11">
        <v>8.64501077845263E14</v>
      </c>
      <c r="G1057" s="11" t="s">
        <v>5092</v>
      </c>
      <c r="H1057" s="11" t="s">
        <v>4280</v>
      </c>
      <c r="I1057" s="11" t="s">
        <v>16</v>
      </c>
      <c r="J1057" s="37">
        <v>45951.0</v>
      </c>
      <c r="K1057" s="11"/>
      <c r="L1057" s="11">
        <v>2.0251027E7</v>
      </c>
    </row>
    <row r="1058">
      <c r="A1058" s="9" t="s">
        <v>4654</v>
      </c>
      <c r="B1058" s="11" t="s">
        <v>30</v>
      </c>
      <c r="C1058" s="11" t="s">
        <v>35</v>
      </c>
      <c r="D1058" s="11" t="s">
        <v>37</v>
      </c>
      <c r="E1058" s="11" t="s">
        <v>5093</v>
      </c>
      <c r="F1058" s="11">
        <v>8.64501077846402E14</v>
      </c>
      <c r="G1058" s="11" t="s">
        <v>5094</v>
      </c>
      <c r="H1058" s="11" t="s">
        <v>4280</v>
      </c>
      <c r="I1058" s="11" t="s">
        <v>16</v>
      </c>
      <c r="J1058" s="37">
        <v>45951.0</v>
      </c>
      <c r="K1058" s="11"/>
      <c r="L1058" s="11">
        <v>2.0251027E7</v>
      </c>
    </row>
    <row r="1059">
      <c r="A1059" s="9" t="s">
        <v>4654</v>
      </c>
      <c r="B1059" s="11" t="s">
        <v>30</v>
      </c>
      <c r="C1059" s="11" t="s">
        <v>35</v>
      </c>
      <c r="D1059" s="11" t="s">
        <v>37</v>
      </c>
      <c r="E1059" s="11" t="s">
        <v>5095</v>
      </c>
      <c r="F1059" s="11">
        <v>8.64501077843532E14</v>
      </c>
      <c r="G1059" s="11" t="s">
        <v>5096</v>
      </c>
      <c r="H1059" s="11" t="s">
        <v>4280</v>
      </c>
      <c r="I1059" s="11" t="s">
        <v>16</v>
      </c>
      <c r="J1059" s="37">
        <v>45951.0</v>
      </c>
      <c r="K1059" s="11"/>
      <c r="L1059" s="11">
        <v>2.0251027E7</v>
      </c>
    </row>
    <row r="1060">
      <c r="A1060" s="9" t="s">
        <v>4654</v>
      </c>
      <c r="B1060" s="11" t="s">
        <v>30</v>
      </c>
      <c r="C1060" s="11" t="s">
        <v>35</v>
      </c>
      <c r="D1060" s="11" t="s">
        <v>37</v>
      </c>
      <c r="E1060" s="11" t="s">
        <v>5097</v>
      </c>
      <c r="F1060" s="11">
        <v>8.63406079906611E14</v>
      </c>
      <c r="G1060" s="11" t="s">
        <v>5098</v>
      </c>
      <c r="H1060" s="11" t="s">
        <v>4280</v>
      </c>
      <c r="I1060" s="11" t="s">
        <v>16</v>
      </c>
      <c r="J1060" s="37">
        <v>45951.0</v>
      </c>
      <c r="K1060" s="11"/>
      <c r="L1060" s="11">
        <v>2.0251027E7</v>
      </c>
    </row>
    <row r="1061">
      <c r="A1061" s="9" t="s">
        <v>4654</v>
      </c>
      <c r="B1061" s="11" t="s">
        <v>30</v>
      </c>
      <c r="C1061" s="11" t="s">
        <v>35</v>
      </c>
      <c r="D1061" s="11" t="s">
        <v>37</v>
      </c>
      <c r="E1061" s="11" t="s">
        <v>5099</v>
      </c>
      <c r="F1061" s="11">
        <v>8.6450107784721E14</v>
      </c>
      <c r="G1061" s="11" t="s">
        <v>5100</v>
      </c>
      <c r="H1061" s="11" t="s">
        <v>4280</v>
      </c>
      <c r="I1061" s="11" t="s">
        <v>16</v>
      </c>
      <c r="J1061" s="37">
        <v>45951.0</v>
      </c>
      <c r="K1061" s="11"/>
      <c r="L1061" s="11">
        <v>2.0251027E7</v>
      </c>
    </row>
    <row r="1062">
      <c r="A1062" s="9" t="s">
        <v>4654</v>
      </c>
      <c r="B1062" s="11" t="s">
        <v>30</v>
      </c>
      <c r="C1062" s="11" t="s">
        <v>35</v>
      </c>
      <c r="D1062" s="11" t="s">
        <v>37</v>
      </c>
      <c r="E1062" s="11" t="s">
        <v>5101</v>
      </c>
      <c r="F1062" s="11">
        <v>8.64501077843656E14</v>
      </c>
      <c r="G1062" s="11" t="s">
        <v>5102</v>
      </c>
      <c r="H1062" s="11" t="s">
        <v>4280</v>
      </c>
      <c r="I1062" s="11" t="s">
        <v>16</v>
      </c>
      <c r="J1062" s="37">
        <v>45951.0</v>
      </c>
      <c r="K1062" s="11"/>
      <c r="L1062" s="11">
        <v>2.0251027E7</v>
      </c>
    </row>
    <row r="1063">
      <c r="A1063" s="9" t="s">
        <v>4654</v>
      </c>
      <c r="B1063" s="11" t="s">
        <v>30</v>
      </c>
      <c r="C1063" s="11" t="s">
        <v>35</v>
      </c>
      <c r="D1063" s="11" t="s">
        <v>37</v>
      </c>
      <c r="E1063" s="11" t="s">
        <v>5103</v>
      </c>
      <c r="F1063" s="11">
        <v>8.64501077846881E14</v>
      </c>
      <c r="G1063" s="11" t="s">
        <v>5104</v>
      </c>
      <c r="H1063" s="11" t="s">
        <v>4280</v>
      </c>
      <c r="I1063" s="11" t="s">
        <v>16</v>
      </c>
      <c r="J1063" s="37">
        <v>45951.0</v>
      </c>
      <c r="K1063" s="11"/>
      <c r="L1063" s="11">
        <v>2.0251027E7</v>
      </c>
    </row>
    <row r="1064">
      <c r="A1064" s="9" t="s">
        <v>4654</v>
      </c>
      <c r="B1064" s="11" t="s">
        <v>30</v>
      </c>
      <c r="C1064" s="11" t="s">
        <v>35</v>
      </c>
      <c r="D1064" s="11" t="s">
        <v>37</v>
      </c>
      <c r="E1064" s="11" t="s">
        <v>5105</v>
      </c>
      <c r="F1064" s="11">
        <v>8.64501077846584E14</v>
      </c>
      <c r="G1064" s="11" t="s">
        <v>5106</v>
      </c>
      <c r="H1064" s="11" t="s">
        <v>4280</v>
      </c>
      <c r="I1064" s="11" t="s">
        <v>16</v>
      </c>
      <c r="J1064" s="37">
        <v>45951.0</v>
      </c>
      <c r="K1064" s="11"/>
      <c r="L1064" s="11">
        <v>2.0251027E7</v>
      </c>
    </row>
    <row r="1065">
      <c r="A1065" s="9" t="s">
        <v>4654</v>
      </c>
      <c r="B1065" s="11" t="s">
        <v>30</v>
      </c>
      <c r="C1065" s="11" t="s">
        <v>35</v>
      </c>
      <c r="D1065" s="11" t="s">
        <v>37</v>
      </c>
      <c r="E1065" s="11" t="s">
        <v>5107</v>
      </c>
      <c r="F1065" s="11">
        <v>8.64501075643397E14</v>
      </c>
      <c r="G1065" s="11" t="s">
        <v>5108</v>
      </c>
      <c r="H1065" s="11" t="s">
        <v>4280</v>
      </c>
      <c r="I1065" s="11" t="s">
        <v>16</v>
      </c>
      <c r="J1065" s="37">
        <v>45951.0</v>
      </c>
      <c r="K1065" s="11"/>
      <c r="L1065" s="11">
        <v>2.0251027E7</v>
      </c>
    </row>
    <row r="1066">
      <c r="A1066" s="9" t="s">
        <v>4654</v>
      </c>
      <c r="B1066" s="11" t="s">
        <v>30</v>
      </c>
      <c r="C1066" s="11" t="s">
        <v>35</v>
      </c>
      <c r="D1066" s="11" t="s">
        <v>37</v>
      </c>
      <c r="E1066" s="11" t="s">
        <v>5109</v>
      </c>
      <c r="F1066" s="11">
        <v>8.64501075644528E14</v>
      </c>
      <c r="G1066" s="11" t="s">
        <v>5110</v>
      </c>
      <c r="H1066" s="11" t="s">
        <v>4280</v>
      </c>
      <c r="I1066" s="11" t="s">
        <v>16</v>
      </c>
      <c r="J1066" s="37">
        <v>45951.0</v>
      </c>
      <c r="K1066" s="11"/>
      <c r="L1066" s="11">
        <v>2.0251027E7</v>
      </c>
    </row>
    <row r="1067">
      <c r="A1067" s="9" t="s">
        <v>4654</v>
      </c>
      <c r="B1067" s="11" t="s">
        <v>30</v>
      </c>
      <c r="C1067" s="11" t="s">
        <v>35</v>
      </c>
      <c r="D1067" s="11" t="s">
        <v>37</v>
      </c>
      <c r="E1067" s="11" t="s">
        <v>5111</v>
      </c>
      <c r="F1067" s="11">
        <v>8.64501077837112E14</v>
      </c>
      <c r="G1067" s="11" t="s">
        <v>5112</v>
      </c>
      <c r="H1067" s="11" t="s">
        <v>4280</v>
      </c>
      <c r="I1067" s="11" t="s">
        <v>16</v>
      </c>
      <c r="J1067" s="37">
        <v>45951.0</v>
      </c>
      <c r="K1067" s="11"/>
      <c r="L1067" s="11">
        <v>2.0251027E7</v>
      </c>
    </row>
    <row r="1068">
      <c r="A1068" s="9" t="s">
        <v>4654</v>
      </c>
      <c r="B1068" s="11" t="s">
        <v>30</v>
      </c>
      <c r="C1068" s="11" t="s">
        <v>35</v>
      </c>
      <c r="D1068" s="11" t="s">
        <v>37</v>
      </c>
      <c r="E1068" s="11" t="s">
        <v>5113</v>
      </c>
      <c r="F1068" s="11">
        <v>8.64501077843078E14</v>
      </c>
      <c r="G1068" s="11" t="s">
        <v>5114</v>
      </c>
      <c r="H1068" s="11" t="s">
        <v>4280</v>
      </c>
      <c r="I1068" s="11" t="s">
        <v>16</v>
      </c>
      <c r="J1068" s="37">
        <v>45951.0</v>
      </c>
      <c r="K1068" s="11"/>
      <c r="L1068" s="11">
        <v>2.0251027E7</v>
      </c>
    </row>
    <row r="1069">
      <c r="A1069" s="9" t="s">
        <v>4654</v>
      </c>
      <c r="B1069" s="11" t="s">
        <v>30</v>
      </c>
      <c r="C1069" s="11" t="s">
        <v>35</v>
      </c>
      <c r="D1069" s="11" t="s">
        <v>37</v>
      </c>
      <c r="E1069" s="11" t="s">
        <v>5115</v>
      </c>
      <c r="F1069" s="11">
        <v>8.6450107783707E14</v>
      </c>
      <c r="G1069" s="11" t="s">
        <v>5116</v>
      </c>
      <c r="H1069" s="11" t="s">
        <v>4280</v>
      </c>
      <c r="I1069" s="11" t="s">
        <v>16</v>
      </c>
      <c r="J1069" s="37">
        <v>45951.0</v>
      </c>
      <c r="K1069" s="11"/>
      <c r="L1069" s="11">
        <v>2.0251027E7</v>
      </c>
    </row>
    <row r="1070">
      <c r="A1070" s="9" t="s">
        <v>4654</v>
      </c>
      <c r="B1070" s="11" t="s">
        <v>30</v>
      </c>
      <c r="C1070" s="11" t="s">
        <v>35</v>
      </c>
      <c r="D1070" s="11" t="s">
        <v>37</v>
      </c>
      <c r="E1070" s="11" t="s">
        <v>5117</v>
      </c>
      <c r="F1070" s="11">
        <v>8.64501077837054E14</v>
      </c>
      <c r="G1070" s="11" t="s">
        <v>5118</v>
      </c>
      <c r="H1070" s="11" t="s">
        <v>4280</v>
      </c>
      <c r="I1070" s="11" t="s">
        <v>16</v>
      </c>
      <c r="J1070" s="37">
        <v>45951.0</v>
      </c>
      <c r="K1070" s="11"/>
      <c r="L1070" s="11">
        <v>2.0251027E7</v>
      </c>
    </row>
    <row r="1071">
      <c r="A1071" s="9" t="s">
        <v>4654</v>
      </c>
      <c r="B1071" s="11" t="s">
        <v>30</v>
      </c>
      <c r="C1071" s="11" t="s">
        <v>35</v>
      </c>
      <c r="D1071" s="11" t="s">
        <v>37</v>
      </c>
      <c r="E1071" s="11" t="s">
        <v>5119</v>
      </c>
      <c r="F1071" s="11">
        <v>8.64501077846303E14</v>
      </c>
      <c r="G1071" s="11" t="s">
        <v>5120</v>
      </c>
      <c r="H1071" s="11" t="s">
        <v>4280</v>
      </c>
      <c r="I1071" s="11" t="s">
        <v>16</v>
      </c>
      <c r="J1071" s="37">
        <v>45951.0</v>
      </c>
      <c r="K1071" s="11"/>
      <c r="L1071" s="11">
        <v>2.0251027E7</v>
      </c>
    </row>
    <row r="1072">
      <c r="A1072" s="9" t="s">
        <v>4654</v>
      </c>
      <c r="B1072" s="11" t="s">
        <v>30</v>
      </c>
      <c r="C1072" s="11" t="s">
        <v>35</v>
      </c>
      <c r="D1072" s="11" t="s">
        <v>37</v>
      </c>
      <c r="E1072" s="11" t="s">
        <v>5121</v>
      </c>
      <c r="F1072" s="11">
        <v>8.64501077836916E14</v>
      </c>
      <c r="G1072" s="11" t="s">
        <v>5122</v>
      </c>
      <c r="H1072" s="11" t="s">
        <v>4280</v>
      </c>
      <c r="I1072" s="11" t="s">
        <v>16</v>
      </c>
      <c r="J1072" s="37">
        <v>45951.0</v>
      </c>
      <c r="K1072" s="11"/>
      <c r="L1072" s="11">
        <v>2.0251027E7</v>
      </c>
    </row>
    <row r="1073">
      <c r="A1073" s="9" t="s">
        <v>4654</v>
      </c>
      <c r="B1073" s="11" t="s">
        <v>30</v>
      </c>
      <c r="C1073" s="11" t="s">
        <v>35</v>
      </c>
      <c r="D1073" s="11" t="s">
        <v>37</v>
      </c>
      <c r="E1073" s="11" t="s">
        <v>5123</v>
      </c>
      <c r="F1073" s="11">
        <v>8.64501077841494E14</v>
      </c>
      <c r="G1073" s="11" t="s">
        <v>5124</v>
      </c>
      <c r="H1073" s="11" t="s">
        <v>4280</v>
      </c>
      <c r="I1073" s="11" t="s">
        <v>16</v>
      </c>
      <c r="J1073" s="37">
        <v>45951.0</v>
      </c>
      <c r="K1073" s="11"/>
      <c r="L1073" s="11">
        <v>2.0251027E7</v>
      </c>
    </row>
    <row r="1074">
      <c r="A1074" s="9" t="s">
        <v>4654</v>
      </c>
      <c r="B1074" s="11" t="s">
        <v>30</v>
      </c>
      <c r="C1074" s="11" t="s">
        <v>35</v>
      </c>
      <c r="D1074" s="11" t="s">
        <v>37</v>
      </c>
      <c r="E1074" s="11" t="s">
        <v>5125</v>
      </c>
      <c r="F1074" s="11">
        <v>8.63406078320103E14</v>
      </c>
      <c r="G1074" s="11" t="s">
        <v>5126</v>
      </c>
      <c r="H1074" s="11" t="s">
        <v>4280</v>
      </c>
      <c r="I1074" s="11" t="s">
        <v>16</v>
      </c>
      <c r="J1074" s="37">
        <v>45951.0</v>
      </c>
      <c r="K1074" s="11"/>
      <c r="L1074" s="11">
        <v>2.0251027E7</v>
      </c>
    </row>
    <row r="1075">
      <c r="A1075" s="9" t="s">
        <v>4654</v>
      </c>
      <c r="B1075" s="11" t="s">
        <v>30</v>
      </c>
      <c r="C1075" s="11" t="s">
        <v>35</v>
      </c>
      <c r="D1075" s="11" t="s">
        <v>37</v>
      </c>
      <c r="E1075" s="11" t="s">
        <v>5127</v>
      </c>
      <c r="F1075" s="11">
        <v>8.64501077837153E14</v>
      </c>
      <c r="G1075" s="11" t="s">
        <v>5128</v>
      </c>
      <c r="H1075" s="11" t="s">
        <v>4280</v>
      </c>
      <c r="I1075" s="11" t="s">
        <v>16</v>
      </c>
      <c r="J1075" s="37">
        <v>45951.0</v>
      </c>
      <c r="K1075" s="11"/>
      <c r="L1075" s="11">
        <v>2.0251027E7</v>
      </c>
    </row>
    <row r="1076">
      <c r="A1076" s="9" t="s">
        <v>4654</v>
      </c>
      <c r="B1076" s="11" t="s">
        <v>30</v>
      </c>
      <c r="C1076" s="11" t="s">
        <v>35</v>
      </c>
      <c r="D1076" s="11" t="s">
        <v>37</v>
      </c>
      <c r="E1076" s="11" t="s">
        <v>5129</v>
      </c>
      <c r="F1076" s="11">
        <v>8.6450107784151E14</v>
      </c>
      <c r="G1076" s="11" t="s">
        <v>5130</v>
      </c>
      <c r="H1076" s="11" t="s">
        <v>4280</v>
      </c>
      <c r="I1076" s="11" t="s">
        <v>16</v>
      </c>
      <c r="J1076" s="37">
        <v>45951.0</v>
      </c>
      <c r="K1076" s="11"/>
      <c r="L1076" s="11">
        <v>2.0251027E7</v>
      </c>
    </row>
    <row r="1077">
      <c r="A1077" s="9" t="s">
        <v>4654</v>
      </c>
      <c r="B1077" s="11" t="s">
        <v>30</v>
      </c>
      <c r="C1077" s="11" t="s">
        <v>35</v>
      </c>
      <c r="D1077" s="11" t="s">
        <v>37</v>
      </c>
      <c r="E1077" s="11" t="s">
        <v>5131</v>
      </c>
      <c r="F1077" s="11">
        <v>8.63406078290074E14</v>
      </c>
      <c r="G1077" s="11" t="s">
        <v>5132</v>
      </c>
      <c r="H1077" s="11" t="s">
        <v>4280</v>
      </c>
      <c r="I1077" s="11" t="s">
        <v>16</v>
      </c>
      <c r="J1077" s="37">
        <v>45951.0</v>
      </c>
      <c r="K1077" s="11"/>
      <c r="L1077" s="11">
        <v>2.0251027E7</v>
      </c>
    </row>
    <row r="1078">
      <c r="A1078" s="9" t="s">
        <v>4654</v>
      </c>
      <c r="B1078" s="11" t="s">
        <v>30</v>
      </c>
      <c r="C1078" s="11" t="s">
        <v>35</v>
      </c>
      <c r="D1078" s="11" t="s">
        <v>37</v>
      </c>
      <c r="E1078" s="11" t="s">
        <v>5133</v>
      </c>
      <c r="F1078" s="11">
        <v>8.6340607829009E14</v>
      </c>
      <c r="G1078" s="11" t="s">
        <v>5134</v>
      </c>
      <c r="H1078" s="11" t="s">
        <v>4280</v>
      </c>
      <c r="I1078" s="11" t="s">
        <v>16</v>
      </c>
      <c r="J1078" s="37">
        <v>45951.0</v>
      </c>
      <c r="K1078" s="11"/>
      <c r="L1078" s="11">
        <v>2.0251027E7</v>
      </c>
    </row>
    <row r="1079">
      <c r="A1079" s="9" t="s">
        <v>4654</v>
      </c>
      <c r="B1079" s="11" t="s">
        <v>30</v>
      </c>
      <c r="C1079" s="11" t="s">
        <v>35</v>
      </c>
      <c r="D1079" s="11" t="s">
        <v>37</v>
      </c>
      <c r="E1079" s="11" t="s">
        <v>5135</v>
      </c>
      <c r="F1079" s="11">
        <v>8.63406078296097E14</v>
      </c>
      <c r="G1079" s="11" t="s">
        <v>5136</v>
      </c>
      <c r="H1079" s="11" t="s">
        <v>4280</v>
      </c>
      <c r="I1079" s="11" t="s">
        <v>16</v>
      </c>
      <c r="J1079" s="37">
        <v>45951.0</v>
      </c>
      <c r="K1079" s="11"/>
      <c r="L1079" s="11">
        <v>2.0251027E7</v>
      </c>
    </row>
    <row r="1080">
      <c r="A1080" s="9" t="s">
        <v>4654</v>
      </c>
      <c r="B1080" s="11" t="s">
        <v>30</v>
      </c>
      <c r="C1080" s="11" t="s">
        <v>35</v>
      </c>
      <c r="D1080" s="11" t="s">
        <v>37</v>
      </c>
      <c r="E1080" s="11" t="s">
        <v>5137</v>
      </c>
      <c r="F1080" s="11">
        <v>8.63406078290744E14</v>
      </c>
      <c r="G1080" s="11" t="s">
        <v>5138</v>
      </c>
      <c r="H1080" s="11" t="s">
        <v>4280</v>
      </c>
      <c r="I1080" s="11" t="s">
        <v>16</v>
      </c>
      <c r="J1080" s="37">
        <v>45951.0</v>
      </c>
      <c r="K1080" s="11"/>
      <c r="L1080" s="11">
        <v>2.0251027E7</v>
      </c>
    </row>
    <row r="1081">
      <c r="A1081" s="9" t="s">
        <v>4654</v>
      </c>
      <c r="B1081" s="11" t="s">
        <v>30</v>
      </c>
      <c r="C1081" s="11" t="s">
        <v>35</v>
      </c>
      <c r="D1081" s="11" t="s">
        <v>37</v>
      </c>
      <c r="E1081" s="11" t="s">
        <v>5139</v>
      </c>
      <c r="F1081" s="11">
        <v>8.63406078290686E14</v>
      </c>
      <c r="G1081" s="11" t="s">
        <v>5140</v>
      </c>
      <c r="H1081" s="11" t="s">
        <v>4280</v>
      </c>
      <c r="I1081" s="11" t="s">
        <v>16</v>
      </c>
      <c r="J1081" s="37">
        <v>45951.0</v>
      </c>
      <c r="K1081" s="11"/>
      <c r="L1081" s="11">
        <v>2.0251027E7</v>
      </c>
    </row>
    <row r="1082">
      <c r="A1082" s="9" t="s">
        <v>4654</v>
      </c>
      <c r="B1082" s="11" t="s">
        <v>30</v>
      </c>
      <c r="C1082" s="11" t="s">
        <v>35</v>
      </c>
      <c r="D1082" s="11" t="s">
        <v>37</v>
      </c>
      <c r="E1082" s="11" t="s">
        <v>5141</v>
      </c>
      <c r="F1082" s="11">
        <v>8.63406078290116E14</v>
      </c>
      <c r="G1082" s="11" t="s">
        <v>5142</v>
      </c>
      <c r="H1082" s="11" t="s">
        <v>4280</v>
      </c>
      <c r="I1082" s="11" t="s">
        <v>16</v>
      </c>
      <c r="J1082" s="37">
        <v>45951.0</v>
      </c>
      <c r="K1082" s="11"/>
      <c r="L1082" s="11">
        <v>2.0251027E7</v>
      </c>
    </row>
    <row r="1083">
      <c r="A1083" s="9" t="s">
        <v>4654</v>
      </c>
      <c r="B1083" s="11" t="s">
        <v>30</v>
      </c>
      <c r="C1083" s="11" t="s">
        <v>35</v>
      </c>
      <c r="D1083" s="11" t="s">
        <v>37</v>
      </c>
      <c r="E1083" s="11" t="s">
        <v>5143</v>
      </c>
      <c r="F1083" s="11">
        <v>8.64501077836619E14</v>
      </c>
      <c r="G1083" s="11" t="s">
        <v>5144</v>
      </c>
      <c r="H1083" s="11" t="s">
        <v>4280</v>
      </c>
      <c r="I1083" s="11" t="s">
        <v>16</v>
      </c>
      <c r="J1083" s="37">
        <v>45951.0</v>
      </c>
      <c r="K1083" s="11"/>
      <c r="L1083" s="11">
        <v>2.0251027E7</v>
      </c>
    </row>
    <row r="1084">
      <c r="A1084" s="9" t="s">
        <v>4654</v>
      </c>
      <c r="B1084" s="11" t="s">
        <v>30</v>
      </c>
      <c r="C1084" s="11" t="s">
        <v>35</v>
      </c>
      <c r="D1084" s="11" t="s">
        <v>37</v>
      </c>
      <c r="E1084" s="11" t="s">
        <v>5145</v>
      </c>
      <c r="F1084" s="11">
        <v>8.64501075643447E14</v>
      </c>
      <c r="G1084" s="11" t="s">
        <v>5146</v>
      </c>
      <c r="H1084" s="11" t="s">
        <v>4280</v>
      </c>
      <c r="I1084" s="11" t="s">
        <v>16</v>
      </c>
      <c r="J1084" s="37">
        <v>45951.0</v>
      </c>
      <c r="K1084" s="11"/>
      <c r="L1084" s="11">
        <v>2.0251027E7</v>
      </c>
    </row>
    <row r="1085">
      <c r="A1085" s="9" t="s">
        <v>4654</v>
      </c>
      <c r="B1085" s="11" t="s">
        <v>30</v>
      </c>
      <c r="C1085" s="11" t="s">
        <v>35</v>
      </c>
      <c r="D1085" s="11" t="s">
        <v>37</v>
      </c>
      <c r="E1085" s="11" t="s">
        <v>5147</v>
      </c>
      <c r="F1085" s="11">
        <v>8.64501077844266E14</v>
      </c>
      <c r="G1085" s="11" t="s">
        <v>5148</v>
      </c>
      <c r="H1085" s="11" t="s">
        <v>4280</v>
      </c>
      <c r="I1085" s="11" t="s">
        <v>16</v>
      </c>
      <c r="J1085" s="37">
        <v>45951.0</v>
      </c>
      <c r="K1085" s="11"/>
      <c r="L1085" s="11">
        <v>2.0251027E7</v>
      </c>
    </row>
    <row r="1086">
      <c r="A1086" s="9" t="s">
        <v>4654</v>
      </c>
      <c r="B1086" s="11" t="s">
        <v>30</v>
      </c>
      <c r="C1086" s="11" t="s">
        <v>35</v>
      </c>
      <c r="D1086" s="11" t="s">
        <v>37</v>
      </c>
      <c r="E1086" s="11" t="s">
        <v>5149</v>
      </c>
      <c r="F1086" s="11">
        <v>8.64501077837252E14</v>
      </c>
      <c r="G1086" s="11" t="s">
        <v>5150</v>
      </c>
      <c r="H1086" s="11" t="s">
        <v>4280</v>
      </c>
      <c r="I1086" s="11" t="s">
        <v>16</v>
      </c>
      <c r="J1086" s="37">
        <v>45951.0</v>
      </c>
      <c r="K1086" s="11"/>
      <c r="L1086" s="11">
        <v>2.0251027E7</v>
      </c>
    </row>
    <row r="1087">
      <c r="A1087" s="9" t="s">
        <v>4654</v>
      </c>
      <c r="B1087" s="11" t="s">
        <v>30</v>
      </c>
      <c r="C1087" s="11" t="s">
        <v>35</v>
      </c>
      <c r="D1087" s="11" t="s">
        <v>37</v>
      </c>
      <c r="E1087" s="11" t="s">
        <v>5151</v>
      </c>
      <c r="F1087" s="11">
        <v>8.6450107783769E14</v>
      </c>
      <c r="G1087" s="11" t="s">
        <v>5152</v>
      </c>
      <c r="H1087" s="11" t="s">
        <v>4280</v>
      </c>
      <c r="I1087" s="11" t="s">
        <v>16</v>
      </c>
      <c r="J1087" s="37">
        <v>45951.0</v>
      </c>
      <c r="K1087" s="11"/>
      <c r="L1087" s="11">
        <v>2.0251027E7</v>
      </c>
    </row>
    <row r="1088">
      <c r="A1088" s="9" t="s">
        <v>4654</v>
      </c>
      <c r="B1088" s="11" t="s">
        <v>30</v>
      </c>
      <c r="C1088" s="11" t="s">
        <v>35</v>
      </c>
      <c r="D1088" s="11" t="s">
        <v>37</v>
      </c>
      <c r="E1088" s="11" t="s">
        <v>5153</v>
      </c>
      <c r="F1088" s="11">
        <v>8.64501077837278E14</v>
      </c>
      <c r="G1088" s="11" t="s">
        <v>5154</v>
      </c>
      <c r="H1088" s="11" t="s">
        <v>4280</v>
      </c>
      <c r="I1088" s="11" t="s">
        <v>16</v>
      </c>
      <c r="J1088" s="37">
        <v>45951.0</v>
      </c>
      <c r="K1088" s="11"/>
      <c r="L1088" s="11">
        <v>2.0251027E7</v>
      </c>
    </row>
    <row r="1089">
      <c r="A1089" s="9" t="s">
        <v>4654</v>
      </c>
      <c r="B1089" s="11" t="s">
        <v>30</v>
      </c>
      <c r="C1089" s="11" t="s">
        <v>35</v>
      </c>
      <c r="D1089" s="11" t="s">
        <v>37</v>
      </c>
      <c r="E1089" s="11" t="s">
        <v>5155</v>
      </c>
      <c r="F1089" s="11">
        <v>8.63406078320095E14</v>
      </c>
      <c r="G1089" s="11" t="s">
        <v>5156</v>
      </c>
      <c r="H1089" s="11" t="s">
        <v>4280</v>
      </c>
      <c r="I1089" s="11" t="s">
        <v>16</v>
      </c>
      <c r="J1089" s="37">
        <v>45951.0</v>
      </c>
      <c r="K1089" s="11"/>
      <c r="L1089" s="11">
        <v>2.0251027E7</v>
      </c>
    </row>
    <row r="1090">
      <c r="A1090" s="9" t="s">
        <v>4654</v>
      </c>
      <c r="B1090" s="11" t="s">
        <v>30</v>
      </c>
      <c r="C1090" s="11" t="s">
        <v>35</v>
      </c>
      <c r="D1090" s="11" t="s">
        <v>37</v>
      </c>
      <c r="E1090" s="11" t="s">
        <v>5157</v>
      </c>
      <c r="F1090" s="11">
        <v>8.63406079904095E14</v>
      </c>
      <c r="G1090" s="11" t="s">
        <v>5158</v>
      </c>
      <c r="H1090" s="11" t="s">
        <v>4280</v>
      </c>
      <c r="I1090" s="11" t="s">
        <v>16</v>
      </c>
      <c r="J1090" s="37">
        <v>45951.0</v>
      </c>
      <c r="K1090" s="11"/>
      <c r="L1090" s="11">
        <v>2.0251027E7</v>
      </c>
    </row>
    <row r="1091">
      <c r="A1091" s="9" t="s">
        <v>4654</v>
      </c>
      <c r="B1091" s="11" t="s">
        <v>30</v>
      </c>
      <c r="C1091" s="11" t="s">
        <v>35</v>
      </c>
      <c r="D1091" s="11" t="s">
        <v>37</v>
      </c>
      <c r="E1091" s="11" t="s">
        <v>5159</v>
      </c>
      <c r="F1091" s="11">
        <v>8.64501077844217E14</v>
      </c>
      <c r="G1091" s="11" t="s">
        <v>5160</v>
      </c>
      <c r="H1091" s="11" t="s">
        <v>4280</v>
      </c>
      <c r="I1091" s="11" t="s">
        <v>16</v>
      </c>
      <c r="J1091" s="37">
        <v>45951.0</v>
      </c>
      <c r="K1091" s="11"/>
      <c r="L1091" s="11">
        <v>2.0251027E7</v>
      </c>
    </row>
    <row r="1092">
      <c r="A1092" s="9" t="s">
        <v>4654</v>
      </c>
      <c r="B1092" s="11" t="s">
        <v>30</v>
      </c>
      <c r="C1092" s="11" t="s">
        <v>35</v>
      </c>
      <c r="D1092" s="11" t="s">
        <v>37</v>
      </c>
      <c r="E1092" s="11" t="s">
        <v>5161</v>
      </c>
      <c r="F1092" s="11">
        <v>8.63406079905555E14</v>
      </c>
      <c r="G1092" s="11" t="s">
        <v>5162</v>
      </c>
      <c r="H1092" s="11" t="s">
        <v>4280</v>
      </c>
      <c r="I1092" s="11" t="s">
        <v>16</v>
      </c>
      <c r="J1092" s="37">
        <v>45951.0</v>
      </c>
      <c r="K1092" s="11"/>
      <c r="L1092" s="11">
        <v>2.0251027E7</v>
      </c>
    </row>
    <row r="1093">
      <c r="A1093" s="9" t="s">
        <v>4654</v>
      </c>
      <c r="B1093" s="11" t="s">
        <v>30</v>
      </c>
      <c r="C1093" s="11" t="s">
        <v>35</v>
      </c>
      <c r="D1093" s="11" t="s">
        <v>37</v>
      </c>
      <c r="E1093" s="11" t="s">
        <v>5163</v>
      </c>
      <c r="F1093" s="11">
        <v>8.64501077837658E14</v>
      </c>
      <c r="G1093" s="11" t="s">
        <v>5164</v>
      </c>
      <c r="H1093" s="11" t="s">
        <v>4280</v>
      </c>
      <c r="I1093" s="11" t="s">
        <v>16</v>
      </c>
      <c r="J1093" s="37">
        <v>45951.0</v>
      </c>
      <c r="K1093" s="11"/>
      <c r="L1093" s="11">
        <v>2.0251027E7</v>
      </c>
    </row>
    <row r="1094">
      <c r="A1094" s="9" t="s">
        <v>4654</v>
      </c>
      <c r="B1094" s="11" t="s">
        <v>30</v>
      </c>
      <c r="C1094" s="11" t="s">
        <v>35</v>
      </c>
      <c r="D1094" s="11" t="s">
        <v>37</v>
      </c>
      <c r="E1094" s="11" t="s">
        <v>5165</v>
      </c>
      <c r="F1094" s="11">
        <v>8.63406079905969E14</v>
      </c>
      <c r="G1094" s="11" t="s">
        <v>5166</v>
      </c>
      <c r="H1094" s="11" t="s">
        <v>4280</v>
      </c>
      <c r="I1094" s="11" t="s">
        <v>16</v>
      </c>
      <c r="J1094" s="37">
        <v>45951.0</v>
      </c>
      <c r="K1094" s="11"/>
      <c r="L1094" s="11">
        <v>2.0251027E7</v>
      </c>
    </row>
    <row r="1095">
      <c r="A1095" s="9" t="s">
        <v>4654</v>
      </c>
      <c r="B1095" s="11" t="s">
        <v>30</v>
      </c>
      <c r="C1095" s="11" t="s">
        <v>35</v>
      </c>
      <c r="D1095" s="11" t="s">
        <v>37</v>
      </c>
      <c r="E1095" s="11" t="s">
        <v>5167</v>
      </c>
      <c r="F1095" s="11">
        <v>8.6340607990609E14</v>
      </c>
      <c r="G1095" s="11" t="s">
        <v>5168</v>
      </c>
      <c r="H1095" s="11" t="s">
        <v>4280</v>
      </c>
      <c r="I1095" s="11" t="s">
        <v>16</v>
      </c>
      <c r="J1095" s="37">
        <v>45951.0</v>
      </c>
      <c r="K1095" s="11"/>
      <c r="L1095" s="11">
        <v>2.0251027E7</v>
      </c>
    </row>
    <row r="1096">
      <c r="A1096" s="9" t="s">
        <v>4654</v>
      </c>
      <c r="B1096" s="11" t="s">
        <v>30</v>
      </c>
      <c r="C1096" s="11" t="s">
        <v>35</v>
      </c>
      <c r="D1096" s="11" t="s">
        <v>37</v>
      </c>
      <c r="E1096" s="11" t="s">
        <v>5169</v>
      </c>
      <c r="F1096" s="11">
        <v>8.63406079907668E14</v>
      </c>
      <c r="G1096" s="11" t="s">
        <v>5170</v>
      </c>
      <c r="H1096" s="11" t="s">
        <v>4280</v>
      </c>
      <c r="I1096" s="11" t="s">
        <v>16</v>
      </c>
      <c r="J1096" s="37">
        <v>45951.0</v>
      </c>
      <c r="K1096" s="11"/>
      <c r="L1096" s="11">
        <v>2.0251027E7</v>
      </c>
    </row>
    <row r="1097">
      <c r="A1097" s="9" t="s">
        <v>4654</v>
      </c>
      <c r="B1097" s="11" t="s">
        <v>30</v>
      </c>
      <c r="C1097" s="11" t="s">
        <v>35</v>
      </c>
      <c r="D1097" s="11" t="s">
        <v>37</v>
      </c>
      <c r="E1097" s="11" t="s">
        <v>5171</v>
      </c>
      <c r="F1097" s="11">
        <v>8.63406079907528E14</v>
      </c>
      <c r="G1097" s="11" t="s">
        <v>5172</v>
      </c>
      <c r="H1097" s="11" t="s">
        <v>4280</v>
      </c>
      <c r="I1097" s="11" t="s">
        <v>16</v>
      </c>
      <c r="J1097" s="37">
        <v>45951.0</v>
      </c>
      <c r="K1097" s="11"/>
      <c r="L1097" s="11">
        <v>2.0251027E7</v>
      </c>
    </row>
    <row r="1098">
      <c r="A1098" s="9" t="s">
        <v>4654</v>
      </c>
      <c r="B1098" s="11" t="s">
        <v>30</v>
      </c>
      <c r="C1098" s="11" t="s">
        <v>35</v>
      </c>
      <c r="D1098" s="11" t="s">
        <v>37</v>
      </c>
      <c r="E1098" s="11" t="s">
        <v>5173</v>
      </c>
      <c r="F1098" s="11">
        <v>8.6340607831979E14</v>
      </c>
      <c r="G1098" s="11" t="s">
        <v>5174</v>
      </c>
      <c r="H1098" s="11" t="s">
        <v>4280</v>
      </c>
      <c r="I1098" s="11" t="s">
        <v>16</v>
      </c>
      <c r="J1098" s="37">
        <v>45951.0</v>
      </c>
      <c r="K1098" s="11"/>
      <c r="L1098" s="11">
        <v>2.0251027E7</v>
      </c>
    </row>
    <row r="1099">
      <c r="A1099" s="9" t="s">
        <v>4654</v>
      </c>
      <c r="B1099" s="11" t="s">
        <v>30</v>
      </c>
      <c r="C1099" s="11" t="s">
        <v>35</v>
      </c>
      <c r="D1099" s="11" t="s">
        <v>37</v>
      </c>
      <c r="E1099" s="11" t="s">
        <v>5175</v>
      </c>
      <c r="F1099" s="11">
        <v>8.63406079904004E14</v>
      </c>
      <c r="G1099" s="11" t="s">
        <v>5176</v>
      </c>
      <c r="H1099" s="11" t="s">
        <v>4280</v>
      </c>
      <c r="I1099" s="11" t="s">
        <v>16</v>
      </c>
      <c r="J1099" s="37">
        <v>45951.0</v>
      </c>
      <c r="K1099" s="11"/>
      <c r="L1099" s="11">
        <v>2.0251027E7</v>
      </c>
    </row>
    <row r="1100">
      <c r="A1100" s="9" t="s">
        <v>4654</v>
      </c>
      <c r="B1100" s="11" t="s">
        <v>30</v>
      </c>
      <c r="C1100" s="11" t="s">
        <v>35</v>
      </c>
      <c r="D1100" s="11" t="s">
        <v>37</v>
      </c>
      <c r="E1100" s="11" t="s">
        <v>5177</v>
      </c>
      <c r="F1100" s="11">
        <v>8.63406078319816E14</v>
      </c>
      <c r="G1100" s="11" t="s">
        <v>5178</v>
      </c>
      <c r="H1100" s="11" t="s">
        <v>4280</v>
      </c>
      <c r="I1100" s="11" t="s">
        <v>16</v>
      </c>
      <c r="J1100" s="37">
        <v>45951.0</v>
      </c>
      <c r="K1100" s="11"/>
      <c r="L1100" s="11">
        <v>2.0251027E7</v>
      </c>
    </row>
    <row r="1101">
      <c r="A1101" s="9" t="s">
        <v>4654</v>
      </c>
      <c r="B1101" s="11" t="s">
        <v>30</v>
      </c>
      <c r="C1101" s="11" t="s">
        <v>35</v>
      </c>
      <c r="D1101" s="11" t="s">
        <v>37</v>
      </c>
      <c r="E1101" s="11" t="s">
        <v>5179</v>
      </c>
      <c r="F1101" s="11">
        <v>8.63406079902834E14</v>
      </c>
      <c r="G1101" s="11" t="s">
        <v>5180</v>
      </c>
      <c r="H1101" s="11" t="s">
        <v>4280</v>
      </c>
      <c r="I1101" s="11" t="s">
        <v>16</v>
      </c>
      <c r="J1101" s="37">
        <v>45951.0</v>
      </c>
      <c r="K1101" s="11"/>
      <c r="L1101" s="11">
        <v>2.0251027E7</v>
      </c>
    </row>
    <row r="1102">
      <c r="A1102" s="9" t="s">
        <v>4654</v>
      </c>
      <c r="B1102" s="11" t="s">
        <v>30</v>
      </c>
      <c r="C1102" s="11" t="s">
        <v>35</v>
      </c>
      <c r="D1102" s="11" t="s">
        <v>37</v>
      </c>
      <c r="E1102" s="11" t="s">
        <v>5181</v>
      </c>
      <c r="F1102" s="11">
        <v>8.63406079902701E14</v>
      </c>
      <c r="G1102" s="11" t="s">
        <v>5182</v>
      </c>
      <c r="H1102" s="11" t="s">
        <v>4280</v>
      </c>
      <c r="I1102" s="11" t="s">
        <v>16</v>
      </c>
      <c r="J1102" s="37">
        <v>45951.0</v>
      </c>
      <c r="K1102" s="11"/>
      <c r="L1102" s="11">
        <v>2.0251027E7</v>
      </c>
    </row>
    <row r="1103">
      <c r="A1103" s="9" t="s">
        <v>4654</v>
      </c>
      <c r="B1103" s="11" t="s">
        <v>30</v>
      </c>
      <c r="C1103" s="11" t="s">
        <v>35</v>
      </c>
      <c r="D1103" s="11" t="s">
        <v>37</v>
      </c>
      <c r="E1103" s="11" t="s">
        <v>5183</v>
      </c>
      <c r="F1103" s="11">
        <v>8.63406079905621E14</v>
      </c>
      <c r="G1103" s="11" t="s">
        <v>5184</v>
      </c>
      <c r="H1103" s="11" t="s">
        <v>4280</v>
      </c>
      <c r="I1103" s="11" t="s">
        <v>16</v>
      </c>
      <c r="J1103" s="37">
        <v>45951.0</v>
      </c>
      <c r="K1103" s="11"/>
      <c r="L1103" s="11">
        <v>2.0251027E7</v>
      </c>
    </row>
    <row r="1104">
      <c r="A1104" s="9" t="s">
        <v>4654</v>
      </c>
      <c r="B1104" s="11" t="s">
        <v>30</v>
      </c>
      <c r="C1104" s="11" t="s">
        <v>35</v>
      </c>
      <c r="D1104" s="11" t="s">
        <v>37</v>
      </c>
      <c r="E1104" s="11" t="s">
        <v>5185</v>
      </c>
      <c r="F1104" s="11">
        <v>8.63406079906579E14</v>
      </c>
      <c r="G1104" s="11" t="s">
        <v>5186</v>
      </c>
      <c r="H1104" s="11" t="s">
        <v>4280</v>
      </c>
      <c r="I1104" s="11" t="s">
        <v>16</v>
      </c>
      <c r="J1104" s="37">
        <v>45951.0</v>
      </c>
      <c r="K1104" s="11"/>
      <c r="L1104" s="11">
        <v>2.0251027E7</v>
      </c>
    </row>
    <row r="1105">
      <c r="A1105" s="9" t="s">
        <v>4654</v>
      </c>
      <c r="B1105" s="11" t="s">
        <v>30</v>
      </c>
      <c r="C1105" s="11" t="s">
        <v>35</v>
      </c>
      <c r="D1105" s="11" t="s">
        <v>37</v>
      </c>
      <c r="E1105" s="11" t="s">
        <v>5187</v>
      </c>
      <c r="F1105" s="11">
        <v>8.64501077837021E14</v>
      </c>
      <c r="G1105" s="11" t="s">
        <v>5188</v>
      </c>
      <c r="H1105" s="11" t="s">
        <v>4280</v>
      </c>
      <c r="I1105" s="11" t="s">
        <v>16</v>
      </c>
      <c r="J1105" s="37">
        <v>45951.0</v>
      </c>
      <c r="K1105" s="11"/>
      <c r="L1105" s="11">
        <v>2.0251027E7</v>
      </c>
    </row>
    <row r="1106">
      <c r="A1106" s="9" t="s">
        <v>4654</v>
      </c>
      <c r="B1106" s="11" t="s">
        <v>30</v>
      </c>
      <c r="C1106" s="11" t="s">
        <v>35</v>
      </c>
      <c r="D1106" s="11" t="s">
        <v>37</v>
      </c>
      <c r="E1106" s="11" t="s">
        <v>5189</v>
      </c>
      <c r="F1106" s="11">
        <v>8.64501077845156E14</v>
      </c>
      <c r="G1106" s="11" t="s">
        <v>5190</v>
      </c>
      <c r="H1106" s="11" t="s">
        <v>4280</v>
      </c>
      <c r="I1106" s="11" t="s">
        <v>16</v>
      </c>
      <c r="J1106" s="37">
        <v>45951.0</v>
      </c>
      <c r="K1106" s="11"/>
      <c r="L1106" s="11">
        <v>2.0251027E7</v>
      </c>
    </row>
    <row r="1107">
      <c r="A1107" s="9" t="s">
        <v>4654</v>
      </c>
      <c r="B1107" s="11" t="s">
        <v>30</v>
      </c>
      <c r="C1107" s="11" t="s">
        <v>35</v>
      </c>
      <c r="D1107" s="11" t="s">
        <v>37</v>
      </c>
      <c r="E1107" s="11" t="s">
        <v>5191</v>
      </c>
      <c r="F1107" s="11">
        <v>8.63406078301459E14</v>
      </c>
      <c r="G1107" s="11" t="s">
        <v>5192</v>
      </c>
      <c r="H1107" s="11" t="s">
        <v>4280</v>
      </c>
      <c r="I1107" s="11" t="s">
        <v>16</v>
      </c>
      <c r="J1107" s="37">
        <v>45951.0</v>
      </c>
      <c r="K1107" s="11"/>
      <c r="L1107" s="11">
        <v>2.0251027E7</v>
      </c>
    </row>
    <row r="1108">
      <c r="A1108" s="9" t="s">
        <v>4654</v>
      </c>
      <c r="B1108" s="11" t="s">
        <v>30</v>
      </c>
      <c r="C1108" s="11" t="s">
        <v>35</v>
      </c>
      <c r="D1108" s="11" t="s">
        <v>37</v>
      </c>
      <c r="E1108" s="11" t="s">
        <v>5193</v>
      </c>
      <c r="F1108" s="11">
        <v>8.63406078319782E14</v>
      </c>
      <c r="G1108" s="11" t="s">
        <v>5194</v>
      </c>
      <c r="H1108" s="11" t="s">
        <v>4280</v>
      </c>
      <c r="I1108" s="11" t="s">
        <v>16</v>
      </c>
      <c r="J1108" s="37">
        <v>45951.0</v>
      </c>
      <c r="K1108" s="11"/>
      <c r="L1108" s="11">
        <v>2.0251027E7</v>
      </c>
    </row>
    <row r="1109">
      <c r="A1109" s="9" t="s">
        <v>4654</v>
      </c>
      <c r="B1109" s="11" t="s">
        <v>30</v>
      </c>
      <c r="C1109" s="11" t="s">
        <v>35</v>
      </c>
      <c r="D1109" s="11" t="s">
        <v>37</v>
      </c>
      <c r="E1109" s="11" t="s">
        <v>5195</v>
      </c>
      <c r="F1109" s="11">
        <v>8.64501077847418E14</v>
      </c>
      <c r="G1109" s="11" t="s">
        <v>5196</v>
      </c>
      <c r="H1109" s="11" t="s">
        <v>4280</v>
      </c>
      <c r="I1109" s="11" t="s">
        <v>16</v>
      </c>
      <c r="J1109" s="37">
        <v>45951.0</v>
      </c>
      <c r="K1109" s="11"/>
      <c r="L1109" s="11">
        <v>2.0251027E7</v>
      </c>
    </row>
    <row r="1110">
      <c r="A1110" s="9" t="s">
        <v>4654</v>
      </c>
      <c r="B1110" s="11" t="s">
        <v>30</v>
      </c>
      <c r="C1110" s="11" t="s">
        <v>35</v>
      </c>
      <c r="D1110" s="11" t="s">
        <v>37</v>
      </c>
      <c r="E1110" s="11" t="s">
        <v>5197</v>
      </c>
      <c r="F1110" s="11">
        <v>8.63406079906207E14</v>
      </c>
      <c r="G1110" s="11" t="s">
        <v>5198</v>
      </c>
      <c r="H1110" s="11" t="s">
        <v>4280</v>
      </c>
      <c r="I1110" s="11" t="s">
        <v>16</v>
      </c>
      <c r="J1110" s="37">
        <v>45951.0</v>
      </c>
      <c r="K1110" s="11"/>
      <c r="L1110" s="11">
        <v>2.0251027E7</v>
      </c>
    </row>
    <row r="1111">
      <c r="A1111" s="9" t="s">
        <v>4654</v>
      </c>
      <c r="B1111" s="11" t="s">
        <v>30</v>
      </c>
      <c r="C1111" s="11" t="s">
        <v>35</v>
      </c>
      <c r="D1111" s="11" t="s">
        <v>37</v>
      </c>
      <c r="E1111" s="11" t="s">
        <v>5199</v>
      </c>
      <c r="F1111" s="11">
        <v>8.6340607832002E14</v>
      </c>
      <c r="G1111" s="11" t="s">
        <v>5200</v>
      </c>
      <c r="H1111" s="11" t="s">
        <v>4280</v>
      </c>
      <c r="I1111" s="11" t="s">
        <v>16</v>
      </c>
      <c r="J1111" s="37">
        <v>45951.0</v>
      </c>
      <c r="K1111" s="11"/>
      <c r="L1111" s="11">
        <v>2.0251027E7</v>
      </c>
    </row>
    <row r="1112">
      <c r="A1112" s="9" t="s">
        <v>4654</v>
      </c>
      <c r="B1112" s="11" t="s">
        <v>30</v>
      </c>
      <c r="C1112" s="11" t="s">
        <v>35</v>
      </c>
      <c r="D1112" s="11" t="s">
        <v>37</v>
      </c>
      <c r="E1112" s="11" t="s">
        <v>5201</v>
      </c>
      <c r="F1112" s="11">
        <v>8.64501077842807E14</v>
      </c>
      <c r="G1112" s="11" t="s">
        <v>5202</v>
      </c>
      <c r="H1112" s="11" t="s">
        <v>4280</v>
      </c>
      <c r="I1112" s="11" t="s">
        <v>16</v>
      </c>
      <c r="J1112" s="37">
        <v>45951.0</v>
      </c>
      <c r="K1112" s="11"/>
      <c r="L1112" s="11">
        <v>2.0251027E7</v>
      </c>
    </row>
    <row r="1113">
      <c r="A1113" s="9" t="s">
        <v>4654</v>
      </c>
      <c r="B1113" s="11" t="s">
        <v>30</v>
      </c>
      <c r="C1113" s="11" t="s">
        <v>35</v>
      </c>
      <c r="D1113" s="11" t="s">
        <v>37</v>
      </c>
      <c r="E1113" s="11" t="s">
        <v>5203</v>
      </c>
      <c r="F1113" s="11">
        <v>8.64501077844233E14</v>
      </c>
      <c r="G1113" s="11" t="s">
        <v>5204</v>
      </c>
      <c r="H1113" s="11" t="s">
        <v>4280</v>
      </c>
      <c r="I1113" s="11" t="s">
        <v>16</v>
      </c>
      <c r="J1113" s="37">
        <v>45951.0</v>
      </c>
      <c r="K1113" s="11"/>
      <c r="L1113" s="11">
        <v>2.0251027E7</v>
      </c>
    </row>
    <row r="1114">
      <c r="A1114" s="9" t="s">
        <v>4654</v>
      </c>
      <c r="B1114" s="11" t="s">
        <v>30</v>
      </c>
      <c r="C1114" s="11" t="s">
        <v>35</v>
      </c>
      <c r="D1114" s="11" t="s">
        <v>37</v>
      </c>
      <c r="E1114" s="11" t="s">
        <v>5205</v>
      </c>
      <c r="F1114" s="11">
        <v>8.63406079906108E14</v>
      </c>
      <c r="G1114" s="11" t="s">
        <v>5206</v>
      </c>
      <c r="H1114" s="11" t="s">
        <v>4280</v>
      </c>
      <c r="I1114" s="11" t="s">
        <v>16</v>
      </c>
      <c r="J1114" s="37">
        <v>45951.0</v>
      </c>
      <c r="K1114" s="11"/>
      <c r="L1114" s="11">
        <v>2.0251027E7</v>
      </c>
    </row>
    <row r="1115">
      <c r="A1115" s="9" t="s">
        <v>4654</v>
      </c>
      <c r="B1115" s="11" t="s">
        <v>30</v>
      </c>
      <c r="C1115" s="11" t="s">
        <v>35</v>
      </c>
      <c r="D1115" s="11" t="s">
        <v>37</v>
      </c>
      <c r="E1115" s="11" t="s">
        <v>5207</v>
      </c>
      <c r="F1115" s="11">
        <v>8.64501077837492E14</v>
      </c>
      <c r="G1115" s="11" t="s">
        <v>5208</v>
      </c>
      <c r="H1115" s="11" t="s">
        <v>4280</v>
      </c>
      <c r="I1115" s="11" t="s">
        <v>16</v>
      </c>
      <c r="J1115" s="37">
        <v>45951.0</v>
      </c>
      <c r="K1115" s="11"/>
      <c r="L1115" s="11">
        <v>2.0251027E7</v>
      </c>
    </row>
    <row r="1116">
      <c r="A1116" s="9" t="s">
        <v>4654</v>
      </c>
      <c r="B1116" s="11" t="s">
        <v>30</v>
      </c>
      <c r="C1116" s="11" t="s">
        <v>35</v>
      </c>
      <c r="D1116" s="11" t="s">
        <v>37</v>
      </c>
      <c r="E1116" s="11" t="s">
        <v>5209</v>
      </c>
      <c r="F1116" s="11">
        <v>8.64501077836718E14</v>
      </c>
      <c r="G1116" s="11" t="s">
        <v>5210</v>
      </c>
      <c r="H1116" s="11" t="s">
        <v>4280</v>
      </c>
      <c r="I1116" s="11" t="s">
        <v>16</v>
      </c>
      <c r="J1116" s="37">
        <v>45951.0</v>
      </c>
      <c r="K1116" s="11"/>
      <c r="L1116" s="11">
        <v>2.0251027E7</v>
      </c>
    </row>
    <row r="1117">
      <c r="A1117" s="9" t="s">
        <v>4654</v>
      </c>
      <c r="B1117" s="11" t="s">
        <v>30</v>
      </c>
      <c r="C1117" s="11" t="s">
        <v>35</v>
      </c>
      <c r="D1117" s="11" t="s">
        <v>37</v>
      </c>
      <c r="E1117" s="11" t="s">
        <v>5211</v>
      </c>
      <c r="F1117" s="11">
        <v>8.64501077842625E14</v>
      </c>
      <c r="G1117" s="11" t="s">
        <v>5212</v>
      </c>
      <c r="H1117" s="11" t="s">
        <v>4280</v>
      </c>
      <c r="I1117" s="11" t="s">
        <v>16</v>
      </c>
      <c r="J1117" s="37">
        <v>45951.0</v>
      </c>
      <c r="K1117" s="11"/>
      <c r="L1117" s="11">
        <v>2.0251027E7</v>
      </c>
    </row>
    <row r="1118">
      <c r="A1118" s="9" t="s">
        <v>4654</v>
      </c>
      <c r="B1118" s="11" t="s">
        <v>30</v>
      </c>
      <c r="C1118" s="11" t="s">
        <v>35</v>
      </c>
      <c r="D1118" s="11" t="s">
        <v>37</v>
      </c>
      <c r="E1118" s="11" t="s">
        <v>5213</v>
      </c>
      <c r="F1118" s="11">
        <v>8.64501077844092E14</v>
      </c>
      <c r="G1118" s="11" t="s">
        <v>5214</v>
      </c>
      <c r="H1118" s="11" t="s">
        <v>4280</v>
      </c>
      <c r="I1118" s="11" t="s">
        <v>16</v>
      </c>
      <c r="J1118" s="37">
        <v>45951.0</v>
      </c>
      <c r="K1118" s="11"/>
      <c r="L1118" s="11">
        <v>2.0251027E7</v>
      </c>
    </row>
    <row r="1119">
      <c r="A1119" s="9" t="s">
        <v>4654</v>
      </c>
      <c r="B1119" s="11" t="s">
        <v>30</v>
      </c>
      <c r="C1119" s="11" t="s">
        <v>35</v>
      </c>
      <c r="D1119" s="11" t="s">
        <v>37</v>
      </c>
      <c r="E1119" s="11" t="s">
        <v>5215</v>
      </c>
      <c r="F1119" s="11">
        <v>8.64501077844134E14</v>
      </c>
      <c r="G1119" s="11" t="s">
        <v>5216</v>
      </c>
      <c r="H1119" s="11" t="s">
        <v>4280</v>
      </c>
      <c r="I1119" s="11" t="s">
        <v>16</v>
      </c>
      <c r="J1119" s="37">
        <v>45951.0</v>
      </c>
      <c r="K1119" s="11"/>
      <c r="L1119" s="11">
        <v>2.0251027E7</v>
      </c>
    </row>
    <row r="1120">
      <c r="A1120" s="9" t="s">
        <v>4654</v>
      </c>
      <c r="B1120" s="11" t="s">
        <v>30</v>
      </c>
      <c r="C1120" s="11" t="s">
        <v>35</v>
      </c>
      <c r="D1120" s="11" t="s">
        <v>37</v>
      </c>
      <c r="E1120" s="11" t="s">
        <v>5217</v>
      </c>
      <c r="F1120" s="11">
        <v>8.63406079906629E14</v>
      </c>
      <c r="G1120" s="11" t="s">
        <v>5218</v>
      </c>
      <c r="H1120" s="11" t="s">
        <v>4280</v>
      </c>
      <c r="I1120" s="11" t="s">
        <v>16</v>
      </c>
      <c r="J1120" s="37">
        <v>45951.0</v>
      </c>
      <c r="K1120" s="11"/>
      <c r="L1120" s="11">
        <v>2.0251027E7</v>
      </c>
    </row>
    <row r="1121">
      <c r="A1121" s="9" t="s">
        <v>4654</v>
      </c>
      <c r="B1121" s="11" t="s">
        <v>30</v>
      </c>
      <c r="C1121" s="11" t="s">
        <v>35</v>
      </c>
      <c r="D1121" s="11" t="s">
        <v>37</v>
      </c>
      <c r="E1121" s="11" t="s">
        <v>5219</v>
      </c>
      <c r="F1121" s="11">
        <v>8.63406078299018E14</v>
      </c>
      <c r="G1121" s="11" t="s">
        <v>5220</v>
      </c>
      <c r="H1121" s="11" t="s">
        <v>4280</v>
      </c>
      <c r="I1121" s="11" t="s">
        <v>16</v>
      </c>
      <c r="J1121" s="37">
        <v>45951.0</v>
      </c>
      <c r="K1121" s="11"/>
      <c r="L1121" s="11">
        <v>2.0251027E7</v>
      </c>
    </row>
    <row r="1122">
      <c r="A1122" s="9" t="s">
        <v>4654</v>
      </c>
      <c r="B1122" s="11" t="s">
        <v>30</v>
      </c>
      <c r="C1122" s="11" t="s">
        <v>35</v>
      </c>
      <c r="D1122" s="11" t="s">
        <v>37</v>
      </c>
      <c r="E1122" s="11" t="s">
        <v>5221</v>
      </c>
      <c r="F1122" s="11">
        <v>8.6450107784306E14</v>
      </c>
      <c r="G1122" s="11" t="s">
        <v>5222</v>
      </c>
      <c r="H1122" s="11" t="s">
        <v>4280</v>
      </c>
      <c r="I1122" s="11" t="s">
        <v>16</v>
      </c>
      <c r="J1122" s="37">
        <v>45951.0</v>
      </c>
      <c r="K1122" s="11"/>
      <c r="L1122" s="11">
        <v>2.0251027E7</v>
      </c>
    </row>
    <row r="1123">
      <c r="A1123" s="9" t="s">
        <v>4654</v>
      </c>
      <c r="B1123" s="11" t="s">
        <v>30</v>
      </c>
      <c r="C1123" s="11" t="s">
        <v>35</v>
      </c>
      <c r="D1123" s="11" t="s">
        <v>37</v>
      </c>
      <c r="E1123" s="11" t="s">
        <v>5223</v>
      </c>
      <c r="F1123" s="11">
        <v>8.63406079906991E14</v>
      </c>
      <c r="G1123" s="11" t="s">
        <v>5224</v>
      </c>
      <c r="H1123" s="11" t="s">
        <v>4280</v>
      </c>
      <c r="I1123" s="11" t="s">
        <v>16</v>
      </c>
      <c r="J1123" s="37">
        <v>45951.0</v>
      </c>
      <c r="K1123" s="11"/>
      <c r="L1123" s="11">
        <v>2.0251027E7</v>
      </c>
    </row>
    <row r="1124">
      <c r="A1124" s="9" t="s">
        <v>4654</v>
      </c>
      <c r="B1124" s="11" t="s">
        <v>30</v>
      </c>
      <c r="C1124" s="11" t="s">
        <v>35</v>
      </c>
      <c r="D1124" s="11" t="s">
        <v>37</v>
      </c>
      <c r="E1124" s="11" t="s">
        <v>5225</v>
      </c>
      <c r="F1124" s="11">
        <v>8.63406078298143E14</v>
      </c>
      <c r="G1124" s="11" t="s">
        <v>5226</v>
      </c>
      <c r="H1124" s="11" t="s">
        <v>4280</v>
      </c>
      <c r="I1124" s="11" t="s">
        <v>16</v>
      </c>
      <c r="J1124" s="37">
        <v>45951.0</v>
      </c>
      <c r="K1124" s="11"/>
      <c r="L1124" s="11">
        <v>2.0251027E7</v>
      </c>
    </row>
    <row r="1125">
      <c r="A1125" s="9" t="s">
        <v>4654</v>
      </c>
      <c r="B1125" s="11" t="s">
        <v>30</v>
      </c>
      <c r="C1125" s="11" t="s">
        <v>35</v>
      </c>
      <c r="D1125" s="11" t="s">
        <v>37</v>
      </c>
      <c r="E1125" s="11" t="s">
        <v>5227</v>
      </c>
      <c r="F1125" s="11">
        <v>8.64501077837534E14</v>
      </c>
      <c r="G1125" s="11" t="s">
        <v>5228</v>
      </c>
      <c r="H1125" s="11" t="s">
        <v>4280</v>
      </c>
      <c r="I1125" s="11" t="s">
        <v>16</v>
      </c>
      <c r="J1125" s="37">
        <v>45951.0</v>
      </c>
      <c r="K1125" s="11"/>
      <c r="L1125" s="11">
        <v>2.0251027E7</v>
      </c>
    </row>
    <row r="1126">
      <c r="A1126" s="9" t="s">
        <v>4654</v>
      </c>
      <c r="B1126" s="11" t="s">
        <v>30</v>
      </c>
      <c r="C1126" s="11" t="s">
        <v>35</v>
      </c>
      <c r="D1126" s="11" t="s">
        <v>37</v>
      </c>
      <c r="E1126" s="11" t="s">
        <v>5229</v>
      </c>
      <c r="F1126" s="11">
        <v>8.64501077846741E14</v>
      </c>
      <c r="G1126" s="11" t="s">
        <v>5230</v>
      </c>
      <c r="H1126" s="11" t="s">
        <v>4280</v>
      </c>
      <c r="I1126" s="11" t="s">
        <v>16</v>
      </c>
      <c r="J1126" s="37">
        <v>45951.0</v>
      </c>
      <c r="K1126" s="11"/>
      <c r="L1126" s="11">
        <v>2.0251027E7</v>
      </c>
    </row>
    <row r="1127">
      <c r="A1127" s="9" t="s">
        <v>4654</v>
      </c>
      <c r="B1127" s="11" t="s">
        <v>30</v>
      </c>
      <c r="C1127" s="11" t="s">
        <v>35</v>
      </c>
      <c r="D1127" s="11" t="s">
        <v>37</v>
      </c>
      <c r="E1127" s="11" t="s">
        <v>5231</v>
      </c>
      <c r="F1127" s="11">
        <v>8.6450107784523E14</v>
      </c>
      <c r="G1127" s="11" t="s">
        <v>5232</v>
      </c>
      <c r="H1127" s="11" t="s">
        <v>4280</v>
      </c>
      <c r="I1127" s="11" t="s">
        <v>16</v>
      </c>
      <c r="J1127" s="37">
        <v>45951.0</v>
      </c>
      <c r="K1127" s="11"/>
      <c r="L1127" s="11">
        <v>2.0251027E7</v>
      </c>
    </row>
    <row r="1128">
      <c r="A1128" s="9" t="s">
        <v>4654</v>
      </c>
      <c r="B1128" s="11" t="s">
        <v>30</v>
      </c>
      <c r="C1128" s="11" t="s">
        <v>35</v>
      </c>
      <c r="D1128" s="11" t="s">
        <v>37</v>
      </c>
      <c r="E1128" s="11" t="s">
        <v>5233</v>
      </c>
      <c r="F1128" s="11">
        <v>8.64501077846428E14</v>
      </c>
      <c r="G1128" s="11" t="s">
        <v>5234</v>
      </c>
      <c r="H1128" s="11" t="s">
        <v>4280</v>
      </c>
      <c r="I1128" s="11" t="s">
        <v>16</v>
      </c>
      <c r="J1128" s="37">
        <v>45951.0</v>
      </c>
      <c r="K1128" s="11"/>
      <c r="L1128" s="11">
        <v>2.0251027E7</v>
      </c>
    </row>
    <row r="1129">
      <c r="A1129" s="9" t="s">
        <v>4654</v>
      </c>
      <c r="B1129" s="11" t="s">
        <v>30</v>
      </c>
      <c r="C1129" s="11" t="s">
        <v>35</v>
      </c>
      <c r="D1129" s="11" t="s">
        <v>37</v>
      </c>
      <c r="E1129" s="11" t="s">
        <v>5235</v>
      </c>
      <c r="F1129" s="11">
        <v>8.64501077847103E14</v>
      </c>
      <c r="G1129" s="11" t="s">
        <v>5236</v>
      </c>
      <c r="H1129" s="11" t="s">
        <v>4280</v>
      </c>
      <c r="I1129" s="11" t="s">
        <v>16</v>
      </c>
      <c r="J1129" s="37">
        <v>45951.0</v>
      </c>
      <c r="K1129" s="11"/>
      <c r="L1129" s="11">
        <v>2.0251027E7</v>
      </c>
    </row>
    <row r="1130">
      <c r="A1130" s="9" t="s">
        <v>4654</v>
      </c>
      <c r="B1130" s="11" t="s">
        <v>30</v>
      </c>
      <c r="C1130" s="11" t="s">
        <v>35</v>
      </c>
      <c r="D1130" s="11" t="s">
        <v>37</v>
      </c>
      <c r="E1130" s="11" t="s">
        <v>5237</v>
      </c>
      <c r="F1130" s="11">
        <v>8.64501077844183E14</v>
      </c>
      <c r="G1130" s="11" t="s">
        <v>5238</v>
      </c>
      <c r="H1130" s="11" t="s">
        <v>4280</v>
      </c>
      <c r="I1130" s="11" t="s">
        <v>16</v>
      </c>
      <c r="J1130" s="37">
        <v>45951.0</v>
      </c>
      <c r="K1130" s="11"/>
      <c r="L1130" s="11">
        <v>2.0251027E7</v>
      </c>
    </row>
    <row r="1131">
      <c r="A1131" s="9" t="s">
        <v>4654</v>
      </c>
      <c r="B1131" s="11" t="s">
        <v>30</v>
      </c>
      <c r="C1131" s="11" t="s">
        <v>35</v>
      </c>
      <c r="D1131" s="11" t="s">
        <v>37</v>
      </c>
      <c r="E1131" s="11" t="s">
        <v>5239</v>
      </c>
      <c r="F1131" s="11">
        <v>8.64501077844142E14</v>
      </c>
      <c r="G1131" s="11" t="s">
        <v>5240</v>
      </c>
      <c r="H1131" s="11" t="s">
        <v>4280</v>
      </c>
      <c r="I1131" s="11" t="s">
        <v>16</v>
      </c>
      <c r="J1131" s="37">
        <v>45951.0</v>
      </c>
      <c r="K1131" s="11"/>
      <c r="L1131" s="11">
        <v>2.0251027E7</v>
      </c>
    </row>
    <row r="1132">
      <c r="A1132" s="9" t="s">
        <v>4654</v>
      </c>
      <c r="B1132" s="11" t="s">
        <v>30</v>
      </c>
      <c r="C1132" s="11" t="s">
        <v>35</v>
      </c>
      <c r="D1132" s="11" t="s">
        <v>37</v>
      </c>
      <c r="E1132" s="11" t="s">
        <v>5241</v>
      </c>
      <c r="F1132" s="11">
        <v>8.64501077845453E14</v>
      </c>
      <c r="G1132" s="11" t="s">
        <v>5242</v>
      </c>
      <c r="H1132" s="11" t="s">
        <v>4280</v>
      </c>
      <c r="I1132" s="11" t="s">
        <v>16</v>
      </c>
      <c r="J1132" s="37">
        <v>45951.0</v>
      </c>
      <c r="K1132" s="11"/>
      <c r="L1132" s="11">
        <v>2.0251027E7</v>
      </c>
    </row>
    <row r="1133">
      <c r="A1133" s="9" t="s">
        <v>4654</v>
      </c>
      <c r="B1133" s="11" t="s">
        <v>30</v>
      </c>
      <c r="C1133" s="11" t="s">
        <v>35</v>
      </c>
      <c r="D1133" s="11" t="s">
        <v>37</v>
      </c>
      <c r="E1133" s="11" t="s">
        <v>5243</v>
      </c>
      <c r="F1133" s="11">
        <v>8.64501077844431E14</v>
      </c>
      <c r="G1133" s="11" t="s">
        <v>5244</v>
      </c>
      <c r="H1133" s="11" t="s">
        <v>4280</v>
      </c>
      <c r="I1133" s="11" t="s">
        <v>16</v>
      </c>
      <c r="J1133" s="37">
        <v>45951.0</v>
      </c>
      <c r="K1133" s="11"/>
      <c r="L1133" s="11">
        <v>2.0251027E7</v>
      </c>
    </row>
    <row r="1134">
      <c r="A1134" s="9" t="s">
        <v>4654</v>
      </c>
      <c r="B1134" s="11" t="s">
        <v>30</v>
      </c>
      <c r="C1134" s="11" t="s">
        <v>35</v>
      </c>
      <c r="D1134" s="11" t="s">
        <v>37</v>
      </c>
      <c r="E1134" s="11" t="s">
        <v>5245</v>
      </c>
      <c r="F1134" s="11">
        <v>8.63406078320145E14</v>
      </c>
      <c r="G1134" s="11" t="s">
        <v>5246</v>
      </c>
      <c r="H1134" s="11" t="s">
        <v>4280</v>
      </c>
      <c r="I1134" s="11" t="s">
        <v>16</v>
      </c>
      <c r="J1134" s="37">
        <v>45951.0</v>
      </c>
      <c r="K1134" s="11"/>
      <c r="L1134" s="11">
        <v>2.0251027E7</v>
      </c>
    </row>
    <row r="1135">
      <c r="A1135" s="9" t="s">
        <v>4654</v>
      </c>
      <c r="B1135" s="11" t="s">
        <v>30</v>
      </c>
      <c r="C1135" s="11" t="s">
        <v>35</v>
      </c>
      <c r="D1135" s="11" t="s">
        <v>37</v>
      </c>
      <c r="E1135" s="11" t="s">
        <v>5247</v>
      </c>
      <c r="F1135" s="11">
        <v>8.64501077843847E14</v>
      </c>
      <c r="G1135" s="11" t="s">
        <v>5248</v>
      </c>
      <c r="H1135" s="11" t="s">
        <v>4280</v>
      </c>
      <c r="I1135" s="11" t="s">
        <v>16</v>
      </c>
      <c r="J1135" s="37">
        <v>45951.0</v>
      </c>
      <c r="K1135" s="11"/>
      <c r="L1135" s="11">
        <v>2.0251027E7</v>
      </c>
    </row>
    <row r="1136">
      <c r="A1136" s="9" t="s">
        <v>4654</v>
      </c>
      <c r="B1136" s="11" t="s">
        <v>30</v>
      </c>
      <c r="C1136" s="11" t="s">
        <v>35</v>
      </c>
      <c r="D1136" s="11" t="s">
        <v>37</v>
      </c>
      <c r="E1136" s="11" t="s">
        <v>5249</v>
      </c>
      <c r="F1136" s="11">
        <v>8.64501075643371E14</v>
      </c>
      <c r="G1136" s="11" t="s">
        <v>5250</v>
      </c>
      <c r="H1136" s="11" t="s">
        <v>4280</v>
      </c>
      <c r="I1136" s="11" t="s">
        <v>16</v>
      </c>
      <c r="J1136" s="37">
        <v>45951.0</v>
      </c>
      <c r="K1136" s="11"/>
      <c r="L1136" s="11">
        <v>2.0251027E7</v>
      </c>
    </row>
    <row r="1137">
      <c r="A1137" s="9" t="s">
        <v>4654</v>
      </c>
      <c r="B1137" s="11" t="s">
        <v>30</v>
      </c>
      <c r="C1137" s="11" t="s">
        <v>35</v>
      </c>
      <c r="D1137" s="11" t="s">
        <v>37</v>
      </c>
      <c r="E1137" s="11" t="s">
        <v>5251</v>
      </c>
      <c r="F1137" s="11">
        <v>8.64501077844498E14</v>
      </c>
      <c r="G1137" s="11" t="s">
        <v>5252</v>
      </c>
      <c r="H1137" s="11" t="s">
        <v>4280</v>
      </c>
      <c r="I1137" s="11" t="s">
        <v>16</v>
      </c>
      <c r="J1137" s="37">
        <v>45951.0</v>
      </c>
      <c r="K1137" s="11"/>
      <c r="L1137" s="11">
        <v>2.0251027E7</v>
      </c>
    </row>
    <row r="1138">
      <c r="A1138" s="9" t="s">
        <v>4654</v>
      </c>
      <c r="B1138" s="11" t="s">
        <v>30</v>
      </c>
      <c r="C1138" s="11" t="s">
        <v>35</v>
      </c>
      <c r="D1138" s="11" t="s">
        <v>37</v>
      </c>
      <c r="E1138" s="11" t="s">
        <v>5253</v>
      </c>
      <c r="F1138" s="11">
        <v>8.64501077843011E14</v>
      </c>
      <c r="G1138" s="11" t="s">
        <v>5254</v>
      </c>
      <c r="H1138" s="11" t="s">
        <v>4280</v>
      </c>
      <c r="I1138" s="11" t="s">
        <v>16</v>
      </c>
      <c r="J1138" s="37">
        <v>45951.0</v>
      </c>
      <c r="K1138" s="11"/>
      <c r="L1138" s="11">
        <v>2.0251027E7</v>
      </c>
    </row>
    <row r="1139">
      <c r="A1139" s="9" t="s">
        <v>4654</v>
      </c>
      <c r="B1139" s="11" t="s">
        <v>30</v>
      </c>
      <c r="C1139" s="11" t="s">
        <v>35</v>
      </c>
      <c r="D1139" s="11" t="s">
        <v>37</v>
      </c>
      <c r="E1139" s="11" t="s">
        <v>5255</v>
      </c>
      <c r="F1139" s="11">
        <v>8.64501077843425E14</v>
      </c>
      <c r="G1139" s="11" t="s">
        <v>5256</v>
      </c>
      <c r="H1139" s="11" t="s">
        <v>4280</v>
      </c>
      <c r="I1139" s="11" t="s">
        <v>16</v>
      </c>
      <c r="J1139" s="37">
        <v>45951.0</v>
      </c>
      <c r="K1139" s="11"/>
      <c r="L1139" s="11">
        <v>2.0251027E7</v>
      </c>
    </row>
    <row r="1140">
      <c r="A1140" s="9" t="s">
        <v>4654</v>
      </c>
      <c r="B1140" s="11" t="s">
        <v>30</v>
      </c>
      <c r="C1140" s="11" t="s">
        <v>35</v>
      </c>
      <c r="D1140" s="11" t="s">
        <v>37</v>
      </c>
      <c r="E1140" s="11" t="s">
        <v>5257</v>
      </c>
      <c r="F1140" s="11">
        <v>8.64501077846188E14</v>
      </c>
      <c r="G1140" s="11" t="s">
        <v>5258</v>
      </c>
      <c r="H1140" s="11" t="s">
        <v>4280</v>
      </c>
      <c r="I1140" s="11" t="s">
        <v>16</v>
      </c>
      <c r="J1140" s="37">
        <v>45951.0</v>
      </c>
      <c r="K1140" s="11"/>
      <c r="L1140" s="11">
        <v>2.0251027E7</v>
      </c>
    </row>
    <row r="1141">
      <c r="A1141" s="9" t="s">
        <v>4654</v>
      </c>
      <c r="B1141" s="11" t="s">
        <v>30</v>
      </c>
      <c r="C1141" s="11" t="s">
        <v>35</v>
      </c>
      <c r="D1141" s="11" t="s">
        <v>37</v>
      </c>
      <c r="E1141" s="11" t="s">
        <v>5259</v>
      </c>
      <c r="F1141" s="11">
        <v>8.64501077836999E14</v>
      </c>
      <c r="G1141" s="11" t="s">
        <v>5260</v>
      </c>
      <c r="H1141" s="11" t="s">
        <v>4280</v>
      </c>
      <c r="I1141" s="11" t="s">
        <v>16</v>
      </c>
      <c r="J1141" s="37">
        <v>45951.0</v>
      </c>
      <c r="K1141" s="11"/>
      <c r="L1141" s="11">
        <v>2.0251027E7</v>
      </c>
    </row>
    <row r="1142">
      <c r="A1142" s="9" t="s">
        <v>4654</v>
      </c>
      <c r="B1142" s="11" t="s">
        <v>30</v>
      </c>
      <c r="C1142" s="11" t="s">
        <v>35</v>
      </c>
      <c r="D1142" s="11" t="s">
        <v>37</v>
      </c>
      <c r="E1142" s="11" t="s">
        <v>5261</v>
      </c>
      <c r="F1142" s="11">
        <v>8.64501077843318E14</v>
      </c>
      <c r="G1142" s="11" t="s">
        <v>5262</v>
      </c>
      <c r="H1142" s="11" t="s">
        <v>4280</v>
      </c>
      <c r="I1142" s="11" t="s">
        <v>16</v>
      </c>
      <c r="J1142" s="37">
        <v>45951.0</v>
      </c>
      <c r="K1142" s="11"/>
      <c r="L1142" s="11">
        <v>2.0251027E7</v>
      </c>
    </row>
    <row r="1143">
      <c r="A1143" s="9" t="s">
        <v>4654</v>
      </c>
      <c r="B1143" s="11" t="s">
        <v>30</v>
      </c>
      <c r="C1143" s="11" t="s">
        <v>35</v>
      </c>
      <c r="D1143" s="11" t="s">
        <v>37</v>
      </c>
      <c r="E1143" s="11" t="s">
        <v>5263</v>
      </c>
      <c r="F1143" s="11">
        <v>8.63406078320277E14</v>
      </c>
      <c r="G1143" s="11" t="s">
        <v>5264</v>
      </c>
      <c r="H1143" s="11" t="s">
        <v>4280</v>
      </c>
      <c r="I1143" s="11" t="s">
        <v>16</v>
      </c>
      <c r="J1143" s="37">
        <v>45951.0</v>
      </c>
      <c r="K1143" s="11"/>
      <c r="L1143" s="11">
        <v>2.0251027E7</v>
      </c>
    </row>
    <row r="1144">
      <c r="A1144" s="9" t="s">
        <v>4654</v>
      </c>
      <c r="B1144" s="11" t="s">
        <v>30</v>
      </c>
      <c r="C1144" s="11" t="s">
        <v>35</v>
      </c>
      <c r="D1144" s="11" t="s">
        <v>37</v>
      </c>
      <c r="E1144" s="11" t="s">
        <v>5265</v>
      </c>
      <c r="F1144" s="11">
        <v>8.64501077846246E14</v>
      </c>
      <c r="G1144" s="11" t="s">
        <v>5266</v>
      </c>
      <c r="H1144" s="11" t="s">
        <v>4280</v>
      </c>
      <c r="I1144" s="11" t="s">
        <v>16</v>
      </c>
      <c r="J1144" s="37">
        <v>45951.0</v>
      </c>
      <c r="K1144" s="11"/>
      <c r="L1144" s="11">
        <v>2.0251027E7</v>
      </c>
    </row>
    <row r="1145">
      <c r="A1145" s="9" t="s">
        <v>4654</v>
      </c>
      <c r="B1145" s="11" t="s">
        <v>30</v>
      </c>
      <c r="C1145" s="11" t="s">
        <v>35</v>
      </c>
      <c r="D1145" s="11" t="s">
        <v>37</v>
      </c>
      <c r="E1145" s="11" t="s">
        <v>5267</v>
      </c>
      <c r="F1145" s="11">
        <v>8.63406078290231E14</v>
      </c>
      <c r="G1145" s="11" t="s">
        <v>5268</v>
      </c>
      <c r="H1145" s="11" t="s">
        <v>4280</v>
      </c>
      <c r="I1145" s="11" t="s">
        <v>16</v>
      </c>
      <c r="J1145" s="37">
        <v>45951.0</v>
      </c>
      <c r="K1145" s="11"/>
      <c r="L1145" s="11">
        <v>2.0251027E7</v>
      </c>
    </row>
    <row r="1146">
      <c r="A1146" s="9" t="s">
        <v>4654</v>
      </c>
      <c r="B1146" s="11" t="s">
        <v>30</v>
      </c>
      <c r="C1146" s="11" t="s">
        <v>35</v>
      </c>
      <c r="D1146" s="11" t="s">
        <v>37</v>
      </c>
      <c r="E1146" s="11" t="s">
        <v>5269</v>
      </c>
      <c r="F1146" s="11">
        <v>8.63406078302895E14</v>
      </c>
      <c r="G1146" s="11" t="s">
        <v>5270</v>
      </c>
      <c r="H1146" s="11" t="s">
        <v>4280</v>
      </c>
      <c r="I1146" s="11" t="s">
        <v>16</v>
      </c>
      <c r="J1146" s="37">
        <v>45951.0</v>
      </c>
      <c r="K1146" s="11"/>
      <c r="L1146" s="11">
        <v>2.0251027E7</v>
      </c>
    </row>
    <row r="1147">
      <c r="A1147" s="9" t="s">
        <v>4654</v>
      </c>
      <c r="B1147" s="11" t="s">
        <v>30</v>
      </c>
      <c r="C1147" s="11" t="s">
        <v>35</v>
      </c>
      <c r="D1147" s="11" t="s">
        <v>37</v>
      </c>
      <c r="E1147" s="11" t="s">
        <v>5271</v>
      </c>
      <c r="F1147" s="11">
        <v>8.6450107564516E14</v>
      </c>
      <c r="G1147" s="11" t="s">
        <v>5272</v>
      </c>
      <c r="H1147" s="11" t="s">
        <v>4280</v>
      </c>
      <c r="I1147" s="11" t="s">
        <v>16</v>
      </c>
      <c r="J1147" s="37">
        <v>45951.0</v>
      </c>
      <c r="K1147" s="11"/>
      <c r="L1147" s="11">
        <v>2.0251027E7</v>
      </c>
    </row>
    <row r="1148">
      <c r="A1148" s="9" t="s">
        <v>4654</v>
      </c>
      <c r="B1148" s="11" t="s">
        <v>30</v>
      </c>
      <c r="C1148" s="11" t="s">
        <v>35</v>
      </c>
      <c r="D1148" s="11" t="s">
        <v>37</v>
      </c>
      <c r="E1148" s="11" t="s">
        <v>5273</v>
      </c>
      <c r="F1148" s="11">
        <v>8.63406078290801E14</v>
      </c>
      <c r="G1148" s="11" t="s">
        <v>5274</v>
      </c>
      <c r="H1148" s="11" t="s">
        <v>4280</v>
      </c>
      <c r="I1148" s="11" t="s">
        <v>16</v>
      </c>
      <c r="J1148" s="37">
        <v>45951.0</v>
      </c>
      <c r="K1148" s="11"/>
      <c r="L1148" s="11">
        <v>2.0251027E7</v>
      </c>
    </row>
    <row r="1149">
      <c r="A1149" s="9" t="s">
        <v>4654</v>
      </c>
      <c r="B1149" s="11" t="s">
        <v>30</v>
      </c>
      <c r="C1149" s="11" t="s">
        <v>35</v>
      </c>
      <c r="D1149" s="11" t="s">
        <v>37</v>
      </c>
      <c r="E1149" s="11" t="s">
        <v>5275</v>
      </c>
      <c r="F1149" s="11">
        <v>8.63406078290132E14</v>
      </c>
      <c r="G1149" s="11" t="s">
        <v>5276</v>
      </c>
      <c r="H1149" s="11" t="s">
        <v>4280</v>
      </c>
      <c r="I1149" s="11" t="s">
        <v>16</v>
      </c>
      <c r="J1149" s="37">
        <v>45951.0</v>
      </c>
      <c r="K1149" s="11"/>
      <c r="L1149" s="11">
        <v>2.0251027E7</v>
      </c>
    </row>
    <row r="1150">
      <c r="A1150" s="9" t="s">
        <v>4654</v>
      </c>
      <c r="B1150" s="11" t="s">
        <v>30</v>
      </c>
      <c r="C1150" s="11" t="s">
        <v>35</v>
      </c>
      <c r="D1150" s="11" t="s">
        <v>37</v>
      </c>
      <c r="E1150" s="11" t="s">
        <v>5277</v>
      </c>
      <c r="F1150" s="11">
        <v>8.63406078318479E14</v>
      </c>
      <c r="G1150" s="11" t="s">
        <v>5278</v>
      </c>
      <c r="H1150" s="11" t="s">
        <v>4280</v>
      </c>
      <c r="I1150" s="11" t="s">
        <v>16</v>
      </c>
      <c r="J1150" s="37">
        <v>45951.0</v>
      </c>
      <c r="K1150" s="11"/>
      <c r="L1150" s="11">
        <v>2.0251027E7</v>
      </c>
    </row>
    <row r="1151">
      <c r="A1151" s="9" t="s">
        <v>4654</v>
      </c>
      <c r="B1151" s="11" t="s">
        <v>30</v>
      </c>
      <c r="C1151" s="11" t="s">
        <v>35</v>
      </c>
      <c r="D1151" s="11" t="s">
        <v>37</v>
      </c>
      <c r="E1151" s="11" t="s">
        <v>5279</v>
      </c>
      <c r="F1151" s="11">
        <v>8.64501077836692E14</v>
      </c>
      <c r="G1151" s="11" t="s">
        <v>5280</v>
      </c>
      <c r="H1151" s="11" t="s">
        <v>4280</v>
      </c>
      <c r="I1151" s="11" t="s">
        <v>16</v>
      </c>
      <c r="J1151" s="37">
        <v>45951.0</v>
      </c>
      <c r="K1151" s="11"/>
      <c r="L1151" s="11">
        <v>2.0251027E7</v>
      </c>
    </row>
    <row r="1152">
      <c r="A1152" s="9" t="s">
        <v>4654</v>
      </c>
      <c r="B1152" s="11" t="s">
        <v>30</v>
      </c>
      <c r="C1152" s="11" t="s">
        <v>35</v>
      </c>
      <c r="D1152" s="11" t="s">
        <v>37</v>
      </c>
      <c r="E1152" s="11" t="s">
        <v>5281</v>
      </c>
      <c r="F1152" s="11">
        <v>8.64501077844753E14</v>
      </c>
      <c r="G1152" s="11" t="s">
        <v>5282</v>
      </c>
      <c r="H1152" s="11" t="s">
        <v>4280</v>
      </c>
      <c r="I1152" s="11" t="s">
        <v>16</v>
      </c>
      <c r="J1152" s="37">
        <v>45951.0</v>
      </c>
      <c r="K1152" s="11"/>
      <c r="L1152" s="11">
        <v>2.0251027E7</v>
      </c>
    </row>
    <row r="1153">
      <c r="A1153" s="9" t="s">
        <v>4654</v>
      </c>
      <c r="B1153" s="11" t="s">
        <v>30</v>
      </c>
      <c r="C1153" s="11" t="s">
        <v>35</v>
      </c>
      <c r="D1153" s="11" t="s">
        <v>37</v>
      </c>
      <c r="E1153" s="11" t="s">
        <v>5283</v>
      </c>
      <c r="F1153" s="11">
        <v>8.64501077845545E14</v>
      </c>
      <c r="G1153" s="11" t="s">
        <v>5284</v>
      </c>
      <c r="H1153" s="11" t="s">
        <v>4280</v>
      </c>
      <c r="I1153" s="11" t="s">
        <v>16</v>
      </c>
      <c r="J1153" s="37">
        <v>45951.0</v>
      </c>
      <c r="K1153" s="11"/>
      <c r="L1153" s="11">
        <v>2.0251027E7</v>
      </c>
    </row>
    <row r="1154">
      <c r="A1154" s="9" t="s">
        <v>4654</v>
      </c>
      <c r="B1154" s="11" t="s">
        <v>30</v>
      </c>
      <c r="C1154" s="11" t="s">
        <v>35</v>
      </c>
      <c r="D1154" s="11" t="s">
        <v>37</v>
      </c>
      <c r="E1154" s="11" t="s">
        <v>5285</v>
      </c>
      <c r="F1154" s="11">
        <v>8.64501075644254E14</v>
      </c>
      <c r="G1154" s="11" t="s">
        <v>5286</v>
      </c>
      <c r="H1154" s="11" t="s">
        <v>4280</v>
      </c>
      <c r="I1154" s="11" t="s">
        <v>16</v>
      </c>
      <c r="J1154" s="37">
        <v>45951.0</v>
      </c>
      <c r="K1154" s="11"/>
      <c r="L1154" s="11">
        <v>2.0251027E7</v>
      </c>
    </row>
    <row r="1155">
      <c r="A1155" s="9" t="s">
        <v>4654</v>
      </c>
      <c r="B1155" s="11" t="s">
        <v>30</v>
      </c>
      <c r="C1155" s="11" t="s">
        <v>35</v>
      </c>
      <c r="D1155" s="11" t="s">
        <v>37</v>
      </c>
      <c r="E1155" s="11" t="s">
        <v>5287</v>
      </c>
      <c r="F1155" s="11">
        <v>8.64501077844852E14</v>
      </c>
      <c r="G1155" s="11" t="s">
        <v>5288</v>
      </c>
      <c r="H1155" s="11" t="s">
        <v>4280</v>
      </c>
      <c r="I1155" s="11" t="s">
        <v>16</v>
      </c>
      <c r="J1155" s="37">
        <v>45951.0</v>
      </c>
      <c r="K1155" s="11"/>
      <c r="L1155" s="11">
        <v>2.0251027E7</v>
      </c>
    </row>
    <row r="1156">
      <c r="A1156" s="9" t="s">
        <v>4654</v>
      </c>
      <c r="B1156" s="11" t="s">
        <v>30</v>
      </c>
      <c r="C1156" s="11" t="s">
        <v>35</v>
      </c>
      <c r="D1156" s="11" t="s">
        <v>37</v>
      </c>
      <c r="E1156" s="11" t="s">
        <v>5289</v>
      </c>
      <c r="F1156" s="11">
        <v>8.645010778367E14</v>
      </c>
      <c r="G1156" s="11" t="s">
        <v>5290</v>
      </c>
      <c r="H1156" s="11" t="s">
        <v>4280</v>
      </c>
      <c r="I1156" s="11" t="s">
        <v>16</v>
      </c>
      <c r="J1156" s="37">
        <v>45951.0</v>
      </c>
      <c r="K1156" s="11"/>
      <c r="L1156" s="11">
        <v>2.0251027E7</v>
      </c>
    </row>
    <row r="1157">
      <c r="A1157" s="9" t="s">
        <v>4654</v>
      </c>
      <c r="B1157" s="11" t="s">
        <v>30</v>
      </c>
      <c r="C1157" s="11" t="s">
        <v>35</v>
      </c>
      <c r="D1157" s="11" t="s">
        <v>37</v>
      </c>
      <c r="E1157" s="11" t="s">
        <v>5291</v>
      </c>
      <c r="F1157" s="11">
        <v>8.63406078318529E14</v>
      </c>
      <c r="G1157" s="11" t="s">
        <v>5292</v>
      </c>
      <c r="H1157" s="11" t="s">
        <v>4280</v>
      </c>
      <c r="I1157" s="11" t="s">
        <v>16</v>
      </c>
      <c r="J1157" s="37">
        <v>45951.0</v>
      </c>
      <c r="K1157" s="11"/>
      <c r="L1157" s="11">
        <v>2.0251027E7</v>
      </c>
    </row>
    <row r="1158">
      <c r="A1158" s="9" t="s">
        <v>4654</v>
      </c>
      <c r="B1158" s="11" t="s">
        <v>30</v>
      </c>
      <c r="C1158" s="11" t="s">
        <v>35</v>
      </c>
      <c r="D1158" s="11" t="s">
        <v>37</v>
      </c>
      <c r="E1158" s="11" t="s">
        <v>5293</v>
      </c>
      <c r="F1158" s="11">
        <v>8.64501077844472E14</v>
      </c>
      <c r="G1158" s="11" t="s">
        <v>5294</v>
      </c>
      <c r="H1158" s="11" t="s">
        <v>4280</v>
      </c>
      <c r="I1158" s="11" t="s">
        <v>16</v>
      </c>
      <c r="J1158" s="37">
        <v>45951.0</v>
      </c>
      <c r="K1158" s="11"/>
      <c r="L1158" s="11">
        <v>2.0251027E7</v>
      </c>
    </row>
    <row r="1159">
      <c r="A1159" s="9" t="s">
        <v>4654</v>
      </c>
      <c r="B1159" s="11" t="s">
        <v>30</v>
      </c>
      <c r="C1159" s="11" t="s">
        <v>35</v>
      </c>
      <c r="D1159" s="11" t="s">
        <v>37</v>
      </c>
      <c r="E1159" s="11" t="s">
        <v>5295</v>
      </c>
      <c r="F1159" s="11">
        <v>8.64501077836791E14</v>
      </c>
      <c r="G1159" s="11" t="s">
        <v>5296</v>
      </c>
      <c r="H1159" s="11" t="s">
        <v>4280</v>
      </c>
      <c r="I1159" s="11" t="s">
        <v>16</v>
      </c>
      <c r="J1159" s="37">
        <v>45951.0</v>
      </c>
      <c r="K1159" s="11"/>
      <c r="L1159" s="11">
        <v>2.0251027E7</v>
      </c>
    </row>
    <row r="1160">
      <c r="A1160" s="9" t="s">
        <v>4654</v>
      </c>
      <c r="B1160" s="11" t="s">
        <v>30</v>
      </c>
      <c r="C1160" s="11" t="s">
        <v>35</v>
      </c>
      <c r="D1160" s="11" t="s">
        <v>37</v>
      </c>
      <c r="E1160" s="11" t="s">
        <v>5297</v>
      </c>
      <c r="F1160" s="11">
        <v>8.63406079905357E14</v>
      </c>
      <c r="G1160" s="11" t="s">
        <v>5298</v>
      </c>
      <c r="H1160" s="11" t="s">
        <v>4280</v>
      </c>
      <c r="I1160" s="11" t="s">
        <v>16</v>
      </c>
      <c r="J1160" s="37">
        <v>45951.0</v>
      </c>
      <c r="K1160" s="11"/>
      <c r="L1160" s="11">
        <v>2.0251027E7</v>
      </c>
    </row>
    <row r="1161">
      <c r="A1161" s="9" t="s">
        <v>4654</v>
      </c>
      <c r="B1161" s="11" t="s">
        <v>30</v>
      </c>
      <c r="C1161" s="11" t="s">
        <v>35</v>
      </c>
      <c r="D1161" s="11" t="s">
        <v>37</v>
      </c>
      <c r="E1161" s="11" t="s">
        <v>5299</v>
      </c>
      <c r="F1161" s="11">
        <v>8.63406078318396E14</v>
      </c>
      <c r="G1161" s="11" t="s">
        <v>5300</v>
      </c>
      <c r="H1161" s="11" t="s">
        <v>4280</v>
      </c>
      <c r="I1161" s="11" t="s">
        <v>16</v>
      </c>
      <c r="J1161" s="37">
        <v>45951.0</v>
      </c>
      <c r="K1161" s="11"/>
      <c r="L1161" s="11">
        <v>2.0251027E7</v>
      </c>
    </row>
    <row r="1162">
      <c r="A1162" s="9" t="s">
        <v>4654</v>
      </c>
      <c r="B1162" s="11" t="s">
        <v>30</v>
      </c>
      <c r="C1162" s="11" t="s">
        <v>35</v>
      </c>
      <c r="D1162" s="11" t="s">
        <v>37</v>
      </c>
      <c r="E1162" s="11" t="s">
        <v>5301</v>
      </c>
      <c r="F1162" s="11">
        <v>8.63406079912056E14</v>
      </c>
      <c r="G1162" s="11" t="s">
        <v>5302</v>
      </c>
      <c r="H1162" s="11" t="s">
        <v>4280</v>
      </c>
      <c r="I1162" s="11" t="s">
        <v>16</v>
      </c>
      <c r="J1162" s="37">
        <v>45951.0</v>
      </c>
      <c r="K1162" s="11"/>
      <c r="L1162" s="11">
        <v>2.0251027E7</v>
      </c>
    </row>
    <row r="1163">
      <c r="A1163" s="9" t="s">
        <v>4654</v>
      </c>
      <c r="B1163" s="11" t="s">
        <v>30</v>
      </c>
      <c r="C1163" s="11" t="s">
        <v>35</v>
      </c>
      <c r="D1163" s="11" t="s">
        <v>37</v>
      </c>
      <c r="E1163" s="11" t="s">
        <v>5303</v>
      </c>
      <c r="F1163" s="11">
        <v>8.63406078301434E14</v>
      </c>
      <c r="G1163" s="11" t="s">
        <v>5304</v>
      </c>
      <c r="H1163" s="11" t="s">
        <v>4280</v>
      </c>
      <c r="I1163" s="11" t="s">
        <v>16</v>
      </c>
      <c r="J1163" s="37">
        <v>45951.0</v>
      </c>
      <c r="K1163" s="11"/>
      <c r="L1163" s="11">
        <v>2.0251027E7</v>
      </c>
    </row>
    <row r="1164">
      <c r="A1164" s="9" t="s">
        <v>4654</v>
      </c>
      <c r="B1164" s="11" t="s">
        <v>30</v>
      </c>
      <c r="C1164" s="11" t="s">
        <v>35</v>
      </c>
      <c r="D1164" s="11" t="s">
        <v>37</v>
      </c>
      <c r="E1164" s="11" t="s">
        <v>5305</v>
      </c>
      <c r="F1164" s="11">
        <v>8.63406078298796E14</v>
      </c>
      <c r="G1164" s="11" t="s">
        <v>5306</v>
      </c>
      <c r="H1164" s="11" t="s">
        <v>4280</v>
      </c>
      <c r="I1164" s="11" t="s">
        <v>16</v>
      </c>
      <c r="J1164" s="37">
        <v>45951.0</v>
      </c>
      <c r="K1164" s="11"/>
      <c r="L1164" s="11">
        <v>2.0251027E7</v>
      </c>
    </row>
    <row r="1165">
      <c r="A1165" s="9" t="s">
        <v>4654</v>
      </c>
      <c r="B1165" s="11" t="s">
        <v>30</v>
      </c>
      <c r="C1165" s="11" t="s">
        <v>35</v>
      </c>
      <c r="D1165" s="11" t="s">
        <v>37</v>
      </c>
      <c r="E1165" s="11" t="s">
        <v>5307</v>
      </c>
      <c r="F1165" s="11">
        <v>8.63406079907502E14</v>
      </c>
      <c r="G1165" s="11" t="s">
        <v>5308</v>
      </c>
      <c r="H1165" s="11" t="s">
        <v>4280</v>
      </c>
      <c r="I1165" s="11" t="s">
        <v>16</v>
      </c>
      <c r="J1165" s="37">
        <v>45951.0</v>
      </c>
      <c r="K1165" s="11"/>
      <c r="L1165" s="11">
        <v>2.0251027E7</v>
      </c>
    </row>
    <row r="1166">
      <c r="A1166" s="9" t="s">
        <v>4654</v>
      </c>
      <c r="B1166" s="11" t="s">
        <v>30</v>
      </c>
      <c r="C1166" s="11" t="s">
        <v>35</v>
      </c>
      <c r="D1166" s="11" t="s">
        <v>37</v>
      </c>
      <c r="E1166" s="11" t="s">
        <v>5309</v>
      </c>
      <c r="F1166" s="11">
        <v>8.63406079905951E14</v>
      </c>
      <c r="G1166" s="11" t="s">
        <v>5310</v>
      </c>
      <c r="H1166" s="11" t="s">
        <v>4280</v>
      </c>
      <c r="I1166" s="11" t="s">
        <v>16</v>
      </c>
      <c r="J1166" s="37">
        <v>45951.0</v>
      </c>
      <c r="K1166" s="11"/>
      <c r="L1166" s="11">
        <v>2.0251027E7</v>
      </c>
    </row>
    <row r="1167">
      <c r="A1167" s="9" t="s">
        <v>4654</v>
      </c>
      <c r="B1167" s="11" t="s">
        <v>30</v>
      </c>
      <c r="C1167" s="11" t="s">
        <v>35</v>
      </c>
      <c r="D1167" s="11" t="s">
        <v>37</v>
      </c>
      <c r="E1167" s="11" t="s">
        <v>5311</v>
      </c>
      <c r="F1167" s="11">
        <v>8.63406079907312E14</v>
      </c>
      <c r="G1167" s="11" t="s">
        <v>5312</v>
      </c>
      <c r="H1167" s="11" t="s">
        <v>4280</v>
      </c>
      <c r="I1167" s="11" t="s">
        <v>16</v>
      </c>
      <c r="J1167" s="37">
        <v>45951.0</v>
      </c>
      <c r="K1167" s="11"/>
      <c r="L1167" s="11">
        <v>2.0251027E7</v>
      </c>
    </row>
    <row r="1168">
      <c r="A1168" s="9" t="s">
        <v>4654</v>
      </c>
      <c r="B1168" s="11" t="s">
        <v>30</v>
      </c>
      <c r="C1168" s="11" t="s">
        <v>35</v>
      </c>
      <c r="D1168" s="11" t="s">
        <v>37</v>
      </c>
      <c r="E1168" s="11" t="s">
        <v>5313</v>
      </c>
      <c r="F1168" s="11">
        <v>8.63406079905167E14</v>
      </c>
      <c r="G1168" s="11" t="s">
        <v>5314</v>
      </c>
      <c r="H1168" s="11" t="s">
        <v>4280</v>
      </c>
      <c r="I1168" s="11" t="s">
        <v>16</v>
      </c>
      <c r="J1168" s="37">
        <v>45951.0</v>
      </c>
      <c r="K1168" s="11"/>
      <c r="L1168" s="11">
        <v>2.0251027E7</v>
      </c>
    </row>
    <row r="1169">
      <c r="A1169" s="9" t="s">
        <v>4654</v>
      </c>
      <c r="B1169" s="11" t="s">
        <v>30</v>
      </c>
      <c r="C1169" s="11" t="s">
        <v>35</v>
      </c>
      <c r="D1169" s="11" t="s">
        <v>37</v>
      </c>
      <c r="E1169" s="11" t="s">
        <v>5315</v>
      </c>
      <c r="F1169" s="11">
        <v>8.63406079907296E14</v>
      </c>
      <c r="G1169" s="11" t="s">
        <v>5316</v>
      </c>
      <c r="H1169" s="11" t="s">
        <v>4280</v>
      </c>
      <c r="I1169" s="11" t="s">
        <v>16</v>
      </c>
      <c r="J1169" s="37">
        <v>45951.0</v>
      </c>
      <c r="K1169" s="11"/>
      <c r="L1169" s="11">
        <v>2.0251027E7</v>
      </c>
    </row>
    <row r="1170">
      <c r="A1170" s="9" t="s">
        <v>4654</v>
      </c>
      <c r="B1170" s="11" t="s">
        <v>30</v>
      </c>
      <c r="C1170" s="11" t="s">
        <v>35</v>
      </c>
      <c r="D1170" s="11" t="s">
        <v>37</v>
      </c>
      <c r="E1170" s="11" t="s">
        <v>5317</v>
      </c>
      <c r="F1170" s="11">
        <v>8.63406079905241E14</v>
      </c>
      <c r="G1170" s="11" t="s">
        <v>5318</v>
      </c>
      <c r="H1170" s="11" t="s">
        <v>4280</v>
      </c>
      <c r="I1170" s="11" t="s">
        <v>16</v>
      </c>
      <c r="J1170" s="37">
        <v>45951.0</v>
      </c>
      <c r="K1170" s="11"/>
      <c r="L1170" s="11">
        <v>2.0251027E7</v>
      </c>
    </row>
    <row r="1171">
      <c r="A1171" s="9" t="s">
        <v>4654</v>
      </c>
      <c r="B1171" s="11" t="s">
        <v>30</v>
      </c>
      <c r="C1171" s="11" t="s">
        <v>35</v>
      </c>
      <c r="D1171" s="11" t="s">
        <v>37</v>
      </c>
      <c r="E1171" s="11" t="s">
        <v>5319</v>
      </c>
      <c r="F1171" s="11">
        <v>8.6450107784801E14</v>
      </c>
      <c r="G1171" s="11" t="s">
        <v>5320</v>
      </c>
      <c r="H1171" s="11" t="s">
        <v>4280</v>
      </c>
      <c r="I1171" s="11" t="s">
        <v>16</v>
      </c>
      <c r="J1171" s="37">
        <v>45951.0</v>
      </c>
      <c r="K1171" s="11"/>
      <c r="L1171" s="11">
        <v>2.0251027E7</v>
      </c>
    </row>
    <row r="1172">
      <c r="A1172" s="9" t="s">
        <v>4654</v>
      </c>
      <c r="B1172" s="11" t="s">
        <v>30</v>
      </c>
      <c r="C1172" s="11" t="s">
        <v>35</v>
      </c>
      <c r="D1172" s="11" t="s">
        <v>37</v>
      </c>
      <c r="E1172" s="11" t="s">
        <v>5321</v>
      </c>
      <c r="F1172" s="11">
        <v>8.63406079906892E14</v>
      </c>
      <c r="G1172" s="11" t="s">
        <v>5322</v>
      </c>
      <c r="H1172" s="11" t="s">
        <v>4280</v>
      </c>
      <c r="I1172" s="11" t="s">
        <v>16</v>
      </c>
      <c r="J1172" s="37">
        <v>45951.0</v>
      </c>
      <c r="K1172" s="11"/>
      <c r="L1172" s="11">
        <v>2.0251027E7</v>
      </c>
    </row>
    <row r="1173">
      <c r="A1173" s="9" t="s">
        <v>4654</v>
      </c>
      <c r="B1173" s="11" t="s">
        <v>30</v>
      </c>
      <c r="C1173" s="11" t="s">
        <v>35</v>
      </c>
      <c r="D1173" s="11" t="s">
        <v>37</v>
      </c>
      <c r="E1173" s="11" t="s">
        <v>5323</v>
      </c>
      <c r="F1173" s="11">
        <v>8.63406079902859E14</v>
      </c>
      <c r="G1173" s="11" t="s">
        <v>5324</v>
      </c>
      <c r="H1173" s="11" t="s">
        <v>4280</v>
      </c>
      <c r="I1173" s="11" t="s">
        <v>16</v>
      </c>
      <c r="J1173" s="37">
        <v>45951.0</v>
      </c>
      <c r="K1173" s="11"/>
      <c r="L1173" s="11">
        <v>2.0251027E7</v>
      </c>
    </row>
    <row r="1174">
      <c r="A1174" s="9" t="s">
        <v>4654</v>
      </c>
      <c r="B1174" s="11" t="s">
        <v>30</v>
      </c>
      <c r="C1174" s="11" t="s">
        <v>35</v>
      </c>
      <c r="D1174" s="11" t="s">
        <v>37</v>
      </c>
      <c r="E1174" s="11" t="s">
        <v>5325</v>
      </c>
      <c r="F1174" s="11">
        <v>8.64501077843748E14</v>
      </c>
      <c r="G1174" s="11" t="s">
        <v>5326</v>
      </c>
      <c r="H1174" s="11" t="s">
        <v>4280</v>
      </c>
      <c r="I1174" s="11" t="s">
        <v>16</v>
      </c>
      <c r="J1174" s="37">
        <v>45951.0</v>
      </c>
      <c r="K1174" s="11"/>
      <c r="L1174" s="11">
        <v>2.0251027E7</v>
      </c>
    </row>
    <row r="1175">
      <c r="A1175" s="9" t="s">
        <v>4654</v>
      </c>
      <c r="B1175" s="11" t="s">
        <v>30</v>
      </c>
      <c r="C1175" s="11" t="s">
        <v>35</v>
      </c>
      <c r="D1175" s="11" t="s">
        <v>37</v>
      </c>
      <c r="E1175" s="11" t="s">
        <v>5327</v>
      </c>
      <c r="F1175" s="11">
        <v>8.63406079904087E14</v>
      </c>
      <c r="G1175" s="11" t="s">
        <v>5328</v>
      </c>
      <c r="H1175" s="11" t="s">
        <v>4280</v>
      </c>
      <c r="I1175" s="11" t="s">
        <v>16</v>
      </c>
      <c r="J1175" s="37">
        <v>45951.0</v>
      </c>
      <c r="K1175" s="11"/>
      <c r="L1175" s="11">
        <v>2.0251027E7</v>
      </c>
    </row>
    <row r="1176">
      <c r="A1176" s="9" t="s">
        <v>4654</v>
      </c>
      <c r="B1176" s="11" t="s">
        <v>30</v>
      </c>
      <c r="C1176" s="11" t="s">
        <v>35</v>
      </c>
      <c r="D1176" s="11" t="s">
        <v>37</v>
      </c>
      <c r="E1176" s="11" t="s">
        <v>5329</v>
      </c>
      <c r="F1176" s="11">
        <v>8.63406079906876E14</v>
      </c>
      <c r="G1176" s="11" t="s">
        <v>5330</v>
      </c>
      <c r="H1176" s="11" t="s">
        <v>4280</v>
      </c>
      <c r="I1176" s="11" t="s">
        <v>16</v>
      </c>
      <c r="J1176" s="37">
        <v>45951.0</v>
      </c>
      <c r="K1176" s="11"/>
      <c r="L1176" s="11">
        <v>2.0251027E7</v>
      </c>
    </row>
    <row r="1177">
      <c r="A1177" s="9" t="s">
        <v>4654</v>
      </c>
      <c r="B1177" s="11" t="s">
        <v>30</v>
      </c>
      <c r="C1177" s="11" t="s">
        <v>35</v>
      </c>
      <c r="D1177" s="11" t="s">
        <v>37</v>
      </c>
      <c r="E1177" s="11" t="s">
        <v>5331</v>
      </c>
      <c r="F1177" s="11">
        <v>8.64501077843342E14</v>
      </c>
      <c r="G1177" s="11" t="s">
        <v>5332</v>
      </c>
      <c r="H1177" s="11" t="s">
        <v>4280</v>
      </c>
      <c r="I1177" s="11" t="s">
        <v>16</v>
      </c>
      <c r="J1177" s="37">
        <v>45951.0</v>
      </c>
      <c r="K1177" s="11"/>
      <c r="L1177" s="11">
        <v>2.0251027E7</v>
      </c>
    </row>
    <row r="1178">
      <c r="A1178" s="9" t="s">
        <v>4654</v>
      </c>
      <c r="B1178" s="11" t="s">
        <v>30</v>
      </c>
      <c r="C1178" s="11" t="s">
        <v>35</v>
      </c>
      <c r="D1178" s="11" t="s">
        <v>37</v>
      </c>
      <c r="E1178" s="11" t="s">
        <v>5333</v>
      </c>
      <c r="F1178" s="11">
        <v>8.63406079905795E14</v>
      </c>
      <c r="G1178" s="11" t="s">
        <v>5334</v>
      </c>
      <c r="H1178" s="11" t="s">
        <v>4280</v>
      </c>
      <c r="I1178" s="11" t="s">
        <v>16</v>
      </c>
      <c r="J1178" s="37">
        <v>45951.0</v>
      </c>
      <c r="K1178" s="11"/>
      <c r="L1178" s="11">
        <v>2.0251027E7</v>
      </c>
    </row>
    <row r="1179">
      <c r="A1179" s="9" t="s">
        <v>4654</v>
      </c>
      <c r="B1179" s="11" t="s">
        <v>30</v>
      </c>
      <c r="C1179" s="11" t="s">
        <v>35</v>
      </c>
      <c r="D1179" s="11" t="s">
        <v>37</v>
      </c>
      <c r="E1179" s="11" t="s">
        <v>5335</v>
      </c>
      <c r="F1179" s="11">
        <v>8.63406079902818E14</v>
      </c>
      <c r="G1179" s="11" t="s">
        <v>5336</v>
      </c>
      <c r="H1179" s="11" t="s">
        <v>4280</v>
      </c>
      <c r="I1179" s="11" t="s">
        <v>16</v>
      </c>
      <c r="J1179" s="37">
        <v>45951.0</v>
      </c>
      <c r="K1179" s="11"/>
      <c r="L1179" s="11">
        <v>2.0251027E7</v>
      </c>
    </row>
    <row r="1180">
      <c r="A1180" s="9" t="s">
        <v>4654</v>
      </c>
      <c r="B1180" s="11" t="s">
        <v>30</v>
      </c>
      <c r="C1180" s="11" t="s">
        <v>35</v>
      </c>
      <c r="D1180" s="11" t="s">
        <v>37</v>
      </c>
      <c r="E1180" s="11" t="s">
        <v>5337</v>
      </c>
      <c r="F1180" s="11">
        <v>8.63406079902776E14</v>
      </c>
      <c r="G1180" s="11" t="s">
        <v>5338</v>
      </c>
      <c r="H1180" s="11" t="s">
        <v>4280</v>
      </c>
      <c r="I1180" s="11" t="s">
        <v>16</v>
      </c>
      <c r="J1180" s="37">
        <v>45951.0</v>
      </c>
      <c r="K1180" s="11"/>
      <c r="L1180" s="11">
        <v>2.0251027E7</v>
      </c>
    </row>
    <row r="1181">
      <c r="A1181" s="9" t="s">
        <v>4654</v>
      </c>
      <c r="B1181" s="11" t="s">
        <v>30</v>
      </c>
      <c r="C1181" s="11" t="s">
        <v>35</v>
      </c>
      <c r="D1181" s="11" t="s">
        <v>37</v>
      </c>
      <c r="E1181" s="11" t="s">
        <v>5339</v>
      </c>
      <c r="F1181" s="11">
        <v>8.63406079906132E14</v>
      </c>
      <c r="G1181" s="11" t="s">
        <v>5340</v>
      </c>
      <c r="H1181" s="11" t="s">
        <v>4280</v>
      </c>
      <c r="I1181" s="11" t="s">
        <v>16</v>
      </c>
      <c r="J1181" s="37">
        <v>45951.0</v>
      </c>
      <c r="K1181" s="11"/>
      <c r="L1181" s="11">
        <v>2.0251027E7</v>
      </c>
    </row>
    <row r="1182">
      <c r="A1182" s="9" t="s">
        <v>4654</v>
      </c>
      <c r="B1182" s="11" t="s">
        <v>30</v>
      </c>
      <c r="C1182" s="11" t="s">
        <v>35</v>
      </c>
      <c r="D1182" s="11" t="s">
        <v>37</v>
      </c>
      <c r="E1182" s="11" t="s">
        <v>5341</v>
      </c>
      <c r="F1182" s="11">
        <v>8.63406079906041E14</v>
      </c>
      <c r="G1182" s="11" t="s">
        <v>5342</v>
      </c>
      <c r="H1182" s="11" t="s">
        <v>4280</v>
      </c>
      <c r="I1182" s="11" t="s">
        <v>16</v>
      </c>
      <c r="J1182" s="37">
        <v>45951.0</v>
      </c>
      <c r="K1182" s="11"/>
      <c r="L1182" s="11">
        <v>2.0251027E7</v>
      </c>
    </row>
    <row r="1183">
      <c r="A1183" s="9" t="s">
        <v>4654</v>
      </c>
      <c r="B1183" s="11" t="s">
        <v>30</v>
      </c>
      <c r="C1183" s="11" t="s">
        <v>35</v>
      </c>
      <c r="D1183" s="11" t="s">
        <v>37</v>
      </c>
      <c r="E1183" s="11" t="s">
        <v>5343</v>
      </c>
      <c r="F1183" s="11">
        <v>8.63406079907122E14</v>
      </c>
      <c r="G1183" s="11" t="s">
        <v>5344</v>
      </c>
      <c r="H1183" s="11" t="s">
        <v>4280</v>
      </c>
      <c r="I1183" s="11" t="s">
        <v>16</v>
      </c>
      <c r="J1183" s="37">
        <v>45951.0</v>
      </c>
      <c r="K1183" s="11"/>
      <c r="L1183" s="11">
        <v>2.0251027E7</v>
      </c>
    </row>
    <row r="1184">
      <c r="A1184" s="9" t="s">
        <v>4654</v>
      </c>
      <c r="B1184" s="11" t="s">
        <v>30</v>
      </c>
      <c r="C1184" s="11" t="s">
        <v>35</v>
      </c>
      <c r="D1184" s="11" t="s">
        <v>37</v>
      </c>
      <c r="E1184" s="11" t="s">
        <v>5345</v>
      </c>
      <c r="F1184" s="11">
        <v>8.63406079905811E14</v>
      </c>
      <c r="G1184" s="11" t="s">
        <v>5346</v>
      </c>
      <c r="H1184" s="11" t="s">
        <v>4280</v>
      </c>
      <c r="I1184" s="11" t="s">
        <v>16</v>
      </c>
      <c r="J1184" s="37">
        <v>45951.0</v>
      </c>
      <c r="K1184" s="11"/>
      <c r="L1184" s="11">
        <v>2.0251027E7</v>
      </c>
    </row>
    <row r="1185">
      <c r="A1185" s="9" t="s">
        <v>4654</v>
      </c>
      <c r="B1185" s="11" t="s">
        <v>30</v>
      </c>
      <c r="C1185" s="11" t="s">
        <v>35</v>
      </c>
      <c r="D1185" s="11" t="s">
        <v>37</v>
      </c>
      <c r="E1185" s="11" t="s">
        <v>5347</v>
      </c>
      <c r="F1185" s="11">
        <v>8.64501077837229E14</v>
      </c>
      <c r="G1185" s="11" t="s">
        <v>5348</v>
      </c>
      <c r="H1185" s="11" t="s">
        <v>4280</v>
      </c>
      <c r="I1185" s="11" t="s">
        <v>16</v>
      </c>
      <c r="J1185" s="37">
        <v>45951.0</v>
      </c>
      <c r="K1185" s="11"/>
      <c r="L1185" s="11">
        <v>2.0251027E7</v>
      </c>
    </row>
    <row r="1186">
      <c r="A1186" s="9" t="s">
        <v>4654</v>
      </c>
      <c r="B1186" s="11" t="s">
        <v>30</v>
      </c>
      <c r="C1186" s="11" t="s">
        <v>35</v>
      </c>
      <c r="D1186" s="11" t="s">
        <v>37</v>
      </c>
      <c r="E1186" s="11" t="s">
        <v>5349</v>
      </c>
      <c r="F1186" s="11">
        <v>8.63406079906355E14</v>
      </c>
      <c r="G1186" s="11" t="s">
        <v>5350</v>
      </c>
      <c r="H1186" s="11" t="s">
        <v>4280</v>
      </c>
      <c r="I1186" s="11" t="s">
        <v>16</v>
      </c>
      <c r="J1186" s="37">
        <v>45951.0</v>
      </c>
      <c r="K1186" s="11"/>
      <c r="L1186" s="11">
        <v>2.0251027E7</v>
      </c>
    </row>
    <row r="1187">
      <c r="A1187" s="9" t="s">
        <v>4654</v>
      </c>
      <c r="B1187" s="11" t="s">
        <v>30</v>
      </c>
      <c r="C1187" s="11" t="s">
        <v>35</v>
      </c>
      <c r="D1187" s="11" t="s">
        <v>37</v>
      </c>
      <c r="E1187" s="11" t="s">
        <v>5351</v>
      </c>
      <c r="F1187" s="11">
        <v>8.63406079906462E14</v>
      </c>
      <c r="G1187" s="11" t="s">
        <v>5352</v>
      </c>
      <c r="H1187" s="11" t="s">
        <v>4280</v>
      </c>
      <c r="I1187" s="11" t="s">
        <v>16</v>
      </c>
      <c r="J1187" s="37">
        <v>45951.0</v>
      </c>
      <c r="K1187" s="11"/>
      <c r="L1187" s="11">
        <v>2.0251027E7</v>
      </c>
    </row>
    <row r="1188">
      <c r="A1188" s="9" t="s">
        <v>4654</v>
      </c>
      <c r="B1188" s="11" t="s">
        <v>30</v>
      </c>
      <c r="C1188" s="11" t="s">
        <v>35</v>
      </c>
      <c r="D1188" s="11" t="s">
        <v>37</v>
      </c>
      <c r="E1188" s="11" t="s">
        <v>5353</v>
      </c>
      <c r="F1188" s="11">
        <v>8.64501077836965E14</v>
      </c>
      <c r="G1188" s="11" t="s">
        <v>5354</v>
      </c>
      <c r="H1188" s="11" t="s">
        <v>4280</v>
      </c>
      <c r="I1188" s="11" t="s">
        <v>16</v>
      </c>
      <c r="J1188" s="37">
        <v>45951.0</v>
      </c>
      <c r="K1188" s="11"/>
      <c r="L1188" s="11">
        <v>2.0251027E7</v>
      </c>
    </row>
    <row r="1189">
      <c r="A1189" s="9" t="s">
        <v>4654</v>
      </c>
      <c r="B1189" s="11" t="s">
        <v>30</v>
      </c>
      <c r="C1189" s="11" t="s">
        <v>35</v>
      </c>
      <c r="D1189" s="11" t="s">
        <v>37</v>
      </c>
      <c r="E1189" s="11" t="s">
        <v>5355</v>
      </c>
      <c r="F1189" s="11">
        <v>8.6340607990647E14</v>
      </c>
      <c r="G1189" s="11" t="s">
        <v>5356</v>
      </c>
      <c r="H1189" s="11" t="s">
        <v>4280</v>
      </c>
      <c r="I1189" s="11" t="s">
        <v>16</v>
      </c>
      <c r="J1189" s="37">
        <v>45951.0</v>
      </c>
      <c r="K1189" s="11"/>
      <c r="L1189" s="11">
        <v>2.0251027E7</v>
      </c>
    </row>
    <row r="1190">
      <c r="A1190" s="9" t="s">
        <v>4654</v>
      </c>
      <c r="B1190" s="11" t="s">
        <v>30</v>
      </c>
      <c r="C1190" s="11" t="s">
        <v>35</v>
      </c>
      <c r="D1190" s="11" t="s">
        <v>37</v>
      </c>
      <c r="E1190" s="11" t="s">
        <v>5357</v>
      </c>
      <c r="F1190" s="11">
        <v>8.63406079906546E14</v>
      </c>
      <c r="G1190" s="11" t="s">
        <v>5358</v>
      </c>
      <c r="H1190" s="11" t="s">
        <v>4280</v>
      </c>
      <c r="I1190" s="11" t="s">
        <v>16</v>
      </c>
      <c r="J1190" s="37">
        <v>45951.0</v>
      </c>
      <c r="K1190" s="11"/>
      <c r="L1190" s="11">
        <v>2.0251027E7</v>
      </c>
    </row>
    <row r="1191">
      <c r="A1191" s="9" t="s">
        <v>4654</v>
      </c>
      <c r="B1191" s="11" t="s">
        <v>30</v>
      </c>
      <c r="C1191" s="11" t="s">
        <v>35</v>
      </c>
      <c r="D1191" s="11" t="s">
        <v>37</v>
      </c>
      <c r="E1191" s="11" t="s">
        <v>5359</v>
      </c>
      <c r="F1191" s="11">
        <v>8.63406079905589E14</v>
      </c>
      <c r="G1191" s="11" t="s">
        <v>5360</v>
      </c>
      <c r="H1191" s="11" t="s">
        <v>4280</v>
      </c>
      <c r="I1191" s="11" t="s">
        <v>16</v>
      </c>
      <c r="J1191" s="37">
        <v>45951.0</v>
      </c>
      <c r="K1191" s="11"/>
      <c r="L1191" s="11">
        <v>2.0251027E7</v>
      </c>
    </row>
    <row r="1192">
      <c r="A1192" s="9" t="s">
        <v>4654</v>
      </c>
      <c r="B1192" s="11" t="s">
        <v>30</v>
      </c>
      <c r="C1192" s="11" t="s">
        <v>35</v>
      </c>
      <c r="D1192" s="11" t="s">
        <v>37</v>
      </c>
      <c r="E1192" s="11" t="s">
        <v>5361</v>
      </c>
      <c r="F1192" s="11">
        <v>8.64501077837237E14</v>
      </c>
      <c r="G1192" s="11" t="s">
        <v>5362</v>
      </c>
      <c r="H1192" s="11" t="s">
        <v>4280</v>
      </c>
      <c r="I1192" s="11" t="s">
        <v>16</v>
      </c>
      <c r="J1192" s="37">
        <v>45951.0</v>
      </c>
      <c r="K1192" s="11"/>
      <c r="L1192" s="11">
        <v>2.0251027E7</v>
      </c>
    </row>
    <row r="1193">
      <c r="A1193" s="9" t="s">
        <v>4654</v>
      </c>
      <c r="B1193" s="11" t="s">
        <v>30</v>
      </c>
      <c r="C1193" s="11" t="s">
        <v>35</v>
      </c>
      <c r="D1193" s="11" t="s">
        <v>37</v>
      </c>
      <c r="E1193" s="11" t="s">
        <v>5363</v>
      </c>
      <c r="F1193" s="11">
        <v>8.63406079906488E14</v>
      </c>
      <c r="G1193" s="11" t="s">
        <v>5364</v>
      </c>
      <c r="H1193" s="11" t="s">
        <v>4280</v>
      </c>
      <c r="I1193" s="11" t="s">
        <v>16</v>
      </c>
      <c r="J1193" s="37">
        <v>45951.0</v>
      </c>
      <c r="K1193" s="11"/>
      <c r="L1193" s="11">
        <v>2.0251027E7</v>
      </c>
    </row>
    <row r="1194">
      <c r="A1194" s="9" t="s">
        <v>4654</v>
      </c>
      <c r="B1194" s="11" t="s">
        <v>30</v>
      </c>
      <c r="C1194" s="11" t="s">
        <v>35</v>
      </c>
      <c r="D1194" s="11" t="s">
        <v>37</v>
      </c>
      <c r="E1194" s="11" t="s">
        <v>5365</v>
      </c>
      <c r="F1194" s="11">
        <v>8.63406079905449E14</v>
      </c>
      <c r="G1194" s="11" t="s">
        <v>5366</v>
      </c>
      <c r="H1194" s="11" t="s">
        <v>4280</v>
      </c>
      <c r="I1194" s="11" t="s">
        <v>16</v>
      </c>
      <c r="J1194" s="37">
        <v>45951.0</v>
      </c>
      <c r="K1194" s="11"/>
      <c r="L1194" s="11">
        <v>2.0251027E7</v>
      </c>
    </row>
    <row r="1195">
      <c r="A1195" s="9" t="s">
        <v>4654</v>
      </c>
      <c r="B1195" s="11" t="s">
        <v>30</v>
      </c>
      <c r="C1195" s="11" t="s">
        <v>35</v>
      </c>
      <c r="D1195" s="11" t="s">
        <v>37</v>
      </c>
      <c r="E1195" s="11" t="s">
        <v>5367</v>
      </c>
      <c r="F1195" s="11">
        <v>8.63406079905571E14</v>
      </c>
      <c r="G1195" s="11" t="s">
        <v>5368</v>
      </c>
      <c r="H1195" s="11" t="s">
        <v>4280</v>
      </c>
      <c r="I1195" s="11" t="s">
        <v>16</v>
      </c>
      <c r="J1195" s="37">
        <v>45951.0</v>
      </c>
      <c r="K1195" s="11"/>
      <c r="L1195" s="11">
        <v>2.0251027E7</v>
      </c>
    </row>
    <row r="1196">
      <c r="A1196" s="9" t="s">
        <v>4654</v>
      </c>
      <c r="B1196" s="11" t="s">
        <v>30</v>
      </c>
      <c r="C1196" s="11" t="s">
        <v>35</v>
      </c>
      <c r="D1196" s="11" t="s">
        <v>37</v>
      </c>
      <c r="E1196" s="11" t="s">
        <v>5369</v>
      </c>
      <c r="F1196" s="11">
        <v>8.63406079905399E14</v>
      </c>
      <c r="G1196" s="11" t="s">
        <v>5370</v>
      </c>
      <c r="H1196" s="11" t="s">
        <v>4280</v>
      </c>
      <c r="I1196" s="11" t="s">
        <v>16</v>
      </c>
      <c r="J1196" s="37">
        <v>45951.0</v>
      </c>
      <c r="K1196" s="11"/>
      <c r="L1196" s="11">
        <v>2.0251027E7</v>
      </c>
    </row>
    <row r="1197">
      <c r="A1197" s="9" t="s">
        <v>4654</v>
      </c>
      <c r="B1197" s="11" t="s">
        <v>30</v>
      </c>
      <c r="C1197" s="11" t="s">
        <v>35</v>
      </c>
      <c r="D1197" s="11" t="s">
        <v>37</v>
      </c>
      <c r="E1197" s="11" t="s">
        <v>5371</v>
      </c>
      <c r="F1197" s="11">
        <v>8.64501077843144E14</v>
      </c>
      <c r="G1197" s="11" t="s">
        <v>5372</v>
      </c>
      <c r="H1197" s="11" t="s">
        <v>4280</v>
      </c>
      <c r="I1197" s="11" t="s">
        <v>16</v>
      </c>
      <c r="J1197" s="37">
        <v>45951.0</v>
      </c>
      <c r="K1197" s="11"/>
      <c r="L1197" s="11">
        <v>2.0251027E7</v>
      </c>
    </row>
    <row r="1198">
      <c r="A1198" s="9" t="s">
        <v>4654</v>
      </c>
      <c r="B1198" s="11" t="s">
        <v>30</v>
      </c>
      <c r="C1198" s="11" t="s">
        <v>35</v>
      </c>
      <c r="D1198" s="11" t="s">
        <v>37</v>
      </c>
      <c r="E1198" s="11" t="s">
        <v>5373</v>
      </c>
      <c r="F1198" s="11">
        <v>8.64501077837567E14</v>
      </c>
      <c r="G1198" s="11" t="s">
        <v>5374</v>
      </c>
      <c r="H1198" s="11" t="s">
        <v>4280</v>
      </c>
      <c r="I1198" s="11" t="s">
        <v>16</v>
      </c>
      <c r="J1198" s="37">
        <v>45951.0</v>
      </c>
      <c r="K1198" s="11"/>
      <c r="L1198" s="11">
        <v>2.0251027E7</v>
      </c>
    </row>
    <row r="1199">
      <c r="A1199" s="9" t="s">
        <v>4654</v>
      </c>
      <c r="B1199" s="11" t="s">
        <v>30</v>
      </c>
      <c r="C1199" s="11" t="s">
        <v>35</v>
      </c>
      <c r="D1199" s="11" t="s">
        <v>37</v>
      </c>
      <c r="E1199" s="11" t="s">
        <v>5375</v>
      </c>
      <c r="F1199" s="11">
        <v>8.64501077838037E14</v>
      </c>
      <c r="G1199" s="11" t="s">
        <v>5376</v>
      </c>
      <c r="H1199" s="11" t="s">
        <v>4280</v>
      </c>
      <c r="I1199" s="11" t="s">
        <v>16</v>
      </c>
      <c r="J1199" s="37">
        <v>45951.0</v>
      </c>
      <c r="K1199" s="11"/>
      <c r="L1199" s="11">
        <v>2.0251027E7</v>
      </c>
    </row>
    <row r="1200">
      <c r="A1200" s="9" t="s">
        <v>4654</v>
      </c>
      <c r="B1200" s="11" t="s">
        <v>30</v>
      </c>
      <c r="C1200" s="11" t="s">
        <v>35</v>
      </c>
      <c r="D1200" s="11" t="s">
        <v>37</v>
      </c>
      <c r="E1200" s="11" t="s">
        <v>5377</v>
      </c>
      <c r="F1200" s="11">
        <v>8.63406079905324E14</v>
      </c>
      <c r="G1200" s="11" t="s">
        <v>5378</v>
      </c>
      <c r="H1200" s="11" t="s">
        <v>4280</v>
      </c>
      <c r="I1200" s="11" t="s">
        <v>16</v>
      </c>
      <c r="J1200" s="37">
        <v>45951.0</v>
      </c>
      <c r="K1200" s="11"/>
      <c r="L1200" s="11">
        <v>2.0251027E7</v>
      </c>
    </row>
    <row r="1201">
      <c r="A1201" s="9" t="s">
        <v>4654</v>
      </c>
      <c r="B1201" s="11" t="s">
        <v>30</v>
      </c>
      <c r="C1201" s="11" t="s">
        <v>35</v>
      </c>
      <c r="D1201" s="11" t="s">
        <v>37</v>
      </c>
      <c r="E1201" s="11" t="s">
        <v>5379</v>
      </c>
      <c r="F1201" s="11">
        <v>8.63406078319758E14</v>
      </c>
      <c r="G1201" s="11" t="s">
        <v>5380</v>
      </c>
      <c r="H1201" s="11" t="s">
        <v>4280</v>
      </c>
      <c r="I1201" s="11" t="s">
        <v>16</v>
      </c>
      <c r="J1201" s="37">
        <v>45951.0</v>
      </c>
      <c r="K1201" s="11"/>
      <c r="L1201" s="11">
        <v>2.0251027E7</v>
      </c>
    </row>
    <row r="1202">
      <c r="A1202" s="9" t="s">
        <v>4654</v>
      </c>
      <c r="B1202" s="11" t="s">
        <v>30</v>
      </c>
      <c r="C1202" s="11" t="s">
        <v>35</v>
      </c>
      <c r="D1202" s="11" t="s">
        <v>37</v>
      </c>
      <c r="E1202" s="11" t="s">
        <v>5381</v>
      </c>
      <c r="F1202" s="11">
        <v>8.6450107784274E14</v>
      </c>
      <c r="G1202" s="11" t="s">
        <v>5382</v>
      </c>
      <c r="H1202" s="11" t="s">
        <v>4280</v>
      </c>
      <c r="I1202" s="11" t="s">
        <v>16</v>
      </c>
      <c r="J1202" s="37">
        <v>45951.0</v>
      </c>
      <c r="K1202" s="11"/>
      <c r="L1202" s="11">
        <v>2.0251027E7</v>
      </c>
    </row>
    <row r="1203">
      <c r="A1203" s="9" t="s">
        <v>4654</v>
      </c>
      <c r="B1203" s="11" t="s">
        <v>30</v>
      </c>
      <c r="C1203" s="11" t="s">
        <v>35</v>
      </c>
      <c r="D1203" s="11" t="s">
        <v>37</v>
      </c>
      <c r="E1203" s="11" t="s">
        <v>5383</v>
      </c>
      <c r="F1203" s="11">
        <v>8.63406079911942E14</v>
      </c>
      <c r="G1203" s="11" t="s">
        <v>5384</v>
      </c>
      <c r="H1203" s="11" t="s">
        <v>4280</v>
      </c>
      <c r="I1203" s="11" t="s">
        <v>16</v>
      </c>
      <c r="J1203" s="37">
        <v>45951.0</v>
      </c>
      <c r="K1203" s="11"/>
      <c r="L1203" s="11">
        <v>2.0251027E7</v>
      </c>
    </row>
    <row r="1204">
      <c r="A1204" s="9" t="s">
        <v>4654</v>
      </c>
      <c r="B1204" s="11" t="s">
        <v>30</v>
      </c>
      <c r="C1204" s="11" t="s">
        <v>35</v>
      </c>
      <c r="D1204" s="11" t="s">
        <v>37</v>
      </c>
      <c r="E1204" s="11" t="s">
        <v>5385</v>
      </c>
      <c r="F1204" s="11">
        <v>8.63406079905217E14</v>
      </c>
      <c r="G1204" s="11" t="s">
        <v>5386</v>
      </c>
      <c r="H1204" s="11" t="s">
        <v>4280</v>
      </c>
      <c r="I1204" s="11" t="s">
        <v>16</v>
      </c>
      <c r="J1204" s="37">
        <v>45951.0</v>
      </c>
      <c r="K1204" s="11"/>
      <c r="L1204" s="11">
        <v>2.0251027E7</v>
      </c>
    </row>
    <row r="1205">
      <c r="A1205" s="9" t="s">
        <v>4654</v>
      </c>
      <c r="B1205" s="11" t="s">
        <v>30</v>
      </c>
      <c r="C1205" s="11" t="s">
        <v>35</v>
      </c>
      <c r="D1205" s="11" t="s">
        <v>37</v>
      </c>
      <c r="E1205" s="11" t="s">
        <v>5387</v>
      </c>
      <c r="F1205" s="11">
        <v>8.63406079906413E14</v>
      </c>
      <c r="G1205" s="11" t="s">
        <v>5388</v>
      </c>
      <c r="H1205" s="11" t="s">
        <v>4280</v>
      </c>
      <c r="I1205" s="11" t="s">
        <v>16</v>
      </c>
      <c r="J1205" s="37">
        <v>45951.0</v>
      </c>
      <c r="K1205" s="11"/>
      <c r="L1205" s="11">
        <v>2.0251027E7</v>
      </c>
    </row>
    <row r="1206">
      <c r="A1206" s="9" t="s">
        <v>4654</v>
      </c>
      <c r="B1206" s="11" t="s">
        <v>30</v>
      </c>
      <c r="C1206" s="11" t="s">
        <v>35</v>
      </c>
      <c r="D1206" s="11" t="s">
        <v>37</v>
      </c>
      <c r="E1206" s="11" t="s">
        <v>5389</v>
      </c>
      <c r="F1206" s="11">
        <v>8.63406079906322E14</v>
      </c>
      <c r="G1206" s="11" t="s">
        <v>5390</v>
      </c>
      <c r="H1206" s="11" t="s">
        <v>4280</v>
      </c>
      <c r="I1206" s="11" t="s">
        <v>16</v>
      </c>
      <c r="J1206" s="37">
        <v>45951.0</v>
      </c>
      <c r="K1206" s="11"/>
      <c r="L1206" s="11">
        <v>2.0251027E7</v>
      </c>
    </row>
    <row r="1207">
      <c r="A1207" s="9" t="s">
        <v>4654</v>
      </c>
      <c r="B1207" s="11" t="s">
        <v>30</v>
      </c>
      <c r="C1207" s="11" t="s">
        <v>35</v>
      </c>
      <c r="D1207" s="11" t="s">
        <v>37</v>
      </c>
      <c r="E1207" s="11" t="s">
        <v>5391</v>
      </c>
      <c r="F1207" s="11">
        <v>8.63406079906728E14</v>
      </c>
      <c r="G1207" s="11" t="s">
        <v>5392</v>
      </c>
      <c r="H1207" s="11" t="s">
        <v>4280</v>
      </c>
      <c r="I1207" s="11" t="s">
        <v>16</v>
      </c>
      <c r="J1207" s="37">
        <v>45951.0</v>
      </c>
      <c r="K1207" s="11"/>
      <c r="L1207" s="11">
        <v>2.0251027E7</v>
      </c>
    </row>
    <row r="1208">
      <c r="A1208" s="9" t="s">
        <v>4654</v>
      </c>
      <c r="B1208" s="11" t="s">
        <v>30</v>
      </c>
      <c r="C1208" s="11" t="s">
        <v>35</v>
      </c>
      <c r="D1208" s="11" t="s">
        <v>37</v>
      </c>
      <c r="E1208" s="11" t="s">
        <v>5393</v>
      </c>
      <c r="F1208" s="11">
        <v>8.63406079912049E14</v>
      </c>
      <c r="G1208" s="11" t="s">
        <v>5394</v>
      </c>
      <c r="H1208" s="11" t="s">
        <v>4280</v>
      </c>
      <c r="I1208" s="11" t="s">
        <v>16</v>
      </c>
      <c r="J1208" s="37">
        <v>45951.0</v>
      </c>
      <c r="K1208" s="11"/>
      <c r="L1208" s="11">
        <v>2.0251027E7</v>
      </c>
    </row>
    <row r="1209">
      <c r="A1209" s="9" t="s">
        <v>4654</v>
      </c>
      <c r="B1209" s="11" t="s">
        <v>30</v>
      </c>
      <c r="C1209" s="11" t="s">
        <v>35</v>
      </c>
      <c r="D1209" s="11" t="s">
        <v>37</v>
      </c>
      <c r="E1209" s="11" t="s">
        <v>5395</v>
      </c>
      <c r="F1209" s="11">
        <v>8.63406079906231E14</v>
      </c>
      <c r="G1209" s="11" t="s">
        <v>5396</v>
      </c>
      <c r="H1209" s="11" t="s">
        <v>4280</v>
      </c>
      <c r="I1209" s="11" t="s">
        <v>16</v>
      </c>
      <c r="J1209" s="37">
        <v>45951.0</v>
      </c>
      <c r="K1209" s="11"/>
      <c r="L1209" s="11">
        <v>2.0251027E7</v>
      </c>
    </row>
    <row r="1210">
      <c r="A1210" s="9" t="s">
        <v>4654</v>
      </c>
      <c r="B1210" s="11" t="s">
        <v>30</v>
      </c>
      <c r="C1210" s="11" t="s">
        <v>35</v>
      </c>
      <c r="D1210" s="11" t="s">
        <v>37</v>
      </c>
      <c r="E1210" s="11" t="s">
        <v>5397</v>
      </c>
      <c r="F1210" s="11">
        <v>8.64501077843045E14</v>
      </c>
      <c r="G1210" s="11" t="s">
        <v>5398</v>
      </c>
      <c r="H1210" s="11" t="s">
        <v>4280</v>
      </c>
      <c r="I1210" s="11" t="s">
        <v>16</v>
      </c>
      <c r="J1210" s="37">
        <v>45951.0</v>
      </c>
      <c r="K1210" s="11"/>
      <c r="L1210" s="11">
        <v>2.0251027E7</v>
      </c>
    </row>
    <row r="1211">
      <c r="A1211" s="9" t="s">
        <v>4654</v>
      </c>
      <c r="B1211" s="11" t="s">
        <v>30</v>
      </c>
      <c r="C1211" s="11" t="s">
        <v>35</v>
      </c>
      <c r="D1211" s="11" t="s">
        <v>37</v>
      </c>
      <c r="E1211" s="11" t="s">
        <v>5399</v>
      </c>
      <c r="F1211" s="11">
        <v>8.63406078299794E14</v>
      </c>
      <c r="G1211" s="11" t="s">
        <v>5400</v>
      </c>
      <c r="H1211" s="11" t="s">
        <v>4280</v>
      </c>
      <c r="I1211" s="11" t="s">
        <v>16</v>
      </c>
      <c r="J1211" s="37">
        <v>45951.0</v>
      </c>
      <c r="K1211" s="11"/>
      <c r="L1211" s="11">
        <v>2.0251027E7</v>
      </c>
    </row>
    <row r="1212">
      <c r="A1212" s="9" t="s">
        <v>4654</v>
      </c>
      <c r="B1212" s="11" t="s">
        <v>30</v>
      </c>
      <c r="C1212" s="11" t="s">
        <v>35</v>
      </c>
      <c r="D1212" s="11" t="s">
        <v>37</v>
      </c>
      <c r="E1212" s="11" t="s">
        <v>5401</v>
      </c>
      <c r="F1212" s="11">
        <v>8.64501077837716E14</v>
      </c>
      <c r="G1212" s="11" t="s">
        <v>5402</v>
      </c>
      <c r="H1212" s="11" t="s">
        <v>4280</v>
      </c>
      <c r="I1212" s="11" t="s">
        <v>16</v>
      </c>
      <c r="J1212" s="37">
        <v>45951.0</v>
      </c>
      <c r="K1212" s="11"/>
      <c r="L1212" s="11">
        <v>2.0251027E7</v>
      </c>
    </row>
    <row r="1213">
      <c r="A1213" s="9" t="s">
        <v>4654</v>
      </c>
      <c r="B1213" s="11" t="s">
        <v>30</v>
      </c>
      <c r="C1213" s="11" t="s">
        <v>35</v>
      </c>
      <c r="D1213" s="11" t="s">
        <v>37</v>
      </c>
      <c r="E1213" s="11" t="s">
        <v>5403</v>
      </c>
      <c r="F1213" s="11">
        <v>8.64501077837682E14</v>
      </c>
      <c r="G1213" s="11" t="s">
        <v>5404</v>
      </c>
      <c r="H1213" s="11" t="s">
        <v>4280</v>
      </c>
      <c r="I1213" s="11" t="s">
        <v>16</v>
      </c>
      <c r="J1213" s="37">
        <v>45951.0</v>
      </c>
      <c r="K1213" s="11"/>
      <c r="L1213" s="11">
        <v>2.0251027E7</v>
      </c>
    </row>
    <row r="1214">
      <c r="A1214" s="9" t="s">
        <v>4654</v>
      </c>
      <c r="B1214" s="11" t="s">
        <v>30</v>
      </c>
      <c r="C1214" s="11" t="s">
        <v>35</v>
      </c>
      <c r="D1214" s="11" t="s">
        <v>37</v>
      </c>
      <c r="E1214" s="11" t="s">
        <v>5405</v>
      </c>
      <c r="F1214" s="11">
        <v>8.64501077837757E14</v>
      </c>
      <c r="G1214" s="11" t="s">
        <v>5406</v>
      </c>
      <c r="H1214" s="11" t="s">
        <v>4280</v>
      </c>
      <c r="I1214" s="11" t="s">
        <v>16</v>
      </c>
      <c r="J1214" s="37">
        <v>45951.0</v>
      </c>
      <c r="K1214" s="11"/>
      <c r="L1214" s="11">
        <v>2.0251027E7</v>
      </c>
    </row>
    <row r="1215">
      <c r="A1215" s="9" t="s">
        <v>4654</v>
      </c>
      <c r="B1215" s="11" t="s">
        <v>30</v>
      </c>
      <c r="C1215" s="11" t="s">
        <v>35</v>
      </c>
      <c r="D1215" s="11" t="s">
        <v>37</v>
      </c>
      <c r="E1215" s="11" t="s">
        <v>5407</v>
      </c>
      <c r="F1215" s="11">
        <v>8.64501077837807E14</v>
      </c>
      <c r="G1215" s="11" t="s">
        <v>5408</v>
      </c>
      <c r="H1215" s="11" t="s">
        <v>4280</v>
      </c>
      <c r="I1215" s="11" t="s">
        <v>16</v>
      </c>
      <c r="J1215" s="37">
        <v>45951.0</v>
      </c>
      <c r="K1215" s="11"/>
      <c r="L1215" s="11">
        <v>2.0251027E7</v>
      </c>
    </row>
    <row r="1216">
      <c r="A1216" s="9" t="s">
        <v>4654</v>
      </c>
      <c r="B1216" s="11" t="s">
        <v>30</v>
      </c>
      <c r="C1216" s="11" t="s">
        <v>35</v>
      </c>
      <c r="D1216" s="11" t="s">
        <v>37</v>
      </c>
      <c r="E1216" s="11" t="s">
        <v>5409</v>
      </c>
      <c r="F1216" s="11">
        <v>8.64501077837708E14</v>
      </c>
      <c r="G1216" s="11" t="s">
        <v>5410</v>
      </c>
      <c r="H1216" s="11" t="s">
        <v>4280</v>
      </c>
      <c r="I1216" s="11" t="s">
        <v>16</v>
      </c>
      <c r="J1216" s="37">
        <v>45951.0</v>
      </c>
      <c r="K1216" s="11"/>
      <c r="L1216" s="11">
        <v>2.0251027E7</v>
      </c>
    </row>
    <row r="1217">
      <c r="A1217" s="9" t="s">
        <v>4654</v>
      </c>
      <c r="B1217" s="11" t="s">
        <v>30</v>
      </c>
      <c r="C1217" s="11" t="s">
        <v>35</v>
      </c>
      <c r="D1217" s="11" t="s">
        <v>37</v>
      </c>
      <c r="E1217" s="11" t="s">
        <v>5411</v>
      </c>
      <c r="F1217" s="11">
        <v>8.64501077837773E14</v>
      </c>
      <c r="G1217" s="11" t="s">
        <v>5412</v>
      </c>
      <c r="H1217" s="11" t="s">
        <v>4280</v>
      </c>
      <c r="I1217" s="11" t="s">
        <v>16</v>
      </c>
      <c r="J1217" s="37">
        <v>45951.0</v>
      </c>
      <c r="K1217" s="11"/>
      <c r="L1217" s="11">
        <v>2.0251027E7</v>
      </c>
    </row>
    <row r="1218">
      <c r="A1218" s="9" t="s">
        <v>4654</v>
      </c>
      <c r="B1218" s="11" t="s">
        <v>30</v>
      </c>
      <c r="C1218" s="11" t="s">
        <v>35</v>
      </c>
      <c r="D1218" s="11" t="s">
        <v>37</v>
      </c>
      <c r="E1218" s="11" t="s">
        <v>5413</v>
      </c>
      <c r="F1218" s="11">
        <v>8.63406078290785E14</v>
      </c>
      <c r="G1218" s="11" t="s">
        <v>5414</v>
      </c>
      <c r="H1218" s="11" t="s">
        <v>4280</v>
      </c>
      <c r="I1218" s="11" t="s">
        <v>16</v>
      </c>
      <c r="J1218" s="37">
        <v>45951.0</v>
      </c>
      <c r="K1218" s="11"/>
      <c r="L1218" s="11">
        <v>2.0251027E7</v>
      </c>
    </row>
    <row r="1219">
      <c r="A1219" s="9" t="s">
        <v>4654</v>
      </c>
      <c r="B1219" s="11" t="s">
        <v>30</v>
      </c>
      <c r="C1219" s="11" t="s">
        <v>35</v>
      </c>
      <c r="D1219" s="11" t="s">
        <v>37</v>
      </c>
      <c r="E1219" s="11" t="s">
        <v>5415</v>
      </c>
      <c r="F1219" s="11">
        <v>8.64501077847608E14</v>
      </c>
      <c r="G1219" s="11" t="s">
        <v>5416</v>
      </c>
      <c r="H1219" s="11" t="s">
        <v>4280</v>
      </c>
      <c r="I1219" s="11" t="s">
        <v>16</v>
      </c>
      <c r="J1219" s="37">
        <v>45951.0</v>
      </c>
      <c r="K1219" s="11"/>
      <c r="L1219" s="11">
        <v>2.0251027E7</v>
      </c>
    </row>
    <row r="1220">
      <c r="A1220" s="9" t="s">
        <v>4654</v>
      </c>
      <c r="B1220" s="11" t="s">
        <v>30</v>
      </c>
      <c r="C1220" s="11" t="s">
        <v>35</v>
      </c>
      <c r="D1220" s="11" t="s">
        <v>37</v>
      </c>
      <c r="E1220" s="11" t="s">
        <v>5417</v>
      </c>
      <c r="F1220" s="11">
        <v>8.64501077837948E14</v>
      </c>
      <c r="G1220" s="11" t="s">
        <v>5418</v>
      </c>
      <c r="H1220" s="11" t="s">
        <v>4280</v>
      </c>
      <c r="I1220" s="11" t="s">
        <v>16</v>
      </c>
      <c r="J1220" s="37">
        <v>45951.0</v>
      </c>
      <c r="K1220" s="11"/>
      <c r="L1220" s="11">
        <v>2.0251027E7</v>
      </c>
    </row>
    <row r="1221">
      <c r="A1221" s="9" t="s">
        <v>4654</v>
      </c>
      <c r="B1221" s="11" t="s">
        <v>30</v>
      </c>
      <c r="C1221" s="11" t="s">
        <v>35</v>
      </c>
      <c r="D1221" s="11" t="s">
        <v>37</v>
      </c>
      <c r="E1221" s="11" t="s">
        <v>5419</v>
      </c>
      <c r="F1221" s="11">
        <v>8.64501077842864E14</v>
      </c>
      <c r="G1221" s="11" t="s">
        <v>5420</v>
      </c>
      <c r="H1221" s="11" t="s">
        <v>4280</v>
      </c>
      <c r="I1221" s="11" t="s">
        <v>16</v>
      </c>
      <c r="J1221" s="37">
        <v>45951.0</v>
      </c>
      <c r="K1221" s="11"/>
      <c r="L1221" s="11">
        <v>2.0251027E7</v>
      </c>
    </row>
    <row r="1222">
      <c r="A1222" s="9" t="s">
        <v>4654</v>
      </c>
      <c r="B1222" s="11" t="s">
        <v>30</v>
      </c>
      <c r="C1222" s="11" t="s">
        <v>35</v>
      </c>
      <c r="D1222" s="11" t="s">
        <v>37</v>
      </c>
      <c r="E1222" s="11" t="s">
        <v>5421</v>
      </c>
      <c r="F1222" s="11">
        <v>8.6340607990633E14</v>
      </c>
      <c r="G1222" s="11" t="s">
        <v>5422</v>
      </c>
      <c r="H1222" s="11" t="s">
        <v>4280</v>
      </c>
      <c r="I1222" s="11" t="s">
        <v>16</v>
      </c>
      <c r="J1222" s="37">
        <v>45951.0</v>
      </c>
      <c r="K1222" s="11"/>
      <c r="L1222" s="11">
        <v>2.0251027E7</v>
      </c>
    </row>
    <row r="1223">
      <c r="A1223" s="9" t="s">
        <v>4654</v>
      </c>
      <c r="B1223" s="11" t="s">
        <v>30</v>
      </c>
      <c r="C1223" s="11" t="s">
        <v>35</v>
      </c>
      <c r="D1223" s="11" t="s">
        <v>37</v>
      </c>
      <c r="E1223" s="11" t="s">
        <v>5423</v>
      </c>
      <c r="F1223" s="11">
        <v>8.64501077846469E14</v>
      </c>
      <c r="G1223" s="11" t="s">
        <v>5424</v>
      </c>
      <c r="H1223" s="11" t="s">
        <v>4280</v>
      </c>
      <c r="I1223" s="11" t="s">
        <v>16</v>
      </c>
      <c r="J1223" s="37">
        <v>45951.0</v>
      </c>
      <c r="K1223" s="11"/>
      <c r="L1223" s="11">
        <v>2.0251027E7</v>
      </c>
    </row>
    <row r="1224">
      <c r="A1224" s="9" t="s">
        <v>4654</v>
      </c>
      <c r="B1224" s="11" t="s">
        <v>30</v>
      </c>
      <c r="C1224" s="11" t="s">
        <v>35</v>
      </c>
      <c r="D1224" s="11" t="s">
        <v>37</v>
      </c>
      <c r="E1224" s="11" t="s">
        <v>5425</v>
      </c>
      <c r="F1224" s="11">
        <v>8.63406079907015E14</v>
      </c>
      <c r="G1224" s="11" t="s">
        <v>5426</v>
      </c>
      <c r="H1224" s="11" t="s">
        <v>4280</v>
      </c>
      <c r="I1224" s="11" t="s">
        <v>16</v>
      </c>
      <c r="J1224" s="37">
        <v>45951.0</v>
      </c>
      <c r="K1224" s="11"/>
      <c r="L1224" s="11">
        <v>2.0251027E7</v>
      </c>
    </row>
    <row r="1225">
      <c r="A1225" s="9" t="s">
        <v>4654</v>
      </c>
      <c r="B1225" s="11" t="s">
        <v>30</v>
      </c>
      <c r="C1225" s="11" t="s">
        <v>35</v>
      </c>
      <c r="D1225" s="11" t="s">
        <v>37</v>
      </c>
      <c r="E1225" s="11" t="s">
        <v>5427</v>
      </c>
      <c r="F1225" s="11">
        <v>8.64501077836858E14</v>
      </c>
      <c r="G1225" s="11" t="s">
        <v>5428</v>
      </c>
      <c r="H1225" s="11" t="s">
        <v>4280</v>
      </c>
      <c r="I1225" s="11" t="s">
        <v>16</v>
      </c>
      <c r="J1225" s="37">
        <v>45951.0</v>
      </c>
      <c r="K1225" s="11"/>
      <c r="L1225" s="11">
        <v>2.0251027E7</v>
      </c>
    </row>
    <row r="1226">
      <c r="A1226" s="9" t="s">
        <v>4654</v>
      </c>
      <c r="B1226" s="11" t="s">
        <v>30</v>
      </c>
      <c r="C1226" s="11" t="s">
        <v>35</v>
      </c>
      <c r="D1226" s="11" t="s">
        <v>37</v>
      </c>
      <c r="E1226" s="11" t="s">
        <v>5429</v>
      </c>
      <c r="F1226" s="11">
        <v>8.63406079907007E14</v>
      </c>
      <c r="G1226" s="11" t="s">
        <v>5430</v>
      </c>
      <c r="H1226" s="11" t="s">
        <v>4280</v>
      </c>
      <c r="I1226" s="11" t="s">
        <v>16</v>
      </c>
      <c r="J1226" s="37">
        <v>45951.0</v>
      </c>
      <c r="K1226" s="11"/>
      <c r="L1226" s="11">
        <v>2.0251027E7</v>
      </c>
    </row>
    <row r="1227">
      <c r="A1227" s="9" t="s">
        <v>4654</v>
      </c>
      <c r="B1227" s="11" t="s">
        <v>30</v>
      </c>
      <c r="C1227" s="11" t="s">
        <v>35</v>
      </c>
      <c r="D1227" s="11" t="s">
        <v>37</v>
      </c>
      <c r="E1227" s="11" t="s">
        <v>5431</v>
      </c>
      <c r="F1227" s="11">
        <v>8.6450107783731E14</v>
      </c>
      <c r="G1227" s="11" t="s">
        <v>5432</v>
      </c>
      <c r="H1227" s="11" t="s">
        <v>4280</v>
      </c>
      <c r="I1227" s="11" t="s">
        <v>16</v>
      </c>
      <c r="J1227" s="37">
        <v>45951.0</v>
      </c>
      <c r="K1227" s="11"/>
      <c r="L1227" s="11">
        <v>2.0251027E7</v>
      </c>
    </row>
    <row r="1228">
      <c r="A1228" s="9" t="s">
        <v>4654</v>
      </c>
      <c r="B1228" s="11" t="s">
        <v>30</v>
      </c>
      <c r="C1228" s="11" t="s">
        <v>35</v>
      </c>
      <c r="D1228" s="11" t="s">
        <v>37</v>
      </c>
      <c r="E1228" s="11" t="s">
        <v>5433</v>
      </c>
      <c r="F1228" s="11">
        <v>8.64501077843722E14</v>
      </c>
      <c r="G1228" s="11" t="s">
        <v>5434</v>
      </c>
      <c r="H1228" s="11" t="s">
        <v>4280</v>
      </c>
      <c r="I1228" s="11" t="s">
        <v>16</v>
      </c>
      <c r="J1228" s="37">
        <v>45951.0</v>
      </c>
      <c r="K1228" s="11"/>
      <c r="L1228" s="11">
        <v>2.0251027E7</v>
      </c>
    </row>
    <row r="1229">
      <c r="A1229" s="9" t="s">
        <v>4654</v>
      </c>
      <c r="B1229" s="11" t="s">
        <v>30</v>
      </c>
      <c r="C1229" s="11" t="s">
        <v>35</v>
      </c>
      <c r="D1229" s="11" t="s">
        <v>37</v>
      </c>
      <c r="E1229" s="11" t="s">
        <v>5435</v>
      </c>
      <c r="F1229" s="11">
        <v>8.64501077843706E14</v>
      </c>
      <c r="G1229" s="11" t="s">
        <v>5436</v>
      </c>
      <c r="H1229" s="11" t="s">
        <v>4280</v>
      </c>
      <c r="I1229" s="11" t="s">
        <v>16</v>
      </c>
      <c r="J1229" s="37">
        <v>45951.0</v>
      </c>
      <c r="K1229" s="11"/>
      <c r="L1229" s="11">
        <v>2.0251027E7</v>
      </c>
    </row>
    <row r="1230">
      <c r="A1230" s="9" t="s">
        <v>4654</v>
      </c>
      <c r="B1230" s="11" t="s">
        <v>30</v>
      </c>
      <c r="C1230" s="11" t="s">
        <v>35</v>
      </c>
      <c r="D1230" s="11" t="s">
        <v>37</v>
      </c>
      <c r="E1230" s="11" t="s">
        <v>5437</v>
      </c>
      <c r="F1230" s="11">
        <v>8.63406079904129E14</v>
      </c>
      <c r="G1230" s="11" t="s">
        <v>5438</v>
      </c>
      <c r="H1230" s="11" t="s">
        <v>4280</v>
      </c>
      <c r="I1230" s="11" t="s">
        <v>16</v>
      </c>
      <c r="J1230" s="37">
        <v>45951.0</v>
      </c>
      <c r="K1230" s="11"/>
      <c r="L1230" s="11">
        <v>2.0251027E7</v>
      </c>
    </row>
    <row r="1231">
      <c r="A1231" s="9" t="s">
        <v>4654</v>
      </c>
      <c r="B1231" s="11" t="s">
        <v>30</v>
      </c>
      <c r="C1231" s="11" t="s">
        <v>35</v>
      </c>
      <c r="D1231" s="11" t="s">
        <v>37</v>
      </c>
      <c r="E1231" s="11" t="s">
        <v>5439</v>
      </c>
      <c r="F1231" s="11">
        <v>8.64501077842922E14</v>
      </c>
      <c r="G1231" s="11" t="s">
        <v>5440</v>
      </c>
      <c r="H1231" s="11" t="s">
        <v>4280</v>
      </c>
      <c r="I1231" s="11" t="s">
        <v>16</v>
      </c>
      <c r="J1231" s="37">
        <v>45951.0</v>
      </c>
      <c r="K1231" s="11"/>
      <c r="L1231" s="11">
        <v>2.0251027E7</v>
      </c>
    </row>
    <row r="1232">
      <c r="A1232" s="9" t="s">
        <v>4654</v>
      </c>
      <c r="B1232" s="11" t="s">
        <v>30</v>
      </c>
      <c r="C1232" s="11" t="s">
        <v>35</v>
      </c>
      <c r="D1232" s="11" t="s">
        <v>37</v>
      </c>
      <c r="E1232" s="11" t="s">
        <v>5441</v>
      </c>
      <c r="F1232" s="11">
        <v>8.64501077845107E14</v>
      </c>
      <c r="G1232" s="11" t="s">
        <v>5442</v>
      </c>
      <c r="H1232" s="11" t="s">
        <v>4280</v>
      </c>
      <c r="I1232" s="11" t="s">
        <v>16</v>
      </c>
      <c r="J1232" s="37">
        <v>45951.0</v>
      </c>
      <c r="K1232" s="11"/>
      <c r="L1232" s="11">
        <v>2.0251027E7</v>
      </c>
    </row>
    <row r="1233">
      <c r="A1233" s="9" t="s">
        <v>4654</v>
      </c>
      <c r="B1233" s="11" t="s">
        <v>30</v>
      </c>
      <c r="C1233" s="11" t="s">
        <v>35</v>
      </c>
      <c r="D1233" s="11" t="s">
        <v>37</v>
      </c>
      <c r="E1233" s="11" t="s">
        <v>5443</v>
      </c>
      <c r="F1233" s="11">
        <v>8.63406079907429E14</v>
      </c>
      <c r="G1233" s="11" t="s">
        <v>5444</v>
      </c>
      <c r="H1233" s="11" t="s">
        <v>4280</v>
      </c>
      <c r="I1233" s="11" t="s">
        <v>16</v>
      </c>
      <c r="J1233" s="37">
        <v>45951.0</v>
      </c>
      <c r="K1233" s="11"/>
      <c r="L1233" s="11">
        <v>2.0251027E7</v>
      </c>
    </row>
    <row r="1234">
      <c r="A1234" s="9" t="s">
        <v>4654</v>
      </c>
      <c r="B1234" s="11" t="s">
        <v>30</v>
      </c>
      <c r="C1234" s="11" t="s">
        <v>35</v>
      </c>
      <c r="D1234" s="11" t="s">
        <v>37</v>
      </c>
      <c r="E1234" s="11" t="s">
        <v>5445</v>
      </c>
      <c r="F1234" s="11">
        <v>8.63406079906512E14</v>
      </c>
      <c r="G1234" s="11" t="s">
        <v>5446</v>
      </c>
      <c r="H1234" s="11" t="s">
        <v>4280</v>
      </c>
      <c r="I1234" s="11" t="s">
        <v>16</v>
      </c>
      <c r="J1234" s="37">
        <v>45951.0</v>
      </c>
      <c r="K1234" s="11"/>
      <c r="L1234" s="11">
        <v>2.0251027E7</v>
      </c>
    </row>
    <row r="1235">
      <c r="A1235" s="9" t="s">
        <v>4654</v>
      </c>
      <c r="B1235" s="11" t="s">
        <v>30</v>
      </c>
      <c r="C1235" s="11" t="s">
        <v>35</v>
      </c>
      <c r="D1235" s="11" t="s">
        <v>37</v>
      </c>
      <c r="E1235" s="11" t="s">
        <v>5447</v>
      </c>
      <c r="F1235" s="11">
        <v>8.64501077846485E14</v>
      </c>
      <c r="G1235" s="11" t="s">
        <v>5448</v>
      </c>
      <c r="H1235" s="11" t="s">
        <v>4280</v>
      </c>
      <c r="I1235" s="11" t="s">
        <v>16</v>
      </c>
      <c r="J1235" s="37">
        <v>45951.0</v>
      </c>
      <c r="K1235" s="11"/>
      <c r="L1235" s="11">
        <v>2.0251027E7</v>
      </c>
    </row>
    <row r="1236">
      <c r="A1236" s="9" t="s">
        <v>4654</v>
      </c>
      <c r="B1236" s="11" t="s">
        <v>30</v>
      </c>
      <c r="C1236" s="11" t="s">
        <v>35</v>
      </c>
      <c r="D1236" s="11" t="s">
        <v>37</v>
      </c>
      <c r="E1236" s="11" t="s">
        <v>5449</v>
      </c>
      <c r="F1236" s="11">
        <v>8.6340607990727E14</v>
      </c>
      <c r="G1236" s="11" t="s">
        <v>5450</v>
      </c>
      <c r="H1236" s="11" t="s">
        <v>4280</v>
      </c>
      <c r="I1236" s="11" t="s">
        <v>16</v>
      </c>
      <c r="J1236" s="37">
        <v>45951.0</v>
      </c>
      <c r="K1236" s="11"/>
      <c r="L1236" s="11">
        <v>2.0251027E7</v>
      </c>
    </row>
    <row r="1237">
      <c r="A1237" s="9" t="s">
        <v>4654</v>
      </c>
      <c r="B1237" s="11" t="s">
        <v>30</v>
      </c>
      <c r="C1237" s="11" t="s">
        <v>35</v>
      </c>
      <c r="D1237" s="11" t="s">
        <v>37</v>
      </c>
      <c r="E1237" s="11" t="s">
        <v>5451</v>
      </c>
      <c r="F1237" s="11">
        <v>8.63406078290629E14</v>
      </c>
      <c r="G1237" s="11" t="s">
        <v>5452</v>
      </c>
      <c r="H1237" s="11" t="s">
        <v>4280</v>
      </c>
      <c r="I1237" s="11" t="s">
        <v>16</v>
      </c>
      <c r="J1237" s="37">
        <v>45951.0</v>
      </c>
      <c r="K1237" s="11"/>
      <c r="L1237" s="11">
        <v>2.0251027E7</v>
      </c>
    </row>
    <row r="1238">
      <c r="A1238" s="9" t="s">
        <v>4654</v>
      </c>
      <c r="B1238" s="11" t="s">
        <v>30</v>
      </c>
      <c r="C1238" s="11" t="s">
        <v>35</v>
      </c>
      <c r="D1238" s="11" t="s">
        <v>37</v>
      </c>
      <c r="E1238" s="11" t="s">
        <v>5453</v>
      </c>
      <c r="F1238" s="11">
        <v>8.64501077846386E14</v>
      </c>
      <c r="G1238" s="11" t="s">
        <v>5454</v>
      </c>
      <c r="H1238" s="11" t="s">
        <v>4280</v>
      </c>
      <c r="I1238" s="11" t="s">
        <v>16</v>
      </c>
      <c r="J1238" s="37">
        <v>45951.0</v>
      </c>
      <c r="K1238" s="11"/>
      <c r="L1238" s="11">
        <v>2.0251027E7</v>
      </c>
    </row>
    <row r="1239">
      <c r="A1239" s="9" t="s">
        <v>4654</v>
      </c>
      <c r="B1239" s="11" t="s">
        <v>30</v>
      </c>
      <c r="C1239" s="11" t="s">
        <v>35</v>
      </c>
      <c r="D1239" s="11" t="s">
        <v>37</v>
      </c>
      <c r="E1239" s="11" t="s">
        <v>5455</v>
      </c>
      <c r="F1239" s="11">
        <v>8.64501077847988E14</v>
      </c>
      <c r="G1239" s="11" t="s">
        <v>5456</v>
      </c>
      <c r="H1239" s="11" t="s">
        <v>4280</v>
      </c>
      <c r="I1239" s="11" t="s">
        <v>16</v>
      </c>
      <c r="J1239" s="37">
        <v>45951.0</v>
      </c>
      <c r="K1239" s="11"/>
      <c r="L1239" s="11">
        <v>2.0251027E7</v>
      </c>
    </row>
    <row r="1240">
      <c r="A1240" s="9" t="s">
        <v>4654</v>
      </c>
      <c r="B1240" s="11" t="s">
        <v>30</v>
      </c>
      <c r="C1240" s="11" t="s">
        <v>35</v>
      </c>
      <c r="D1240" s="11" t="s">
        <v>37</v>
      </c>
      <c r="E1240" s="11" t="s">
        <v>5457</v>
      </c>
      <c r="F1240" s="11">
        <v>8.64501077846923E14</v>
      </c>
      <c r="G1240" s="11" t="s">
        <v>5458</v>
      </c>
      <c r="H1240" s="11" t="s">
        <v>4280</v>
      </c>
      <c r="I1240" s="11" t="s">
        <v>16</v>
      </c>
      <c r="J1240" s="37">
        <v>45951.0</v>
      </c>
      <c r="K1240" s="11"/>
      <c r="L1240" s="11">
        <v>2.0251027E7</v>
      </c>
    </row>
    <row r="1241">
      <c r="A1241" s="9" t="s">
        <v>4654</v>
      </c>
      <c r="B1241" s="11" t="s">
        <v>30</v>
      </c>
      <c r="C1241" s="11" t="s">
        <v>35</v>
      </c>
      <c r="D1241" s="11" t="s">
        <v>37</v>
      </c>
      <c r="E1241" s="11" t="s">
        <v>5459</v>
      </c>
      <c r="F1241" s="11">
        <v>8.64501077844076E14</v>
      </c>
      <c r="G1241" s="11" t="s">
        <v>5460</v>
      </c>
      <c r="H1241" s="11" t="s">
        <v>4280</v>
      </c>
      <c r="I1241" s="11" t="s">
        <v>16</v>
      </c>
      <c r="J1241" s="37">
        <v>45951.0</v>
      </c>
      <c r="K1241" s="11"/>
      <c r="L1241" s="11">
        <v>2.0251027E7</v>
      </c>
    </row>
    <row r="1242">
      <c r="A1242" s="9" t="s">
        <v>4654</v>
      </c>
      <c r="B1242" s="11" t="s">
        <v>30</v>
      </c>
      <c r="C1242" s="11" t="s">
        <v>35</v>
      </c>
      <c r="D1242" s="11" t="s">
        <v>37</v>
      </c>
      <c r="E1242" s="11" t="s">
        <v>5461</v>
      </c>
      <c r="F1242" s="11">
        <v>8.64501077844712E14</v>
      </c>
      <c r="G1242" s="11" t="s">
        <v>5462</v>
      </c>
      <c r="H1242" s="11" t="s">
        <v>4280</v>
      </c>
      <c r="I1242" s="11" t="s">
        <v>16</v>
      </c>
      <c r="J1242" s="37">
        <v>45951.0</v>
      </c>
      <c r="K1242" s="11"/>
      <c r="L1242" s="11">
        <v>2.0251027E7</v>
      </c>
    </row>
    <row r="1243">
      <c r="A1243" s="9" t="s">
        <v>4654</v>
      </c>
      <c r="B1243" s="11" t="s">
        <v>30</v>
      </c>
      <c r="C1243" s="11" t="s">
        <v>35</v>
      </c>
      <c r="D1243" s="11" t="s">
        <v>37</v>
      </c>
      <c r="E1243" s="11" t="s">
        <v>5463</v>
      </c>
      <c r="F1243" s="11">
        <v>8.64501077844308E14</v>
      </c>
      <c r="G1243" s="11" t="s">
        <v>5464</v>
      </c>
      <c r="H1243" s="11" t="s">
        <v>4280</v>
      </c>
      <c r="I1243" s="11" t="s">
        <v>16</v>
      </c>
      <c r="J1243" s="37">
        <v>45951.0</v>
      </c>
      <c r="K1243" s="11"/>
      <c r="L1243" s="11">
        <v>2.0251027E7</v>
      </c>
    </row>
    <row r="1244">
      <c r="A1244" s="9" t="s">
        <v>4654</v>
      </c>
      <c r="B1244" s="11" t="s">
        <v>30</v>
      </c>
      <c r="C1244" s="11" t="s">
        <v>35</v>
      </c>
      <c r="D1244" s="11" t="s">
        <v>37</v>
      </c>
      <c r="E1244" s="11" t="s">
        <v>5465</v>
      </c>
      <c r="F1244" s="11">
        <v>8.63406078290199E14</v>
      </c>
      <c r="G1244" s="11" t="s">
        <v>5466</v>
      </c>
      <c r="H1244" s="11" t="s">
        <v>4280</v>
      </c>
      <c r="I1244" s="11" t="s">
        <v>16</v>
      </c>
      <c r="J1244" s="37">
        <v>45951.0</v>
      </c>
      <c r="K1244" s="11"/>
      <c r="L1244" s="11">
        <v>2.0251027E7</v>
      </c>
    </row>
    <row r="1245">
      <c r="A1245" s="9" t="s">
        <v>4654</v>
      </c>
      <c r="B1245" s="11" t="s">
        <v>30</v>
      </c>
      <c r="C1245" s="11" t="s">
        <v>35</v>
      </c>
      <c r="D1245" s="11" t="s">
        <v>37</v>
      </c>
      <c r="E1245" s="11" t="s">
        <v>5467</v>
      </c>
      <c r="F1245" s="11">
        <v>8.63406079906918E14</v>
      </c>
      <c r="G1245" s="11" t="s">
        <v>5468</v>
      </c>
      <c r="H1245" s="11" t="s">
        <v>4280</v>
      </c>
      <c r="I1245" s="11" t="s">
        <v>16</v>
      </c>
      <c r="J1245" s="37">
        <v>45951.0</v>
      </c>
      <c r="K1245" s="11"/>
      <c r="L1245" s="11">
        <v>2.0251027E7</v>
      </c>
    </row>
    <row r="1246">
      <c r="A1246" s="9" t="s">
        <v>4654</v>
      </c>
      <c r="B1246" s="11" t="s">
        <v>30</v>
      </c>
      <c r="C1246" s="11" t="s">
        <v>35</v>
      </c>
      <c r="D1246" s="11" t="s">
        <v>37</v>
      </c>
      <c r="E1246" s="11" t="s">
        <v>5469</v>
      </c>
      <c r="F1246" s="11">
        <v>8.64501077843623E14</v>
      </c>
      <c r="G1246" s="11" t="s">
        <v>5470</v>
      </c>
      <c r="H1246" s="11" t="s">
        <v>4280</v>
      </c>
      <c r="I1246" s="11" t="s">
        <v>16</v>
      </c>
      <c r="J1246" s="37">
        <v>45951.0</v>
      </c>
      <c r="K1246" s="11"/>
      <c r="L1246" s="11">
        <v>2.0251027E7</v>
      </c>
    </row>
    <row r="1247">
      <c r="A1247" s="9" t="s">
        <v>4654</v>
      </c>
      <c r="B1247" s="11" t="s">
        <v>30</v>
      </c>
      <c r="C1247" s="11" t="s">
        <v>35</v>
      </c>
      <c r="D1247" s="11" t="s">
        <v>37</v>
      </c>
      <c r="E1247" s="11" t="s">
        <v>5471</v>
      </c>
      <c r="F1247" s="11">
        <v>8.64501077844035E14</v>
      </c>
      <c r="G1247" s="11" t="s">
        <v>5472</v>
      </c>
      <c r="H1247" s="11" t="s">
        <v>4280</v>
      </c>
      <c r="I1247" s="11" t="s">
        <v>16</v>
      </c>
      <c r="J1247" s="37">
        <v>45951.0</v>
      </c>
      <c r="K1247" s="11"/>
      <c r="L1247" s="11">
        <v>2.0251027E7</v>
      </c>
    </row>
    <row r="1248">
      <c r="A1248" s="9" t="s">
        <v>4654</v>
      </c>
      <c r="B1248" s="11" t="s">
        <v>30</v>
      </c>
      <c r="C1248" s="11" t="s">
        <v>35</v>
      </c>
      <c r="D1248" s="11" t="s">
        <v>37</v>
      </c>
      <c r="E1248" s="11" t="s">
        <v>5473</v>
      </c>
      <c r="F1248" s="11">
        <v>8.63406078290876E14</v>
      </c>
      <c r="G1248" s="11" t="s">
        <v>5474</v>
      </c>
      <c r="H1248" s="11" t="s">
        <v>4280</v>
      </c>
      <c r="I1248" s="11" t="s">
        <v>16</v>
      </c>
      <c r="J1248" s="37">
        <v>45951.0</v>
      </c>
      <c r="K1248" s="11"/>
      <c r="L1248" s="11">
        <v>2.0251027E7</v>
      </c>
    </row>
    <row r="1249">
      <c r="A1249" s="9" t="s">
        <v>4654</v>
      </c>
      <c r="B1249" s="11" t="s">
        <v>30</v>
      </c>
      <c r="C1249" s="11" t="s">
        <v>35</v>
      </c>
      <c r="D1249" s="11" t="s">
        <v>37</v>
      </c>
      <c r="E1249" s="11" t="s">
        <v>5475</v>
      </c>
      <c r="F1249" s="11">
        <v>8.63406078320012E14</v>
      </c>
      <c r="G1249" s="11" t="s">
        <v>5476</v>
      </c>
      <c r="H1249" s="11" t="s">
        <v>4280</v>
      </c>
      <c r="I1249" s="11" t="s">
        <v>16</v>
      </c>
      <c r="J1249" s="37">
        <v>45951.0</v>
      </c>
      <c r="K1249" s="11"/>
      <c r="L1249" s="11">
        <v>2.0251027E7</v>
      </c>
    </row>
    <row r="1250">
      <c r="A1250" s="9" t="s">
        <v>4654</v>
      </c>
      <c r="B1250" s="11" t="s">
        <v>30</v>
      </c>
      <c r="C1250" s="11" t="s">
        <v>35</v>
      </c>
      <c r="D1250" s="11" t="s">
        <v>37</v>
      </c>
      <c r="E1250" s="11" t="s">
        <v>5477</v>
      </c>
      <c r="F1250" s="11">
        <v>8.64501077836635E14</v>
      </c>
      <c r="G1250" s="11" t="s">
        <v>5478</v>
      </c>
      <c r="H1250" s="11" t="s">
        <v>4280</v>
      </c>
      <c r="I1250" s="11" t="s">
        <v>16</v>
      </c>
      <c r="J1250" s="37">
        <v>45951.0</v>
      </c>
      <c r="K1250" s="11"/>
      <c r="L1250" s="11">
        <v>2.0251027E7</v>
      </c>
    </row>
    <row r="1251">
      <c r="A1251" s="9" t="s">
        <v>4654</v>
      </c>
      <c r="B1251" s="11" t="s">
        <v>30</v>
      </c>
      <c r="C1251" s="11" t="s">
        <v>35</v>
      </c>
      <c r="D1251" s="11" t="s">
        <v>37</v>
      </c>
      <c r="E1251" s="11" t="s">
        <v>5479</v>
      </c>
      <c r="F1251" s="11">
        <v>8.63406078320004E14</v>
      </c>
      <c r="G1251" s="11" t="s">
        <v>5480</v>
      </c>
      <c r="H1251" s="11" t="s">
        <v>4280</v>
      </c>
      <c r="I1251" s="11" t="s">
        <v>16</v>
      </c>
      <c r="J1251" s="37">
        <v>45951.0</v>
      </c>
      <c r="K1251" s="11"/>
      <c r="L1251" s="11">
        <v>2.0251027E7</v>
      </c>
    </row>
    <row r="1252">
      <c r="A1252" s="9" t="s">
        <v>4654</v>
      </c>
      <c r="B1252" s="11" t="s">
        <v>30</v>
      </c>
      <c r="C1252" s="11" t="s">
        <v>35</v>
      </c>
      <c r="D1252" s="11" t="s">
        <v>37</v>
      </c>
      <c r="E1252" s="11" t="s">
        <v>5481</v>
      </c>
      <c r="F1252" s="11">
        <v>8.64501077837633E14</v>
      </c>
      <c r="G1252" s="11" t="s">
        <v>5482</v>
      </c>
      <c r="H1252" s="11" t="s">
        <v>4280</v>
      </c>
      <c r="I1252" s="11" t="s">
        <v>16</v>
      </c>
      <c r="J1252" s="37">
        <v>45951.0</v>
      </c>
      <c r="K1252" s="11"/>
      <c r="L1252" s="11">
        <v>2.0251027E7</v>
      </c>
    </row>
    <row r="1253">
      <c r="A1253" s="9" t="s">
        <v>4654</v>
      </c>
      <c r="B1253" s="11" t="s">
        <v>30</v>
      </c>
      <c r="C1253" s="11" t="s">
        <v>35</v>
      </c>
      <c r="D1253" s="11" t="s">
        <v>37</v>
      </c>
      <c r="E1253" s="11" t="s">
        <v>5483</v>
      </c>
      <c r="F1253" s="11">
        <v>8.63406079906033E14</v>
      </c>
      <c r="G1253" s="11" t="s">
        <v>5484</v>
      </c>
      <c r="H1253" s="11" t="s">
        <v>4280</v>
      </c>
      <c r="I1253" s="11" t="s">
        <v>16</v>
      </c>
      <c r="J1253" s="37">
        <v>45951.0</v>
      </c>
      <c r="K1253" s="11"/>
      <c r="L1253" s="11">
        <v>2.0251027E7</v>
      </c>
    </row>
    <row r="1254">
      <c r="A1254" s="9" t="s">
        <v>4654</v>
      </c>
      <c r="B1254" s="11" t="s">
        <v>30</v>
      </c>
      <c r="C1254" s="11" t="s">
        <v>35</v>
      </c>
      <c r="D1254" s="11" t="s">
        <v>37</v>
      </c>
      <c r="E1254" s="11" t="s">
        <v>5485</v>
      </c>
      <c r="F1254" s="11">
        <v>8.64501077836825E14</v>
      </c>
      <c r="G1254" s="11" t="s">
        <v>5486</v>
      </c>
      <c r="H1254" s="11" t="s">
        <v>4280</v>
      </c>
      <c r="I1254" s="11" t="s">
        <v>16</v>
      </c>
      <c r="J1254" s="37">
        <v>45951.0</v>
      </c>
      <c r="K1254" s="11"/>
      <c r="L1254" s="11">
        <v>2.0251027E7</v>
      </c>
    </row>
    <row r="1255">
      <c r="A1255" s="9" t="s">
        <v>4654</v>
      </c>
      <c r="B1255" s="11" t="s">
        <v>30</v>
      </c>
      <c r="C1255" s="11" t="s">
        <v>35</v>
      </c>
      <c r="D1255" s="11" t="s">
        <v>37</v>
      </c>
      <c r="E1255" s="11" t="s">
        <v>5487</v>
      </c>
      <c r="F1255" s="11">
        <v>8.64501077843193E14</v>
      </c>
      <c r="G1255" s="11" t="s">
        <v>5488</v>
      </c>
      <c r="H1255" s="11" t="s">
        <v>4280</v>
      </c>
      <c r="I1255" s="11" t="s">
        <v>16</v>
      </c>
      <c r="J1255" s="37">
        <v>45951.0</v>
      </c>
      <c r="K1255" s="11"/>
      <c r="L1255" s="11">
        <v>2.0251027E7</v>
      </c>
    </row>
    <row r="1256">
      <c r="A1256" s="9" t="s">
        <v>4654</v>
      </c>
      <c r="B1256" s="11" t="s">
        <v>30</v>
      </c>
      <c r="C1256" s="11" t="s">
        <v>35</v>
      </c>
      <c r="D1256" s="11" t="s">
        <v>37</v>
      </c>
      <c r="E1256" s="11" t="s">
        <v>5489</v>
      </c>
      <c r="F1256" s="11">
        <v>8.6450107784325E14</v>
      </c>
      <c r="G1256" s="11" t="s">
        <v>5490</v>
      </c>
      <c r="H1256" s="11" t="s">
        <v>4280</v>
      </c>
      <c r="I1256" s="11" t="s">
        <v>16</v>
      </c>
      <c r="J1256" s="37">
        <v>45951.0</v>
      </c>
      <c r="K1256" s="11"/>
      <c r="L1256" s="11">
        <v>2.0251027E7</v>
      </c>
    </row>
    <row r="1257">
      <c r="A1257" s="9" t="s">
        <v>4654</v>
      </c>
      <c r="B1257" s="11" t="s">
        <v>30</v>
      </c>
      <c r="C1257" s="11" t="s">
        <v>35</v>
      </c>
      <c r="D1257" s="11" t="s">
        <v>37</v>
      </c>
      <c r="E1257" s="11" t="s">
        <v>5491</v>
      </c>
      <c r="F1257" s="11">
        <v>8.6340607990746E14</v>
      </c>
      <c r="G1257" s="11" t="s">
        <v>5492</v>
      </c>
      <c r="H1257" s="11" t="s">
        <v>4280</v>
      </c>
      <c r="I1257" s="11" t="s">
        <v>16</v>
      </c>
      <c r="J1257" s="37">
        <v>45951.0</v>
      </c>
      <c r="K1257" s="11"/>
      <c r="L1257" s="11">
        <v>2.0251027E7</v>
      </c>
    </row>
    <row r="1258">
      <c r="A1258" s="9" t="s">
        <v>4654</v>
      </c>
      <c r="B1258" s="11" t="s">
        <v>30</v>
      </c>
      <c r="C1258" s="11" t="s">
        <v>35</v>
      </c>
      <c r="D1258" s="11" t="s">
        <v>37</v>
      </c>
      <c r="E1258" s="11" t="s">
        <v>5493</v>
      </c>
      <c r="F1258" s="11">
        <v>8.64501077843367E14</v>
      </c>
      <c r="G1258" s="11" t="s">
        <v>5494</v>
      </c>
      <c r="H1258" s="11" t="s">
        <v>4280</v>
      </c>
      <c r="I1258" s="11" t="s">
        <v>16</v>
      </c>
      <c r="J1258" s="37">
        <v>45951.0</v>
      </c>
      <c r="K1258" s="11"/>
      <c r="L1258" s="11">
        <v>2.0251027E7</v>
      </c>
    </row>
    <row r="1259">
      <c r="A1259" s="9" t="s">
        <v>4654</v>
      </c>
      <c r="B1259" s="11" t="s">
        <v>30</v>
      </c>
      <c r="C1259" s="11" t="s">
        <v>35</v>
      </c>
      <c r="D1259" s="11" t="s">
        <v>37</v>
      </c>
      <c r="E1259" s="11" t="s">
        <v>5495</v>
      </c>
      <c r="F1259" s="11">
        <v>8.63406079906009E14</v>
      </c>
      <c r="G1259" s="11" t="s">
        <v>5496</v>
      </c>
      <c r="H1259" s="11" t="s">
        <v>4280</v>
      </c>
      <c r="I1259" s="11" t="s">
        <v>16</v>
      </c>
      <c r="J1259" s="37">
        <v>45951.0</v>
      </c>
      <c r="K1259" s="11"/>
      <c r="L1259" s="11">
        <v>2.0251027E7</v>
      </c>
    </row>
    <row r="1260">
      <c r="A1260" s="9" t="s">
        <v>4654</v>
      </c>
      <c r="B1260" s="11" t="s">
        <v>30</v>
      </c>
      <c r="C1260" s="11" t="s">
        <v>35</v>
      </c>
      <c r="D1260" s="11" t="s">
        <v>37</v>
      </c>
      <c r="E1260" s="11" t="s">
        <v>5497</v>
      </c>
      <c r="F1260" s="11">
        <v>8.63406078319832E14</v>
      </c>
      <c r="G1260" s="11" t="s">
        <v>5498</v>
      </c>
      <c r="H1260" s="11" t="s">
        <v>4280</v>
      </c>
      <c r="I1260" s="11" t="s">
        <v>16</v>
      </c>
      <c r="J1260" s="37">
        <v>45951.0</v>
      </c>
      <c r="K1260" s="11"/>
      <c r="L1260" s="11">
        <v>2.0251027E7</v>
      </c>
    </row>
    <row r="1261">
      <c r="A1261" s="9" t="s">
        <v>4654</v>
      </c>
      <c r="B1261" s="11" t="s">
        <v>30</v>
      </c>
      <c r="C1261" s="11" t="s">
        <v>35</v>
      </c>
      <c r="D1261" s="11" t="s">
        <v>37</v>
      </c>
      <c r="E1261" s="11" t="s">
        <v>5499</v>
      </c>
      <c r="F1261" s="11">
        <v>8.63406079903162E14</v>
      </c>
      <c r="G1261" s="11" t="s">
        <v>5500</v>
      </c>
      <c r="H1261" s="11" t="s">
        <v>4280</v>
      </c>
      <c r="I1261" s="11" t="s">
        <v>16</v>
      </c>
      <c r="J1261" s="37">
        <v>45951.0</v>
      </c>
      <c r="K1261" s="11"/>
      <c r="L1261" s="11">
        <v>2.0251027E7</v>
      </c>
    </row>
    <row r="1262">
      <c r="A1262" s="9" t="s">
        <v>4654</v>
      </c>
      <c r="B1262" s="11" t="s">
        <v>30</v>
      </c>
      <c r="C1262" s="11" t="s">
        <v>35</v>
      </c>
      <c r="D1262" s="11" t="s">
        <v>37</v>
      </c>
      <c r="E1262" s="11" t="s">
        <v>5501</v>
      </c>
      <c r="F1262" s="11">
        <v>8.63406078299059E14</v>
      </c>
      <c r="G1262" s="11" t="s">
        <v>5502</v>
      </c>
      <c r="H1262" s="11" t="s">
        <v>4280</v>
      </c>
      <c r="I1262" s="11" t="s">
        <v>16</v>
      </c>
      <c r="J1262" s="37">
        <v>45951.0</v>
      </c>
      <c r="K1262" s="11"/>
      <c r="L1262" s="11">
        <v>2.0251027E7</v>
      </c>
    </row>
    <row r="1263">
      <c r="A1263" s="9" t="s">
        <v>4654</v>
      </c>
      <c r="B1263" s="11" t="s">
        <v>30</v>
      </c>
      <c r="C1263" s="11" t="s">
        <v>35</v>
      </c>
      <c r="D1263" s="11" t="s">
        <v>37</v>
      </c>
      <c r="E1263" s="11" t="s">
        <v>5503</v>
      </c>
      <c r="F1263" s="11">
        <v>8.64501077844175E14</v>
      </c>
      <c r="G1263" s="11" t="s">
        <v>5504</v>
      </c>
      <c r="H1263" s="11" t="s">
        <v>4280</v>
      </c>
      <c r="I1263" s="11" t="s">
        <v>16</v>
      </c>
      <c r="J1263" s="37">
        <v>45951.0</v>
      </c>
      <c r="K1263" s="11"/>
      <c r="L1263" s="11">
        <v>2.0251027E7</v>
      </c>
    </row>
    <row r="1264">
      <c r="A1264" s="9" t="s">
        <v>4654</v>
      </c>
      <c r="B1264" s="11" t="s">
        <v>30</v>
      </c>
      <c r="C1264" s="11" t="s">
        <v>35</v>
      </c>
      <c r="D1264" s="11" t="s">
        <v>37</v>
      </c>
      <c r="E1264" s="11" t="s">
        <v>5505</v>
      </c>
      <c r="F1264" s="11">
        <v>8.63406078295719E14</v>
      </c>
      <c r="G1264" s="11" t="s">
        <v>5506</v>
      </c>
      <c r="H1264" s="11" t="s">
        <v>4280</v>
      </c>
      <c r="I1264" s="11" t="s">
        <v>16</v>
      </c>
      <c r="J1264" s="37">
        <v>45951.0</v>
      </c>
      <c r="K1264" s="11"/>
      <c r="L1264" s="11">
        <v>2.0251027E7</v>
      </c>
    </row>
    <row r="1265">
      <c r="A1265" s="9" t="s">
        <v>4654</v>
      </c>
      <c r="B1265" s="11" t="s">
        <v>30</v>
      </c>
      <c r="C1265" s="11" t="s">
        <v>35</v>
      </c>
      <c r="D1265" s="11" t="s">
        <v>37</v>
      </c>
      <c r="E1265" s="11" t="s">
        <v>5507</v>
      </c>
      <c r="F1265" s="11">
        <v>8.63406079906967E14</v>
      </c>
      <c r="G1265" s="11" t="s">
        <v>5508</v>
      </c>
      <c r="H1265" s="11" t="s">
        <v>4280</v>
      </c>
      <c r="I1265" s="11" t="s">
        <v>16</v>
      </c>
      <c r="J1265" s="37">
        <v>45951.0</v>
      </c>
      <c r="K1265" s="11"/>
      <c r="L1265" s="11">
        <v>2.0251027E7</v>
      </c>
    </row>
    <row r="1266">
      <c r="A1266" s="9" t="s">
        <v>4654</v>
      </c>
      <c r="B1266" s="11" t="s">
        <v>30</v>
      </c>
      <c r="C1266" s="11" t="s">
        <v>35</v>
      </c>
      <c r="D1266" s="11" t="s">
        <v>37</v>
      </c>
      <c r="E1266" s="11" t="s">
        <v>5509</v>
      </c>
      <c r="F1266" s="11">
        <v>8.64501077843268E14</v>
      </c>
      <c r="G1266" s="11" t="s">
        <v>5510</v>
      </c>
      <c r="H1266" s="11" t="s">
        <v>4280</v>
      </c>
      <c r="I1266" s="11" t="s">
        <v>16</v>
      </c>
      <c r="J1266" s="37">
        <v>45951.0</v>
      </c>
      <c r="K1266" s="11"/>
      <c r="L1266" s="11">
        <v>2.0251027E7</v>
      </c>
    </row>
    <row r="1267">
      <c r="A1267" s="9" t="s">
        <v>4654</v>
      </c>
      <c r="B1267" s="11" t="s">
        <v>30</v>
      </c>
      <c r="C1267" s="11" t="s">
        <v>35</v>
      </c>
      <c r="D1267" s="11" t="s">
        <v>37</v>
      </c>
      <c r="E1267" s="11" t="s">
        <v>5511</v>
      </c>
      <c r="F1267" s="11">
        <v>8.63406078301616E14</v>
      </c>
      <c r="G1267" s="11" t="s">
        <v>5512</v>
      </c>
      <c r="H1267" s="11" t="s">
        <v>4280</v>
      </c>
      <c r="I1267" s="11" t="s">
        <v>16</v>
      </c>
      <c r="J1267" s="37">
        <v>45951.0</v>
      </c>
      <c r="K1267" s="11"/>
      <c r="L1267" s="11">
        <v>2.0251027E7</v>
      </c>
    </row>
    <row r="1268">
      <c r="A1268" s="9" t="s">
        <v>4654</v>
      </c>
      <c r="B1268" s="11" t="s">
        <v>30</v>
      </c>
      <c r="C1268" s="11" t="s">
        <v>35</v>
      </c>
      <c r="D1268" s="11" t="s">
        <v>37</v>
      </c>
      <c r="E1268" s="11" t="s">
        <v>5513</v>
      </c>
      <c r="F1268" s="11">
        <v>8.63406079904046E14</v>
      </c>
      <c r="G1268" s="11" t="s">
        <v>5514</v>
      </c>
      <c r="H1268" s="11" t="s">
        <v>4280</v>
      </c>
      <c r="I1268" s="11" t="s">
        <v>16</v>
      </c>
      <c r="J1268" s="37">
        <v>45951.0</v>
      </c>
      <c r="K1268" s="11"/>
      <c r="L1268" s="11">
        <v>2.0251027E7</v>
      </c>
    </row>
    <row r="1269">
      <c r="A1269" s="9" t="s">
        <v>4654</v>
      </c>
      <c r="B1269" s="11" t="s">
        <v>30</v>
      </c>
      <c r="C1269" s="11" t="s">
        <v>35</v>
      </c>
      <c r="D1269" s="11" t="s">
        <v>37</v>
      </c>
      <c r="E1269" s="11" t="s">
        <v>5515</v>
      </c>
      <c r="F1269" s="11">
        <v>8.64501077837179E14</v>
      </c>
      <c r="G1269" s="11" t="s">
        <v>5516</v>
      </c>
      <c r="H1269" s="11" t="s">
        <v>4280</v>
      </c>
      <c r="I1269" s="11" t="s">
        <v>16</v>
      </c>
      <c r="J1269" s="37">
        <v>45951.0</v>
      </c>
      <c r="K1269" s="11"/>
      <c r="L1269" s="11">
        <v>2.0251027E7</v>
      </c>
    </row>
    <row r="1270">
      <c r="A1270" s="9" t="s">
        <v>4654</v>
      </c>
      <c r="B1270" s="11" t="s">
        <v>30</v>
      </c>
      <c r="C1270" s="11" t="s">
        <v>35</v>
      </c>
      <c r="D1270" s="11" t="s">
        <v>37</v>
      </c>
      <c r="E1270" s="11" t="s">
        <v>5517</v>
      </c>
      <c r="F1270" s="11">
        <v>8.63406079906637E14</v>
      </c>
      <c r="G1270" s="11" t="s">
        <v>5518</v>
      </c>
      <c r="H1270" s="11" t="s">
        <v>4280</v>
      </c>
      <c r="I1270" s="11" t="s">
        <v>16</v>
      </c>
      <c r="J1270" s="37">
        <v>45951.0</v>
      </c>
      <c r="K1270" s="11"/>
      <c r="L1270" s="11">
        <v>2.0251027E7</v>
      </c>
    </row>
    <row r="1271">
      <c r="A1271" s="9" t="s">
        <v>4654</v>
      </c>
      <c r="B1271" s="11" t="s">
        <v>30</v>
      </c>
      <c r="C1271" s="11" t="s">
        <v>35</v>
      </c>
      <c r="D1271" s="11" t="s">
        <v>37</v>
      </c>
      <c r="E1271" s="11" t="s">
        <v>5519</v>
      </c>
      <c r="F1271" s="11">
        <v>8.63406079906561E14</v>
      </c>
      <c r="G1271" s="11" t="s">
        <v>5520</v>
      </c>
      <c r="H1271" s="11" t="s">
        <v>4280</v>
      </c>
      <c r="I1271" s="11" t="s">
        <v>16</v>
      </c>
      <c r="J1271" s="37">
        <v>45951.0</v>
      </c>
      <c r="K1271" s="11"/>
      <c r="L1271" s="11">
        <v>2.0251027E7</v>
      </c>
    </row>
    <row r="1272">
      <c r="A1272" s="9" t="s">
        <v>4654</v>
      </c>
      <c r="B1272" s="11" t="s">
        <v>30</v>
      </c>
      <c r="C1272" s="11" t="s">
        <v>35</v>
      </c>
      <c r="D1272" s="11" t="s">
        <v>37</v>
      </c>
      <c r="E1272" s="11" t="s">
        <v>5521</v>
      </c>
      <c r="F1272" s="11">
        <v>8.63406079912007E14</v>
      </c>
      <c r="G1272" s="11" t="s">
        <v>5522</v>
      </c>
      <c r="H1272" s="11" t="s">
        <v>4280</v>
      </c>
      <c r="I1272" s="11" t="s">
        <v>16</v>
      </c>
      <c r="J1272" s="37">
        <v>45951.0</v>
      </c>
      <c r="K1272" s="11"/>
      <c r="L1272" s="11">
        <v>2.0251027E7</v>
      </c>
    </row>
    <row r="1273">
      <c r="A1273" s="9" t="s">
        <v>4654</v>
      </c>
      <c r="B1273" s="11" t="s">
        <v>30</v>
      </c>
      <c r="C1273" s="11" t="s">
        <v>35</v>
      </c>
      <c r="D1273" s="11" t="s">
        <v>37</v>
      </c>
      <c r="E1273" s="11" t="s">
        <v>5523</v>
      </c>
      <c r="F1273" s="11">
        <v>8.64501077846501E14</v>
      </c>
      <c r="G1273" s="11" t="s">
        <v>5524</v>
      </c>
      <c r="H1273" s="11" t="s">
        <v>4280</v>
      </c>
      <c r="I1273" s="11" t="s">
        <v>16</v>
      </c>
      <c r="J1273" s="37">
        <v>45951.0</v>
      </c>
      <c r="K1273" s="11"/>
      <c r="L1273" s="11">
        <v>2.0251027E7</v>
      </c>
    </row>
    <row r="1274">
      <c r="A1274" s="9" t="s">
        <v>4654</v>
      </c>
      <c r="B1274" s="11" t="s">
        <v>30</v>
      </c>
      <c r="C1274" s="11" t="s">
        <v>35</v>
      </c>
      <c r="D1274" s="11" t="s">
        <v>37</v>
      </c>
      <c r="E1274" s="11" t="s">
        <v>5525</v>
      </c>
      <c r="F1274" s="11">
        <v>8.63406079906504E14</v>
      </c>
      <c r="G1274" s="11" t="s">
        <v>5526</v>
      </c>
      <c r="H1274" s="11" t="s">
        <v>4280</v>
      </c>
      <c r="I1274" s="11" t="s">
        <v>16</v>
      </c>
      <c r="J1274" s="37">
        <v>45951.0</v>
      </c>
      <c r="K1274" s="11"/>
      <c r="L1274" s="11">
        <v>2.0251027E7</v>
      </c>
    </row>
    <row r="1275">
      <c r="A1275" s="9" t="s">
        <v>4654</v>
      </c>
      <c r="B1275" s="11" t="s">
        <v>30</v>
      </c>
      <c r="C1275" s="11" t="s">
        <v>35</v>
      </c>
      <c r="D1275" s="11" t="s">
        <v>37</v>
      </c>
      <c r="E1275" s="11" t="s">
        <v>5527</v>
      </c>
      <c r="F1275" s="11">
        <v>8.64501077843573E14</v>
      </c>
      <c r="G1275" s="11" t="s">
        <v>5528</v>
      </c>
      <c r="H1275" s="11" t="s">
        <v>4280</v>
      </c>
      <c r="I1275" s="11" t="s">
        <v>16</v>
      </c>
      <c r="J1275" s="37">
        <v>45951.0</v>
      </c>
      <c r="K1275" s="11"/>
      <c r="L1275" s="11">
        <v>2.0251027E7</v>
      </c>
    </row>
    <row r="1276">
      <c r="A1276" s="9" t="s">
        <v>4654</v>
      </c>
      <c r="B1276" s="11" t="s">
        <v>30</v>
      </c>
      <c r="C1276" s="11" t="s">
        <v>35</v>
      </c>
      <c r="D1276" s="11" t="s">
        <v>37</v>
      </c>
      <c r="E1276" s="11" t="s">
        <v>5529</v>
      </c>
      <c r="F1276" s="11">
        <v>8.64501077837609E14</v>
      </c>
      <c r="G1276" s="11" t="s">
        <v>5530</v>
      </c>
      <c r="H1276" s="11" t="s">
        <v>4280</v>
      </c>
      <c r="I1276" s="11" t="s">
        <v>16</v>
      </c>
      <c r="J1276" s="37">
        <v>45951.0</v>
      </c>
      <c r="K1276" s="11"/>
      <c r="L1276" s="11">
        <v>2.0251027E7</v>
      </c>
    </row>
    <row r="1277">
      <c r="A1277" s="9" t="s">
        <v>4654</v>
      </c>
      <c r="B1277" s="11" t="s">
        <v>30</v>
      </c>
      <c r="C1277" s="11" t="s">
        <v>35</v>
      </c>
      <c r="D1277" s="11" t="s">
        <v>37</v>
      </c>
      <c r="E1277" s="11" t="s">
        <v>5531</v>
      </c>
      <c r="F1277" s="11">
        <v>8.63406079906116E14</v>
      </c>
      <c r="G1277" s="11" t="s">
        <v>5532</v>
      </c>
      <c r="H1277" s="11" t="s">
        <v>4280</v>
      </c>
      <c r="I1277" s="11" t="s">
        <v>16</v>
      </c>
      <c r="J1277" s="37">
        <v>45951.0</v>
      </c>
      <c r="K1277" s="11"/>
      <c r="L1277" s="11">
        <v>2.0251027E7</v>
      </c>
    </row>
    <row r="1278">
      <c r="A1278" s="9" t="s">
        <v>4654</v>
      </c>
      <c r="B1278" s="11" t="s">
        <v>30</v>
      </c>
      <c r="C1278" s="11" t="s">
        <v>35</v>
      </c>
      <c r="D1278" s="11" t="s">
        <v>37</v>
      </c>
      <c r="E1278" s="11" t="s">
        <v>5533</v>
      </c>
      <c r="F1278" s="11">
        <v>8.63406079905365E14</v>
      </c>
      <c r="G1278" s="11" t="s">
        <v>5534</v>
      </c>
      <c r="H1278" s="11" t="s">
        <v>4280</v>
      </c>
      <c r="I1278" s="11" t="s">
        <v>16</v>
      </c>
      <c r="J1278" s="37">
        <v>45951.0</v>
      </c>
      <c r="K1278" s="11"/>
      <c r="L1278" s="11">
        <v>2.0251027E7</v>
      </c>
    </row>
    <row r="1279">
      <c r="A1279" s="9" t="s">
        <v>4654</v>
      </c>
      <c r="B1279" s="11" t="s">
        <v>30</v>
      </c>
      <c r="C1279" s="11" t="s">
        <v>35</v>
      </c>
      <c r="D1279" s="11" t="s">
        <v>37</v>
      </c>
      <c r="E1279" s="11" t="s">
        <v>5535</v>
      </c>
      <c r="F1279" s="11">
        <v>8.63406079905183E14</v>
      </c>
      <c r="G1279" s="11" t="s">
        <v>5536</v>
      </c>
      <c r="H1279" s="11" t="s">
        <v>4280</v>
      </c>
      <c r="I1279" s="11" t="s">
        <v>16</v>
      </c>
      <c r="J1279" s="37">
        <v>45951.0</v>
      </c>
      <c r="K1279" s="11"/>
      <c r="L1279" s="11">
        <v>2.0251027E7</v>
      </c>
    </row>
    <row r="1280">
      <c r="A1280" s="9" t="s">
        <v>4654</v>
      </c>
      <c r="B1280" s="11" t="s">
        <v>30</v>
      </c>
      <c r="C1280" s="11" t="s">
        <v>35</v>
      </c>
      <c r="D1280" s="11" t="s">
        <v>37</v>
      </c>
      <c r="E1280" s="11" t="s">
        <v>5537</v>
      </c>
      <c r="F1280" s="11">
        <v>8.63406079905977E14</v>
      </c>
      <c r="G1280" s="11" t="s">
        <v>5538</v>
      </c>
      <c r="H1280" s="11" t="s">
        <v>4280</v>
      </c>
      <c r="I1280" s="11" t="s">
        <v>16</v>
      </c>
      <c r="J1280" s="37">
        <v>45951.0</v>
      </c>
      <c r="K1280" s="11"/>
      <c r="L1280" s="11">
        <v>2.0251027E7</v>
      </c>
    </row>
    <row r="1281">
      <c r="A1281" s="9" t="s">
        <v>4654</v>
      </c>
      <c r="B1281" s="11" t="s">
        <v>30</v>
      </c>
      <c r="C1281" s="11" t="s">
        <v>35</v>
      </c>
      <c r="D1281" s="11" t="s">
        <v>37</v>
      </c>
      <c r="E1281" s="11" t="s">
        <v>5539</v>
      </c>
      <c r="F1281" s="11">
        <v>8.63406079905266E14</v>
      </c>
      <c r="G1281" s="11" t="s">
        <v>5540</v>
      </c>
      <c r="H1281" s="11" t="s">
        <v>4280</v>
      </c>
      <c r="I1281" s="11" t="s">
        <v>16</v>
      </c>
      <c r="J1281" s="37">
        <v>45951.0</v>
      </c>
      <c r="K1281" s="11"/>
      <c r="L1281" s="11">
        <v>2.0251027E7</v>
      </c>
    </row>
    <row r="1282">
      <c r="A1282" s="9" t="s">
        <v>4654</v>
      </c>
      <c r="B1282" s="11" t="s">
        <v>30</v>
      </c>
      <c r="C1282" s="11" t="s">
        <v>35</v>
      </c>
      <c r="D1282" s="11" t="s">
        <v>37</v>
      </c>
      <c r="E1282" s="11" t="s">
        <v>5541</v>
      </c>
      <c r="F1282" s="11">
        <v>8.6340607990529E14</v>
      </c>
      <c r="G1282" s="11" t="s">
        <v>5542</v>
      </c>
      <c r="H1282" s="11" t="s">
        <v>4280</v>
      </c>
      <c r="I1282" s="11" t="s">
        <v>16</v>
      </c>
      <c r="J1282" s="37">
        <v>45951.0</v>
      </c>
      <c r="K1282" s="11"/>
      <c r="L1282" s="11">
        <v>2.0251027E7</v>
      </c>
    </row>
    <row r="1283">
      <c r="A1283" s="9" t="s">
        <v>4654</v>
      </c>
      <c r="B1283" s="11" t="s">
        <v>30</v>
      </c>
      <c r="C1283" s="11" t="s">
        <v>35</v>
      </c>
      <c r="D1283" s="11" t="s">
        <v>37</v>
      </c>
      <c r="E1283" s="11" t="s">
        <v>5543</v>
      </c>
      <c r="F1283" s="11">
        <v>8.63406079905159E14</v>
      </c>
      <c r="G1283" s="11" t="s">
        <v>5544</v>
      </c>
      <c r="H1283" s="11" t="s">
        <v>4280</v>
      </c>
      <c r="I1283" s="11" t="s">
        <v>16</v>
      </c>
      <c r="J1283" s="37">
        <v>45951.0</v>
      </c>
      <c r="K1283" s="11"/>
      <c r="L1283" s="11">
        <v>2.0251027E7</v>
      </c>
    </row>
    <row r="1284">
      <c r="A1284" s="9" t="s">
        <v>4654</v>
      </c>
      <c r="B1284" s="11" t="s">
        <v>30</v>
      </c>
      <c r="C1284" s="11" t="s">
        <v>35</v>
      </c>
      <c r="D1284" s="11" t="s">
        <v>37</v>
      </c>
      <c r="E1284" s="11" t="s">
        <v>5545</v>
      </c>
      <c r="F1284" s="11">
        <v>8.6450107783745E14</v>
      </c>
      <c r="G1284" s="11" t="s">
        <v>5546</v>
      </c>
      <c r="H1284" s="11" t="s">
        <v>4280</v>
      </c>
      <c r="I1284" s="11" t="s">
        <v>16</v>
      </c>
      <c r="J1284" s="37">
        <v>45951.0</v>
      </c>
      <c r="K1284" s="11"/>
      <c r="L1284" s="11">
        <v>2.0251027E7</v>
      </c>
    </row>
    <row r="1285">
      <c r="A1285" s="9" t="s">
        <v>4654</v>
      </c>
      <c r="B1285" s="11" t="s">
        <v>30</v>
      </c>
      <c r="C1285" s="11" t="s">
        <v>35</v>
      </c>
      <c r="D1285" s="11" t="s">
        <v>37</v>
      </c>
      <c r="E1285" s="11" t="s">
        <v>5547</v>
      </c>
      <c r="F1285" s="11">
        <v>8.63406079905696E14</v>
      </c>
      <c r="G1285" s="11" t="s">
        <v>5548</v>
      </c>
      <c r="H1285" s="11" t="s">
        <v>4280</v>
      </c>
      <c r="I1285" s="11" t="s">
        <v>16</v>
      </c>
      <c r="J1285" s="37">
        <v>45951.0</v>
      </c>
      <c r="K1285" s="11"/>
      <c r="L1285" s="11">
        <v>2.0251027E7</v>
      </c>
    </row>
    <row r="1286">
      <c r="A1286" s="9" t="s">
        <v>4654</v>
      </c>
      <c r="B1286" s="11" t="s">
        <v>30</v>
      </c>
      <c r="C1286" s="11" t="s">
        <v>35</v>
      </c>
      <c r="D1286" s="11" t="s">
        <v>37</v>
      </c>
      <c r="E1286" s="11" t="s">
        <v>5549</v>
      </c>
      <c r="F1286" s="11">
        <v>8.64501077843979E14</v>
      </c>
      <c r="G1286" s="11" t="s">
        <v>5550</v>
      </c>
      <c r="H1286" s="11" t="s">
        <v>4280</v>
      </c>
      <c r="I1286" s="11" t="s">
        <v>16</v>
      </c>
      <c r="J1286" s="37">
        <v>45951.0</v>
      </c>
      <c r="K1286" s="11"/>
      <c r="L1286" s="11">
        <v>2.0251027E7</v>
      </c>
    </row>
    <row r="1287">
      <c r="A1287" s="9" t="s">
        <v>4654</v>
      </c>
      <c r="B1287" s="11" t="s">
        <v>30</v>
      </c>
      <c r="C1287" s="11" t="s">
        <v>35</v>
      </c>
      <c r="D1287" s="11" t="s">
        <v>37</v>
      </c>
      <c r="E1287" s="11" t="s">
        <v>5551</v>
      </c>
      <c r="F1287" s="11">
        <v>8.63406079905985E14</v>
      </c>
      <c r="G1287" s="11" t="s">
        <v>5552</v>
      </c>
      <c r="H1287" s="11" t="s">
        <v>4280</v>
      </c>
      <c r="I1287" s="11" t="s">
        <v>16</v>
      </c>
      <c r="J1287" s="37">
        <v>45951.0</v>
      </c>
      <c r="K1287" s="11"/>
      <c r="L1287" s="11">
        <v>2.0251027E7</v>
      </c>
    </row>
    <row r="1288">
      <c r="A1288" s="9" t="s">
        <v>4654</v>
      </c>
      <c r="B1288" s="11" t="s">
        <v>30</v>
      </c>
      <c r="C1288" s="11" t="s">
        <v>35</v>
      </c>
      <c r="D1288" s="11" t="s">
        <v>37</v>
      </c>
      <c r="E1288" s="11" t="s">
        <v>5553</v>
      </c>
      <c r="F1288" s="11">
        <v>8.6340607990614E14</v>
      </c>
      <c r="G1288" s="11" t="s">
        <v>5554</v>
      </c>
      <c r="H1288" s="11" t="s">
        <v>4280</v>
      </c>
      <c r="I1288" s="11" t="s">
        <v>16</v>
      </c>
      <c r="J1288" s="37">
        <v>45951.0</v>
      </c>
      <c r="K1288" s="11"/>
      <c r="L1288" s="11">
        <v>2.0251027E7</v>
      </c>
    </row>
    <row r="1289">
      <c r="A1289" s="9" t="s">
        <v>4654</v>
      </c>
      <c r="B1289" s="11" t="s">
        <v>30</v>
      </c>
      <c r="C1289" s="11" t="s">
        <v>35</v>
      </c>
      <c r="D1289" s="11" t="s">
        <v>37</v>
      </c>
      <c r="E1289" s="11" t="s">
        <v>5555</v>
      </c>
      <c r="F1289" s="11">
        <v>8.63406078319865E14</v>
      </c>
      <c r="G1289" s="11" t="s">
        <v>5556</v>
      </c>
      <c r="H1289" s="11" t="s">
        <v>4280</v>
      </c>
      <c r="I1289" s="11" t="s">
        <v>16</v>
      </c>
      <c r="J1289" s="37">
        <v>45951.0</v>
      </c>
      <c r="K1289" s="11"/>
      <c r="L1289" s="11">
        <v>2.0251027E7</v>
      </c>
    </row>
    <row r="1290">
      <c r="A1290" s="9" t="s">
        <v>4654</v>
      </c>
      <c r="B1290" s="11" t="s">
        <v>30</v>
      </c>
      <c r="C1290" s="11" t="s">
        <v>35</v>
      </c>
      <c r="D1290" s="11" t="s">
        <v>37</v>
      </c>
      <c r="E1290" s="11" t="s">
        <v>5557</v>
      </c>
      <c r="F1290" s="11">
        <v>8.63406079905688E14</v>
      </c>
      <c r="G1290" s="11" t="s">
        <v>5558</v>
      </c>
      <c r="H1290" s="11" t="s">
        <v>4280</v>
      </c>
      <c r="I1290" s="11" t="s">
        <v>16</v>
      </c>
      <c r="J1290" s="37">
        <v>45951.0</v>
      </c>
      <c r="K1290" s="11"/>
      <c r="L1290" s="11">
        <v>2.0251027E7</v>
      </c>
    </row>
    <row r="1291">
      <c r="A1291" s="9" t="s">
        <v>4654</v>
      </c>
      <c r="B1291" s="11" t="s">
        <v>30</v>
      </c>
      <c r="C1291" s="11" t="s">
        <v>35</v>
      </c>
      <c r="D1291" s="11" t="s">
        <v>37</v>
      </c>
      <c r="E1291" s="11" t="s">
        <v>5559</v>
      </c>
      <c r="F1291" s="11">
        <v>8.63406079905704E14</v>
      </c>
      <c r="G1291" s="11" t="s">
        <v>5560</v>
      </c>
      <c r="H1291" s="11" t="s">
        <v>4280</v>
      </c>
      <c r="I1291" s="11" t="s">
        <v>16</v>
      </c>
      <c r="J1291" s="37">
        <v>45951.0</v>
      </c>
      <c r="K1291" s="11"/>
      <c r="L1291" s="11">
        <v>2.0251027E7</v>
      </c>
    </row>
    <row r="1292">
      <c r="A1292" s="9" t="s">
        <v>4654</v>
      </c>
      <c r="B1292" s="11" t="s">
        <v>30</v>
      </c>
      <c r="C1292" s="11" t="s">
        <v>35</v>
      </c>
      <c r="D1292" s="11" t="s">
        <v>37</v>
      </c>
      <c r="E1292" s="11" t="s">
        <v>5561</v>
      </c>
      <c r="F1292" s="11">
        <v>8.63406079905852E14</v>
      </c>
      <c r="G1292" s="11" t="s">
        <v>5562</v>
      </c>
      <c r="H1292" s="11" t="s">
        <v>4280</v>
      </c>
      <c r="I1292" s="11" t="s">
        <v>16</v>
      </c>
      <c r="J1292" s="37">
        <v>45951.0</v>
      </c>
      <c r="K1292" s="11"/>
      <c r="L1292" s="11">
        <v>2.0251027E7</v>
      </c>
    </row>
    <row r="1293">
      <c r="A1293" s="9" t="s">
        <v>4654</v>
      </c>
      <c r="B1293" s="11" t="s">
        <v>30</v>
      </c>
      <c r="C1293" s="11" t="s">
        <v>35</v>
      </c>
      <c r="D1293" s="11" t="s">
        <v>37</v>
      </c>
      <c r="E1293" s="11" t="s">
        <v>5563</v>
      </c>
      <c r="F1293" s="11">
        <v>8.63406079905936E14</v>
      </c>
      <c r="G1293" s="11" t="s">
        <v>5564</v>
      </c>
      <c r="H1293" s="11" t="s">
        <v>4280</v>
      </c>
      <c r="I1293" s="11" t="s">
        <v>16</v>
      </c>
      <c r="J1293" s="37">
        <v>45951.0</v>
      </c>
      <c r="K1293" s="11"/>
      <c r="L1293" s="11">
        <v>2.0251027E7</v>
      </c>
    </row>
    <row r="1294">
      <c r="A1294" s="9" t="s">
        <v>4654</v>
      </c>
      <c r="B1294" s="11" t="s">
        <v>30</v>
      </c>
      <c r="C1294" s="11" t="s">
        <v>35</v>
      </c>
      <c r="D1294" s="11" t="s">
        <v>37</v>
      </c>
      <c r="E1294" s="11" t="s">
        <v>5565</v>
      </c>
      <c r="F1294" s="11">
        <v>8.64501077837781E14</v>
      </c>
      <c r="G1294" s="11" t="s">
        <v>5566</v>
      </c>
      <c r="H1294" s="11" t="s">
        <v>4280</v>
      </c>
      <c r="I1294" s="11" t="s">
        <v>16</v>
      </c>
      <c r="J1294" s="37">
        <v>45951.0</v>
      </c>
      <c r="K1294" s="11"/>
      <c r="L1294" s="11">
        <v>2.0251027E7</v>
      </c>
    </row>
    <row r="1295">
      <c r="A1295" s="9" t="s">
        <v>4654</v>
      </c>
      <c r="B1295" s="11" t="s">
        <v>30</v>
      </c>
      <c r="C1295" s="11" t="s">
        <v>35</v>
      </c>
      <c r="D1295" s="11" t="s">
        <v>37</v>
      </c>
      <c r="E1295" s="11" t="s">
        <v>5567</v>
      </c>
      <c r="F1295" s="11">
        <v>8.64501077837146E14</v>
      </c>
      <c r="G1295" s="11" t="s">
        <v>5568</v>
      </c>
      <c r="H1295" s="11" t="s">
        <v>4280</v>
      </c>
      <c r="I1295" s="11" t="s">
        <v>16</v>
      </c>
      <c r="J1295" s="37">
        <v>45951.0</v>
      </c>
      <c r="K1295" s="11"/>
      <c r="L1295" s="11">
        <v>2.0251027E7</v>
      </c>
    </row>
    <row r="1296">
      <c r="A1296" s="9" t="s">
        <v>4654</v>
      </c>
      <c r="B1296" s="11" t="s">
        <v>30</v>
      </c>
      <c r="C1296" s="11" t="s">
        <v>35</v>
      </c>
      <c r="D1296" s="11" t="s">
        <v>37</v>
      </c>
      <c r="E1296" s="11" t="s">
        <v>5569</v>
      </c>
      <c r="F1296" s="11">
        <v>8.63406079906371E14</v>
      </c>
      <c r="G1296" s="11" t="s">
        <v>5570</v>
      </c>
      <c r="H1296" s="11" t="s">
        <v>4280</v>
      </c>
      <c r="I1296" s="11" t="s">
        <v>16</v>
      </c>
      <c r="J1296" s="37">
        <v>45951.0</v>
      </c>
      <c r="K1296" s="11"/>
      <c r="L1296" s="11">
        <v>2.0251027E7</v>
      </c>
    </row>
    <row r="1297">
      <c r="A1297" s="9" t="s">
        <v>4654</v>
      </c>
      <c r="B1297" s="11" t="s">
        <v>30</v>
      </c>
      <c r="C1297" s="11" t="s">
        <v>35</v>
      </c>
      <c r="D1297" s="11" t="s">
        <v>37</v>
      </c>
      <c r="E1297" s="11" t="s">
        <v>5571</v>
      </c>
      <c r="F1297" s="11">
        <v>8.64501077836981E14</v>
      </c>
      <c r="G1297" s="11" t="s">
        <v>5572</v>
      </c>
      <c r="H1297" s="11" t="s">
        <v>4280</v>
      </c>
      <c r="I1297" s="11" t="s">
        <v>16</v>
      </c>
      <c r="J1297" s="37">
        <v>45951.0</v>
      </c>
      <c r="K1297" s="11"/>
      <c r="L1297" s="11">
        <v>2.0251027E7</v>
      </c>
    </row>
    <row r="1298">
      <c r="A1298" s="9" t="s">
        <v>4654</v>
      </c>
      <c r="B1298" s="11" t="s">
        <v>30</v>
      </c>
      <c r="C1298" s="11" t="s">
        <v>35</v>
      </c>
      <c r="D1298" s="11" t="s">
        <v>37</v>
      </c>
      <c r="E1298" s="11" t="s">
        <v>5573</v>
      </c>
      <c r="F1298" s="11">
        <v>8.63406079906769E14</v>
      </c>
      <c r="G1298" s="11" t="s">
        <v>5574</v>
      </c>
      <c r="H1298" s="11" t="s">
        <v>4280</v>
      </c>
      <c r="I1298" s="11" t="s">
        <v>16</v>
      </c>
      <c r="J1298" s="37">
        <v>45951.0</v>
      </c>
      <c r="K1298" s="11"/>
      <c r="L1298" s="11">
        <v>2.0251027E7</v>
      </c>
    </row>
    <row r="1299">
      <c r="A1299" s="9" t="s">
        <v>4654</v>
      </c>
      <c r="B1299" s="11" t="s">
        <v>30</v>
      </c>
      <c r="C1299" s="11" t="s">
        <v>35</v>
      </c>
      <c r="D1299" s="11" t="s">
        <v>37</v>
      </c>
      <c r="E1299" s="11" t="s">
        <v>5575</v>
      </c>
      <c r="F1299" s="11">
        <v>8.64501077836924E14</v>
      </c>
      <c r="G1299" s="11" t="s">
        <v>5576</v>
      </c>
      <c r="H1299" s="11" t="s">
        <v>4280</v>
      </c>
      <c r="I1299" s="11" t="s">
        <v>16</v>
      </c>
      <c r="J1299" s="37">
        <v>45951.0</v>
      </c>
      <c r="K1299" s="11"/>
      <c r="L1299" s="11">
        <v>2.0251027E7</v>
      </c>
    </row>
    <row r="1300">
      <c r="A1300" s="9" t="s">
        <v>4654</v>
      </c>
      <c r="B1300" s="11" t="s">
        <v>30</v>
      </c>
      <c r="C1300" s="11" t="s">
        <v>35</v>
      </c>
      <c r="D1300" s="11" t="s">
        <v>37</v>
      </c>
      <c r="E1300" s="11" t="s">
        <v>5577</v>
      </c>
      <c r="F1300" s="11">
        <v>8.63406079906645E14</v>
      </c>
      <c r="G1300" s="11" t="s">
        <v>5578</v>
      </c>
      <c r="H1300" s="11" t="s">
        <v>4280</v>
      </c>
      <c r="I1300" s="11" t="s">
        <v>16</v>
      </c>
      <c r="J1300" s="37">
        <v>45951.0</v>
      </c>
      <c r="K1300" s="11"/>
      <c r="L1300" s="11">
        <v>2.0251027E7</v>
      </c>
    </row>
    <row r="1301">
      <c r="A1301" s="9" t="s">
        <v>4654</v>
      </c>
      <c r="B1301" s="11" t="s">
        <v>30</v>
      </c>
      <c r="C1301" s="11" t="s">
        <v>35</v>
      </c>
      <c r="D1301" s="11" t="s">
        <v>37</v>
      </c>
      <c r="E1301" s="11" t="s">
        <v>5579</v>
      </c>
      <c r="F1301" s="11">
        <v>8.64501077847772E14</v>
      </c>
      <c r="G1301" s="11" t="s">
        <v>5580</v>
      </c>
      <c r="H1301" s="11" t="s">
        <v>4280</v>
      </c>
      <c r="I1301" s="11" t="s">
        <v>16</v>
      </c>
      <c r="J1301" s="37">
        <v>45951.0</v>
      </c>
      <c r="K1301" s="11"/>
      <c r="L1301" s="11">
        <v>2.0251027E7</v>
      </c>
    </row>
    <row r="1302">
      <c r="A1302" s="9" t="s">
        <v>4654</v>
      </c>
      <c r="B1302" s="11" t="s">
        <v>30</v>
      </c>
      <c r="C1302" s="11" t="s">
        <v>35</v>
      </c>
      <c r="D1302" s="11" t="s">
        <v>37</v>
      </c>
      <c r="E1302" s="11" t="s">
        <v>5581</v>
      </c>
      <c r="F1302" s="11">
        <v>8.63406079906736E14</v>
      </c>
      <c r="G1302" s="11" t="s">
        <v>5582</v>
      </c>
      <c r="H1302" s="11" t="s">
        <v>4280</v>
      </c>
      <c r="I1302" s="11" t="s">
        <v>16</v>
      </c>
      <c r="J1302" s="37">
        <v>45951.0</v>
      </c>
      <c r="K1302" s="11"/>
      <c r="L1302" s="11">
        <v>2.0251027E7</v>
      </c>
    </row>
    <row r="1303">
      <c r="A1303" s="9" t="s">
        <v>4654</v>
      </c>
      <c r="B1303" s="11" t="s">
        <v>30</v>
      </c>
      <c r="C1303" s="11" t="s">
        <v>35</v>
      </c>
      <c r="D1303" s="11" t="s">
        <v>37</v>
      </c>
      <c r="E1303" s="11" t="s">
        <v>5583</v>
      </c>
      <c r="F1303" s="11">
        <v>8.64501077838003E14</v>
      </c>
      <c r="G1303" s="11" t="s">
        <v>5584</v>
      </c>
      <c r="H1303" s="11" t="s">
        <v>4280</v>
      </c>
      <c r="I1303" s="11" t="s">
        <v>16</v>
      </c>
      <c r="J1303" s="37">
        <v>45951.0</v>
      </c>
      <c r="K1303" s="11"/>
      <c r="L1303" s="11">
        <v>2.0251027E7</v>
      </c>
    </row>
    <row r="1304">
      <c r="A1304" s="9" t="s">
        <v>4654</v>
      </c>
      <c r="B1304" s="11" t="s">
        <v>30</v>
      </c>
      <c r="C1304" s="11" t="s">
        <v>35</v>
      </c>
      <c r="D1304" s="11" t="s">
        <v>37</v>
      </c>
      <c r="E1304" s="11" t="s">
        <v>5585</v>
      </c>
      <c r="F1304" s="11">
        <v>8.63406079906173E14</v>
      </c>
      <c r="G1304" s="11" t="s">
        <v>5586</v>
      </c>
      <c r="H1304" s="11" t="s">
        <v>4280</v>
      </c>
      <c r="I1304" s="11" t="s">
        <v>16</v>
      </c>
      <c r="J1304" s="37">
        <v>45951.0</v>
      </c>
      <c r="K1304" s="11"/>
      <c r="L1304" s="11">
        <v>2.0251027E7</v>
      </c>
    </row>
    <row r="1305">
      <c r="A1305" s="9" t="s">
        <v>4654</v>
      </c>
      <c r="B1305" s="11" t="s">
        <v>30</v>
      </c>
      <c r="C1305" s="11" t="s">
        <v>35</v>
      </c>
      <c r="D1305" s="11" t="s">
        <v>37</v>
      </c>
      <c r="E1305" s="11" t="s">
        <v>5587</v>
      </c>
      <c r="F1305" s="11">
        <v>8.6340607990567E14</v>
      </c>
      <c r="G1305" s="11" t="s">
        <v>5588</v>
      </c>
      <c r="H1305" s="11" t="s">
        <v>4280</v>
      </c>
      <c r="I1305" s="11" t="s">
        <v>16</v>
      </c>
      <c r="J1305" s="37">
        <v>45951.0</v>
      </c>
      <c r="K1305" s="11"/>
      <c r="L1305" s="11">
        <v>2.0251027E7</v>
      </c>
    </row>
    <row r="1306">
      <c r="A1306" s="9" t="s">
        <v>4654</v>
      </c>
      <c r="B1306" s="11" t="s">
        <v>30</v>
      </c>
      <c r="C1306" s="11" t="s">
        <v>35</v>
      </c>
      <c r="D1306" s="11" t="s">
        <v>37</v>
      </c>
      <c r="E1306" s="11" t="s">
        <v>5589</v>
      </c>
      <c r="F1306" s="11">
        <v>8.63406079905175E14</v>
      </c>
      <c r="G1306" s="11" t="s">
        <v>5590</v>
      </c>
      <c r="H1306" s="11" t="s">
        <v>4280</v>
      </c>
      <c r="I1306" s="11" t="s">
        <v>16</v>
      </c>
      <c r="J1306" s="37">
        <v>45951.0</v>
      </c>
      <c r="K1306" s="11"/>
      <c r="L1306" s="11">
        <v>2.0251027E7</v>
      </c>
    </row>
    <row r="1307">
      <c r="A1307" s="9" t="s">
        <v>4654</v>
      </c>
      <c r="B1307" s="11" t="s">
        <v>30</v>
      </c>
      <c r="C1307" s="11" t="s">
        <v>35</v>
      </c>
      <c r="D1307" s="11" t="s">
        <v>37</v>
      </c>
      <c r="E1307" s="11" t="s">
        <v>5591</v>
      </c>
      <c r="F1307" s="11">
        <v>8.63406079904152E14</v>
      </c>
      <c r="G1307" s="11" t="s">
        <v>5592</v>
      </c>
      <c r="H1307" s="11" t="s">
        <v>4280</v>
      </c>
      <c r="I1307" s="11" t="s">
        <v>16</v>
      </c>
      <c r="J1307" s="37">
        <v>45951.0</v>
      </c>
      <c r="K1307" s="11"/>
      <c r="L1307" s="11">
        <v>2.0251027E7</v>
      </c>
    </row>
    <row r="1308">
      <c r="A1308" s="9" t="s">
        <v>4654</v>
      </c>
      <c r="B1308" s="11" t="s">
        <v>30</v>
      </c>
      <c r="C1308" s="11" t="s">
        <v>35</v>
      </c>
      <c r="D1308" s="11" t="s">
        <v>37</v>
      </c>
      <c r="E1308" s="11" t="s">
        <v>5593</v>
      </c>
      <c r="F1308" s="11">
        <v>8.64501077837542E14</v>
      </c>
      <c r="G1308" s="11" t="s">
        <v>5594</v>
      </c>
      <c r="H1308" s="11" t="s">
        <v>4280</v>
      </c>
      <c r="I1308" s="11" t="s">
        <v>16</v>
      </c>
      <c r="J1308" s="37">
        <v>45951.0</v>
      </c>
      <c r="K1308" s="11"/>
      <c r="L1308" s="11">
        <v>2.0251027E7</v>
      </c>
    </row>
    <row r="1309">
      <c r="A1309" s="9" t="s">
        <v>4654</v>
      </c>
      <c r="B1309" s="11" t="s">
        <v>30</v>
      </c>
      <c r="C1309" s="11" t="s">
        <v>35</v>
      </c>
      <c r="D1309" s="11" t="s">
        <v>37</v>
      </c>
      <c r="E1309" s="11" t="s">
        <v>5595</v>
      </c>
      <c r="F1309" s="11">
        <v>8.63406079907452E14</v>
      </c>
      <c r="G1309" s="11" t="s">
        <v>5596</v>
      </c>
      <c r="H1309" s="11" t="s">
        <v>4280</v>
      </c>
      <c r="I1309" s="11" t="s">
        <v>16</v>
      </c>
      <c r="J1309" s="37">
        <v>45951.0</v>
      </c>
      <c r="K1309" s="11"/>
      <c r="L1309" s="11">
        <v>2.0251027E7</v>
      </c>
    </row>
    <row r="1310">
      <c r="A1310" s="9" t="s">
        <v>4654</v>
      </c>
      <c r="B1310" s="11" t="s">
        <v>30</v>
      </c>
      <c r="C1310" s="11" t="s">
        <v>35</v>
      </c>
      <c r="D1310" s="11" t="s">
        <v>37</v>
      </c>
      <c r="E1310" s="11" t="s">
        <v>5597</v>
      </c>
      <c r="F1310" s="11">
        <v>8.63406079907346E14</v>
      </c>
      <c r="G1310" s="11" t="s">
        <v>5598</v>
      </c>
      <c r="H1310" s="11" t="s">
        <v>4280</v>
      </c>
      <c r="I1310" s="11" t="s">
        <v>16</v>
      </c>
      <c r="J1310" s="37">
        <v>45951.0</v>
      </c>
      <c r="K1310" s="11"/>
      <c r="L1310" s="11">
        <v>2.0251027E7</v>
      </c>
    </row>
    <row r="1311">
      <c r="A1311" s="9" t="s">
        <v>4654</v>
      </c>
      <c r="B1311" s="11" t="s">
        <v>30</v>
      </c>
      <c r="C1311" s="11" t="s">
        <v>35</v>
      </c>
      <c r="D1311" s="11" t="s">
        <v>37</v>
      </c>
      <c r="E1311" s="11" t="s">
        <v>5599</v>
      </c>
      <c r="F1311" s="11">
        <v>8.63406079907114E14</v>
      </c>
      <c r="G1311" s="11" t="s">
        <v>5600</v>
      </c>
      <c r="H1311" s="11" t="s">
        <v>4280</v>
      </c>
      <c r="I1311" s="11" t="s">
        <v>16</v>
      </c>
      <c r="J1311" s="37">
        <v>45951.0</v>
      </c>
      <c r="K1311" s="11"/>
      <c r="L1311" s="11">
        <v>2.0251027E7</v>
      </c>
    </row>
    <row r="1312">
      <c r="A1312" s="9" t="s">
        <v>4654</v>
      </c>
      <c r="B1312" s="11" t="s">
        <v>30</v>
      </c>
      <c r="C1312" s="11" t="s">
        <v>35</v>
      </c>
      <c r="D1312" s="11" t="s">
        <v>37</v>
      </c>
      <c r="E1312" s="11" t="s">
        <v>5601</v>
      </c>
      <c r="F1312" s="11">
        <v>8.63406079905498E14</v>
      </c>
      <c r="G1312" s="11" t="s">
        <v>5602</v>
      </c>
      <c r="H1312" s="11" t="s">
        <v>4280</v>
      </c>
      <c r="I1312" s="11" t="s">
        <v>16</v>
      </c>
      <c r="J1312" s="37">
        <v>45951.0</v>
      </c>
      <c r="K1312" s="11"/>
      <c r="L1312" s="11">
        <v>2.0251027E7</v>
      </c>
    </row>
    <row r="1313">
      <c r="A1313" s="9" t="s">
        <v>4654</v>
      </c>
      <c r="B1313" s="11" t="s">
        <v>30</v>
      </c>
      <c r="C1313" s="11" t="s">
        <v>35</v>
      </c>
      <c r="D1313" s="11" t="s">
        <v>37</v>
      </c>
      <c r="E1313" s="11" t="s">
        <v>5603</v>
      </c>
      <c r="F1313" s="11">
        <v>8.64501077846378E14</v>
      </c>
      <c r="G1313" s="11" t="s">
        <v>5604</v>
      </c>
      <c r="H1313" s="11" t="s">
        <v>4280</v>
      </c>
      <c r="I1313" s="11" t="s">
        <v>16</v>
      </c>
      <c r="J1313" s="37">
        <v>45951.0</v>
      </c>
      <c r="K1313" s="11"/>
      <c r="L1313" s="11">
        <v>2.0251027E7</v>
      </c>
    </row>
    <row r="1314">
      <c r="A1314" s="9" t="s">
        <v>4654</v>
      </c>
      <c r="B1314" s="11" t="s">
        <v>30</v>
      </c>
      <c r="C1314" s="11" t="s">
        <v>35</v>
      </c>
      <c r="D1314" s="11" t="s">
        <v>37</v>
      </c>
      <c r="E1314" s="11" t="s">
        <v>5605</v>
      </c>
      <c r="F1314" s="11">
        <v>8.64501077837575E14</v>
      </c>
      <c r="G1314" s="11" t="s">
        <v>5606</v>
      </c>
      <c r="H1314" s="11" t="s">
        <v>4280</v>
      </c>
      <c r="I1314" s="11" t="s">
        <v>16</v>
      </c>
      <c r="J1314" s="37">
        <v>45951.0</v>
      </c>
      <c r="K1314" s="11"/>
      <c r="L1314" s="11">
        <v>2.0251027E7</v>
      </c>
    </row>
    <row r="1315">
      <c r="A1315" s="9" t="s">
        <v>4654</v>
      </c>
      <c r="B1315" s="11" t="s">
        <v>30</v>
      </c>
      <c r="C1315" s="11" t="s">
        <v>35</v>
      </c>
      <c r="D1315" s="11" t="s">
        <v>37</v>
      </c>
      <c r="E1315" s="11" t="s">
        <v>5607</v>
      </c>
      <c r="F1315" s="11">
        <v>8.64501077846782E14</v>
      </c>
      <c r="G1315" s="11" t="s">
        <v>5608</v>
      </c>
      <c r="H1315" s="11" t="s">
        <v>4280</v>
      </c>
      <c r="I1315" s="11" t="s">
        <v>16</v>
      </c>
      <c r="J1315" s="37">
        <v>45951.0</v>
      </c>
      <c r="K1315" s="11"/>
      <c r="L1315" s="11">
        <v>2.0251027E7</v>
      </c>
    </row>
    <row r="1316">
      <c r="A1316" s="9" t="s">
        <v>4654</v>
      </c>
      <c r="B1316" s="11" t="s">
        <v>30</v>
      </c>
      <c r="C1316" s="11" t="s">
        <v>35</v>
      </c>
      <c r="D1316" s="11" t="s">
        <v>37</v>
      </c>
      <c r="E1316" s="11" t="s">
        <v>5609</v>
      </c>
      <c r="F1316" s="11">
        <v>8.64501077847921E14</v>
      </c>
      <c r="G1316" s="11" t="s">
        <v>5610</v>
      </c>
      <c r="H1316" s="11" t="s">
        <v>4280</v>
      </c>
      <c r="I1316" s="11" t="s">
        <v>16</v>
      </c>
      <c r="J1316" s="37">
        <v>45951.0</v>
      </c>
      <c r="K1316" s="11"/>
      <c r="L1316" s="11">
        <v>2.0251027E7</v>
      </c>
    </row>
    <row r="1317">
      <c r="A1317" s="9" t="s">
        <v>4654</v>
      </c>
      <c r="B1317" s="11" t="s">
        <v>30</v>
      </c>
      <c r="C1317" s="11" t="s">
        <v>35</v>
      </c>
      <c r="D1317" s="11" t="s">
        <v>37</v>
      </c>
      <c r="E1317" s="11" t="s">
        <v>5611</v>
      </c>
      <c r="F1317" s="11">
        <v>8.64501077847194E14</v>
      </c>
      <c r="G1317" s="11" t="s">
        <v>5612</v>
      </c>
      <c r="H1317" s="11" t="s">
        <v>4280</v>
      </c>
      <c r="I1317" s="11" t="s">
        <v>16</v>
      </c>
      <c r="J1317" s="37">
        <v>45951.0</v>
      </c>
      <c r="K1317" s="11"/>
      <c r="L1317" s="11">
        <v>2.0251027E7</v>
      </c>
    </row>
    <row r="1318">
      <c r="A1318" s="9" t="s">
        <v>4654</v>
      </c>
      <c r="B1318" s="11" t="s">
        <v>30</v>
      </c>
      <c r="C1318" s="11" t="s">
        <v>35</v>
      </c>
      <c r="D1318" s="11" t="s">
        <v>37</v>
      </c>
      <c r="E1318" s="11" t="s">
        <v>5613</v>
      </c>
      <c r="F1318" s="11">
        <v>8.63406078320046E14</v>
      </c>
      <c r="G1318" s="11" t="s">
        <v>5614</v>
      </c>
      <c r="H1318" s="11" t="s">
        <v>4280</v>
      </c>
      <c r="I1318" s="11" t="s">
        <v>16</v>
      </c>
      <c r="J1318" s="37">
        <v>45951.0</v>
      </c>
      <c r="K1318" s="11"/>
      <c r="L1318" s="11">
        <v>2.0251027E7</v>
      </c>
    </row>
    <row r="1319">
      <c r="A1319" s="9" t="s">
        <v>4654</v>
      </c>
      <c r="B1319" s="11" t="s">
        <v>30</v>
      </c>
      <c r="C1319" s="11" t="s">
        <v>35</v>
      </c>
      <c r="D1319" s="11" t="s">
        <v>37</v>
      </c>
      <c r="E1319" s="11" t="s">
        <v>5615</v>
      </c>
      <c r="F1319" s="11">
        <v>8.64501075645178E14</v>
      </c>
      <c r="G1319" s="11" t="s">
        <v>5616</v>
      </c>
      <c r="H1319" s="11" t="s">
        <v>4280</v>
      </c>
      <c r="I1319" s="11" t="s">
        <v>16</v>
      </c>
      <c r="J1319" s="37">
        <v>45951.0</v>
      </c>
      <c r="K1319" s="11"/>
      <c r="L1319" s="11">
        <v>2.0251027E7</v>
      </c>
    </row>
    <row r="1320">
      <c r="A1320" s="9" t="s">
        <v>4654</v>
      </c>
      <c r="B1320" s="11" t="s">
        <v>30</v>
      </c>
      <c r="C1320" s="11" t="s">
        <v>35</v>
      </c>
      <c r="D1320" s="11" t="s">
        <v>37</v>
      </c>
      <c r="E1320" s="11" t="s">
        <v>5617</v>
      </c>
      <c r="F1320" s="11">
        <v>8.64501075644379E14</v>
      </c>
      <c r="G1320" s="11" t="s">
        <v>5618</v>
      </c>
      <c r="H1320" s="11" t="s">
        <v>4280</v>
      </c>
      <c r="I1320" s="11" t="s">
        <v>16</v>
      </c>
      <c r="J1320" s="37">
        <v>45951.0</v>
      </c>
      <c r="K1320" s="11"/>
      <c r="L1320" s="11">
        <v>2.0251027E7</v>
      </c>
    </row>
    <row r="1321">
      <c r="A1321" s="9" t="s">
        <v>4654</v>
      </c>
      <c r="B1321" s="11" t="s">
        <v>30</v>
      </c>
      <c r="C1321" s="11" t="s">
        <v>35</v>
      </c>
      <c r="D1321" s="11" t="s">
        <v>37</v>
      </c>
      <c r="E1321" s="11" t="s">
        <v>5619</v>
      </c>
      <c r="F1321" s="11">
        <v>8.64501077844357E14</v>
      </c>
      <c r="G1321" s="11" t="s">
        <v>5620</v>
      </c>
      <c r="H1321" s="11" t="s">
        <v>4280</v>
      </c>
      <c r="I1321" s="11" t="s">
        <v>16</v>
      </c>
      <c r="J1321" s="37">
        <v>45951.0</v>
      </c>
      <c r="K1321" s="11"/>
      <c r="L1321" s="11">
        <v>2.0251027E7</v>
      </c>
    </row>
    <row r="1322">
      <c r="A1322" s="9" t="s">
        <v>4654</v>
      </c>
      <c r="B1322" s="11" t="s">
        <v>30</v>
      </c>
      <c r="C1322" s="11" t="s">
        <v>35</v>
      </c>
      <c r="D1322" s="11" t="s">
        <v>37</v>
      </c>
      <c r="E1322" s="11" t="s">
        <v>5621</v>
      </c>
      <c r="F1322" s="11">
        <v>8.64501077846014E14</v>
      </c>
      <c r="G1322" s="11" t="s">
        <v>5622</v>
      </c>
      <c r="H1322" s="11" t="s">
        <v>4280</v>
      </c>
      <c r="I1322" s="11" t="s">
        <v>16</v>
      </c>
      <c r="J1322" s="37">
        <v>45951.0</v>
      </c>
      <c r="K1322" s="11"/>
      <c r="L1322" s="11">
        <v>2.0251027E7</v>
      </c>
    </row>
    <row r="1323">
      <c r="A1323" s="9" t="s">
        <v>4654</v>
      </c>
      <c r="B1323" s="11" t="s">
        <v>30</v>
      </c>
      <c r="C1323" s="11" t="s">
        <v>35</v>
      </c>
      <c r="D1323" s="11" t="s">
        <v>37</v>
      </c>
      <c r="E1323" s="11" t="s">
        <v>5623</v>
      </c>
      <c r="F1323" s="11">
        <v>8.64501077846287E14</v>
      </c>
      <c r="G1323" s="11" t="s">
        <v>5624</v>
      </c>
      <c r="H1323" s="11" t="s">
        <v>4280</v>
      </c>
      <c r="I1323" s="11" t="s">
        <v>16</v>
      </c>
      <c r="J1323" s="37">
        <v>45951.0</v>
      </c>
      <c r="K1323" s="11"/>
      <c r="L1323" s="11">
        <v>2.0251027E7</v>
      </c>
    </row>
    <row r="1324">
      <c r="A1324" s="9" t="s">
        <v>4654</v>
      </c>
      <c r="B1324" s="11" t="s">
        <v>30</v>
      </c>
      <c r="C1324" s="11" t="s">
        <v>35</v>
      </c>
      <c r="D1324" s="11" t="s">
        <v>37</v>
      </c>
      <c r="E1324" s="11" t="s">
        <v>5625</v>
      </c>
      <c r="F1324" s="11">
        <v>8.64501077836767E14</v>
      </c>
      <c r="G1324" s="11" t="s">
        <v>5626</v>
      </c>
      <c r="H1324" s="11" t="s">
        <v>4280</v>
      </c>
      <c r="I1324" s="11" t="s">
        <v>16</v>
      </c>
      <c r="J1324" s="37">
        <v>45951.0</v>
      </c>
      <c r="K1324" s="11"/>
      <c r="L1324" s="11">
        <v>2.0251027E7</v>
      </c>
    </row>
    <row r="1325">
      <c r="A1325" s="9" t="s">
        <v>4654</v>
      </c>
      <c r="B1325" s="11" t="s">
        <v>30</v>
      </c>
      <c r="C1325" s="11" t="s">
        <v>35</v>
      </c>
      <c r="D1325" s="11" t="s">
        <v>37</v>
      </c>
      <c r="E1325" s="11" t="s">
        <v>5627</v>
      </c>
      <c r="F1325" s="11">
        <v>8.64501077841635E14</v>
      </c>
      <c r="G1325" s="11" t="s">
        <v>5628</v>
      </c>
      <c r="H1325" s="11" t="s">
        <v>4280</v>
      </c>
      <c r="I1325" s="11" t="s">
        <v>16</v>
      </c>
      <c r="J1325" s="37">
        <v>45951.0</v>
      </c>
      <c r="K1325" s="11"/>
      <c r="L1325" s="11">
        <v>2.0251027E7</v>
      </c>
    </row>
    <row r="1326">
      <c r="A1326" s="9" t="s">
        <v>4654</v>
      </c>
      <c r="B1326" s="11" t="s">
        <v>30</v>
      </c>
      <c r="C1326" s="11" t="s">
        <v>35</v>
      </c>
      <c r="D1326" s="11" t="s">
        <v>37</v>
      </c>
      <c r="E1326" s="11" t="s">
        <v>5629</v>
      </c>
      <c r="F1326" s="11">
        <v>8.645010778417E14</v>
      </c>
      <c r="G1326" s="11" t="s">
        <v>5630</v>
      </c>
      <c r="H1326" s="11" t="s">
        <v>4280</v>
      </c>
      <c r="I1326" s="11" t="s">
        <v>16</v>
      </c>
      <c r="J1326" s="37">
        <v>45951.0</v>
      </c>
      <c r="K1326" s="11"/>
      <c r="L1326" s="11">
        <v>2.0251027E7</v>
      </c>
    </row>
    <row r="1327">
      <c r="A1327" s="9" t="s">
        <v>4654</v>
      </c>
      <c r="B1327" s="11" t="s">
        <v>30</v>
      </c>
      <c r="C1327" s="11" t="s">
        <v>35</v>
      </c>
      <c r="D1327" s="11" t="s">
        <v>37</v>
      </c>
      <c r="E1327" s="11" t="s">
        <v>5631</v>
      </c>
      <c r="F1327" s="11">
        <v>8.64501077844886E14</v>
      </c>
      <c r="G1327" s="11" t="s">
        <v>5632</v>
      </c>
      <c r="H1327" s="11" t="s">
        <v>4280</v>
      </c>
      <c r="I1327" s="11" t="s">
        <v>16</v>
      </c>
      <c r="J1327" s="37">
        <v>45951.0</v>
      </c>
      <c r="K1327" s="11"/>
      <c r="L1327" s="11">
        <v>2.0251027E7</v>
      </c>
    </row>
    <row r="1328">
      <c r="A1328" s="9" t="s">
        <v>4654</v>
      </c>
      <c r="B1328" s="11" t="s">
        <v>30</v>
      </c>
      <c r="C1328" s="11" t="s">
        <v>35</v>
      </c>
      <c r="D1328" s="11" t="s">
        <v>37</v>
      </c>
      <c r="E1328" s="11" t="s">
        <v>5633</v>
      </c>
      <c r="F1328" s="11">
        <v>8.64501077837831E14</v>
      </c>
      <c r="G1328" s="11" t="s">
        <v>5634</v>
      </c>
      <c r="H1328" s="11" t="s">
        <v>4280</v>
      </c>
      <c r="I1328" s="11" t="s">
        <v>16</v>
      </c>
      <c r="J1328" s="37">
        <v>45951.0</v>
      </c>
      <c r="K1328" s="11"/>
      <c r="L1328" s="11">
        <v>2.0251027E7</v>
      </c>
    </row>
    <row r="1329">
      <c r="A1329" s="9" t="s">
        <v>4654</v>
      </c>
      <c r="B1329" s="11" t="s">
        <v>30</v>
      </c>
      <c r="C1329" s="11" t="s">
        <v>35</v>
      </c>
      <c r="D1329" s="11" t="s">
        <v>37</v>
      </c>
      <c r="E1329" s="11" t="s">
        <v>5635</v>
      </c>
      <c r="F1329" s="11">
        <v>8.63406079905464E14</v>
      </c>
      <c r="G1329" s="11" t="s">
        <v>5636</v>
      </c>
      <c r="H1329" s="11" t="s">
        <v>4280</v>
      </c>
      <c r="I1329" s="11" t="s">
        <v>16</v>
      </c>
      <c r="J1329" s="37">
        <v>45951.0</v>
      </c>
      <c r="K1329" s="11"/>
      <c r="L1329" s="11">
        <v>2.0251027E7</v>
      </c>
    </row>
    <row r="1330">
      <c r="A1330" s="9" t="s">
        <v>4654</v>
      </c>
      <c r="B1330" s="11" t="s">
        <v>30</v>
      </c>
      <c r="C1330" s="11" t="s">
        <v>35</v>
      </c>
      <c r="D1330" s="11" t="s">
        <v>37</v>
      </c>
      <c r="E1330" s="11" t="s">
        <v>5637</v>
      </c>
      <c r="F1330" s="11">
        <v>8.64501077837724E14</v>
      </c>
      <c r="G1330" s="11" t="s">
        <v>5638</v>
      </c>
      <c r="H1330" s="11" t="s">
        <v>4280</v>
      </c>
      <c r="I1330" s="11" t="s">
        <v>16</v>
      </c>
      <c r="J1330" s="37">
        <v>45951.0</v>
      </c>
      <c r="K1330" s="11"/>
      <c r="L1330" s="11">
        <v>2.0251027E7</v>
      </c>
    </row>
    <row r="1331">
      <c r="A1331" s="9" t="s">
        <v>4654</v>
      </c>
      <c r="B1331" s="11" t="s">
        <v>30</v>
      </c>
      <c r="C1331" s="11" t="s">
        <v>35</v>
      </c>
      <c r="D1331" s="11" t="s">
        <v>37</v>
      </c>
      <c r="E1331" s="11" t="s">
        <v>5639</v>
      </c>
      <c r="F1331" s="11">
        <v>8.63406079905423E14</v>
      </c>
      <c r="G1331" s="11" t="s">
        <v>5640</v>
      </c>
      <c r="H1331" s="11" t="s">
        <v>4280</v>
      </c>
      <c r="I1331" s="11" t="s">
        <v>16</v>
      </c>
      <c r="J1331" s="37">
        <v>45951.0</v>
      </c>
      <c r="K1331" s="11"/>
      <c r="L1331" s="11">
        <v>2.0251027E7</v>
      </c>
    </row>
    <row r="1332">
      <c r="A1332" s="9" t="s">
        <v>4654</v>
      </c>
      <c r="B1332" s="11" t="s">
        <v>30</v>
      </c>
      <c r="C1332" s="11" t="s">
        <v>35</v>
      </c>
      <c r="D1332" s="11" t="s">
        <v>37</v>
      </c>
      <c r="E1332" s="11" t="s">
        <v>5641</v>
      </c>
      <c r="F1332" s="11">
        <v>8.63406079905316E14</v>
      </c>
      <c r="G1332" s="11" t="s">
        <v>5642</v>
      </c>
      <c r="H1332" s="11" t="s">
        <v>4280</v>
      </c>
      <c r="I1332" s="11" t="s">
        <v>16</v>
      </c>
      <c r="J1332" s="37">
        <v>45951.0</v>
      </c>
      <c r="K1332" s="11"/>
      <c r="L1332" s="11">
        <v>2.0251027E7</v>
      </c>
    </row>
    <row r="1333">
      <c r="A1333" s="9" t="s">
        <v>4654</v>
      </c>
      <c r="B1333" s="11" t="s">
        <v>30</v>
      </c>
      <c r="C1333" s="11" t="s">
        <v>35</v>
      </c>
      <c r="D1333" s="11" t="s">
        <v>37</v>
      </c>
      <c r="E1333" s="11" t="s">
        <v>5643</v>
      </c>
      <c r="F1333" s="11">
        <v>8.63406079906314E14</v>
      </c>
      <c r="G1333" s="11" t="s">
        <v>5644</v>
      </c>
      <c r="H1333" s="11" t="s">
        <v>4280</v>
      </c>
      <c r="I1333" s="11" t="s">
        <v>16</v>
      </c>
      <c r="J1333" s="37">
        <v>45951.0</v>
      </c>
      <c r="K1333" s="11"/>
      <c r="L1333" s="11">
        <v>2.0251027E7</v>
      </c>
    </row>
    <row r="1334">
      <c r="A1334" s="9" t="s">
        <v>4654</v>
      </c>
      <c r="B1334" s="11" t="s">
        <v>30</v>
      </c>
      <c r="C1334" s="11" t="s">
        <v>35</v>
      </c>
      <c r="D1334" s="11" t="s">
        <v>37</v>
      </c>
      <c r="E1334" s="11" t="s">
        <v>5645</v>
      </c>
      <c r="F1334" s="11">
        <v>8.64501077837617E14</v>
      </c>
      <c r="G1334" s="11" t="s">
        <v>5646</v>
      </c>
      <c r="H1334" s="11" t="s">
        <v>4280</v>
      </c>
      <c r="I1334" s="11" t="s">
        <v>16</v>
      </c>
      <c r="J1334" s="37">
        <v>45951.0</v>
      </c>
      <c r="K1334" s="11"/>
      <c r="L1334" s="11">
        <v>2.0251027E7</v>
      </c>
    </row>
    <row r="1335">
      <c r="A1335" s="9" t="s">
        <v>4654</v>
      </c>
      <c r="B1335" s="11" t="s">
        <v>30</v>
      </c>
      <c r="C1335" s="11" t="s">
        <v>35</v>
      </c>
      <c r="D1335" s="11" t="s">
        <v>37</v>
      </c>
      <c r="E1335" s="11" t="s">
        <v>5647</v>
      </c>
      <c r="F1335" s="11">
        <v>8.64501077842633E14</v>
      </c>
      <c r="G1335" s="11" t="s">
        <v>5648</v>
      </c>
      <c r="H1335" s="11" t="s">
        <v>4280</v>
      </c>
      <c r="I1335" s="11" t="s">
        <v>16</v>
      </c>
      <c r="J1335" s="37">
        <v>45951.0</v>
      </c>
      <c r="K1335" s="11"/>
      <c r="L1335" s="11">
        <v>2.0251027E7</v>
      </c>
    </row>
    <row r="1336">
      <c r="A1336" s="9" t="s">
        <v>4654</v>
      </c>
      <c r="B1336" s="11" t="s">
        <v>30</v>
      </c>
      <c r="C1336" s="11" t="s">
        <v>35</v>
      </c>
      <c r="D1336" s="11" t="s">
        <v>37</v>
      </c>
      <c r="E1336" s="11" t="s">
        <v>5649</v>
      </c>
      <c r="F1336" s="11">
        <v>8.64501077843003E14</v>
      </c>
      <c r="G1336" s="11" t="s">
        <v>5650</v>
      </c>
      <c r="H1336" s="11" t="s">
        <v>4280</v>
      </c>
      <c r="I1336" s="11" t="s">
        <v>16</v>
      </c>
      <c r="J1336" s="37">
        <v>45951.0</v>
      </c>
      <c r="K1336" s="11"/>
      <c r="L1336" s="11">
        <v>2.0251027E7</v>
      </c>
    </row>
    <row r="1337">
      <c r="A1337" s="9" t="s">
        <v>4654</v>
      </c>
      <c r="B1337" s="11" t="s">
        <v>30</v>
      </c>
      <c r="C1337" s="11" t="s">
        <v>35</v>
      </c>
      <c r="D1337" s="11" t="s">
        <v>37</v>
      </c>
      <c r="E1337" s="11" t="s">
        <v>5651</v>
      </c>
      <c r="F1337" s="11">
        <v>8.63406079907403E14</v>
      </c>
      <c r="G1337" s="11" t="s">
        <v>5652</v>
      </c>
      <c r="H1337" s="11" t="s">
        <v>4280</v>
      </c>
      <c r="I1337" s="11" t="s">
        <v>16</v>
      </c>
      <c r="J1337" s="37">
        <v>45951.0</v>
      </c>
      <c r="K1337" s="11"/>
      <c r="L1337" s="11">
        <v>2.0251027E7</v>
      </c>
    </row>
    <row r="1338">
      <c r="A1338" s="9" t="s">
        <v>4654</v>
      </c>
      <c r="B1338" s="11" t="s">
        <v>30</v>
      </c>
      <c r="C1338" s="11" t="s">
        <v>35</v>
      </c>
      <c r="D1338" s="11" t="s">
        <v>37</v>
      </c>
      <c r="E1338" s="11" t="s">
        <v>5653</v>
      </c>
      <c r="F1338" s="11">
        <v>8.63406079907387E14</v>
      </c>
      <c r="G1338" s="11" t="s">
        <v>5654</v>
      </c>
      <c r="H1338" s="11" t="s">
        <v>4280</v>
      </c>
      <c r="I1338" s="11" t="s">
        <v>16</v>
      </c>
      <c r="J1338" s="37">
        <v>45951.0</v>
      </c>
      <c r="K1338" s="11"/>
      <c r="L1338" s="11">
        <v>2.0251027E7</v>
      </c>
    </row>
    <row r="1339">
      <c r="A1339" s="9" t="s">
        <v>4654</v>
      </c>
      <c r="B1339" s="11" t="s">
        <v>30</v>
      </c>
      <c r="C1339" s="11" t="s">
        <v>35</v>
      </c>
      <c r="D1339" s="11" t="s">
        <v>37</v>
      </c>
      <c r="E1339" s="11" t="s">
        <v>5655</v>
      </c>
      <c r="F1339" s="11">
        <v>8.63406079905209E14</v>
      </c>
      <c r="G1339" s="11" t="s">
        <v>5656</v>
      </c>
      <c r="H1339" s="11" t="s">
        <v>4280</v>
      </c>
      <c r="I1339" s="11" t="s">
        <v>16</v>
      </c>
      <c r="J1339" s="37">
        <v>45951.0</v>
      </c>
      <c r="K1339" s="11"/>
      <c r="L1339" s="11">
        <v>2.0251027E7</v>
      </c>
    </row>
    <row r="1340">
      <c r="A1340" s="9" t="s">
        <v>4654</v>
      </c>
      <c r="B1340" s="11" t="s">
        <v>30</v>
      </c>
      <c r="C1340" s="11" t="s">
        <v>35</v>
      </c>
      <c r="D1340" s="11" t="s">
        <v>37</v>
      </c>
      <c r="E1340" s="11" t="s">
        <v>5657</v>
      </c>
      <c r="F1340" s="11">
        <v>8.63406079907551E14</v>
      </c>
      <c r="G1340" s="11" t="s">
        <v>5658</v>
      </c>
      <c r="H1340" s="11" t="s">
        <v>4280</v>
      </c>
      <c r="I1340" s="11" t="s">
        <v>16</v>
      </c>
      <c r="J1340" s="37">
        <v>45951.0</v>
      </c>
      <c r="K1340" s="11"/>
      <c r="L1340" s="11">
        <v>2.0251027E7</v>
      </c>
    </row>
    <row r="1341">
      <c r="A1341" s="9" t="s">
        <v>4654</v>
      </c>
      <c r="B1341" s="11" t="s">
        <v>30</v>
      </c>
      <c r="C1341" s="11" t="s">
        <v>35</v>
      </c>
      <c r="D1341" s="11" t="s">
        <v>37</v>
      </c>
      <c r="E1341" s="11" t="s">
        <v>5659</v>
      </c>
      <c r="F1341" s="11">
        <v>8.64501077843862E14</v>
      </c>
      <c r="G1341" s="11" t="s">
        <v>5660</v>
      </c>
      <c r="H1341" s="11" t="s">
        <v>4280</v>
      </c>
      <c r="I1341" s="11" t="s">
        <v>16</v>
      </c>
      <c r="J1341" s="37">
        <v>45951.0</v>
      </c>
      <c r="K1341" s="11"/>
      <c r="L1341" s="11">
        <v>2.0251027E7</v>
      </c>
    </row>
    <row r="1342">
      <c r="A1342" s="9" t="s">
        <v>4654</v>
      </c>
      <c r="B1342" s="11" t="s">
        <v>30</v>
      </c>
      <c r="C1342" s="11" t="s">
        <v>35</v>
      </c>
      <c r="D1342" s="11" t="s">
        <v>37</v>
      </c>
      <c r="E1342" s="11" t="s">
        <v>5661</v>
      </c>
      <c r="F1342" s="11">
        <v>8.63406079912262E14</v>
      </c>
      <c r="G1342" s="11" t="s">
        <v>5662</v>
      </c>
      <c r="H1342" s="11" t="s">
        <v>4280</v>
      </c>
      <c r="I1342" s="11" t="s">
        <v>16</v>
      </c>
      <c r="J1342" s="37">
        <v>45951.0</v>
      </c>
      <c r="K1342" s="11"/>
      <c r="L1342" s="11">
        <v>2.0251027E7</v>
      </c>
    </row>
    <row r="1343">
      <c r="A1343" s="9" t="s">
        <v>4654</v>
      </c>
      <c r="B1343" s="11" t="s">
        <v>30</v>
      </c>
      <c r="C1343" s="11" t="s">
        <v>35</v>
      </c>
      <c r="D1343" s="11" t="s">
        <v>37</v>
      </c>
      <c r="E1343" s="11" t="s">
        <v>5663</v>
      </c>
      <c r="F1343" s="11">
        <v>8.63406079905738E14</v>
      </c>
      <c r="G1343" s="11" t="s">
        <v>5664</v>
      </c>
      <c r="H1343" s="11" t="s">
        <v>4280</v>
      </c>
      <c r="I1343" s="11" t="s">
        <v>16</v>
      </c>
      <c r="J1343" s="37">
        <v>45951.0</v>
      </c>
      <c r="K1343" s="11"/>
      <c r="L1343" s="11">
        <v>2.0251027E7</v>
      </c>
    </row>
    <row r="1344">
      <c r="A1344" s="9" t="s">
        <v>4654</v>
      </c>
      <c r="B1344" s="11" t="s">
        <v>30</v>
      </c>
      <c r="C1344" s="11" t="s">
        <v>35</v>
      </c>
      <c r="D1344" s="11" t="s">
        <v>37</v>
      </c>
      <c r="E1344" s="11" t="s">
        <v>5665</v>
      </c>
      <c r="F1344" s="11">
        <v>8.6340607990275E14</v>
      </c>
      <c r="G1344" s="11" t="s">
        <v>5666</v>
      </c>
      <c r="H1344" s="11" t="s">
        <v>4280</v>
      </c>
      <c r="I1344" s="11" t="s">
        <v>16</v>
      </c>
      <c r="J1344" s="37">
        <v>45951.0</v>
      </c>
      <c r="K1344" s="11"/>
      <c r="L1344" s="11">
        <v>2.0251027E7</v>
      </c>
    </row>
    <row r="1345">
      <c r="A1345" s="9" t="s">
        <v>4654</v>
      </c>
      <c r="B1345" s="11" t="s">
        <v>30</v>
      </c>
      <c r="C1345" s="11" t="s">
        <v>35</v>
      </c>
      <c r="D1345" s="11" t="s">
        <v>37</v>
      </c>
      <c r="E1345" s="11" t="s">
        <v>5667</v>
      </c>
      <c r="F1345" s="11">
        <v>8.63406079906306E14</v>
      </c>
      <c r="G1345" s="11" t="s">
        <v>5668</v>
      </c>
      <c r="H1345" s="11" t="s">
        <v>4280</v>
      </c>
      <c r="I1345" s="11" t="s">
        <v>16</v>
      </c>
      <c r="J1345" s="37">
        <v>45951.0</v>
      </c>
      <c r="K1345" s="11"/>
      <c r="L1345" s="11">
        <v>2.0251027E7</v>
      </c>
    </row>
    <row r="1346">
      <c r="A1346" s="9" t="s">
        <v>4654</v>
      </c>
      <c r="B1346" s="11" t="s">
        <v>30</v>
      </c>
      <c r="C1346" s="11" t="s">
        <v>35</v>
      </c>
      <c r="D1346" s="11" t="s">
        <v>37</v>
      </c>
      <c r="E1346" s="11" t="s">
        <v>5669</v>
      </c>
      <c r="F1346" s="11">
        <v>8.64501077837187E14</v>
      </c>
      <c r="G1346" s="11" t="s">
        <v>5670</v>
      </c>
      <c r="H1346" s="11" t="s">
        <v>4280</v>
      </c>
      <c r="I1346" s="11" t="s">
        <v>16</v>
      </c>
      <c r="J1346" s="37">
        <v>45951.0</v>
      </c>
      <c r="K1346" s="11"/>
      <c r="L1346" s="11">
        <v>2.0251027E7</v>
      </c>
    </row>
    <row r="1347">
      <c r="A1347" s="9" t="s">
        <v>4654</v>
      </c>
      <c r="B1347" s="11" t="s">
        <v>30</v>
      </c>
      <c r="C1347" s="11" t="s">
        <v>35</v>
      </c>
      <c r="D1347" s="11" t="s">
        <v>37</v>
      </c>
      <c r="E1347" s="11" t="s">
        <v>5671</v>
      </c>
      <c r="F1347" s="11">
        <v>8.63406079907072E14</v>
      </c>
      <c r="G1347" s="11" t="s">
        <v>5672</v>
      </c>
      <c r="H1347" s="11" t="s">
        <v>4280</v>
      </c>
      <c r="I1347" s="11" t="s">
        <v>16</v>
      </c>
      <c r="J1347" s="37">
        <v>45951.0</v>
      </c>
      <c r="K1347" s="11"/>
      <c r="L1347" s="11">
        <v>2.0251027E7</v>
      </c>
    </row>
    <row r="1348">
      <c r="A1348" s="9" t="s">
        <v>4654</v>
      </c>
      <c r="B1348" s="11" t="s">
        <v>30</v>
      </c>
      <c r="C1348" s="11" t="s">
        <v>35</v>
      </c>
      <c r="D1348" s="11" t="s">
        <v>37</v>
      </c>
      <c r="E1348" s="11" t="s">
        <v>5673</v>
      </c>
      <c r="F1348" s="11">
        <v>8.64501077846527E14</v>
      </c>
      <c r="G1348" s="11" t="s">
        <v>5674</v>
      </c>
      <c r="H1348" s="11" t="s">
        <v>4280</v>
      </c>
      <c r="I1348" s="11" t="s">
        <v>16</v>
      </c>
      <c r="J1348" s="37">
        <v>45951.0</v>
      </c>
      <c r="K1348" s="11"/>
      <c r="L1348" s="11">
        <v>2.0251027E7</v>
      </c>
    </row>
    <row r="1349">
      <c r="A1349" s="9" t="s">
        <v>4654</v>
      </c>
      <c r="B1349" s="11" t="s">
        <v>30</v>
      </c>
      <c r="C1349" s="11" t="s">
        <v>35</v>
      </c>
      <c r="D1349" s="11" t="s">
        <v>37</v>
      </c>
      <c r="E1349" s="11" t="s">
        <v>5675</v>
      </c>
      <c r="F1349" s="11">
        <v>8.64501077843763E14</v>
      </c>
      <c r="G1349" s="11" t="s">
        <v>5676</v>
      </c>
      <c r="H1349" s="11" t="s">
        <v>4280</v>
      </c>
      <c r="I1349" s="11" t="s">
        <v>16</v>
      </c>
      <c r="J1349" s="37">
        <v>45951.0</v>
      </c>
      <c r="K1349" s="11"/>
      <c r="L1349" s="11">
        <v>2.0251027E7</v>
      </c>
    </row>
    <row r="1350">
      <c r="A1350" s="9" t="s">
        <v>4654</v>
      </c>
      <c r="B1350" s="11" t="s">
        <v>30</v>
      </c>
      <c r="C1350" s="11" t="s">
        <v>35</v>
      </c>
      <c r="D1350" s="11" t="s">
        <v>37</v>
      </c>
      <c r="E1350" s="11" t="s">
        <v>5677</v>
      </c>
      <c r="F1350" s="11">
        <v>8.63406079905506E14</v>
      </c>
      <c r="G1350" s="11" t="s">
        <v>5678</v>
      </c>
      <c r="H1350" s="11" t="s">
        <v>4280</v>
      </c>
      <c r="I1350" s="11" t="s">
        <v>16</v>
      </c>
      <c r="J1350" s="37">
        <v>45951.0</v>
      </c>
      <c r="K1350" s="11"/>
      <c r="L1350" s="11">
        <v>2.0251027E7</v>
      </c>
    </row>
    <row r="1351">
      <c r="A1351" s="9" t="s">
        <v>4654</v>
      </c>
      <c r="B1351" s="11" t="s">
        <v>30</v>
      </c>
      <c r="C1351" s="11" t="s">
        <v>35</v>
      </c>
      <c r="D1351" s="11" t="s">
        <v>37</v>
      </c>
      <c r="E1351" s="11" t="s">
        <v>5679</v>
      </c>
      <c r="F1351" s="11">
        <v>8.64501077842963E14</v>
      </c>
      <c r="G1351" s="11" t="s">
        <v>5680</v>
      </c>
      <c r="H1351" s="11" t="s">
        <v>4280</v>
      </c>
      <c r="I1351" s="11" t="s">
        <v>16</v>
      </c>
      <c r="J1351" s="37">
        <v>45951.0</v>
      </c>
      <c r="K1351" s="11"/>
      <c r="L1351" s="11">
        <v>2.0251027E7</v>
      </c>
    </row>
    <row r="1352">
      <c r="A1352" s="9" t="s">
        <v>4654</v>
      </c>
      <c r="B1352" s="11" t="s">
        <v>30</v>
      </c>
      <c r="C1352" s="11" t="s">
        <v>35</v>
      </c>
      <c r="D1352" s="11" t="s">
        <v>37</v>
      </c>
      <c r="E1352" s="11" t="s">
        <v>5681</v>
      </c>
      <c r="F1352" s="11">
        <v>8.63406079905787E14</v>
      </c>
      <c r="G1352" s="11" t="s">
        <v>5682</v>
      </c>
      <c r="H1352" s="11" t="s">
        <v>4280</v>
      </c>
      <c r="I1352" s="11" t="s">
        <v>16</v>
      </c>
      <c r="J1352" s="37">
        <v>45951.0</v>
      </c>
      <c r="K1352" s="11"/>
      <c r="L1352" s="11">
        <v>2.0251027E7</v>
      </c>
    </row>
    <row r="1353">
      <c r="A1353" s="9" t="s">
        <v>4654</v>
      </c>
      <c r="B1353" s="11" t="s">
        <v>30</v>
      </c>
      <c r="C1353" s="11" t="s">
        <v>35</v>
      </c>
      <c r="D1353" s="11" t="s">
        <v>37</v>
      </c>
      <c r="E1353" s="11" t="s">
        <v>5683</v>
      </c>
      <c r="F1353" s="11">
        <v>8.64501077844019E14</v>
      </c>
      <c r="G1353" s="11" t="s">
        <v>5684</v>
      </c>
      <c r="H1353" s="11" t="s">
        <v>4280</v>
      </c>
      <c r="I1353" s="11" t="s">
        <v>16</v>
      </c>
      <c r="J1353" s="37">
        <v>45951.0</v>
      </c>
      <c r="K1353" s="11"/>
      <c r="L1353" s="11">
        <v>2.0251027E7</v>
      </c>
    </row>
    <row r="1354">
      <c r="A1354" s="9" t="s">
        <v>4654</v>
      </c>
      <c r="B1354" s="11" t="s">
        <v>30</v>
      </c>
      <c r="C1354" s="11" t="s">
        <v>35</v>
      </c>
      <c r="D1354" s="11" t="s">
        <v>37</v>
      </c>
      <c r="E1354" s="11" t="s">
        <v>5685</v>
      </c>
      <c r="F1354" s="11">
        <v>8.64501077843276E14</v>
      </c>
      <c r="G1354" s="11" t="s">
        <v>5686</v>
      </c>
      <c r="H1354" s="11" t="s">
        <v>4280</v>
      </c>
      <c r="I1354" s="11" t="s">
        <v>16</v>
      </c>
      <c r="J1354" s="37">
        <v>45951.0</v>
      </c>
      <c r="K1354" s="11"/>
      <c r="L1354" s="11">
        <v>2.0251027E7</v>
      </c>
    </row>
    <row r="1355">
      <c r="A1355" s="9" t="s">
        <v>4654</v>
      </c>
      <c r="B1355" s="11" t="s">
        <v>30</v>
      </c>
      <c r="C1355" s="11" t="s">
        <v>35</v>
      </c>
      <c r="D1355" s="11" t="s">
        <v>37</v>
      </c>
      <c r="E1355" s="11" t="s">
        <v>5687</v>
      </c>
      <c r="F1355" s="11">
        <v>8.63406079905191E14</v>
      </c>
      <c r="G1355" s="11" t="s">
        <v>5688</v>
      </c>
      <c r="H1355" s="11" t="s">
        <v>4280</v>
      </c>
      <c r="I1355" s="11" t="s">
        <v>16</v>
      </c>
      <c r="J1355" s="37">
        <v>45951.0</v>
      </c>
      <c r="K1355" s="11"/>
      <c r="L1355" s="11">
        <v>2.0251027E7</v>
      </c>
    </row>
    <row r="1356">
      <c r="A1356" s="9" t="s">
        <v>4654</v>
      </c>
      <c r="B1356" s="11" t="s">
        <v>30</v>
      </c>
      <c r="C1356" s="11" t="s">
        <v>35</v>
      </c>
      <c r="D1356" s="11" t="s">
        <v>37</v>
      </c>
      <c r="E1356" s="11" t="s">
        <v>5689</v>
      </c>
      <c r="F1356" s="11">
        <v>8.63406078320079E14</v>
      </c>
      <c r="G1356" s="11" t="s">
        <v>5690</v>
      </c>
      <c r="H1356" s="11" t="s">
        <v>4280</v>
      </c>
      <c r="I1356" s="11" t="s">
        <v>16</v>
      </c>
      <c r="J1356" s="37">
        <v>45951.0</v>
      </c>
      <c r="K1356" s="11"/>
      <c r="L1356" s="11">
        <v>2.0251027E7</v>
      </c>
    </row>
    <row r="1357">
      <c r="A1357" s="9" t="s">
        <v>4654</v>
      </c>
      <c r="B1357" s="11" t="s">
        <v>30</v>
      </c>
      <c r="C1357" s="11" t="s">
        <v>35</v>
      </c>
      <c r="D1357" s="11" t="s">
        <v>37</v>
      </c>
      <c r="E1357" s="11" t="s">
        <v>5691</v>
      </c>
      <c r="F1357" s="11">
        <v>8.63406078319766E14</v>
      </c>
      <c r="G1357" s="11" t="s">
        <v>5692</v>
      </c>
      <c r="H1357" s="11" t="s">
        <v>4280</v>
      </c>
      <c r="I1357" s="11" t="s">
        <v>16</v>
      </c>
      <c r="J1357" s="37">
        <v>45951.0</v>
      </c>
      <c r="K1357" s="11"/>
      <c r="L1357" s="11">
        <v>2.0251027E7</v>
      </c>
    </row>
    <row r="1358">
      <c r="A1358" s="9" t="s">
        <v>4654</v>
      </c>
      <c r="B1358" s="11" t="s">
        <v>30</v>
      </c>
      <c r="C1358" s="11" t="s">
        <v>35</v>
      </c>
      <c r="D1358" s="11" t="s">
        <v>37</v>
      </c>
      <c r="E1358" s="11" t="s">
        <v>5693</v>
      </c>
      <c r="F1358" s="11">
        <v>8.64501077842682E14</v>
      </c>
      <c r="G1358" s="11" t="s">
        <v>5694</v>
      </c>
      <c r="H1358" s="11" t="s">
        <v>4280</v>
      </c>
      <c r="I1358" s="11" t="s">
        <v>16</v>
      </c>
      <c r="J1358" s="37">
        <v>45951.0</v>
      </c>
      <c r="K1358" s="11"/>
      <c r="L1358" s="11">
        <v>2.0251027E7</v>
      </c>
    </row>
    <row r="1359">
      <c r="A1359" s="9" t="s">
        <v>4654</v>
      </c>
      <c r="B1359" s="11" t="s">
        <v>30</v>
      </c>
      <c r="C1359" s="11" t="s">
        <v>35</v>
      </c>
      <c r="D1359" s="11" t="s">
        <v>37</v>
      </c>
      <c r="E1359" s="11" t="s">
        <v>5695</v>
      </c>
      <c r="F1359" s="11">
        <v>8.64501077845198E14</v>
      </c>
      <c r="G1359" s="11" t="s">
        <v>5696</v>
      </c>
      <c r="H1359" s="11" t="s">
        <v>4280</v>
      </c>
      <c r="I1359" s="11" t="s">
        <v>16</v>
      </c>
      <c r="J1359" s="37">
        <v>45951.0</v>
      </c>
      <c r="K1359" s="11"/>
      <c r="L1359" s="11">
        <v>2.0251027E7</v>
      </c>
    </row>
    <row r="1360">
      <c r="A1360" s="9" t="s">
        <v>4654</v>
      </c>
      <c r="B1360" s="11" t="s">
        <v>30</v>
      </c>
      <c r="C1360" s="11" t="s">
        <v>35</v>
      </c>
      <c r="D1360" s="11" t="s">
        <v>37</v>
      </c>
      <c r="E1360" s="11" t="s">
        <v>5697</v>
      </c>
      <c r="F1360" s="11">
        <v>8.63406079906553E14</v>
      </c>
      <c r="G1360" s="11" t="s">
        <v>5698</v>
      </c>
      <c r="H1360" s="11" t="s">
        <v>4280</v>
      </c>
      <c r="I1360" s="11" t="s">
        <v>16</v>
      </c>
      <c r="J1360" s="37">
        <v>45951.0</v>
      </c>
      <c r="K1360" s="11"/>
      <c r="L1360" s="11">
        <v>2.0251027E7</v>
      </c>
    </row>
    <row r="1361">
      <c r="A1361" s="9" t="s">
        <v>4654</v>
      </c>
      <c r="B1361" s="11" t="s">
        <v>30</v>
      </c>
      <c r="C1361" s="11" t="s">
        <v>35</v>
      </c>
      <c r="D1361" s="11" t="s">
        <v>37</v>
      </c>
      <c r="E1361" s="11" t="s">
        <v>5699</v>
      </c>
      <c r="F1361" s="11">
        <v>8.63406079905837E14</v>
      </c>
      <c r="G1361" s="11" t="s">
        <v>5700</v>
      </c>
      <c r="H1361" s="11" t="s">
        <v>4280</v>
      </c>
      <c r="I1361" s="11" t="s">
        <v>16</v>
      </c>
      <c r="J1361" s="37">
        <v>45951.0</v>
      </c>
      <c r="K1361" s="11"/>
      <c r="L1361" s="11">
        <v>2.0251027E7</v>
      </c>
    </row>
    <row r="1362">
      <c r="A1362" s="9" t="s">
        <v>4654</v>
      </c>
      <c r="B1362" s="11" t="s">
        <v>30</v>
      </c>
      <c r="C1362" s="11" t="s">
        <v>35</v>
      </c>
      <c r="D1362" s="11" t="s">
        <v>37</v>
      </c>
      <c r="E1362" s="11" t="s">
        <v>5701</v>
      </c>
      <c r="F1362" s="11">
        <v>8.63406079905662E14</v>
      </c>
      <c r="G1362" s="11" t="s">
        <v>5702</v>
      </c>
      <c r="H1362" s="11" t="s">
        <v>4280</v>
      </c>
      <c r="I1362" s="11" t="s">
        <v>16</v>
      </c>
      <c r="J1362" s="37">
        <v>45951.0</v>
      </c>
      <c r="K1362" s="11"/>
      <c r="L1362" s="11">
        <v>2.0251027E7</v>
      </c>
    </row>
    <row r="1363">
      <c r="A1363" s="9" t="s">
        <v>4654</v>
      </c>
      <c r="B1363" s="11" t="s">
        <v>30</v>
      </c>
      <c r="C1363" s="11" t="s">
        <v>35</v>
      </c>
      <c r="D1363" s="11" t="s">
        <v>37</v>
      </c>
      <c r="E1363" s="11" t="s">
        <v>5703</v>
      </c>
      <c r="F1363" s="11">
        <v>8.64501077847723E14</v>
      </c>
      <c r="G1363" s="11" t="s">
        <v>5704</v>
      </c>
      <c r="H1363" s="11" t="s">
        <v>4280</v>
      </c>
      <c r="I1363" s="11" t="s">
        <v>16</v>
      </c>
      <c r="J1363" s="37">
        <v>45951.0</v>
      </c>
      <c r="K1363" s="11"/>
      <c r="L1363" s="11">
        <v>2.0251027E7</v>
      </c>
    </row>
    <row r="1364">
      <c r="A1364" s="9" t="s">
        <v>4654</v>
      </c>
      <c r="B1364" s="11" t="s">
        <v>30</v>
      </c>
      <c r="C1364" s="11" t="s">
        <v>35</v>
      </c>
      <c r="D1364" s="11" t="s">
        <v>37</v>
      </c>
      <c r="E1364" s="11" t="s">
        <v>5705</v>
      </c>
      <c r="F1364" s="11">
        <v>8.64501077847863E14</v>
      </c>
      <c r="G1364" s="11" t="s">
        <v>5706</v>
      </c>
      <c r="H1364" s="11" t="s">
        <v>4280</v>
      </c>
      <c r="I1364" s="11" t="s">
        <v>16</v>
      </c>
      <c r="J1364" s="37">
        <v>45951.0</v>
      </c>
      <c r="K1364" s="11"/>
      <c r="L1364" s="11">
        <v>2.0251027E7</v>
      </c>
    </row>
    <row r="1365">
      <c r="A1365" s="9" t="s">
        <v>4654</v>
      </c>
      <c r="B1365" s="11" t="s">
        <v>30</v>
      </c>
      <c r="C1365" s="11" t="s">
        <v>35</v>
      </c>
      <c r="D1365" s="11" t="s">
        <v>37</v>
      </c>
      <c r="E1365" s="11" t="s">
        <v>5707</v>
      </c>
      <c r="F1365" s="11">
        <v>8.64501077847475E14</v>
      </c>
      <c r="G1365" s="11" t="s">
        <v>5708</v>
      </c>
      <c r="H1365" s="11" t="s">
        <v>4280</v>
      </c>
      <c r="I1365" s="11" t="s">
        <v>16</v>
      </c>
      <c r="J1365" s="37">
        <v>45951.0</v>
      </c>
      <c r="K1365" s="11"/>
      <c r="L1365" s="11">
        <v>2.0251027E7</v>
      </c>
    </row>
    <row r="1366">
      <c r="A1366" s="9" t="s">
        <v>4654</v>
      </c>
      <c r="B1366" s="11" t="s">
        <v>30</v>
      </c>
      <c r="C1366" s="11" t="s">
        <v>35</v>
      </c>
      <c r="D1366" s="11" t="s">
        <v>37</v>
      </c>
      <c r="E1366" s="11" t="s">
        <v>5709</v>
      </c>
      <c r="F1366" s="11">
        <v>8.64501077847319E14</v>
      </c>
      <c r="G1366" s="11" t="s">
        <v>5710</v>
      </c>
      <c r="H1366" s="11" t="s">
        <v>4280</v>
      </c>
      <c r="I1366" s="11" t="s">
        <v>16</v>
      </c>
      <c r="J1366" s="37">
        <v>45951.0</v>
      </c>
      <c r="K1366" s="11"/>
      <c r="L1366" s="11">
        <v>2.0251027E7</v>
      </c>
    </row>
    <row r="1367">
      <c r="A1367" s="9" t="s">
        <v>4654</v>
      </c>
      <c r="B1367" s="11" t="s">
        <v>30</v>
      </c>
      <c r="C1367" s="11" t="s">
        <v>35</v>
      </c>
      <c r="D1367" s="11" t="s">
        <v>37</v>
      </c>
      <c r="E1367" s="11" t="s">
        <v>5711</v>
      </c>
      <c r="F1367" s="11">
        <v>8.64501077843888E14</v>
      </c>
      <c r="G1367" s="11" t="s">
        <v>5712</v>
      </c>
      <c r="H1367" s="11" t="s">
        <v>4280</v>
      </c>
      <c r="I1367" s="11" t="s">
        <v>16</v>
      </c>
      <c r="J1367" s="37">
        <v>45951.0</v>
      </c>
      <c r="K1367" s="11"/>
      <c r="L1367" s="11">
        <v>2.0251027E7</v>
      </c>
    </row>
    <row r="1368">
      <c r="A1368" s="9" t="s">
        <v>4654</v>
      </c>
      <c r="B1368" s="11" t="s">
        <v>30</v>
      </c>
      <c r="C1368" s="11" t="s">
        <v>35</v>
      </c>
      <c r="D1368" s="11" t="s">
        <v>37</v>
      </c>
      <c r="E1368" s="11" t="s">
        <v>5713</v>
      </c>
      <c r="F1368" s="11">
        <v>8.63406079906447E14</v>
      </c>
      <c r="G1368" s="11" t="s">
        <v>5714</v>
      </c>
      <c r="H1368" s="11" t="s">
        <v>4280</v>
      </c>
      <c r="I1368" s="11" t="s">
        <v>16</v>
      </c>
      <c r="J1368" s="37">
        <v>45951.0</v>
      </c>
      <c r="K1368" s="11"/>
      <c r="L1368" s="11">
        <v>2.0251027E7</v>
      </c>
    </row>
    <row r="1369">
      <c r="A1369" s="9" t="s">
        <v>4654</v>
      </c>
      <c r="B1369" s="11" t="s">
        <v>30</v>
      </c>
      <c r="C1369" s="11" t="s">
        <v>35</v>
      </c>
      <c r="D1369" s="11" t="s">
        <v>37</v>
      </c>
      <c r="E1369" s="11" t="s">
        <v>5715</v>
      </c>
      <c r="F1369" s="11">
        <v>8.63406079905142E14</v>
      </c>
      <c r="G1369" s="11" t="s">
        <v>5716</v>
      </c>
      <c r="H1369" s="11" t="s">
        <v>4280</v>
      </c>
      <c r="I1369" s="11" t="s">
        <v>16</v>
      </c>
      <c r="J1369" s="37">
        <v>45951.0</v>
      </c>
      <c r="K1369" s="11"/>
      <c r="L1369" s="11">
        <v>2.0251027E7</v>
      </c>
    </row>
    <row r="1370">
      <c r="A1370" s="9" t="s">
        <v>4654</v>
      </c>
      <c r="B1370" s="11" t="s">
        <v>30</v>
      </c>
      <c r="C1370" s="11" t="s">
        <v>35</v>
      </c>
      <c r="D1370" s="11" t="s">
        <v>37</v>
      </c>
      <c r="E1370" s="11" t="s">
        <v>5717</v>
      </c>
      <c r="F1370" s="11">
        <v>8.64501077837351E14</v>
      </c>
      <c r="G1370" s="11" t="s">
        <v>5718</v>
      </c>
      <c r="H1370" s="11" t="s">
        <v>4280</v>
      </c>
      <c r="I1370" s="11" t="s">
        <v>16</v>
      </c>
      <c r="J1370" s="37">
        <v>45951.0</v>
      </c>
      <c r="K1370" s="11"/>
      <c r="L1370" s="11">
        <v>2.0251027E7</v>
      </c>
    </row>
    <row r="1371">
      <c r="A1371" s="9" t="s">
        <v>4654</v>
      </c>
      <c r="B1371" s="11" t="s">
        <v>30</v>
      </c>
      <c r="C1371" s="11" t="s">
        <v>35</v>
      </c>
      <c r="D1371" s="11" t="s">
        <v>37</v>
      </c>
      <c r="E1371" s="11" t="s">
        <v>5719</v>
      </c>
      <c r="F1371" s="11">
        <v>8.64501077843789E14</v>
      </c>
      <c r="G1371" s="11" t="s">
        <v>5720</v>
      </c>
      <c r="H1371" s="11" t="s">
        <v>4280</v>
      </c>
      <c r="I1371" s="11" t="s">
        <v>16</v>
      </c>
      <c r="J1371" s="37">
        <v>45951.0</v>
      </c>
      <c r="K1371" s="11"/>
      <c r="L1371" s="11">
        <v>2.0251027E7</v>
      </c>
    </row>
    <row r="1372">
      <c r="A1372" s="9" t="s">
        <v>4654</v>
      </c>
      <c r="B1372" s="11" t="s">
        <v>30</v>
      </c>
      <c r="C1372" s="11" t="s">
        <v>35</v>
      </c>
      <c r="D1372" s="11" t="s">
        <v>37</v>
      </c>
      <c r="E1372" s="11" t="s">
        <v>5721</v>
      </c>
      <c r="F1372" s="11">
        <v>8.63406079906827E14</v>
      </c>
      <c r="G1372" s="11" t="s">
        <v>5722</v>
      </c>
      <c r="H1372" s="11" t="s">
        <v>4280</v>
      </c>
      <c r="I1372" s="11" t="s">
        <v>16</v>
      </c>
      <c r="J1372" s="37">
        <v>45951.0</v>
      </c>
      <c r="K1372" s="11"/>
      <c r="L1372" s="11">
        <v>2.0251027E7</v>
      </c>
    </row>
    <row r="1373">
      <c r="A1373" s="9" t="s">
        <v>4654</v>
      </c>
      <c r="B1373" s="11" t="s">
        <v>30</v>
      </c>
      <c r="C1373" s="11" t="s">
        <v>35</v>
      </c>
      <c r="D1373" s="11" t="s">
        <v>37</v>
      </c>
      <c r="E1373" s="11" t="s">
        <v>5723</v>
      </c>
      <c r="F1373" s="11">
        <v>8.64501077837294E14</v>
      </c>
      <c r="G1373" s="11" t="s">
        <v>5724</v>
      </c>
      <c r="H1373" s="11" t="s">
        <v>4280</v>
      </c>
      <c r="I1373" s="11" t="s">
        <v>16</v>
      </c>
      <c r="J1373" s="37">
        <v>45951.0</v>
      </c>
      <c r="K1373" s="11"/>
      <c r="L1373" s="11">
        <v>2.0251027E7</v>
      </c>
    </row>
    <row r="1374">
      <c r="A1374" s="9" t="s">
        <v>4654</v>
      </c>
      <c r="B1374" s="11" t="s">
        <v>30</v>
      </c>
      <c r="C1374" s="11" t="s">
        <v>35</v>
      </c>
      <c r="D1374" s="11" t="s">
        <v>37</v>
      </c>
      <c r="E1374" s="11" t="s">
        <v>5725</v>
      </c>
      <c r="F1374" s="11">
        <v>8.63406078318495E14</v>
      </c>
      <c r="G1374" s="11" t="s">
        <v>5726</v>
      </c>
      <c r="H1374" s="11" t="s">
        <v>4280</v>
      </c>
      <c r="I1374" s="11" t="s">
        <v>16</v>
      </c>
      <c r="J1374" s="37">
        <v>45951.0</v>
      </c>
      <c r="K1374" s="11"/>
      <c r="L1374" s="11">
        <v>2.0251027E7</v>
      </c>
    </row>
    <row r="1375">
      <c r="A1375" s="9" t="s">
        <v>4654</v>
      </c>
      <c r="B1375" s="11" t="s">
        <v>30</v>
      </c>
      <c r="C1375" s="11" t="s">
        <v>35</v>
      </c>
      <c r="D1375" s="11" t="s">
        <v>37</v>
      </c>
      <c r="E1375" s="11" t="s">
        <v>5727</v>
      </c>
      <c r="F1375" s="11">
        <v>8.64501077837997E14</v>
      </c>
      <c r="G1375" s="11" t="s">
        <v>5728</v>
      </c>
      <c r="H1375" s="11" t="s">
        <v>4280</v>
      </c>
      <c r="I1375" s="11" t="s">
        <v>16</v>
      </c>
      <c r="J1375" s="37">
        <v>45951.0</v>
      </c>
      <c r="K1375" s="11"/>
      <c r="L1375" s="11">
        <v>2.0251027E7</v>
      </c>
    </row>
    <row r="1376">
      <c r="A1376" s="9" t="s">
        <v>4654</v>
      </c>
      <c r="B1376" s="11" t="s">
        <v>30</v>
      </c>
      <c r="C1376" s="11" t="s">
        <v>35</v>
      </c>
      <c r="D1376" s="11" t="s">
        <v>37</v>
      </c>
      <c r="E1376" s="11" t="s">
        <v>5729</v>
      </c>
      <c r="F1376" s="11">
        <v>8.64501077845248E14</v>
      </c>
      <c r="G1376" s="11" t="s">
        <v>5730</v>
      </c>
      <c r="H1376" s="11" t="s">
        <v>4280</v>
      </c>
      <c r="I1376" s="11" t="s">
        <v>16</v>
      </c>
      <c r="J1376" s="37">
        <v>45951.0</v>
      </c>
      <c r="K1376" s="11"/>
      <c r="L1376" s="11">
        <v>2.0251027E7</v>
      </c>
    </row>
    <row r="1377">
      <c r="A1377" s="9" t="s">
        <v>4654</v>
      </c>
      <c r="B1377" s="11" t="s">
        <v>30</v>
      </c>
      <c r="C1377" s="11" t="s">
        <v>35</v>
      </c>
      <c r="D1377" s="11" t="s">
        <v>37</v>
      </c>
      <c r="E1377" s="11" t="s">
        <v>5731</v>
      </c>
      <c r="F1377" s="11">
        <v>8.63406079907601E14</v>
      </c>
      <c r="G1377" s="11" t="s">
        <v>5732</v>
      </c>
      <c r="H1377" s="11" t="s">
        <v>4280</v>
      </c>
      <c r="I1377" s="11" t="s">
        <v>16</v>
      </c>
      <c r="J1377" s="37">
        <v>45951.0</v>
      </c>
      <c r="K1377" s="11"/>
      <c r="L1377" s="11">
        <v>2.0251027E7</v>
      </c>
    </row>
    <row r="1378">
      <c r="A1378" s="9" t="s">
        <v>4654</v>
      </c>
      <c r="B1378" s="11" t="s">
        <v>30</v>
      </c>
      <c r="C1378" s="11" t="s">
        <v>35</v>
      </c>
      <c r="D1378" s="11" t="s">
        <v>37</v>
      </c>
      <c r="E1378" s="11" t="s">
        <v>5733</v>
      </c>
      <c r="F1378" s="11">
        <v>8.63406079906702E14</v>
      </c>
      <c r="G1378" s="11" t="s">
        <v>5734</v>
      </c>
      <c r="H1378" s="11" t="s">
        <v>4280</v>
      </c>
      <c r="I1378" s="11" t="s">
        <v>16</v>
      </c>
      <c r="J1378" s="37">
        <v>45951.0</v>
      </c>
      <c r="K1378" s="11"/>
      <c r="L1378" s="11">
        <v>2.0251027E7</v>
      </c>
    </row>
    <row r="1379">
      <c r="A1379" s="9" t="s">
        <v>4654</v>
      </c>
      <c r="B1379" s="11" t="s">
        <v>30</v>
      </c>
      <c r="C1379" s="11" t="s">
        <v>35</v>
      </c>
      <c r="D1379" s="11" t="s">
        <v>37</v>
      </c>
      <c r="E1379" s="11" t="s">
        <v>5735</v>
      </c>
      <c r="F1379" s="11">
        <v>8.63406079907262E14</v>
      </c>
      <c r="G1379" s="11" t="s">
        <v>5736</v>
      </c>
      <c r="H1379" s="11" t="s">
        <v>4280</v>
      </c>
      <c r="I1379" s="11" t="s">
        <v>16</v>
      </c>
      <c r="J1379" s="37">
        <v>45951.0</v>
      </c>
      <c r="K1379" s="11"/>
      <c r="L1379" s="11">
        <v>2.0251027E7</v>
      </c>
    </row>
    <row r="1380">
      <c r="A1380" s="9" t="s">
        <v>4654</v>
      </c>
      <c r="B1380" s="11" t="s">
        <v>30</v>
      </c>
      <c r="C1380" s="11" t="s">
        <v>35</v>
      </c>
      <c r="D1380" s="11" t="s">
        <v>37</v>
      </c>
      <c r="E1380" s="11" t="s">
        <v>5737</v>
      </c>
      <c r="F1380" s="11">
        <v>8.64501077846543E14</v>
      </c>
      <c r="G1380" s="11" t="s">
        <v>5738</v>
      </c>
      <c r="H1380" s="11" t="s">
        <v>4280</v>
      </c>
      <c r="I1380" s="11" t="s">
        <v>16</v>
      </c>
      <c r="J1380" s="37">
        <v>45951.0</v>
      </c>
      <c r="K1380" s="11"/>
      <c r="L1380" s="11">
        <v>2.0251027E7</v>
      </c>
    </row>
    <row r="1381">
      <c r="A1381" s="9" t="s">
        <v>4654</v>
      </c>
      <c r="B1381" s="11" t="s">
        <v>30</v>
      </c>
      <c r="C1381" s="11" t="s">
        <v>35</v>
      </c>
      <c r="D1381" s="11" t="s">
        <v>37</v>
      </c>
      <c r="E1381" s="11" t="s">
        <v>5739</v>
      </c>
      <c r="F1381" s="11">
        <v>8.6450107784698E14</v>
      </c>
      <c r="G1381" s="11" t="s">
        <v>5740</v>
      </c>
      <c r="H1381" s="11" t="s">
        <v>4280</v>
      </c>
      <c r="I1381" s="11" t="s">
        <v>16</v>
      </c>
      <c r="J1381" s="37">
        <v>45951.0</v>
      </c>
      <c r="K1381" s="11"/>
      <c r="L1381" s="11">
        <v>2.0251027E7</v>
      </c>
    </row>
    <row r="1382">
      <c r="A1382" s="9" t="s">
        <v>4654</v>
      </c>
      <c r="B1382" s="11" t="s">
        <v>30</v>
      </c>
      <c r="C1382" s="11" t="s">
        <v>35</v>
      </c>
      <c r="D1382" s="11" t="s">
        <v>37</v>
      </c>
      <c r="E1382" s="11" t="s">
        <v>5741</v>
      </c>
      <c r="F1382" s="11">
        <v>8.64501077844241E14</v>
      </c>
      <c r="G1382" s="11" t="s">
        <v>5742</v>
      </c>
      <c r="H1382" s="11" t="s">
        <v>4280</v>
      </c>
      <c r="I1382" s="11" t="s">
        <v>16</v>
      </c>
      <c r="J1382" s="37">
        <v>45951.0</v>
      </c>
      <c r="K1382" s="11"/>
      <c r="L1382" s="11">
        <v>2.0251027E7</v>
      </c>
    </row>
    <row r="1383">
      <c r="A1383" s="9" t="s">
        <v>4654</v>
      </c>
      <c r="B1383" s="11" t="s">
        <v>30</v>
      </c>
      <c r="C1383" s="11" t="s">
        <v>35</v>
      </c>
      <c r="D1383" s="11" t="s">
        <v>37</v>
      </c>
      <c r="E1383" s="11" t="s">
        <v>5743</v>
      </c>
      <c r="F1383" s="11">
        <v>8.63406078290884E14</v>
      </c>
      <c r="G1383" s="11" t="s">
        <v>5744</v>
      </c>
      <c r="H1383" s="11" t="s">
        <v>4280</v>
      </c>
      <c r="I1383" s="11" t="s">
        <v>16</v>
      </c>
      <c r="J1383" s="37">
        <v>45951.0</v>
      </c>
      <c r="K1383" s="11"/>
      <c r="L1383" s="11">
        <v>2.0251027E7</v>
      </c>
    </row>
    <row r="1384">
      <c r="A1384" s="9" t="s">
        <v>4654</v>
      </c>
      <c r="B1384" s="11" t="s">
        <v>30</v>
      </c>
      <c r="C1384" s="11" t="s">
        <v>35</v>
      </c>
      <c r="D1384" s="11" t="s">
        <v>37</v>
      </c>
      <c r="E1384" s="11" t="s">
        <v>5745</v>
      </c>
      <c r="F1384" s="11">
        <v>8.64501077836759E14</v>
      </c>
      <c r="G1384" s="11" t="s">
        <v>5746</v>
      </c>
      <c r="H1384" s="11" t="s">
        <v>4280</v>
      </c>
      <c r="I1384" s="11" t="s">
        <v>16</v>
      </c>
      <c r="J1384" s="37">
        <v>45951.0</v>
      </c>
      <c r="K1384" s="11"/>
      <c r="L1384" s="11">
        <v>2.0251027E7</v>
      </c>
    </row>
    <row r="1385">
      <c r="A1385" s="9" t="s">
        <v>4654</v>
      </c>
      <c r="B1385" s="11" t="s">
        <v>30</v>
      </c>
      <c r="C1385" s="11" t="s">
        <v>35</v>
      </c>
      <c r="D1385" s="11" t="s">
        <v>37</v>
      </c>
      <c r="E1385" s="11" t="s">
        <v>5747</v>
      </c>
      <c r="F1385" s="11">
        <v>8.64501077847277E14</v>
      </c>
      <c r="G1385" s="11" t="s">
        <v>5748</v>
      </c>
      <c r="H1385" s="11" t="s">
        <v>4280</v>
      </c>
      <c r="I1385" s="11" t="s">
        <v>16</v>
      </c>
      <c r="J1385" s="37">
        <v>45951.0</v>
      </c>
      <c r="K1385" s="11"/>
      <c r="L1385" s="11">
        <v>2.0251027E7</v>
      </c>
    </row>
    <row r="1386">
      <c r="A1386" s="9" t="s">
        <v>4654</v>
      </c>
      <c r="B1386" s="11" t="s">
        <v>30</v>
      </c>
      <c r="C1386" s="11" t="s">
        <v>35</v>
      </c>
      <c r="D1386" s="11" t="s">
        <v>37</v>
      </c>
      <c r="E1386" s="11" t="s">
        <v>5749</v>
      </c>
      <c r="F1386" s="11">
        <v>8.645010778441E14</v>
      </c>
      <c r="G1386" s="11" t="s">
        <v>5750</v>
      </c>
      <c r="H1386" s="11" t="s">
        <v>4280</v>
      </c>
      <c r="I1386" s="11" t="s">
        <v>16</v>
      </c>
      <c r="J1386" s="37">
        <v>45951.0</v>
      </c>
      <c r="K1386" s="11"/>
      <c r="L1386" s="11">
        <v>2.0251027E7</v>
      </c>
    </row>
    <row r="1387">
      <c r="A1387" s="9" t="s">
        <v>4654</v>
      </c>
      <c r="B1387" s="11" t="s">
        <v>30</v>
      </c>
      <c r="C1387" s="11" t="s">
        <v>35</v>
      </c>
      <c r="D1387" s="11" t="s">
        <v>37</v>
      </c>
      <c r="E1387" s="11" t="s">
        <v>5751</v>
      </c>
      <c r="F1387" s="11">
        <v>8.64501075643025E14</v>
      </c>
      <c r="G1387" s="11" t="s">
        <v>5752</v>
      </c>
      <c r="H1387" s="11" t="s">
        <v>4280</v>
      </c>
      <c r="I1387" s="11" t="s">
        <v>16</v>
      </c>
      <c r="J1387" s="37">
        <v>45951.0</v>
      </c>
      <c r="K1387" s="11"/>
      <c r="L1387" s="11">
        <v>2.0251027E7</v>
      </c>
    </row>
    <row r="1388">
      <c r="A1388" s="9" t="s">
        <v>4654</v>
      </c>
      <c r="B1388" s="11" t="s">
        <v>30</v>
      </c>
      <c r="C1388" s="11" t="s">
        <v>35</v>
      </c>
      <c r="D1388" s="11" t="s">
        <v>37</v>
      </c>
      <c r="E1388" s="11" t="s">
        <v>5753</v>
      </c>
      <c r="F1388" s="11">
        <v>8.64501077845701E14</v>
      </c>
      <c r="G1388" s="11" t="s">
        <v>5754</v>
      </c>
      <c r="H1388" s="11" t="s">
        <v>4280</v>
      </c>
      <c r="I1388" s="11" t="s">
        <v>16</v>
      </c>
      <c r="J1388" s="37">
        <v>45951.0</v>
      </c>
      <c r="K1388" s="11"/>
      <c r="L1388" s="11">
        <v>2.0251027E7</v>
      </c>
    </row>
    <row r="1389">
      <c r="A1389" s="9" t="s">
        <v>4654</v>
      </c>
      <c r="B1389" s="11" t="s">
        <v>30</v>
      </c>
      <c r="C1389" s="11" t="s">
        <v>35</v>
      </c>
      <c r="D1389" s="11" t="s">
        <v>37</v>
      </c>
      <c r="E1389" s="11" t="s">
        <v>5755</v>
      </c>
      <c r="F1389" s="11">
        <v>8.64501075643454E14</v>
      </c>
      <c r="G1389" s="11" t="s">
        <v>5756</v>
      </c>
      <c r="H1389" s="11" t="s">
        <v>4280</v>
      </c>
      <c r="I1389" s="11" t="s">
        <v>16</v>
      </c>
      <c r="J1389" s="37">
        <v>45951.0</v>
      </c>
      <c r="K1389" s="11"/>
      <c r="L1389" s="11">
        <v>2.0251027E7</v>
      </c>
    </row>
    <row r="1390">
      <c r="A1390" s="9" t="s">
        <v>4654</v>
      </c>
      <c r="B1390" s="11" t="s">
        <v>30</v>
      </c>
      <c r="C1390" s="11" t="s">
        <v>35</v>
      </c>
      <c r="D1390" s="11" t="s">
        <v>37</v>
      </c>
      <c r="E1390" s="11" t="s">
        <v>5757</v>
      </c>
      <c r="F1390" s="11">
        <v>8.64501077841809E14</v>
      </c>
      <c r="G1390" s="11" t="s">
        <v>5758</v>
      </c>
      <c r="H1390" s="11" t="s">
        <v>4280</v>
      </c>
      <c r="I1390" s="11" t="s">
        <v>16</v>
      </c>
      <c r="J1390" s="37">
        <v>45951.0</v>
      </c>
      <c r="K1390" s="11"/>
      <c r="L1390" s="11">
        <v>2.0251027E7</v>
      </c>
    </row>
    <row r="1391">
      <c r="A1391" s="9" t="s">
        <v>4654</v>
      </c>
      <c r="B1391" s="11" t="s">
        <v>30</v>
      </c>
      <c r="C1391" s="11" t="s">
        <v>35</v>
      </c>
      <c r="D1391" s="11" t="s">
        <v>37</v>
      </c>
      <c r="E1391" s="11" t="s">
        <v>5759</v>
      </c>
      <c r="F1391" s="11">
        <v>8.64501077841874E14</v>
      </c>
      <c r="G1391" s="11" t="s">
        <v>5760</v>
      </c>
      <c r="H1391" s="11" t="s">
        <v>4280</v>
      </c>
      <c r="I1391" s="11" t="s">
        <v>16</v>
      </c>
      <c r="J1391" s="37">
        <v>45951.0</v>
      </c>
      <c r="K1391" s="11"/>
      <c r="L1391" s="11">
        <v>2.0251027E7</v>
      </c>
    </row>
    <row r="1392">
      <c r="A1392" s="9" t="s">
        <v>4654</v>
      </c>
      <c r="B1392" s="11" t="s">
        <v>30</v>
      </c>
      <c r="C1392" s="11" t="s">
        <v>35</v>
      </c>
      <c r="D1392" s="11" t="s">
        <v>37</v>
      </c>
      <c r="E1392" s="11" t="s">
        <v>5761</v>
      </c>
      <c r="F1392" s="11">
        <v>8.64501077836932E14</v>
      </c>
      <c r="G1392" s="11" t="s">
        <v>5762</v>
      </c>
      <c r="H1392" s="11" t="s">
        <v>4280</v>
      </c>
      <c r="I1392" s="11" t="s">
        <v>16</v>
      </c>
      <c r="J1392" s="37">
        <v>45951.0</v>
      </c>
      <c r="K1392" s="11"/>
      <c r="L1392" s="11">
        <v>2.0251027E7</v>
      </c>
    </row>
    <row r="1393">
      <c r="A1393" s="9" t="s">
        <v>4654</v>
      </c>
      <c r="B1393" s="11" t="s">
        <v>30</v>
      </c>
      <c r="C1393" s="11" t="s">
        <v>35</v>
      </c>
      <c r="D1393" s="11" t="s">
        <v>37</v>
      </c>
      <c r="E1393" s="11" t="s">
        <v>5763</v>
      </c>
      <c r="F1393" s="11">
        <v>8.64501077843466E14</v>
      </c>
      <c r="G1393" s="11" t="s">
        <v>5764</v>
      </c>
      <c r="H1393" s="11" t="s">
        <v>4280</v>
      </c>
      <c r="I1393" s="11" t="s">
        <v>16</v>
      </c>
      <c r="J1393" s="37">
        <v>45951.0</v>
      </c>
      <c r="K1393" s="11"/>
      <c r="L1393" s="11">
        <v>2.0251027E7</v>
      </c>
    </row>
    <row r="1394">
      <c r="A1394" s="9" t="s">
        <v>4654</v>
      </c>
      <c r="B1394" s="11" t="s">
        <v>30</v>
      </c>
      <c r="C1394" s="11" t="s">
        <v>35</v>
      </c>
      <c r="D1394" s="11" t="s">
        <v>37</v>
      </c>
      <c r="E1394" s="11" t="s">
        <v>5765</v>
      </c>
      <c r="F1394" s="11">
        <v>8.64501077841536E14</v>
      </c>
      <c r="G1394" s="11" t="s">
        <v>5766</v>
      </c>
      <c r="H1394" s="11" t="s">
        <v>4280</v>
      </c>
      <c r="I1394" s="11" t="s">
        <v>16</v>
      </c>
      <c r="J1394" s="37">
        <v>45951.0</v>
      </c>
      <c r="K1394" s="11"/>
      <c r="L1394" s="11">
        <v>2.0251027E7</v>
      </c>
    </row>
    <row r="1395">
      <c r="A1395" s="9" t="s">
        <v>4654</v>
      </c>
      <c r="B1395" s="11" t="s">
        <v>30</v>
      </c>
      <c r="C1395" s="11" t="s">
        <v>35</v>
      </c>
      <c r="D1395" s="11" t="s">
        <v>37</v>
      </c>
      <c r="E1395" s="11" t="s">
        <v>5767</v>
      </c>
      <c r="F1395" s="11">
        <v>8.64501077836841E14</v>
      </c>
      <c r="G1395" s="11" t="s">
        <v>5768</v>
      </c>
      <c r="H1395" s="11" t="s">
        <v>4280</v>
      </c>
      <c r="I1395" s="11" t="s">
        <v>16</v>
      </c>
      <c r="J1395" s="37">
        <v>45951.0</v>
      </c>
      <c r="K1395" s="11"/>
      <c r="L1395" s="11">
        <v>2.0251027E7</v>
      </c>
    </row>
    <row r="1396">
      <c r="A1396" s="9" t="s">
        <v>4654</v>
      </c>
      <c r="B1396" s="11" t="s">
        <v>30</v>
      </c>
      <c r="C1396" s="11" t="s">
        <v>35</v>
      </c>
      <c r="D1396" s="11" t="s">
        <v>37</v>
      </c>
      <c r="E1396" s="11" t="s">
        <v>5769</v>
      </c>
      <c r="F1396" s="11">
        <v>8.64501077845529E14</v>
      </c>
      <c r="G1396" s="11" t="s">
        <v>5770</v>
      </c>
      <c r="H1396" s="11" t="s">
        <v>4280</v>
      </c>
      <c r="I1396" s="11" t="s">
        <v>16</v>
      </c>
      <c r="J1396" s="37">
        <v>45951.0</v>
      </c>
      <c r="K1396" s="11"/>
      <c r="L1396" s="11">
        <v>2.0251027E7</v>
      </c>
    </row>
    <row r="1397">
      <c r="A1397" s="9" t="s">
        <v>4654</v>
      </c>
      <c r="B1397" s="11" t="s">
        <v>30</v>
      </c>
      <c r="C1397" s="11" t="s">
        <v>35</v>
      </c>
      <c r="D1397" s="11" t="s">
        <v>37</v>
      </c>
      <c r="E1397" s="11" t="s">
        <v>5771</v>
      </c>
      <c r="F1397" s="11">
        <v>8.64501077836783E14</v>
      </c>
      <c r="G1397" s="11" t="s">
        <v>5772</v>
      </c>
      <c r="H1397" s="11" t="s">
        <v>4280</v>
      </c>
      <c r="I1397" s="11" t="s">
        <v>16</v>
      </c>
      <c r="J1397" s="37">
        <v>45951.0</v>
      </c>
      <c r="K1397" s="11"/>
      <c r="L1397" s="11">
        <v>2.0251027E7</v>
      </c>
    </row>
    <row r="1398">
      <c r="A1398" s="9" t="s">
        <v>4654</v>
      </c>
      <c r="B1398" s="11" t="s">
        <v>30</v>
      </c>
      <c r="C1398" s="11" t="s">
        <v>35</v>
      </c>
      <c r="D1398" s="11" t="s">
        <v>37</v>
      </c>
      <c r="E1398" s="11" t="s">
        <v>5773</v>
      </c>
      <c r="F1398" s="11">
        <v>8.64501077843458E14</v>
      </c>
      <c r="G1398" s="11" t="s">
        <v>5774</v>
      </c>
      <c r="H1398" s="11" t="s">
        <v>4280</v>
      </c>
      <c r="I1398" s="11" t="s">
        <v>16</v>
      </c>
      <c r="J1398" s="37">
        <v>45951.0</v>
      </c>
      <c r="K1398" s="11"/>
      <c r="L1398" s="11">
        <v>2.0251027E7</v>
      </c>
    </row>
    <row r="1399">
      <c r="A1399" s="9" t="s">
        <v>4654</v>
      </c>
      <c r="B1399" s="11" t="s">
        <v>30</v>
      </c>
      <c r="C1399" s="11" t="s">
        <v>35</v>
      </c>
      <c r="D1399" s="11" t="s">
        <v>37</v>
      </c>
      <c r="E1399" s="11" t="s">
        <v>5775</v>
      </c>
      <c r="F1399" s="11">
        <v>8.6450107784146E14</v>
      </c>
      <c r="G1399" s="11" t="s">
        <v>5776</v>
      </c>
      <c r="H1399" s="11" t="s">
        <v>4280</v>
      </c>
      <c r="I1399" s="11" t="s">
        <v>16</v>
      </c>
      <c r="J1399" s="37">
        <v>45951.0</v>
      </c>
      <c r="K1399" s="11"/>
      <c r="L1399" s="11">
        <v>2.0251027E7</v>
      </c>
    </row>
    <row r="1400">
      <c r="A1400" s="9" t="s">
        <v>4654</v>
      </c>
      <c r="B1400" s="11" t="s">
        <v>30</v>
      </c>
      <c r="C1400" s="11" t="s">
        <v>35</v>
      </c>
      <c r="D1400" s="11" t="s">
        <v>37</v>
      </c>
      <c r="E1400" s="11" t="s">
        <v>5777</v>
      </c>
      <c r="F1400" s="11">
        <v>8.63406078290082E14</v>
      </c>
      <c r="G1400" s="11" t="s">
        <v>5778</v>
      </c>
      <c r="H1400" s="11" t="s">
        <v>4280</v>
      </c>
      <c r="I1400" s="11" t="s">
        <v>16</v>
      </c>
      <c r="J1400" s="37">
        <v>45951.0</v>
      </c>
      <c r="K1400" s="11"/>
      <c r="L1400" s="11">
        <v>2.0251027E7</v>
      </c>
    </row>
    <row r="1401">
      <c r="A1401" s="9" t="s">
        <v>4654</v>
      </c>
      <c r="B1401" s="11" t="s">
        <v>30</v>
      </c>
      <c r="C1401" s="11" t="s">
        <v>35</v>
      </c>
      <c r="D1401" s="11" t="s">
        <v>37</v>
      </c>
      <c r="E1401" s="11" t="s">
        <v>5779</v>
      </c>
      <c r="F1401" s="11">
        <v>8.6340607831842E14</v>
      </c>
      <c r="G1401" s="11" t="s">
        <v>5780</v>
      </c>
      <c r="H1401" s="11" t="s">
        <v>4280</v>
      </c>
      <c r="I1401" s="11" t="s">
        <v>16</v>
      </c>
      <c r="J1401" s="37">
        <v>45951.0</v>
      </c>
      <c r="K1401" s="11"/>
      <c r="L1401" s="11">
        <v>2.0251027E7</v>
      </c>
    </row>
    <row r="1402">
      <c r="A1402" s="9" t="s">
        <v>4654</v>
      </c>
      <c r="B1402" s="11" t="s">
        <v>30</v>
      </c>
      <c r="C1402" s="11" t="s">
        <v>35</v>
      </c>
      <c r="D1402" s="11" t="s">
        <v>37</v>
      </c>
      <c r="E1402" s="11" t="s">
        <v>5781</v>
      </c>
      <c r="F1402" s="11">
        <v>8.6450107564446E14</v>
      </c>
      <c r="G1402" s="11" t="s">
        <v>5782</v>
      </c>
      <c r="H1402" s="11" t="s">
        <v>4280</v>
      </c>
      <c r="I1402" s="11" t="s">
        <v>16</v>
      </c>
      <c r="J1402" s="37">
        <v>45951.0</v>
      </c>
      <c r="K1402" s="11"/>
      <c r="L1402" s="11">
        <v>2.0251027E7</v>
      </c>
    </row>
    <row r="1403">
      <c r="A1403" s="9" t="s">
        <v>4654</v>
      </c>
      <c r="B1403" s="11" t="s">
        <v>30</v>
      </c>
      <c r="C1403" s="11" t="s">
        <v>35</v>
      </c>
      <c r="D1403" s="11" t="s">
        <v>37</v>
      </c>
      <c r="E1403" s="11" t="s">
        <v>5783</v>
      </c>
      <c r="F1403" s="11">
        <v>8.64501077836809E14</v>
      </c>
      <c r="G1403" s="11" t="s">
        <v>5784</v>
      </c>
      <c r="H1403" s="11" t="s">
        <v>4280</v>
      </c>
      <c r="I1403" s="11" t="s">
        <v>16</v>
      </c>
      <c r="J1403" s="37">
        <v>45951.0</v>
      </c>
      <c r="K1403" s="11"/>
      <c r="L1403" s="11">
        <v>2.0251027E7</v>
      </c>
    </row>
    <row r="1404">
      <c r="A1404" s="9" t="s">
        <v>4654</v>
      </c>
      <c r="B1404" s="11" t="s">
        <v>30</v>
      </c>
      <c r="C1404" s="11" t="s">
        <v>35</v>
      </c>
      <c r="D1404" s="11" t="s">
        <v>37</v>
      </c>
      <c r="E1404" s="11" t="s">
        <v>5785</v>
      </c>
      <c r="F1404" s="11">
        <v>8.63406078290595E14</v>
      </c>
      <c r="G1404" s="11" t="s">
        <v>5786</v>
      </c>
      <c r="H1404" s="11" t="s">
        <v>4280</v>
      </c>
      <c r="I1404" s="11" t="s">
        <v>16</v>
      </c>
      <c r="J1404" s="37">
        <v>45951.0</v>
      </c>
      <c r="K1404" s="11"/>
      <c r="L1404" s="11">
        <v>2.0251027E7</v>
      </c>
    </row>
    <row r="1405">
      <c r="A1405" s="9" t="s">
        <v>4654</v>
      </c>
      <c r="B1405" s="11" t="s">
        <v>30</v>
      </c>
      <c r="C1405" s="11" t="s">
        <v>35</v>
      </c>
      <c r="D1405" s="11" t="s">
        <v>37</v>
      </c>
      <c r="E1405" s="11" t="s">
        <v>5787</v>
      </c>
      <c r="F1405" s="11">
        <v>8.63406078318727E14</v>
      </c>
      <c r="G1405" s="11" t="s">
        <v>5788</v>
      </c>
      <c r="H1405" s="11" t="s">
        <v>4280</v>
      </c>
      <c r="I1405" s="11" t="s">
        <v>16</v>
      </c>
      <c r="J1405" s="37">
        <v>45951.0</v>
      </c>
      <c r="K1405" s="11"/>
      <c r="L1405" s="11">
        <v>2.0251027E7</v>
      </c>
    </row>
    <row r="1406">
      <c r="A1406" s="9" t="s">
        <v>4654</v>
      </c>
      <c r="B1406" s="11" t="s">
        <v>30</v>
      </c>
      <c r="C1406" s="11" t="s">
        <v>35</v>
      </c>
      <c r="D1406" s="11" t="s">
        <v>37</v>
      </c>
      <c r="E1406" s="11" t="s">
        <v>5789</v>
      </c>
      <c r="F1406" s="11">
        <v>8.63406079907627E14</v>
      </c>
      <c r="G1406" s="11" t="s">
        <v>5790</v>
      </c>
      <c r="H1406" s="11" t="s">
        <v>4280</v>
      </c>
      <c r="I1406" s="11" t="s">
        <v>16</v>
      </c>
      <c r="J1406" s="37">
        <v>45951.0</v>
      </c>
      <c r="K1406" s="11"/>
      <c r="L1406" s="11">
        <v>2.0251027E7</v>
      </c>
    </row>
    <row r="1407">
      <c r="A1407" s="9" t="s">
        <v>4654</v>
      </c>
      <c r="B1407" s="11" t="s">
        <v>30</v>
      </c>
      <c r="C1407" s="11" t="s">
        <v>35</v>
      </c>
      <c r="D1407" s="11" t="s">
        <v>37</v>
      </c>
      <c r="E1407" s="11" t="s">
        <v>5791</v>
      </c>
      <c r="F1407" s="11">
        <v>8.64501077844399E14</v>
      </c>
      <c r="G1407" s="11" t="s">
        <v>5792</v>
      </c>
      <c r="H1407" s="11" t="s">
        <v>4280</v>
      </c>
      <c r="I1407" s="11" t="s">
        <v>16</v>
      </c>
      <c r="J1407" s="37">
        <v>45951.0</v>
      </c>
      <c r="K1407" s="11"/>
      <c r="L1407" s="11">
        <v>2.0251027E7</v>
      </c>
    </row>
    <row r="1408">
      <c r="A1408" s="9" t="s">
        <v>4654</v>
      </c>
      <c r="B1408" s="11" t="s">
        <v>30</v>
      </c>
      <c r="C1408" s="11" t="s">
        <v>35</v>
      </c>
      <c r="D1408" s="11" t="s">
        <v>37</v>
      </c>
      <c r="E1408" s="11" t="s">
        <v>5793</v>
      </c>
      <c r="F1408" s="11">
        <v>8.63406079907585E14</v>
      </c>
      <c r="G1408" s="11" t="s">
        <v>5794</v>
      </c>
      <c r="H1408" s="11" t="s">
        <v>4280</v>
      </c>
      <c r="I1408" s="11" t="s">
        <v>16</v>
      </c>
      <c r="J1408" s="37">
        <v>45951.0</v>
      </c>
      <c r="K1408" s="11"/>
      <c r="L1408" s="11">
        <v>2.0251027E7</v>
      </c>
    </row>
    <row r="1409">
      <c r="A1409" s="9" t="s">
        <v>4654</v>
      </c>
      <c r="B1409" s="11" t="s">
        <v>30</v>
      </c>
      <c r="C1409" s="11" t="s">
        <v>35</v>
      </c>
      <c r="D1409" s="11" t="s">
        <v>37</v>
      </c>
      <c r="E1409" s="11" t="s">
        <v>5795</v>
      </c>
      <c r="F1409" s="11">
        <v>8.63406079907569E14</v>
      </c>
      <c r="G1409" s="11" t="s">
        <v>5796</v>
      </c>
      <c r="H1409" s="11" t="s">
        <v>4280</v>
      </c>
      <c r="I1409" s="11" t="s">
        <v>16</v>
      </c>
      <c r="J1409" s="37">
        <v>45951.0</v>
      </c>
      <c r="K1409" s="11"/>
      <c r="L1409" s="11">
        <v>2.0251027E7</v>
      </c>
    </row>
    <row r="1410">
      <c r="A1410" s="9" t="s">
        <v>4654</v>
      </c>
      <c r="B1410" s="11" t="s">
        <v>30</v>
      </c>
      <c r="C1410" s="11" t="s">
        <v>35</v>
      </c>
      <c r="D1410" s="11" t="s">
        <v>37</v>
      </c>
      <c r="E1410" s="11" t="s">
        <v>5797</v>
      </c>
      <c r="F1410" s="11">
        <v>8.64501077842906E14</v>
      </c>
      <c r="G1410" s="11" t="s">
        <v>5798</v>
      </c>
      <c r="H1410" s="11" t="s">
        <v>4280</v>
      </c>
      <c r="I1410" s="11" t="s">
        <v>16</v>
      </c>
      <c r="J1410" s="37">
        <v>45951.0</v>
      </c>
      <c r="K1410" s="11"/>
      <c r="L1410" s="11">
        <v>2.0251027E7</v>
      </c>
    </row>
    <row r="1411">
      <c r="A1411" s="9" t="s">
        <v>4654</v>
      </c>
      <c r="B1411" s="11" t="s">
        <v>30</v>
      </c>
      <c r="C1411" s="11" t="s">
        <v>35</v>
      </c>
      <c r="D1411" s="11" t="s">
        <v>37</v>
      </c>
      <c r="E1411" s="11" t="s">
        <v>5799</v>
      </c>
      <c r="F1411" s="11">
        <v>8.63406079906538E14</v>
      </c>
      <c r="G1411" s="11" t="s">
        <v>5800</v>
      </c>
      <c r="H1411" s="11" t="s">
        <v>4280</v>
      </c>
      <c r="I1411" s="11" t="s">
        <v>16</v>
      </c>
      <c r="J1411" s="37">
        <v>45951.0</v>
      </c>
      <c r="K1411" s="11"/>
      <c r="L1411" s="11">
        <v>2.0251027E7</v>
      </c>
    </row>
    <row r="1412">
      <c r="A1412" s="9" t="s">
        <v>4654</v>
      </c>
      <c r="B1412" s="11" t="s">
        <v>30</v>
      </c>
      <c r="C1412" s="11" t="s">
        <v>35</v>
      </c>
      <c r="D1412" s="11" t="s">
        <v>37</v>
      </c>
      <c r="E1412" s="11" t="s">
        <v>5801</v>
      </c>
      <c r="F1412" s="11">
        <v>8.64501077842385E14</v>
      </c>
      <c r="G1412" s="11" t="s">
        <v>5802</v>
      </c>
      <c r="H1412" s="11" t="s">
        <v>4280</v>
      </c>
      <c r="I1412" s="11" t="s">
        <v>16</v>
      </c>
      <c r="J1412" s="37">
        <v>45951.0</v>
      </c>
      <c r="K1412" s="11"/>
      <c r="L1412" s="11">
        <v>2.0251027E7</v>
      </c>
    </row>
    <row r="1413">
      <c r="A1413" s="9" t="s">
        <v>4654</v>
      </c>
      <c r="B1413" s="11" t="s">
        <v>30</v>
      </c>
      <c r="C1413" s="11" t="s">
        <v>35</v>
      </c>
      <c r="D1413" s="11" t="s">
        <v>37</v>
      </c>
      <c r="E1413" s="11" t="s">
        <v>5803</v>
      </c>
      <c r="F1413" s="11">
        <v>8.63406079905407E14</v>
      </c>
      <c r="G1413" s="11" t="s">
        <v>5804</v>
      </c>
      <c r="H1413" s="11" t="s">
        <v>4280</v>
      </c>
      <c r="I1413" s="11" t="s">
        <v>16</v>
      </c>
      <c r="J1413" s="37">
        <v>45951.0</v>
      </c>
      <c r="K1413" s="11"/>
      <c r="L1413" s="11">
        <v>2.0251027E7</v>
      </c>
    </row>
    <row r="1414">
      <c r="A1414" s="9" t="s">
        <v>4654</v>
      </c>
      <c r="B1414" s="11" t="s">
        <v>30</v>
      </c>
      <c r="C1414" s="11" t="s">
        <v>35</v>
      </c>
      <c r="D1414" s="11" t="s">
        <v>37</v>
      </c>
      <c r="E1414" s="11" t="s">
        <v>5805</v>
      </c>
      <c r="F1414" s="11">
        <v>8.64501077844118E14</v>
      </c>
      <c r="G1414" s="11" t="s">
        <v>5806</v>
      </c>
      <c r="H1414" s="11" t="s">
        <v>4280</v>
      </c>
      <c r="I1414" s="11" t="s">
        <v>16</v>
      </c>
      <c r="J1414" s="37">
        <v>45951.0</v>
      </c>
      <c r="K1414" s="11"/>
      <c r="L1414" s="11">
        <v>2.0251027E7</v>
      </c>
    </row>
    <row r="1415">
      <c r="A1415" s="9" t="s">
        <v>4654</v>
      </c>
      <c r="B1415" s="11" t="s">
        <v>30</v>
      </c>
      <c r="C1415" s="11" t="s">
        <v>35</v>
      </c>
      <c r="D1415" s="11" t="s">
        <v>37</v>
      </c>
      <c r="E1415" s="11" t="s">
        <v>5807</v>
      </c>
      <c r="F1415" s="11">
        <v>8.63406079905381E14</v>
      </c>
      <c r="G1415" s="11" t="s">
        <v>5808</v>
      </c>
      <c r="H1415" s="11" t="s">
        <v>4280</v>
      </c>
      <c r="I1415" s="11" t="s">
        <v>16</v>
      </c>
      <c r="J1415" s="37">
        <v>45951.0</v>
      </c>
      <c r="K1415" s="11"/>
      <c r="L1415" s="11">
        <v>2.0251027E7</v>
      </c>
    </row>
    <row r="1416">
      <c r="A1416" s="9" t="s">
        <v>4654</v>
      </c>
      <c r="B1416" s="11" t="s">
        <v>30</v>
      </c>
      <c r="C1416" s="11" t="s">
        <v>35</v>
      </c>
      <c r="D1416" s="11" t="s">
        <v>37</v>
      </c>
      <c r="E1416" s="11" t="s">
        <v>5809</v>
      </c>
      <c r="F1416" s="11">
        <v>8.64501077837898E14</v>
      </c>
      <c r="G1416" s="11" t="s">
        <v>5810</v>
      </c>
      <c r="H1416" s="11" t="s">
        <v>4280</v>
      </c>
      <c r="I1416" s="11" t="s">
        <v>16</v>
      </c>
      <c r="J1416" s="37">
        <v>45951.0</v>
      </c>
      <c r="K1416" s="11"/>
      <c r="L1416" s="11">
        <v>2.0251027E7</v>
      </c>
    </row>
    <row r="1417">
      <c r="A1417" s="9" t="s">
        <v>4654</v>
      </c>
      <c r="B1417" s="11" t="s">
        <v>30</v>
      </c>
      <c r="C1417" s="11" t="s">
        <v>35</v>
      </c>
      <c r="D1417" s="11" t="s">
        <v>37</v>
      </c>
      <c r="E1417" s="11" t="s">
        <v>5811</v>
      </c>
      <c r="F1417" s="11">
        <v>8.64501077837245E14</v>
      </c>
      <c r="G1417" s="11" t="s">
        <v>5812</v>
      </c>
      <c r="H1417" s="11" t="s">
        <v>4280</v>
      </c>
      <c r="I1417" s="11" t="s">
        <v>16</v>
      </c>
      <c r="J1417" s="37">
        <v>45951.0</v>
      </c>
      <c r="K1417" s="11"/>
      <c r="L1417" s="11">
        <v>2.0251027E7</v>
      </c>
    </row>
    <row r="1418">
      <c r="A1418" s="9" t="s">
        <v>4654</v>
      </c>
      <c r="B1418" s="11" t="s">
        <v>30</v>
      </c>
      <c r="C1418" s="11" t="s">
        <v>35</v>
      </c>
      <c r="D1418" s="11" t="s">
        <v>37</v>
      </c>
      <c r="E1418" s="11" t="s">
        <v>5813</v>
      </c>
      <c r="F1418" s="11">
        <v>8.64501077836866E14</v>
      </c>
      <c r="G1418" s="11" t="s">
        <v>5814</v>
      </c>
      <c r="H1418" s="11" t="s">
        <v>4280</v>
      </c>
      <c r="I1418" s="11" t="s">
        <v>16</v>
      </c>
      <c r="J1418" s="37">
        <v>45951.0</v>
      </c>
      <c r="K1418" s="11"/>
      <c r="L1418" s="11">
        <v>2.0251027E7</v>
      </c>
    </row>
    <row r="1419">
      <c r="A1419" s="9" t="s">
        <v>4654</v>
      </c>
      <c r="B1419" s="11" t="s">
        <v>30</v>
      </c>
      <c r="C1419" s="11" t="s">
        <v>35</v>
      </c>
      <c r="D1419" s="11" t="s">
        <v>37</v>
      </c>
      <c r="E1419" s="11" t="s">
        <v>5815</v>
      </c>
      <c r="F1419" s="11">
        <v>8.64501077837872E14</v>
      </c>
      <c r="G1419" s="11" t="s">
        <v>5816</v>
      </c>
      <c r="H1419" s="11" t="s">
        <v>4280</v>
      </c>
      <c r="I1419" s="11" t="s">
        <v>16</v>
      </c>
      <c r="J1419" s="37">
        <v>45951.0</v>
      </c>
      <c r="K1419" s="11"/>
      <c r="L1419" s="11">
        <v>2.0251027E7</v>
      </c>
    </row>
    <row r="1420">
      <c r="A1420" s="9" t="s">
        <v>4654</v>
      </c>
      <c r="B1420" s="11" t="s">
        <v>30</v>
      </c>
      <c r="C1420" s="11" t="s">
        <v>35</v>
      </c>
      <c r="D1420" s="11" t="s">
        <v>37</v>
      </c>
      <c r="E1420" s="11" t="s">
        <v>5817</v>
      </c>
      <c r="F1420" s="11">
        <v>8.63406079906025E14</v>
      </c>
      <c r="G1420" s="11" t="s">
        <v>5818</v>
      </c>
      <c r="H1420" s="11" t="s">
        <v>4280</v>
      </c>
      <c r="I1420" s="11" t="s">
        <v>16</v>
      </c>
      <c r="J1420" s="37">
        <v>45951.0</v>
      </c>
      <c r="K1420" s="11"/>
      <c r="L1420" s="11">
        <v>2.0251027E7</v>
      </c>
    </row>
    <row r="1421">
      <c r="A1421" s="9" t="s">
        <v>4654</v>
      </c>
      <c r="B1421" s="11" t="s">
        <v>30</v>
      </c>
      <c r="C1421" s="11" t="s">
        <v>35</v>
      </c>
      <c r="D1421" s="11" t="s">
        <v>37</v>
      </c>
      <c r="E1421" s="11" t="s">
        <v>5819</v>
      </c>
      <c r="F1421" s="11">
        <v>8.63406079906074E14</v>
      </c>
      <c r="G1421" s="11" t="s">
        <v>5820</v>
      </c>
      <c r="H1421" s="11" t="s">
        <v>4280</v>
      </c>
      <c r="I1421" s="11" t="s">
        <v>16</v>
      </c>
      <c r="J1421" s="37">
        <v>45951.0</v>
      </c>
      <c r="K1421" s="11"/>
      <c r="L1421" s="11">
        <v>2.0251027E7</v>
      </c>
    </row>
    <row r="1422">
      <c r="A1422" s="9" t="s">
        <v>4654</v>
      </c>
      <c r="B1422" s="11" t="s">
        <v>30</v>
      </c>
      <c r="C1422" s="11" t="s">
        <v>35</v>
      </c>
      <c r="D1422" s="11" t="s">
        <v>37</v>
      </c>
      <c r="E1422" s="11" t="s">
        <v>5821</v>
      </c>
      <c r="F1422" s="11">
        <v>8.64501077842872E14</v>
      </c>
      <c r="G1422" s="11" t="s">
        <v>5822</v>
      </c>
      <c r="H1422" s="11" t="s">
        <v>4280</v>
      </c>
      <c r="I1422" s="11" t="s">
        <v>16</v>
      </c>
      <c r="J1422" s="37">
        <v>45951.0</v>
      </c>
      <c r="K1422" s="11"/>
      <c r="L1422" s="11">
        <v>2.0251027E7</v>
      </c>
    </row>
    <row r="1423">
      <c r="A1423" s="9" t="s">
        <v>4654</v>
      </c>
      <c r="B1423" s="11" t="s">
        <v>30</v>
      </c>
      <c r="C1423" s="11" t="s">
        <v>35</v>
      </c>
      <c r="D1423" s="11" t="s">
        <v>37</v>
      </c>
      <c r="E1423" s="11" t="s">
        <v>5823</v>
      </c>
      <c r="F1423" s="11">
        <v>8.64501077842666E14</v>
      </c>
      <c r="G1423" s="11" t="s">
        <v>5824</v>
      </c>
      <c r="H1423" s="11" t="s">
        <v>4280</v>
      </c>
      <c r="I1423" s="11" t="s">
        <v>16</v>
      </c>
      <c r="J1423" s="37">
        <v>45951.0</v>
      </c>
      <c r="K1423" s="11"/>
      <c r="L1423" s="11">
        <v>2.0251027E7</v>
      </c>
    </row>
    <row r="1424">
      <c r="A1424" s="9" t="s">
        <v>4654</v>
      </c>
      <c r="B1424" s="11" t="s">
        <v>30</v>
      </c>
      <c r="C1424" s="11" t="s">
        <v>35</v>
      </c>
      <c r="D1424" s="11" t="s">
        <v>37</v>
      </c>
      <c r="E1424" s="11" t="s">
        <v>5825</v>
      </c>
      <c r="F1424" s="11">
        <v>8.63406079906959E14</v>
      </c>
      <c r="G1424" s="11" t="s">
        <v>5826</v>
      </c>
      <c r="H1424" s="11" t="s">
        <v>4280</v>
      </c>
      <c r="I1424" s="11" t="s">
        <v>16</v>
      </c>
      <c r="J1424" s="37">
        <v>45951.0</v>
      </c>
      <c r="K1424" s="11"/>
      <c r="L1424" s="11">
        <v>2.0251027E7</v>
      </c>
    </row>
    <row r="1425">
      <c r="A1425" s="9" t="s">
        <v>4654</v>
      </c>
      <c r="B1425" s="11" t="s">
        <v>30</v>
      </c>
      <c r="C1425" s="11" t="s">
        <v>35</v>
      </c>
      <c r="D1425" s="11" t="s">
        <v>37</v>
      </c>
      <c r="E1425" s="11" t="s">
        <v>5827</v>
      </c>
      <c r="F1425" s="11">
        <v>8.63406078319915E14</v>
      </c>
      <c r="G1425" s="11" t="s">
        <v>5828</v>
      </c>
      <c r="H1425" s="11" t="s">
        <v>4280</v>
      </c>
      <c r="I1425" s="11" t="s">
        <v>16</v>
      </c>
      <c r="J1425" s="37">
        <v>45951.0</v>
      </c>
      <c r="K1425" s="11"/>
      <c r="L1425" s="11">
        <v>2.0251027E7</v>
      </c>
    </row>
    <row r="1426">
      <c r="A1426" s="9" t="s">
        <v>4654</v>
      </c>
      <c r="B1426" s="11" t="s">
        <v>30</v>
      </c>
      <c r="C1426" s="11" t="s">
        <v>35</v>
      </c>
      <c r="D1426" s="11" t="s">
        <v>37</v>
      </c>
      <c r="E1426" s="11" t="s">
        <v>5829</v>
      </c>
      <c r="F1426" s="11">
        <v>8.6340607991213E14</v>
      </c>
      <c r="G1426" s="11" t="s">
        <v>5830</v>
      </c>
      <c r="H1426" s="11" t="s">
        <v>4280</v>
      </c>
      <c r="I1426" s="11" t="s">
        <v>16</v>
      </c>
      <c r="J1426" s="37">
        <v>45951.0</v>
      </c>
      <c r="K1426" s="11"/>
      <c r="L1426" s="11">
        <v>2.0251027E7</v>
      </c>
    </row>
    <row r="1427">
      <c r="A1427" s="9" t="s">
        <v>4654</v>
      </c>
      <c r="B1427" s="11" t="s">
        <v>30</v>
      </c>
      <c r="C1427" s="11" t="s">
        <v>35</v>
      </c>
      <c r="D1427" s="11" t="s">
        <v>37</v>
      </c>
      <c r="E1427" s="11" t="s">
        <v>5831</v>
      </c>
      <c r="F1427" s="11">
        <v>8.63406079905878E14</v>
      </c>
      <c r="G1427" s="11" t="s">
        <v>5832</v>
      </c>
      <c r="H1427" s="11" t="s">
        <v>4280</v>
      </c>
      <c r="I1427" s="11" t="s">
        <v>16</v>
      </c>
      <c r="J1427" s="37">
        <v>45951.0</v>
      </c>
      <c r="K1427" s="11"/>
      <c r="L1427" s="11">
        <v>2.0251027E7</v>
      </c>
    </row>
    <row r="1428">
      <c r="A1428" s="9" t="s">
        <v>4654</v>
      </c>
      <c r="B1428" s="11" t="s">
        <v>30</v>
      </c>
      <c r="C1428" s="11" t="s">
        <v>35</v>
      </c>
      <c r="D1428" s="11" t="s">
        <v>37</v>
      </c>
      <c r="E1428" s="11" t="s">
        <v>5833</v>
      </c>
      <c r="F1428" s="11">
        <v>8.64501077837591E14</v>
      </c>
      <c r="G1428" s="11" t="s">
        <v>5834</v>
      </c>
      <c r="H1428" s="11" t="s">
        <v>4280</v>
      </c>
      <c r="I1428" s="11" t="s">
        <v>16</v>
      </c>
      <c r="J1428" s="37">
        <v>45951.0</v>
      </c>
      <c r="K1428" s="11"/>
      <c r="L1428" s="11">
        <v>2.0251027E7</v>
      </c>
    </row>
    <row r="1429">
      <c r="A1429" s="9" t="s">
        <v>4654</v>
      </c>
      <c r="B1429" s="11" t="s">
        <v>30</v>
      </c>
      <c r="C1429" s="11" t="s">
        <v>35</v>
      </c>
      <c r="D1429" s="11" t="s">
        <v>37</v>
      </c>
      <c r="E1429" s="11" t="s">
        <v>5835</v>
      </c>
      <c r="F1429" s="11">
        <v>8.64501077837641E14</v>
      </c>
      <c r="G1429" s="11" t="s">
        <v>5836</v>
      </c>
      <c r="H1429" s="11" t="s">
        <v>4280</v>
      </c>
      <c r="I1429" s="11" t="s">
        <v>16</v>
      </c>
      <c r="J1429" s="37">
        <v>45951.0</v>
      </c>
      <c r="K1429" s="11"/>
      <c r="L1429" s="11">
        <v>2.0251027E7</v>
      </c>
    </row>
    <row r="1430">
      <c r="A1430" s="9" t="s">
        <v>4654</v>
      </c>
      <c r="B1430" s="11" t="s">
        <v>30</v>
      </c>
      <c r="C1430" s="11" t="s">
        <v>35</v>
      </c>
      <c r="D1430" s="11" t="s">
        <v>37</v>
      </c>
      <c r="E1430" s="11" t="s">
        <v>5837</v>
      </c>
      <c r="F1430" s="11">
        <v>8.63406079905902E14</v>
      </c>
      <c r="G1430" s="11" t="s">
        <v>5838</v>
      </c>
      <c r="H1430" s="11" t="s">
        <v>4280</v>
      </c>
      <c r="I1430" s="11" t="s">
        <v>16</v>
      </c>
      <c r="J1430" s="37">
        <v>45951.0</v>
      </c>
      <c r="K1430" s="11"/>
      <c r="L1430" s="11">
        <v>2.0251027E7</v>
      </c>
    </row>
    <row r="1431">
      <c r="A1431" s="9" t="s">
        <v>4654</v>
      </c>
      <c r="B1431" s="11" t="s">
        <v>30</v>
      </c>
      <c r="C1431" s="11" t="s">
        <v>35</v>
      </c>
      <c r="D1431" s="11" t="s">
        <v>37</v>
      </c>
      <c r="E1431" s="11" t="s">
        <v>5839</v>
      </c>
      <c r="F1431" s="11">
        <v>8.63406079906405E14</v>
      </c>
      <c r="G1431" s="11" t="s">
        <v>5840</v>
      </c>
      <c r="H1431" s="11" t="s">
        <v>4280</v>
      </c>
      <c r="I1431" s="11" t="s">
        <v>16</v>
      </c>
      <c r="J1431" s="37">
        <v>45951.0</v>
      </c>
      <c r="K1431" s="11"/>
      <c r="L1431" s="11">
        <v>2.0251027E7</v>
      </c>
    </row>
    <row r="1432">
      <c r="A1432" s="9" t="s">
        <v>4654</v>
      </c>
      <c r="B1432" s="11" t="s">
        <v>30</v>
      </c>
      <c r="C1432" s="11" t="s">
        <v>35</v>
      </c>
      <c r="D1432" s="11" t="s">
        <v>37</v>
      </c>
      <c r="E1432" s="11" t="s">
        <v>5841</v>
      </c>
      <c r="F1432" s="11">
        <v>8.63406079906587E14</v>
      </c>
      <c r="G1432" s="11" t="s">
        <v>5842</v>
      </c>
      <c r="H1432" s="11" t="s">
        <v>4280</v>
      </c>
      <c r="I1432" s="11" t="s">
        <v>16</v>
      </c>
      <c r="J1432" s="37">
        <v>45951.0</v>
      </c>
      <c r="K1432" s="11"/>
      <c r="L1432" s="11">
        <v>2.0251027E7</v>
      </c>
    </row>
    <row r="1433">
      <c r="A1433" s="9" t="s">
        <v>4654</v>
      </c>
      <c r="B1433" s="11" t="s">
        <v>30</v>
      </c>
      <c r="C1433" s="11" t="s">
        <v>35</v>
      </c>
      <c r="D1433" s="11" t="s">
        <v>37</v>
      </c>
      <c r="E1433" s="11" t="s">
        <v>5843</v>
      </c>
      <c r="F1433" s="11">
        <v>8.63406079905472E14</v>
      </c>
      <c r="G1433" s="11" t="s">
        <v>5844</v>
      </c>
      <c r="H1433" s="11" t="s">
        <v>4280</v>
      </c>
      <c r="I1433" s="11" t="s">
        <v>16</v>
      </c>
      <c r="J1433" s="37">
        <v>45951.0</v>
      </c>
      <c r="K1433" s="11"/>
      <c r="L1433" s="11">
        <v>2.0251027E7</v>
      </c>
    </row>
    <row r="1434">
      <c r="A1434" s="9" t="s">
        <v>4654</v>
      </c>
      <c r="B1434" s="11" t="s">
        <v>30</v>
      </c>
      <c r="C1434" s="11" t="s">
        <v>35</v>
      </c>
      <c r="D1434" s="11" t="s">
        <v>37</v>
      </c>
      <c r="E1434" s="11" t="s">
        <v>5845</v>
      </c>
      <c r="F1434" s="11">
        <v>8.6340607990586E14</v>
      </c>
      <c r="G1434" s="11" t="s">
        <v>5846</v>
      </c>
      <c r="H1434" s="11" t="s">
        <v>4280</v>
      </c>
      <c r="I1434" s="11" t="s">
        <v>16</v>
      </c>
      <c r="J1434" s="37">
        <v>45951.0</v>
      </c>
      <c r="K1434" s="11"/>
      <c r="L1434" s="11">
        <v>2.0251027E7</v>
      </c>
    </row>
    <row r="1435">
      <c r="A1435" s="9" t="s">
        <v>4654</v>
      </c>
      <c r="B1435" s="11" t="s">
        <v>30</v>
      </c>
      <c r="C1435" s="11" t="s">
        <v>35</v>
      </c>
      <c r="D1435" s="11" t="s">
        <v>37</v>
      </c>
      <c r="E1435" s="11" t="s">
        <v>5847</v>
      </c>
      <c r="F1435" s="11">
        <v>8.63406079905944E14</v>
      </c>
      <c r="G1435" s="11" t="s">
        <v>5848</v>
      </c>
      <c r="H1435" s="11" t="s">
        <v>4280</v>
      </c>
      <c r="I1435" s="11" t="s">
        <v>16</v>
      </c>
      <c r="J1435" s="37">
        <v>45951.0</v>
      </c>
      <c r="K1435" s="11"/>
      <c r="L1435" s="11">
        <v>2.0251027E7</v>
      </c>
    </row>
    <row r="1436">
      <c r="A1436" s="9" t="s">
        <v>4654</v>
      </c>
      <c r="B1436" s="11" t="s">
        <v>30</v>
      </c>
      <c r="C1436" s="11" t="s">
        <v>35</v>
      </c>
      <c r="D1436" s="11" t="s">
        <v>37</v>
      </c>
      <c r="E1436" s="11" t="s">
        <v>5849</v>
      </c>
      <c r="F1436" s="11">
        <v>8.64501077845123E14</v>
      </c>
      <c r="G1436" s="11" t="s">
        <v>5850</v>
      </c>
      <c r="H1436" s="11" t="s">
        <v>4280</v>
      </c>
      <c r="I1436" s="11" t="s">
        <v>16</v>
      </c>
      <c r="J1436" s="37">
        <v>45951.0</v>
      </c>
      <c r="K1436" s="11"/>
      <c r="L1436" s="11">
        <v>2.0251027E7</v>
      </c>
    </row>
    <row r="1437">
      <c r="A1437" s="9" t="s">
        <v>4654</v>
      </c>
      <c r="B1437" s="11" t="s">
        <v>30</v>
      </c>
      <c r="C1437" s="11" t="s">
        <v>35</v>
      </c>
      <c r="D1437" s="11" t="s">
        <v>37</v>
      </c>
      <c r="E1437" s="11" t="s">
        <v>5851</v>
      </c>
      <c r="F1437" s="11">
        <v>8.63406079905126E14</v>
      </c>
      <c r="G1437" s="11" t="s">
        <v>5852</v>
      </c>
      <c r="H1437" s="11" t="s">
        <v>4280</v>
      </c>
      <c r="I1437" s="11" t="s">
        <v>16</v>
      </c>
      <c r="J1437" s="37">
        <v>45951.0</v>
      </c>
      <c r="K1437" s="11"/>
      <c r="L1437" s="11">
        <v>2.0251027E7</v>
      </c>
    </row>
    <row r="1438">
      <c r="A1438" s="9" t="s">
        <v>4654</v>
      </c>
      <c r="B1438" s="11" t="s">
        <v>30</v>
      </c>
      <c r="C1438" s="11" t="s">
        <v>35</v>
      </c>
      <c r="D1438" s="11" t="s">
        <v>37</v>
      </c>
      <c r="E1438" s="11" t="s">
        <v>5853</v>
      </c>
      <c r="F1438" s="11">
        <v>8.63406079907106E14</v>
      </c>
      <c r="G1438" s="11" t="s">
        <v>5854</v>
      </c>
      <c r="H1438" s="11" t="s">
        <v>4280</v>
      </c>
      <c r="I1438" s="11" t="s">
        <v>16</v>
      </c>
      <c r="J1438" s="37">
        <v>45951.0</v>
      </c>
      <c r="K1438" s="11"/>
      <c r="L1438" s="11">
        <v>2.0251027E7</v>
      </c>
    </row>
    <row r="1439">
      <c r="A1439" s="9" t="s">
        <v>4654</v>
      </c>
      <c r="B1439" s="11" t="s">
        <v>30</v>
      </c>
      <c r="C1439" s="11" t="s">
        <v>35</v>
      </c>
      <c r="D1439" s="11" t="s">
        <v>37</v>
      </c>
      <c r="E1439" s="11" t="s">
        <v>5855</v>
      </c>
      <c r="F1439" s="11">
        <v>8.63406079906348E14</v>
      </c>
      <c r="G1439" s="11" t="s">
        <v>5856</v>
      </c>
      <c r="H1439" s="11" t="s">
        <v>4280</v>
      </c>
      <c r="I1439" s="11" t="s">
        <v>16</v>
      </c>
      <c r="J1439" s="37">
        <v>45951.0</v>
      </c>
      <c r="K1439" s="11"/>
      <c r="L1439" s="11">
        <v>2.0251027E7</v>
      </c>
    </row>
    <row r="1440">
      <c r="A1440" s="9" t="s">
        <v>4654</v>
      </c>
      <c r="B1440" s="11" t="s">
        <v>30</v>
      </c>
      <c r="C1440" s="11" t="s">
        <v>35</v>
      </c>
      <c r="D1440" s="11" t="s">
        <v>37</v>
      </c>
      <c r="E1440" s="11" t="s">
        <v>5857</v>
      </c>
      <c r="F1440" s="11">
        <v>8.63406079906793E14</v>
      </c>
      <c r="G1440" s="11" t="s">
        <v>5858</v>
      </c>
      <c r="H1440" s="11" t="s">
        <v>4280</v>
      </c>
      <c r="I1440" s="11" t="s">
        <v>16</v>
      </c>
      <c r="J1440" s="37">
        <v>45951.0</v>
      </c>
      <c r="K1440" s="11"/>
      <c r="L1440" s="11">
        <v>2.0251027E7</v>
      </c>
    </row>
    <row r="1441">
      <c r="A1441" s="9" t="s">
        <v>4654</v>
      </c>
      <c r="B1441" s="11" t="s">
        <v>30</v>
      </c>
      <c r="C1441" s="11" t="s">
        <v>35</v>
      </c>
      <c r="D1441" s="11" t="s">
        <v>37</v>
      </c>
      <c r="E1441" s="11" t="s">
        <v>5859</v>
      </c>
      <c r="F1441" s="11">
        <v>8.63406079906017E14</v>
      </c>
      <c r="G1441" s="11" t="s">
        <v>5860</v>
      </c>
      <c r="H1441" s="11" t="s">
        <v>4280</v>
      </c>
      <c r="I1441" s="11" t="s">
        <v>16</v>
      </c>
      <c r="J1441" s="37">
        <v>45951.0</v>
      </c>
      <c r="K1441" s="11"/>
      <c r="L1441" s="11">
        <v>2.0251027E7</v>
      </c>
    </row>
    <row r="1442">
      <c r="A1442" s="9" t="s">
        <v>4654</v>
      </c>
      <c r="B1442" s="11" t="s">
        <v>30</v>
      </c>
      <c r="C1442" s="11" t="s">
        <v>35</v>
      </c>
      <c r="D1442" s="11" t="s">
        <v>37</v>
      </c>
      <c r="E1442" s="11" t="s">
        <v>5861</v>
      </c>
      <c r="F1442" s="11">
        <v>8.63406079905829E14</v>
      </c>
      <c r="G1442" s="11" t="s">
        <v>5862</v>
      </c>
      <c r="H1442" s="11" t="s">
        <v>4280</v>
      </c>
      <c r="I1442" s="11" t="s">
        <v>16</v>
      </c>
      <c r="J1442" s="37">
        <v>45951.0</v>
      </c>
      <c r="K1442" s="11"/>
      <c r="L1442" s="11">
        <v>2.0251027E7</v>
      </c>
    </row>
    <row r="1443">
      <c r="A1443" s="9" t="s">
        <v>4654</v>
      </c>
      <c r="B1443" s="11" t="s">
        <v>30</v>
      </c>
      <c r="C1443" s="11" t="s">
        <v>35</v>
      </c>
      <c r="D1443" s="11" t="s">
        <v>37</v>
      </c>
      <c r="E1443" s="11" t="s">
        <v>5863</v>
      </c>
      <c r="F1443" s="11">
        <v>8.63406079906801E14</v>
      </c>
      <c r="G1443" s="11" t="s">
        <v>5864</v>
      </c>
      <c r="H1443" s="11" t="s">
        <v>4280</v>
      </c>
      <c r="I1443" s="11" t="s">
        <v>16</v>
      </c>
      <c r="J1443" s="37">
        <v>45951.0</v>
      </c>
      <c r="K1443" s="11"/>
      <c r="L1443" s="11">
        <v>2.0251027E7</v>
      </c>
    </row>
    <row r="1444">
      <c r="A1444" s="9" t="s">
        <v>4654</v>
      </c>
      <c r="B1444" s="11" t="s">
        <v>30</v>
      </c>
      <c r="C1444" s="11" t="s">
        <v>35</v>
      </c>
      <c r="D1444" s="11" t="s">
        <v>37</v>
      </c>
      <c r="E1444" s="11" t="s">
        <v>5865</v>
      </c>
      <c r="F1444" s="11">
        <v>8.63406079905746E14</v>
      </c>
      <c r="G1444" s="11" t="s">
        <v>5866</v>
      </c>
      <c r="H1444" s="11" t="s">
        <v>4280</v>
      </c>
      <c r="I1444" s="11" t="s">
        <v>16</v>
      </c>
      <c r="J1444" s="37">
        <v>45951.0</v>
      </c>
      <c r="K1444" s="11"/>
      <c r="L1444" s="11">
        <v>2.0251027E7</v>
      </c>
    </row>
    <row r="1445">
      <c r="A1445" s="9" t="s">
        <v>4654</v>
      </c>
      <c r="B1445" s="11" t="s">
        <v>30</v>
      </c>
      <c r="C1445" s="11" t="s">
        <v>35</v>
      </c>
      <c r="D1445" s="11" t="s">
        <v>37</v>
      </c>
      <c r="E1445" s="11" t="s">
        <v>5867</v>
      </c>
      <c r="F1445" s="11">
        <v>8.63406079907064E14</v>
      </c>
      <c r="G1445" s="11" t="s">
        <v>5868</v>
      </c>
      <c r="H1445" s="11" t="s">
        <v>4280</v>
      </c>
      <c r="I1445" s="11" t="s">
        <v>16</v>
      </c>
      <c r="J1445" s="37">
        <v>45951.0</v>
      </c>
      <c r="K1445" s="11"/>
      <c r="L1445" s="11">
        <v>2.0251027E7</v>
      </c>
    </row>
    <row r="1446">
      <c r="A1446" s="9" t="s">
        <v>4654</v>
      </c>
      <c r="B1446" s="11" t="s">
        <v>30</v>
      </c>
      <c r="C1446" s="11" t="s">
        <v>35</v>
      </c>
      <c r="D1446" s="11" t="s">
        <v>37</v>
      </c>
      <c r="E1446" s="11" t="s">
        <v>5869</v>
      </c>
      <c r="F1446" s="11">
        <v>8.64501077837559E14</v>
      </c>
      <c r="G1446" s="11" t="s">
        <v>5870</v>
      </c>
      <c r="H1446" s="11" t="s">
        <v>4280</v>
      </c>
      <c r="I1446" s="11" t="s">
        <v>16</v>
      </c>
      <c r="J1446" s="37">
        <v>45951.0</v>
      </c>
      <c r="K1446" s="11"/>
      <c r="L1446" s="11">
        <v>2.0251027E7</v>
      </c>
    </row>
    <row r="1447">
      <c r="A1447" s="9" t="s">
        <v>4654</v>
      </c>
      <c r="B1447" s="11" t="s">
        <v>30</v>
      </c>
      <c r="C1447" s="11" t="s">
        <v>35</v>
      </c>
      <c r="D1447" s="11" t="s">
        <v>37</v>
      </c>
      <c r="E1447" s="11" t="s">
        <v>5871</v>
      </c>
      <c r="F1447" s="11">
        <v>8.63406079906884E14</v>
      </c>
      <c r="G1447" s="11" t="s">
        <v>5872</v>
      </c>
      <c r="H1447" s="11" t="s">
        <v>4280</v>
      </c>
      <c r="I1447" s="11" t="s">
        <v>16</v>
      </c>
      <c r="J1447" s="37">
        <v>45951.0</v>
      </c>
      <c r="K1447" s="11"/>
      <c r="L1447" s="11">
        <v>2.0251027E7</v>
      </c>
    </row>
    <row r="1448">
      <c r="A1448" s="9" t="s">
        <v>4654</v>
      </c>
      <c r="B1448" s="11" t="s">
        <v>30</v>
      </c>
      <c r="C1448" s="11" t="s">
        <v>35</v>
      </c>
      <c r="D1448" s="11" t="s">
        <v>37</v>
      </c>
      <c r="E1448" s="11" t="s">
        <v>5873</v>
      </c>
      <c r="F1448" s="11">
        <v>8.63406079906934E14</v>
      </c>
      <c r="G1448" s="11" t="s">
        <v>5874</v>
      </c>
      <c r="H1448" s="11" t="s">
        <v>4280</v>
      </c>
      <c r="I1448" s="11" t="s">
        <v>16</v>
      </c>
      <c r="J1448" s="37">
        <v>45951.0</v>
      </c>
      <c r="K1448" s="11"/>
      <c r="L1448" s="11">
        <v>2.0251027E7</v>
      </c>
    </row>
    <row r="1449">
      <c r="A1449" s="9" t="s">
        <v>4654</v>
      </c>
      <c r="B1449" s="11" t="s">
        <v>30</v>
      </c>
      <c r="C1449" s="11" t="s">
        <v>35</v>
      </c>
      <c r="D1449" s="11" t="s">
        <v>37</v>
      </c>
      <c r="E1449" s="11" t="s">
        <v>5875</v>
      </c>
      <c r="F1449" s="11">
        <v>8.64501077837971E14</v>
      </c>
      <c r="G1449" s="11" t="s">
        <v>5876</v>
      </c>
      <c r="H1449" s="11" t="s">
        <v>4280</v>
      </c>
      <c r="I1449" s="11" t="s">
        <v>16</v>
      </c>
      <c r="J1449" s="37">
        <v>45951.0</v>
      </c>
      <c r="K1449" s="11"/>
      <c r="L1449" s="11">
        <v>2.0251027E7</v>
      </c>
    </row>
    <row r="1450">
      <c r="A1450" s="9" t="s">
        <v>4654</v>
      </c>
      <c r="B1450" s="11" t="s">
        <v>30</v>
      </c>
      <c r="C1450" s="11" t="s">
        <v>35</v>
      </c>
      <c r="D1450" s="11" t="s">
        <v>37</v>
      </c>
      <c r="E1450" s="11" t="s">
        <v>5877</v>
      </c>
      <c r="F1450" s="11">
        <v>8.64501077844282E14</v>
      </c>
      <c r="G1450" s="11" t="s">
        <v>5878</v>
      </c>
      <c r="H1450" s="11" t="s">
        <v>4280</v>
      </c>
      <c r="I1450" s="11" t="s">
        <v>16</v>
      </c>
      <c r="J1450" s="37">
        <v>45951.0</v>
      </c>
      <c r="K1450" s="11"/>
      <c r="L1450" s="11">
        <v>2.0251027E7</v>
      </c>
    </row>
    <row r="1451">
      <c r="A1451" s="9" t="s">
        <v>4654</v>
      </c>
      <c r="B1451" s="11" t="s">
        <v>30</v>
      </c>
      <c r="C1451" s="11" t="s">
        <v>35</v>
      </c>
      <c r="D1451" s="11" t="s">
        <v>37</v>
      </c>
      <c r="E1451" s="11" t="s">
        <v>5879</v>
      </c>
      <c r="F1451" s="11">
        <v>8.63406079905118E14</v>
      </c>
      <c r="G1451" s="11" t="s">
        <v>5880</v>
      </c>
      <c r="H1451" s="11" t="s">
        <v>4280</v>
      </c>
      <c r="I1451" s="11" t="s">
        <v>16</v>
      </c>
      <c r="J1451" s="37">
        <v>45951.0</v>
      </c>
      <c r="K1451" s="11"/>
      <c r="L1451" s="11">
        <v>2.0251027E7</v>
      </c>
    </row>
    <row r="1452">
      <c r="A1452" s="9" t="s">
        <v>4654</v>
      </c>
      <c r="B1452" s="11" t="s">
        <v>30</v>
      </c>
      <c r="C1452" s="11" t="s">
        <v>35</v>
      </c>
      <c r="D1452" s="11" t="s">
        <v>37</v>
      </c>
      <c r="E1452" s="11" t="s">
        <v>5881</v>
      </c>
      <c r="F1452" s="11">
        <v>8.64501077843169E14</v>
      </c>
      <c r="G1452" s="11" t="s">
        <v>5882</v>
      </c>
      <c r="H1452" s="11" t="s">
        <v>4280</v>
      </c>
      <c r="I1452" s="11" t="s">
        <v>16</v>
      </c>
      <c r="J1452" s="37">
        <v>45951.0</v>
      </c>
      <c r="K1452" s="11"/>
      <c r="L1452" s="11">
        <v>2.0251027E7</v>
      </c>
    </row>
    <row r="1453">
      <c r="A1453" s="9" t="s">
        <v>4654</v>
      </c>
      <c r="B1453" s="11" t="s">
        <v>30</v>
      </c>
      <c r="C1453" s="11" t="s">
        <v>35</v>
      </c>
      <c r="D1453" s="11" t="s">
        <v>37</v>
      </c>
      <c r="E1453" s="11" t="s">
        <v>5883</v>
      </c>
      <c r="F1453" s="11">
        <v>8.63406079906942E14</v>
      </c>
      <c r="G1453" s="11" t="s">
        <v>5884</v>
      </c>
      <c r="H1453" s="11" t="s">
        <v>4280</v>
      </c>
      <c r="I1453" s="11" t="s">
        <v>16</v>
      </c>
      <c r="J1453" s="37">
        <v>45951.0</v>
      </c>
      <c r="K1453" s="11"/>
      <c r="L1453" s="11">
        <v>2.0251027E7</v>
      </c>
    </row>
    <row r="1454">
      <c r="A1454" s="9" t="s">
        <v>4654</v>
      </c>
      <c r="B1454" s="11" t="s">
        <v>30</v>
      </c>
      <c r="C1454" s="11" t="s">
        <v>35</v>
      </c>
      <c r="D1454" s="11" t="s">
        <v>37</v>
      </c>
      <c r="E1454" s="11" t="s">
        <v>5885</v>
      </c>
      <c r="F1454" s="11">
        <v>8.64501077847459E14</v>
      </c>
      <c r="G1454" s="11" t="s">
        <v>5886</v>
      </c>
      <c r="H1454" s="11" t="s">
        <v>4280</v>
      </c>
      <c r="I1454" s="11" t="s">
        <v>16</v>
      </c>
      <c r="J1454" s="37">
        <v>45951.0</v>
      </c>
      <c r="K1454" s="11"/>
      <c r="L1454" s="11">
        <v>2.0251027E7</v>
      </c>
    </row>
    <row r="1455">
      <c r="A1455" s="9" t="s">
        <v>4654</v>
      </c>
      <c r="B1455" s="11" t="s">
        <v>30</v>
      </c>
      <c r="C1455" s="11" t="s">
        <v>35</v>
      </c>
      <c r="D1455" s="11" t="s">
        <v>37</v>
      </c>
      <c r="E1455" s="11" t="s">
        <v>5887</v>
      </c>
      <c r="F1455" s="11">
        <v>8.64501077846766E14</v>
      </c>
      <c r="G1455" s="11" t="s">
        <v>5888</v>
      </c>
      <c r="H1455" s="11" t="s">
        <v>4280</v>
      </c>
      <c r="I1455" s="11" t="s">
        <v>16</v>
      </c>
      <c r="J1455" s="37">
        <v>45951.0</v>
      </c>
      <c r="K1455" s="11"/>
      <c r="L1455" s="11">
        <v>2.0251027E7</v>
      </c>
    </row>
    <row r="1456">
      <c r="A1456" s="9" t="s">
        <v>4654</v>
      </c>
      <c r="B1456" s="11" t="s">
        <v>30</v>
      </c>
      <c r="C1456" s="11" t="s">
        <v>35</v>
      </c>
      <c r="D1456" s="11" t="s">
        <v>37</v>
      </c>
      <c r="E1456" s="11" t="s">
        <v>5889</v>
      </c>
      <c r="F1456" s="11">
        <v>8.64501077846568E14</v>
      </c>
      <c r="G1456" s="11" t="s">
        <v>5890</v>
      </c>
      <c r="H1456" s="11" t="s">
        <v>4280</v>
      </c>
      <c r="I1456" s="11" t="s">
        <v>16</v>
      </c>
      <c r="J1456" s="37">
        <v>45951.0</v>
      </c>
      <c r="K1456" s="11"/>
      <c r="L1456" s="11">
        <v>2.0251027E7</v>
      </c>
    </row>
    <row r="1457">
      <c r="A1457" s="9" t="s">
        <v>4654</v>
      </c>
      <c r="B1457" s="11" t="s">
        <v>30</v>
      </c>
      <c r="C1457" s="11" t="s">
        <v>35</v>
      </c>
      <c r="D1457" s="11" t="s">
        <v>37</v>
      </c>
      <c r="E1457" s="11" t="s">
        <v>5891</v>
      </c>
      <c r="F1457" s="11">
        <v>8.64501077837484E14</v>
      </c>
      <c r="G1457" s="11" t="s">
        <v>5892</v>
      </c>
      <c r="H1457" s="11" t="s">
        <v>4280</v>
      </c>
      <c r="I1457" s="11" t="s">
        <v>16</v>
      </c>
      <c r="J1457" s="37">
        <v>45951.0</v>
      </c>
      <c r="K1457" s="11"/>
      <c r="L1457" s="11">
        <v>2.0251027E7</v>
      </c>
    </row>
    <row r="1458">
      <c r="A1458" s="9" t="s">
        <v>4654</v>
      </c>
      <c r="B1458" s="11" t="s">
        <v>30</v>
      </c>
      <c r="C1458" s="11" t="s">
        <v>35</v>
      </c>
      <c r="D1458" s="11" t="s">
        <v>37</v>
      </c>
      <c r="E1458" s="11" t="s">
        <v>5893</v>
      </c>
      <c r="F1458" s="11">
        <v>8.64501077845214E14</v>
      </c>
      <c r="G1458" s="11" t="s">
        <v>5894</v>
      </c>
      <c r="H1458" s="11" t="s">
        <v>4280</v>
      </c>
      <c r="I1458" s="11" t="s">
        <v>16</v>
      </c>
      <c r="J1458" s="37">
        <v>45951.0</v>
      </c>
      <c r="K1458" s="11"/>
      <c r="L1458" s="11">
        <v>2.0251027E7</v>
      </c>
    </row>
    <row r="1459">
      <c r="A1459" s="9" t="s">
        <v>4654</v>
      </c>
      <c r="B1459" s="11" t="s">
        <v>30</v>
      </c>
      <c r="C1459" s="11" t="s">
        <v>35</v>
      </c>
      <c r="D1459" s="11" t="s">
        <v>37</v>
      </c>
      <c r="E1459" s="11" t="s">
        <v>5895</v>
      </c>
      <c r="F1459" s="11">
        <v>8.64501077847889E14</v>
      </c>
      <c r="G1459" s="11" t="s">
        <v>5896</v>
      </c>
      <c r="H1459" s="11" t="s">
        <v>4280</v>
      </c>
      <c r="I1459" s="11" t="s">
        <v>16</v>
      </c>
      <c r="J1459" s="37">
        <v>45951.0</v>
      </c>
      <c r="K1459" s="11"/>
      <c r="L1459" s="11">
        <v>2.0251027E7</v>
      </c>
    </row>
    <row r="1460">
      <c r="A1460" s="9" t="s">
        <v>4654</v>
      </c>
      <c r="B1460" s="11" t="s">
        <v>30</v>
      </c>
      <c r="C1460" s="11" t="s">
        <v>35</v>
      </c>
      <c r="D1460" s="11" t="s">
        <v>37</v>
      </c>
      <c r="E1460" s="11" t="s">
        <v>5897</v>
      </c>
      <c r="F1460" s="11">
        <v>8.64501077836676E14</v>
      </c>
      <c r="G1460" s="11" t="s">
        <v>5898</v>
      </c>
      <c r="H1460" s="11" t="s">
        <v>4280</v>
      </c>
      <c r="I1460" s="11" t="s">
        <v>16</v>
      </c>
      <c r="J1460" s="37">
        <v>45951.0</v>
      </c>
      <c r="K1460" s="11"/>
      <c r="L1460" s="11">
        <v>2.0251027E7</v>
      </c>
    </row>
    <row r="1461">
      <c r="A1461" s="9" t="s">
        <v>4654</v>
      </c>
      <c r="B1461" s="11" t="s">
        <v>30</v>
      </c>
      <c r="C1461" s="11" t="s">
        <v>35</v>
      </c>
      <c r="D1461" s="11" t="s">
        <v>37</v>
      </c>
      <c r="E1461" s="11" t="s">
        <v>5899</v>
      </c>
      <c r="F1461" s="11">
        <v>8.64501077844944E14</v>
      </c>
      <c r="G1461" s="11" t="s">
        <v>5900</v>
      </c>
      <c r="H1461" s="11" t="s">
        <v>4280</v>
      </c>
      <c r="I1461" s="11" t="s">
        <v>16</v>
      </c>
      <c r="J1461" s="37">
        <v>45951.0</v>
      </c>
      <c r="K1461" s="11"/>
      <c r="L1461" s="11">
        <v>2.0251027E7</v>
      </c>
    </row>
    <row r="1462">
      <c r="A1462" s="9" t="s">
        <v>4654</v>
      </c>
      <c r="B1462" s="11" t="s">
        <v>30</v>
      </c>
      <c r="C1462" s="11" t="s">
        <v>35</v>
      </c>
      <c r="D1462" s="11" t="s">
        <v>37</v>
      </c>
      <c r="E1462" s="11" t="s">
        <v>5901</v>
      </c>
      <c r="F1462" s="11">
        <v>8.64501077845917E14</v>
      </c>
      <c r="G1462" s="11" t="s">
        <v>5902</v>
      </c>
      <c r="H1462" s="11" t="s">
        <v>4280</v>
      </c>
      <c r="I1462" s="11" t="s">
        <v>16</v>
      </c>
      <c r="J1462" s="37">
        <v>45951.0</v>
      </c>
      <c r="K1462" s="11"/>
      <c r="L1462" s="11">
        <v>2.0251027E7</v>
      </c>
    </row>
    <row r="1463">
      <c r="A1463" s="9" t="s">
        <v>4654</v>
      </c>
      <c r="B1463" s="11" t="s">
        <v>30</v>
      </c>
      <c r="C1463" s="11" t="s">
        <v>35</v>
      </c>
      <c r="D1463" s="11" t="s">
        <v>37</v>
      </c>
      <c r="E1463" s="11" t="s">
        <v>5903</v>
      </c>
      <c r="F1463" s="11">
        <v>8.63406078290553E14</v>
      </c>
      <c r="G1463" s="11" t="s">
        <v>5904</v>
      </c>
      <c r="H1463" s="11" t="s">
        <v>4280</v>
      </c>
      <c r="I1463" s="11" t="s">
        <v>16</v>
      </c>
      <c r="J1463" s="37">
        <v>45951.0</v>
      </c>
      <c r="K1463" s="11"/>
      <c r="L1463" s="11">
        <v>2.0251027E7</v>
      </c>
    </row>
    <row r="1464">
      <c r="A1464" s="9" t="s">
        <v>4654</v>
      </c>
      <c r="B1464" s="11" t="s">
        <v>30</v>
      </c>
      <c r="C1464" s="11" t="s">
        <v>35</v>
      </c>
      <c r="D1464" s="11" t="s">
        <v>37</v>
      </c>
      <c r="E1464" s="11" t="s">
        <v>5905</v>
      </c>
      <c r="F1464" s="11">
        <v>8.64501077843102E14</v>
      </c>
      <c r="G1464" s="11" t="s">
        <v>5906</v>
      </c>
      <c r="H1464" s="11" t="s">
        <v>4280</v>
      </c>
      <c r="I1464" s="11" t="s">
        <v>16</v>
      </c>
      <c r="J1464" s="37">
        <v>45951.0</v>
      </c>
      <c r="K1464" s="11"/>
      <c r="L1464" s="11">
        <v>2.0251027E7</v>
      </c>
    </row>
    <row r="1465">
      <c r="A1465" s="9" t="s">
        <v>4654</v>
      </c>
      <c r="B1465" s="11" t="s">
        <v>30</v>
      </c>
      <c r="C1465" s="11" t="s">
        <v>35</v>
      </c>
      <c r="D1465" s="11" t="s">
        <v>37</v>
      </c>
      <c r="E1465" s="11" t="s">
        <v>5907</v>
      </c>
      <c r="F1465" s="11">
        <v>8.64501077837476E14</v>
      </c>
      <c r="G1465" s="11" t="s">
        <v>5908</v>
      </c>
      <c r="H1465" s="11" t="s">
        <v>4280</v>
      </c>
      <c r="I1465" s="11" t="s">
        <v>16</v>
      </c>
      <c r="J1465" s="37">
        <v>45951.0</v>
      </c>
      <c r="K1465" s="11"/>
      <c r="L1465" s="11">
        <v>2.0251027E7</v>
      </c>
    </row>
    <row r="1466">
      <c r="A1466" s="9" t="s">
        <v>4654</v>
      </c>
      <c r="B1466" s="11" t="s">
        <v>30</v>
      </c>
      <c r="C1466" s="11" t="s">
        <v>35</v>
      </c>
      <c r="D1466" s="11" t="s">
        <v>37</v>
      </c>
      <c r="E1466" s="11" t="s">
        <v>5909</v>
      </c>
      <c r="F1466" s="11">
        <v>8.63406078290256E14</v>
      </c>
      <c r="G1466" s="11" t="s">
        <v>5910</v>
      </c>
      <c r="H1466" s="11" t="s">
        <v>4280</v>
      </c>
      <c r="I1466" s="11" t="s">
        <v>16</v>
      </c>
      <c r="J1466" s="37">
        <v>45951.0</v>
      </c>
      <c r="K1466" s="11"/>
      <c r="L1466" s="11">
        <v>2.0251027E7</v>
      </c>
    </row>
    <row r="1467">
      <c r="A1467" s="9" t="s">
        <v>4654</v>
      </c>
      <c r="B1467" s="11" t="s">
        <v>30</v>
      </c>
      <c r="C1467" s="11" t="s">
        <v>35</v>
      </c>
      <c r="D1467" s="11" t="s">
        <v>37</v>
      </c>
      <c r="E1467" s="11" t="s">
        <v>5911</v>
      </c>
      <c r="F1467" s="11">
        <v>8.64501077844167E14</v>
      </c>
      <c r="G1467" s="11" t="s">
        <v>5912</v>
      </c>
      <c r="H1467" s="11" t="s">
        <v>4280</v>
      </c>
      <c r="I1467" s="11" t="s">
        <v>16</v>
      </c>
      <c r="J1467" s="37">
        <v>45951.0</v>
      </c>
      <c r="K1467" s="11"/>
      <c r="L1467" s="11">
        <v>2.0251027E7</v>
      </c>
    </row>
    <row r="1468">
      <c r="A1468" s="9" t="s">
        <v>4654</v>
      </c>
      <c r="B1468" s="11" t="s">
        <v>30</v>
      </c>
      <c r="C1468" s="11" t="s">
        <v>35</v>
      </c>
      <c r="D1468" s="11" t="s">
        <v>37</v>
      </c>
      <c r="E1468" s="11" t="s">
        <v>5913</v>
      </c>
      <c r="F1468" s="11">
        <v>8.64501075644437E14</v>
      </c>
      <c r="G1468" s="11" t="s">
        <v>5914</v>
      </c>
      <c r="H1468" s="11" t="s">
        <v>4280</v>
      </c>
      <c r="I1468" s="11" t="s">
        <v>16</v>
      </c>
      <c r="J1468" s="37">
        <v>45951.0</v>
      </c>
      <c r="K1468" s="11"/>
      <c r="L1468" s="11">
        <v>2.0251027E7</v>
      </c>
    </row>
    <row r="1469">
      <c r="A1469" s="9" t="s">
        <v>4654</v>
      </c>
      <c r="B1469" s="11" t="s">
        <v>30</v>
      </c>
      <c r="C1469" s="11" t="s">
        <v>35</v>
      </c>
      <c r="D1469" s="11" t="s">
        <v>37</v>
      </c>
      <c r="E1469" s="11" t="s">
        <v>5915</v>
      </c>
      <c r="F1469" s="11">
        <v>8.64501077843359E14</v>
      </c>
      <c r="G1469" s="11" t="s">
        <v>5916</v>
      </c>
      <c r="H1469" s="11" t="s">
        <v>4280</v>
      </c>
      <c r="I1469" s="11" t="s">
        <v>16</v>
      </c>
      <c r="J1469" s="37">
        <v>45951.0</v>
      </c>
      <c r="K1469" s="11"/>
      <c r="L1469" s="11">
        <v>2.0251027E7</v>
      </c>
    </row>
    <row r="1470">
      <c r="A1470" s="9" t="s">
        <v>4654</v>
      </c>
      <c r="B1470" s="11" t="s">
        <v>30</v>
      </c>
      <c r="C1470" s="11" t="s">
        <v>35</v>
      </c>
      <c r="D1470" s="11" t="s">
        <v>37</v>
      </c>
      <c r="E1470" s="11" t="s">
        <v>5917</v>
      </c>
      <c r="F1470" s="11">
        <v>8.64501075645202E14</v>
      </c>
      <c r="G1470" s="11" t="s">
        <v>5918</v>
      </c>
      <c r="H1470" s="11" t="s">
        <v>4280</v>
      </c>
      <c r="I1470" s="11" t="s">
        <v>16</v>
      </c>
      <c r="J1470" s="37">
        <v>45951.0</v>
      </c>
      <c r="K1470" s="11"/>
      <c r="L1470" s="11">
        <v>2.0251027E7</v>
      </c>
    </row>
    <row r="1471">
      <c r="A1471" s="9" t="s">
        <v>4654</v>
      </c>
      <c r="B1471" s="11" t="s">
        <v>30</v>
      </c>
      <c r="C1471" s="11" t="s">
        <v>35</v>
      </c>
      <c r="D1471" s="11" t="s">
        <v>37</v>
      </c>
      <c r="E1471" s="11" t="s">
        <v>5919</v>
      </c>
      <c r="F1471" s="11">
        <v>8.64501077836957E14</v>
      </c>
      <c r="G1471" s="11" t="s">
        <v>5920</v>
      </c>
      <c r="H1471" s="11" t="s">
        <v>4280</v>
      </c>
      <c r="I1471" s="11" t="s">
        <v>16</v>
      </c>
      <c r="J1471" s="37">
        <v>45951.0</v>
      </c>
      <c r="K1471" s="11"/>
      <c r="L1471" s="11">
        <v>2.0251027E7</v>
      </c>
    </row>
    <row r="1472">
      <c r="A1472" s="9" t="s">
        <v>4654</v>
      </c>
      <c r="B1472" s="11" t="s">
        <v>30</v>
      </c>
      <c r="C1472" s="11" t="s">
        <v>35</v>
      </c>
      <c r="D1472" s="11" t="s">
        <v>37</v>
      </c>
      <c r="E1472" s="11" t="s">
        <v>5921</v>
      </c>
      <c r="F1472" s="11">
        <v>8.64501077836973E14</v>
      </c>
      <c r="G1472" s="11" t="s">
        <v>5922</v>
      </c>
      <c r="H1472" s="11" t="s">
        <v>4280</v>
      </c>
      <c r="I1472" s="11" t="s">
        <v>16</v>
      </c>
      <c r="J1472" s="37">
        <v>45951.0</v>
      </c>
      <c r="K1472" s="11"/>
      <c r="L1472" s="11">
        <v>2.0251027E7</v>
      </c>
    </row>
    <row r="1473">
      <c r="A1473" s="9" t="s">
        <v>4654</v>
      </c>
      <c r="B1473" s="11" t="s">
        <v>30</v>
      </c>
      <c r="C1473" s="11" t="s">
        <v>35</v>
      </c>
      <c r="D1473" s="11" t="s">
        <v>37</v>
      </c>
      <c r="E1473" s="11" t="s">
        <v>5923</v>
      </c>
      <c r="F1473" s="11">
        <v>8.64501077841593E14</v>
      </c>
      <c r="G1473" s="11" t="s">
        <v>5924</v>
      </c>
      <c r="H1473" s="11" t="s">
        <v>4280</v>
      </c>
      <c r="I1473" s="11" t="s">
        <v>16</v>
      </c>
      <c r="J1473" s="37">
        <v>45951.0</v>
      </c>
      <c r="K1473" s="11"/>
      <c r="L1473" s="11">
        <v>2.0251027E7</v>
      </c>
    </row>
    <row r="1474">
      <c r="A1474" s="9" t="s">
        <v>4654</v>
      </c>
      <c r="B1474" s="11" t="s">
        <v>30</v>
      </c>
      <c r="C1474" s="11" t="s">
        <v>35</v>
      </c>
      <c r="D1474" s="11" t="s">
        <v>37</v>
      </c>
      <c r="E1474" s="11" t="s">
        <v>5925</v>
      </c>
      <c r="F1474" s="11">
        <v>8.64501077845396E14</v>
      </c>
      <c r="G1474" s="11" t="s">
        <v>5926</v>
      </c>
      <c r="H1474" s="11" t="s">
        <v>4280</v>
      </c>
      <c r="I1474" s="11" t="s">
        <v>16</v>
      </c>
      <c r="J1474" s="37">
        <v>45951.0</v>
      </c>
      <c r="K1474" s="11"/>
      <c r="L1474" s="11">
        <v>2.0251027E7</v>
      </c>
    </row>
    <row r="1475">
      <c r="A1475" s="9" t="s">
        <v>4654</v>
      </c>
      <c r="B1475" s="11" t="s">
        <v>30</v>
      </c>
      <c r="C1475" s="11" t="s">
        <v>35</v>
      </c>
      <c r="D1475" s="11" t="s">
        <v>37</v>
      </c>
      <c r="E1475" s="11" t="s">
        <v>5927</v>
      </c>
      <c r="F1475" s="11">
        <v>8.64501077843037E14</v>
      </c>
      <c r="G1475" s="11" t="s">
        <v>5928</v>
      </c>
      <c r="H1475" s="11" t="s">
        <v>4280</v>
      </c>
      <c r="I1475" s="11" t="s">
        <v>16</v>
      </c>
      <c r="J1475" s="37">
        <v>45951.0</v>
      </c>
      <c r="K1475" s="11"/>
      <c r="L1475" s="11">
        <v>2.0251027E7</v>
      </c>
    </row>
    <row r="1476">
      <c r="A1476" s="9" t="s">
        <v>4654</v>
      </c>
      <c r="B1476" s="11" t="s">
        <v>30</v>
      </c>
      <c r="C1476" s="11" t="s">
        <v>35</v>
      </c>
      <c r="D1476" s="11" t="s">
        <v>37</v>
      </c>
      <c r="E1476" s="11" t="s">
        <v>5929</v>
      </c>
      <c r="F1476" s="11">
        <v>8.64501077838847E14</v>
      </c>
      <c r="G1476" s="11" t="s">
        <v>5930</v>
      </c>
      <c r="H1476" s="11" t="s">
        <v>4280</v>
      </c>
      <c r="I1476" s="11" t="s">
        <v>16</v>
      </c>
      <c r="J1476" s="37">
        <v>45951.0</v>
      </c>
      <c r="K1476" s="11"/>
      <c r="L1476" s="11">
        <v>2.0251027E7</v>
      </c>
    </row>
    <row r="1477">
      <c r="A1477" s="9" t="s">
        <v>4654</v>
      </c>
      <c r="B1477" s="11" t="s">
        <v>30</v>
      </c>
      <c r="C1477" s="11" t="s">
        <v>35</v>
      </c>
      <c r="D1477" s="11" t="s">
        <v>37</v>
      </c>
      <c r="E1477" s="11" t="s">
        <v>5931</v>
      </c>
      <c r="F1477" s="11">
        <v>8.64501077840199E14</v>
      </c>
      <c r="G1477" s="11" t="s">
        <v>5932</v>
      </c>
      <c r="H1477" s="11" t="s">
        <v>4280</v>
      </c>
      <c r="I1477" s="11" t="s">
        <v>16</v>
      </c>
      <c r="J1477" s="37">
        <v>45951.0</v>
      </c>
      <c r="K1477" s="11"/>
      <c r="L1477" s="11">
        <v>2.0251027E7</v>
      </c>
    </row>
    <row r="1478">
      <c r="A1478" s="9" t="s">
        <v>4654</v>
      </c>
      <c r="B1478" s="11" t="s">
        <v>30</v>
      </c>
      <c r="C1478" s="11" t="s">
        <v>35</v>
      </c>
      <c r="D1478" s="11" t="s">
        <v>37</v>
      </c>
      <c r="E1478" s="11" t="s">
        <v>5933</v>
      </c>
      <c r="F1478" s="11">
        <v>8.64501075643116E14</v>
      </c>
      <c r="G1478" s="11" t="s">
        <v>5934</v>
      </c>
      <c r="H1478" s="11" t="s">
        <v>4280</v>
      </c>
      <c r="I1478" s="11" t="s">
        <v>16</v>
      </c>
      <c r="J1478" s="37">
        <v>45951.0</v>
      </c>
      <c r="K1478" s="11"/>
      <c r="L1478" s="11">
        <v>2.0251027E7</v>
      </c>
    </row>
    <row r="1479">
      <c r="A1479" s="9" t="s">
        <v>4654</v>
      </c>
      <c r="B1479" s="11" t="s">
        <v>30</v>
      </c>
      <c r="C1479" s="11" t="s">
        <v>35</v>
      </c>
      <c r="D1479" s="11" t="s">
        <v>37</v>
      </c>
      <c r="E1479" s="11" t="s">
        <v>5935</v>
      </c>
      <c r="F1479" s="11">
        <v>8.64501077842914E14</v>
      </c>
      <c r="G1479" s="11" t="s">
        <v>5936</v>
      </c>
      <c r="H1479" s="11" t="s">
        <v>4280</v>
      </c>
      <c r="I1479" s="11" t="s">
        <v>16</v>
      </c>
      <c r="J1479" s="37">
        <v>45951.0</v>
      </c>
      <c r="K1479" s="11"/>
      <c r="L1479" s="11">
        <v>2.0251027E7</v>
      </c>
    </row>
    <row r="1480">
      <c r="A1480" s="9" t="s">
        <v>4654</v>
      </c>
      <c r="B1480" s="11" t="s">
        <v>30</v>
      </c>
      <c r="C1480" s="11" t="s">
        <v>35</v>
      </c>
      <c r="D1480" s="11" t="s">
        <v>37</v>
      </c>
      <c r="E1480" s="11" t="s">
        <v>5937</v>
      </c>
      <c r="F1480" s="11">
        <v>8.64501077843698E14</v>
      </c>
      <c r="G1480" s="11" t="s">
        <v>5938</v>
      </c>
      <c r="H1480" s="11" t="s">
        <v>4280</v>
      </c>
      <c r="I1480" s="11" t="s">
        <v>16</v>
      </c>
      <c r="J1480" s="37">
        <v>45951.0</v>
      </c>
      <c r="K1480" s="11"/>
      <c r="L1480" s="11">
        <v>2.0251027E7</v>
      </c>
    </row>
    <row r="1481">
      <c r="A1481" s="9" t="s">
        <v>4654</v>
      </c>
      <c r="B1481" s="11" t="s">
        <v>30</v>
      </c>
      <c r="C1481" s="11" t="s">
        <v>35</v>
      </c>
      <c r="D1481" s="11" t="s">
        <v>37</v>
      </c>
      <c r="E1481" s="11" t="s">
        <v>5939</v>
      </c>
      <c r="F1481" s="11">
        <v>8.63406078290652E14</v>
      </c>
      <c r="G1481" s="11" t="s">
        <v>5940</v>
      </c>
      <c r="H1481" s="11" t="s">
        <v>4280</v>
      </c>
      <c r="I1481" s="11" t="s">
        <v>16</v>
      </c>
      <c r="J1481" s="37">
        <v>45951.0</v>
      </c>
      <c r="K1481" s="11"/>
      <c r="L1481" s="11">
        <v>2.0251027E7</v>
      </c>
    </row>
    <row r="1482">
      <c r="A1482" s="9" t="s">
        <v>4654</v>
      </c>
      <c r="B1482" s="11" t="s">
        <v>30</v>
      </c>
      <c r="C1482" s="11" t="s">
        <v>35</v>
      </c>
      <c r="D1482" s="11" t="s">
        <v>37</v>
      </c>
      <c r="E1482" s="11" t="s">
        <v>5941</v>
      </c>
      <c r="F1482" s="11">
        <v>8.6340607831856E14</v>
      </c>
      <c r="G1482" s="11" t="s">
        <v>5942</v>
      </c>
      <c r="H1482" s="11" t="s">
        <v>4280</v>
      </c>
      <c r="I1482" s="11" t="s">
        <v>16</v>
      </c>
      <c r="J1482" s="37">
        <v>45951.0</v>
      </c>
      <c r="K1482" s="11"/>
      <c r="L1482" s="11">
        <v>2.0251027E7</v>
      </c>
    </row>
    <row r="1483">
      <c r="A1483" s="9" t="s">
        <v>4654</v>
      </c>
      <c r="B1483" s="11" t="s">
        <v>30</v>
      </c>
      <c r="C1483" s="11" t="s">
        <v>35</v>
      </c>
      <c r="D1483" s="11" t="s">
        <v>37</v>
      </c>
      <c r="E1483" s="11" t="s">
        <v>5943</v>
      </c>
      <c r="F1483" s="11">
        <v>8.63406079906595E14</v>
      </c>
      <c r="G1483" s="11" t="s">
        <v>5944</v>
      </c>
      <c r="H1483" s="11" t="s">
        <v>4280</v>
      </c>
      <c r="I1483" s="11" t="s">
        <v>16</v>
      </c>
      <c r="J1483" s="37">
        <v>45951.0</v>
      </c>
      <c r="K1483" s="11"/>
      <c r="L1483" s="11">
        <v>2.0251027E7</v>
      </c>
    </row>
    <row r="1484">
      <c r="A1484" s="9" t="s">
        <v>4654</v>
      </c>
      <c r="B1484" s="11" t="s">
        <v>30</v>
      </c>
      <c r="C1484" s="11" t="s">
        <v>35</v>
      </c>
      <c r="D1484" s="11" t="s">
        <v>37</v>
      </c>
      <c r="E1484" s="11" t="s">
        <v>5945</v>
      </c>
      <c r="F1484" s="11">
        <v>8.63406079907544E14</v>
      </c>
      <c r="G1484" s="11" t="s">
        <v>5946</v>
      </c>
      <c r="H1484" s="11" t="s">
        <v>4280</v>
      </c>
      <c r="I1484" s="11" t="s">
        <v>16</v>
      </c>
      <c r="J1484" s="37">
        <v>45951.0</v>
      </c>
      <c r="K1484" s="11"/>
      <c r="L1484" s="11">
        <v>2.0251027E7</v>
      </c>
    </row>
    <row r="1485">
      <c r="A1485" s="9" t="s">
        <v>4654</v>
      </c>
      <c r="B1485" s="11" t="s">
        <v>30</v>
      </c>
      <c r="C1485" s="11" t="s">
        <v>35</v>
      </c>
      <c r="D1485" s="11" t="s">
        <v>37</v>
      </c>
      <c r="E1485" s="11" t="s">
        <v>5947</v>
      </c>
      <c r="F1485" s="11">
        <v>8.63406079906686E14</v>
      </c>
      <c r="G1485" s="11" t="s">
        <v>5948</v>
      </c>
      <c r="H1485" s="11" t="s">
        <v>4280</v>
      </c>
      <c r="I1485" s="11" t="s">
        <v>16</v>
      </c>
      <c r="J1485" s="37">
        <v>45951.0</v>
      </c>
      <c r="K1485" s="11"/>
      <c r="L1485" s="11">
        <v>2.0251027E7</v>
      </c>
    </row>
    <row r="1486">
      <c r="A1486" s="9" t="s">
        <v>4654</v>
      </c>
      <c r="B1486" s="11" t="s">
        <v>30</v>
      </c>
      <c r="C1486" s="11" t="s">
        <v>35</v>
      </c>
      <c r="D1486" s="11" t="s">
        <v>37</v>
      </c>
      <c r="E1486" s="11" t="s">
        <v>5949</v>
      </c>
      <c r="F1486" s="11">
        <v>8.63406079904111E14</v>
      </c>
      <c r="G1486" s="11" t="s">
        <v>5950</v>
      </c>
      <c r="H1486" s="11" t="s">
        <v>4280</v>
      </c>
      <c r="I1486" s="11" t="s">
        <v>16</v>
      </c>
      <c r="J1486" s="37">
        <v>45951.0</v>
      </c>
      <c r="K1486" s="11"/>
      <c r="L1486" s="11">
        <v>2.0251027E7</v>
      </c>
    </row>
    <row r="1487">
      <c r="A1487" s="9" t="s">
        <v>4654</v>
      </c>
      <c r="B1487" s="11" t="s">
        <v>30</v>
      </c>
      <c r="C1487" s="11" t="s">
        <v>35</v>
      </c>
      <c r="D1487" s="11" t="s">
        <v>37</v>
      </c>
      <c r="E1487" s="11" t="s">
        <v>5951</v>
      </c>
      <c r="F1487" s="11">
        <v>8.63406078290843E14</v>
      </c>
      <c r="G1487" s="11" t="s">
        <v>5952</v>
      </c>
      <c r="H1487" s="11" t="s">
        <v>4280</v>
      </c>
      <c r="I1487" s="11" t="s">
        <v>16</v>
      </c>
      <c r="J1487" s="37">
        <v>45951.0</v>
      </c>
      <c r="K1487" s="11"/>
      <c r="L1487" s="11">
        <v>2.0251027E7</v>
      </c>
    </row>
    <row r="1488">
      <c r="A1488" s="9" t="s">
        <v>4654</v>
      </c>
      <c r="B1488" s="11" t="s">
        <v>30</v>
      </c>
      <c r="C1488" s="11" t="s">
        <v>35</v>
      </c>
      <c r="D1488" s="11" t="s">
        <v>37</v>
      </c>
      <c r="E1488" s="11" t="s">
        <v>5953</v>
      </c>
      <c r="F1488" s="11">
        <v>8.64501077841007E14</v>
      </c>
      <c r="G1488" s="11" t="s">
        <v>5954</v>
      </c>
      <c r="H1488" s="11" t="s">
        <v>4280</v>
      </c>
      <c r="I1488" s="11" t="s">
        <v>16</v>
      </c>
      <c r="J1488" s="37">
        <v>45951.0</v>
      </c>
      <c r="K1488" s="11"/>
      <c r="L1488" s="11">
        <v>2.0251027E7</v>
      </c>
    </row>
    <row r="1489">
      <c r="A1489" s="9" t="s">
        <v>4654</v>
      </c>
      <c r="B1489" s="11" t="s">
        <v>30</v>
      </c>
      <c r="C1489" s="11" t="s">
        <v>35</v>
      </c>
      <c r="D1489" s="11" t="s">
        <v>37</v>
      </c>
      <c r="E1489" s="11" t="s">
        <v>5955</v>
      </c>
      <c r="F1489" s="11">
        <v>8.64501075643439E14</v>
      </c>
      <c r="G1489" s="11" t="s">
        <v>5956</v>
      </c>
      <c r="H1489" s="11" t="s">
        <v>4280</v>
      </c>
      <c r="I1489" s="11" t="s">
        <v>16</v>
      </c>
      <c r="J1489" s="37">
        <v>45951.0</v>
      </c>
      <c r="K1489" s="11"/>
      <c r="L1489" s="11">
        <v>2.0251027E7</v>
      </c>
    </row>
    <row r="1490">
      <c r="A1490" s="9" t="s">
        <v>4654</v>
      </c>
      <c r="B1490" s="11" t="s">
        <v>30</v>
      </c>
      <c r="C1490" s="11" t="s">
        <v>35</v>
      </c>
      <c r="D1490" s="11" t="s">
        <v>37</v>
      </c>
      <c r="E1490" s="11" t="s">
        <v>5957</v>
      </c>
      <c r="F1490" s="11">
        <v>8.6450107784189E14</v>
      </c>
      <c r="G1490" s="11" t="s">
        <v>5958</v>
      </c>
      <c r="H1490" s="11" t="s">
        <v>4280</v>
      </c>
      <c r="I1490" s="11" t="s">
        <v>16</v>
      </c>
      <c r="J1490" s="37">
        <v>45951.0</v>
      </c>
      <c r="K1490" s="11"/>
      <c r="L1490" s="11">
        <v>2.0251027E7</v>
      </c>
    </row>
    <row r="1491">
      <c r="A1491" s="9" t="s">
        <v>4654</v>
      </c>
      <c r="B1491" s="11" t="s">
        <v>30</v>
      </c>
      <c r="C1491" s="11" t="s">
        <v>35</v>
      </c>
      <c r="D1491" s="11" t="s">
        <v>37</v>
      </c>
      <c r="E1491" s="11" t="s">
        <v>5959</v>
      </c>
      <c r="F1491" s="11">
        <v>8.63406078318719E14</v>
      </c>
      <c r="G1491" s="11" t="s">
        <v>5960</v>
      </c>
      <c r="H1491" s="11" t="s">
        <v>4280</v>
      </c>
      <c r="I1491" s="11" t="s">
        <v>16</v>
      </c>
      <c r="J1491" s="37">
        <v>45951.0</v>
      </c>
      <c r="K1491" s="11"/>
      <c r="L1491" s="11">
        <v>2.0251027E7</v>
      </c>
    </row>
    <row r="1492">
      <c r="A1492" s="9" t="s">
        <v>4654</v>
      </c>
      <c r="B1492" s="11" t="s">
        <v>30</v>
      </c>
      <c r="C1492" s="11" t="s">
        <v>35</v>
      </c>
      <c r="D1492" s="11" t="s">
        <v>37</v>
      </c>
      <c r="E1492" s="11" t="s">
        <v>5961</v>
      </c>
      <c r="F1492" s="11">
        <v>8.63406078318578E14</v>
      </c>
      <c r="G1492" s="11" t="s">
        <v>5962</v>
      </c>
      <c r="H1492" s="11" t="s">
        <v>4280</v>
      </c>
      <c r="I1492" s="11" t="s">
        <v>16</v>
      </c>
      <c r="J1492" s="37">
        <v>45951.0</v>
      </c>
      <c r="K1492" s="11"/>
      <c r="L1492" s="11">
        <v>2.0251027E7</v>
      </c>
    </row>
    <row r="1493">
      <c r="A1493" s="9" t="s">
        <v>4654</v>
      </c>
      <c r="B1493" s="11" t="s">
        <v>30</v>
      </c>
      <c r="C1493" s="11" t="s">
        <v>35</v>
      </c>
      <c r="D1493" s="11" t="s">
        <v>37</v>
      </c>
      <c r="E1493" s="11" t="s">
        <v>5963</v>
      </c>
      <c r="F1493" s="11">
        <v>8.64501077843334E14</v>
      </c>
      <c r="G1493" s="11" t="s">
        <v>5964</v>
      </c>
      <c r="H1493" s="11" t="s">
        <v>4280</v>
      </c>
      <c r="I1493" s="11" t="s">
        <v>16</v>
      </c>
      <c r="J1493" s="37">
        <v>45951.0</v>
      </c>
      <c r="K1493" s="11"/>
      <c r="L1493" s="11">
        <v>2.0251027E7</v>
      </c>
    </row>
    <row r="1494">
      <c r="A1494" s="9" t="s">
        <v>4654</v>
      </c>
      <c r="B1494" s="11" t="s">
        <v>30</v>
      </c>
      <c r="C1494" s="11" t="s">
        <v>35</v>
      </c>
      <c r="D1494" s="11" t="s">
        <v>37</v>
      </c>
      <c r="E1494" s="11" t="s">
        <v>5965</v>
      </c>
      <c r="F1494" s="11">
        <v>8.63406078320293E14</v>
      </c>
      <c r="G1494" s="11" t="s">
        <v>5966</v>
      </c>
      <c r="H1494" s="11" t="s">
        <v>4280</v>
      </c>
      <c r="I1494" s="11" t="s">
        <v>16</v>
      </c>
      <c r="J1494" s="37">
        <v>45951.0</v>
      </c>
      <c r="K1494" s="11"/>
      <c r="L1494" s="11">
        <v>2.0251027E7</v>
      </c>
    </row>
    <row r="1495">
      <c r="A1495" s="9" t="s">
        <v>4654</v>
      </c>
      <c r="B1495" s="11" t="s">
        <v>30</v>
      </c>
      <c r="C1495" s="11" t="s">
        <v>35</v>
      </c>
      <c r="D1495" s="11" t="s">
        <v>37</v>
      </c>
      <c r="E1495" s="11" t="s">
        <v>5967</v>
      </c>
      <c r="F1495" s="11">
        <v>8.63406079905613E14</v>
      </c>
      <c r="G1495" s="11" t="s">
        <v>5968</v>
      </c>
      <c r="H1495" s="11" t="s">
        <v>4280</v>
      </c>
      <c r="I1495" s="11" t="s">
        <v>16</v>
      </c>
      <c r="J1495" s="37">
        <v>45951.0</v>
      </c>
      <c r="K1495" s="11"/>
      <c r="L1495" s="11">
        <v>2.0251027E7</v>
      </c>
    </row>
    <row r="1496">
      <c r="A1496" s="9" t="s">
        <v>4654</v>
      </c>
      <c r="B1496" s="11" t="s">
        <v>30</v>
      </c>
      <c r="C1496" s="11" t="s">
        <v>35</v>
      </c>
      <c r="D1496" s="11" t="s">
        <v>37</v>
      </c>
      <c r="E1496" s="11" t="s">
        <v>5969</v>
      </c>
      <c r="F1496" s="11">
        <v>8.63406078318602E14</v>
      </c>
      <c r="G1496" s="11" t="s">
        <v>5970</v>
      </c>
      <c r="H1496" s="11" t="s">
        <v>4280</v>
      </c>
      <c r="I1496" s="11" t="s">
        <v>16</v>
      </c>
      <c r="J1496" s="37">
        <v>45951.0</v>
      </c>
      <c r="K1496" s="11"/>
      <c r="L1496" s="11">
        <v>2.0251027E7</v>
      </c>
    </row>
    <row r="1497">
      <c r="A1497" s="9" t="s">
        <v>4654</v>
      </c>
      <c r="B1497" s="11" t="s">
        <v>30</v>
      </c>
      <c r="C1497" s="11" t="s">
        <v>35</v>
      </c>
      <c r="D1497" s="11" t="s">
        <v>37</v>
      </c>
      <c r="E1497" s="11" t="s">
        <v>5971</v>
      </c>
      <c r="F1497" s="11">
        <v>8.63406078290561E14</v>
      </c>
      <c r="G1497" s="11" t="s">
        <v>5972</v>
      </c>
      <c r="H1497" s="11" t="s">
        <v>4280</v>
      </c>
      <c r="I1497" s="11" t="s">
        <v>16</v>
      </c>
      <c r="J1497" s="37">
        <v>45951.0</v>
      </c>
      <c r="K1497" s="11"/>
      <c r="L1497" s="11">
        <v>2.0251027E7</v>
      </c>
    </row>
    <row r="1498">
      <c r="A1498" s="9" t="s">
        <v>4654</v>
      </c>
      <c r="B1498" s="11" t="s">
        <v>30</v>
      </c>
      <c r="C1498" s="11" t="s">
        <v>35</v>
      </c>
      <c r="D1498" s="11" t="s">
        <v>37</v>
      </c>
      <c r="E1498" s="11" t="s">
        <v>5973</v>
      </c>
      <c r="F1498" s="11">
        <v>8.64501077845974E14</v>
      </c>
      <c r="G1498" s="11" t="s">
        <v>5974</v>
      </c>
      <c r="H1498" s="11" t="s">
        <v>4280</v>
      </c>
      <c r="I1498" s="11" t="s">
        <v>16</v>
      </c>
      <c r="J1498" s="37">
        <v>45951.0</v>
      </c>
      <c r="K1498" s="11"/>
      <c r="L1498" s="11">
        <v>2.0251027E7</v>
      </c>
    </row>
    <row r="1499">
      <c r="A1499" s="9" t="s">
        <v>4654</v>
      </c>
      <c r="B1499" s="11" t="s">
        <v>30</v>
      </c>
      <c r="C1499" s="11" t="s">
        <v>35</v>
      </c>
      <c r="D1499" s="11" t="s">
        <v>37</v>
      </c>
      <c r="E1499" s="11" t="s">
        <v>5975</v>
      </c>
      <c r="F1499" s="11">
        <v>8.63406078318545E14</v>
      </c>
      <c r="G1499" s="11" t="s">
        <v>5976</v>
      </c>
      <c r="H1499" s="11" t="s">
        <v>4280</v>
      </c>
      <c r="I1499" s="11" t="s">
        <v>16</v>
      </c>
      <c r="J1499" s="37">
        <v>45951.0</v>
      </c>
      <c r="K1499" s="11"/>
      <c r="L1499" s="11">
        <v>2.0251027E7</v>
      </c>
    </row>
    <row r="1500">
      <c r="A1500" s="9" t="s">
        <v>4654</v>
      </c>
      <c r="B1500" s="11" t="s">
        <v>30</v>
      </c>
      <c r="C1500" s="11" t="s">
        <v>35</v>
      </c>
      <c r="D1500" s="11" t="s">
        <v>37</v>
      </c>
      <c r="E1500" s="11" t="s">
        <v>5977</v>
      </c>
      <c r="F1500" s="11">
        <v>8.63406078318586E14</v>
      </c>
      <c r="G1500" s="11" t="s">
        <v>5978</v>
      </c>
      <c r="H1500" s="11" t="s">
        <v>4280</v>
      </c>
      <c r="I1500" s="11" t="s">
        <v>16</v>
      </c>
      <c r="J1500" s="37">
        <v>45951.0</v>
      </c>
      <c r="K1500" s="11"/>
      <c r="L1500" s="11">
        <v>2.0251027E7</v>
      </c>
    </row>
    <row r="1501">
      <c r="A1501" s="9" t="s">
        <v>4654</v>
      </c>
      <c r="B1501" s="11" t="s">
        <v>30</v>
      </c>
      <c r="C1501" s="11" t="s">
        <v>35</v>
      </c>
      <c r="D1501" s="11" t="s">
        <v>37</v>
      </c>
      <c r="E1501" s="11" t="s">
        <v>5979</v>
      </c>
      <c r="F1501" s="11">
        <v>8.64501077845842E14</v>
      </c>
      <c r="G1501" s="11" t="s">
        <v>5980</v>
      </c>
      <c r="H1501" s="11" t="s">
        <v>4280</v>
      </c>
      <c r="I1501" s="11" t="s">
        <v>16</v>
      </c>
      <c r="J1501" s="37">
        <v>45951.0</v>
      </c>
      <c r="K1501" s="11"/>
      <c r="L1501" s="11">
        <v>2.0251027E7</v>
      </c>
    </row>
    <row r="1502">
      <c r="A1502" s="9" t="s">
        <v>4654</v>
      </c>
      <c r="B1502" s="11" t="s">
        <v>30</v>
      </c>
      <c r="C1502" s="11" t="s">
        <v>35</v>
      </c>
      <c r="D1502" s="11" t="s">
        <v>37</v>
      </c>
      <c r="E1502" s="11" t="s">
        <v>5981</v>
      </c>
      <c r="F1502" s="11">
        <v>8.64501077836684E14</v>
      </c>
      <c r="G1502" s="11" t="s">
        <v>5982</v>
      </c>
      <c r="H1502" s="11" t="s">
        <v>4280</v>
      </c>
      <c r="I1502" s="11" t="s">
        <v>16</v>
      </c>
      <c r="J1502" s="37">
        <v>45951.0</v>
      </c>
      <c r="K1502" s="11"/>
      <c r="L1502" s="11">
        <v>2.0251027E7</v>
      </c>
    </row>
    <row r="1503">
      <c r="A1503" s="9" t="s">
        <v>4654</v>
      </c>
      <c r="B1503" s="11" t="s">
        <v>30</v>
      </c>
      <c r="C1503" s="11" t="s">
        <v>35</v>
      </c>
      <c r="D1503" s="11" t="s">
        <v>37</v>
      </c>
      <c r="E1503" s="11" t="s">
        <v>5983</v>
      </c>
      <c r="F1503" s="11">
        <v>8.64501077836817E14</v>
      </c>
      <c r="G1503" s="11" t="s">
        <v>5984</v>
      </c>
      <c r="H1503" s="11" t="s">
        <v>4280</v>
      </c>
      <c r="I1503" s="11" t="s">
        <v>16</v>
      </c>
      <c r="J1503" s="37">
        <v>45951.0</v>
      </c>
      <c r="K1503" s="11"/>
      <c r="L1503" s="11">
        <v>2.0251027E7</v>
      </c>
    </row>
    <row r="1504">
      <c r="A1504" s="9" t="s">
        <v>4654</v>
      </c>
      <c r="B1504" s="11" t="s">
        <v>30</v>
      </c>
      <c r="C1504" s="11" t="s">
        <v>35</v>
      </c>
      <c r="D1504" s="11" t="s">
        <v>37</v>
      </c>
      <c r="E1504" s="11" t="s">
        <v>5985</v>
      </c>
      <c r="F1504" s="11">
        <v>8.64501077856153E14</v>
      </c>
      <c r="G1504" s="11" t="s">
        <v>5986</v>
      </c>
      <c r="H1504" s="11" t="s">
        <v>4280</v>
      </c>
      <c r="I1504" s="11" t="s">
        <v>16</v>
      </c>
      <c r="J1504" s="37">
        <v>45951.0</v>
      </c>
      <c r="K1504" s="11"/>
      <c r="L1504" s="11">
        <v>2.0251027E7</v>
      </c>
    </row>
    <row r="1505">
      <c r="A1505" s="9" t="s">
        <v>4654</v>
      </c>
      <c r="B1505" s="11" t="s">
        <v>30</v>
      </c>
      <c r="C1505" s="11" t="s">
        <v>35</v>
      </c>
      <c r="D1505" s="11" t="s">
        <v>37</v>
      </c>
      <c r="E1505" s="11" t="s">
        <v>5987</v>
      </c>
      <c r="F1505" s="11">
        <v>8.64501077837211E14</v>
      </c>
      <c r="G1505" s="11" t="s">
        <v>5988</v>
      </c>
      <c r="H1505" s="11" t="s">
        <v>4280</v>
      </c>
      <c r="I1505" s="11" t="s">
        <v>16</v>
      </c>
      <c r="J1505" s="37">
        <v>45951.0</v>
      </c>
      <c r="K1505" s="11"/>
      <c r="L1505" s="11">
        <v>2.0251027E7</v>
      </c>
    </row>
    <row r="1506">
      <c r="A1506" s="9" t="s">
        <v>4654</v>
      </c>
      <c r="B1506" s="11" t="s">
        <v>30</v>
      </c>
      <c r="C1506" s="11" t="s">
        <v>35</v>
      </c>
      <c r="D1506" s="11" t="s">
        <v>37</v>
      </c>
      <c r="E1506" s="11" t="s">
        <v>5989</v>
      </c>
      <c r="F1506" s="11">
        <v>8.63406079905415E14</v>
      </c>
      <c r="G1506" s="11" t="s">
        <v>5990</v>
      </c>
      <c r="H1506" s="11" t="s">
        <v>4280</v>
      </c>
      <c r="I1506" s="11" t="s">
        <v>16</v>
      </c>
      <c r="J1506" s="37">
        <v>45951.0</v>
      </c>
      <c r="K1506" s="11"/>
      <c r="L1506" s="11">
        <v>2.0251027E7</v>
      </c>
    </row>
    <row r="1507">
      <c r="A1507" s="9" t="s">
        <v>4654</v>
      </c>
      <c r="B1507" s="11" t="s">
        <v>30</v>
      </c>
      <c r="C1507" s="11" t="s">
        <v>35</v>
      </c>
      <c r="D1507" s="11" t="s">
        <v>37</v>
      </c>
      <c r="E1507" s="11" t="s">
        <v>5991</v>
      </c>
      <c r="F1507" s="11">
        <v>8.64501077836742E14</v>
      </c>
      <c r="G1507" s="11" t="s">
        <v>5992</v>
      </c>
      <c r="H1507" s="11" t="s">
        <v>4280</v>
      </c>
      <c r="I1507" s="11" t="s">
        <v>16</v>
      </c>
      <c r="J1507" s="37">
        <v>45951.0</v>
      </c>
      <c r="K1507" s="11"/>
      <c r="L1507" s="11">
        <v>2.0251027E7</v>
      </c>
    </row>
    <row r="1508">
      <c r="A1508" s="9" t="s">
        <v>4654</v>
      </c>
      <c r="B1508" s="11" t="s">
        <v>30</v>
      </c>
      <c r="C1508" s="11" t="s">
        <v>35</v>
      </c>
      <c r="D1508" s="11" t="s">
        <v>37</v>
      </c>
      <c r="E1508" s="11" t="s">
        <v>5993</v>
      </c>
      <c r="F1508" s="11">
        <v>8.63406079905514E14</v>
      </c>
      <c r="G1508" s="11" t="s">
        <v>5994</v>
      </c>
      <c r="H1508" s="11" t="s">
        <v>4280</v>
      </c>
      <c r="I1508" s="11" t="s">
        <v>16</v>
      </c>
      <c r="J1508" s="37">
        <v>45951.0</v>
      </c>
      <c r="K1508" s="11"/>
      <c r="L1508" s="11">
        <v>2.0251027E7</v>
      </c>
    </row>
    <row r="1509">
      <c r="A1509" s="9" t="s">
        <v>4654</v>
      </c>
      <c r="B1509" s="11" t="s">
        <v>30</v>
      </c>
      <c r="C1509" s="11" t="s">
        <v>35</v>
      </c>
      <c r="D1509" s="11" t="s">
        <v>37</v>
      </c>
      <c r="E1509" s="11" t="s">
        <v>5995</v>
      </c>
      <c r="F1509" s="11">
        <v>8.64501075642985E14</v>
      </c>
      <c r="G1509" s="11" t="s">
        <v>5996</v>
      </c>
      <c r="H1509" s="11" t="s">
        <v>4280</v>
      </c>
      <c r="I1509" s="11" t="s">
        <v>16</v>
      </c>
      <c r="J1509" s="37">
        <v>45951.0</v>
      </c>
      <c r="K1509" s="11"/>
      <c r="L1509" s="11">
        <v>2.0251027E7</v>
      </c>
    </row>
    <row r="1510">
      <c r="A1510" s="9" t="s">
        <v>4654</v>
      </c>
      <c r="B1510" s="11" t="s">
        <v>30</v>
      </c>
      <c r="C1510" s="11" t="s">
        <v>35</v>
      </c>
      <c r="D1510" s="11" t="s">
        <v>37</v>
      </c>
      <c r="E1510" s="11" t="s">
        <v>5997</v>
      </c>
      <c r="F1510" s="11">
        <v>8.64501077844514E14</v>
      </c>
      <c r="G1510" s="11" t="s">
        <v>5998</v>
      </c>
      <c r="H1510" s="11" t="s">
        <v>4280</v>
      </c>
      <c r="I1510" s="11" t="s">
        <v>16</v>
      </c>
      <c r="J1510" s="37">
        <v>45951.0</v>
      </c>
      <c r="K1510" s="11"/>
      <c r="L1510" s="11">
        <v>2.0251027E7</v>
      </c>
    </row>
    <row r="1511">
      <c r="A1511" s="9" t="s">
        <v>4654</v>
      </c>
      <c r="B1511" s="11" t="s">
        <v>30</v>
      </c>
      <c r="C1511" s="11" t="s">
        <v>35</v>
      </c>
      <c r="D1511" s="11" t="s">
        <v>37</v>
      </c>
      <c r="E1511" s="11" t="s">
        <v>5999</v>
      </c>
      <c r="F1511" s="11">
        <v>8.64501077843391E14</v>
      </c>
      <c r="G1511" s="11" t="s">
        <v>6000</v>
      </c>
      <c r="H1511" s="11" t="s">
        <v>4280</v>
      </c>
      <c r="I1511" s="11" t="s">
        <v>16</v>
      </c>
      <c r="J1511" s="37">
        <v>45951.0</v>
      </c>
      <c r="K1511" s="11"/>
      <c r="L1511" s="11">
        <v>2.0251027E7</v>
      </c>
    </row>
    <row r="1512">
      <c r="A1512" s="9" t="s">
        <v>4654</v>
      </c>
      <c r="B1512" s="11" t="s">
        <v>30</v>
      </c>
      <c r="C1512" s="11" t="s">
        <v>35</v>
      </c>
      <c r="D1512" s="11" t="s">
        <v>37</v>
      </c>
      <c r="E1512" s="11" t="s">
        <v>6001</v>
      </c>
      <c r="F1512" s="11">
        <v>8.64501077838201E14</v>
      </c>
      <c r="G1512" s="11" t="s">
        <v>6002</v>
      </c>
      <c r="H1512" s="11" t="s">
        <v>4280</v>
      </c>
      <c r="I1512" s="11" t="s">
        <v>16</v>
      </c>
      <c r="J1512" s="37">
        <v>45951.0</v>
      </c>
      <c r="K1512" s="11"/>
      <c r="L1512" s="11">
        <v>2.0251027E7</v>
      </c>
    </row>
    <row r="1513">
      <c r="A1513" s="9" t="s">
        <v>4654</v>
      </c>
      <c r="B1513" s="11" t="s">
        <v>30</v>
      </c>
      <c r="C1513" s="11" t="s">
        <v>35</v>
      </c>
      <c r="D1513" s="11" t="s">
        <v>37</v>
      </c>
      <c r="E1513" s="11" t="s">
        <v>6003</v>
      </c>
      <c r="F1513" s="11">
        <v>8.64501077841783E14</v>
      </c>
      <c r="G1513" s="11" t="s">
        <v>6004</v>
      </c>
      <c r="H1513" s="11" t="s">
        <v>4280</v>
      </c>
      <c r="I1513" s="11" t="s">
        <v>16</v>
      </c>
      <c r="J1513" s="37">
        <v>45951.0</v>
      </c>
      <c r="K1513" s="11"/>
      <c r="L1513" s="11">
        <v>2.0251027E7</v>
      </c>
    </row>
    <row r="1514">
      <c r="A1514" s="9" t="s">
        <v>4654</v>
      </c>
      <c r="B1514" s="11" t="s">
        <v>30</v>
      </c>
      <c r="C1514" s="11" t="s">
        <v>35</v>
      </c>
      <c r="D1514" s="11" t="s">
        <v>37</v>
      </c>
      <c r="E1514" s="11" t="s">
        <v>6005</v>
      </c>
      <c r="F1514" s="11">
        <v>8.64501077846121E14</v>
      </c>
      <c r="G1514" s="11" t="s">
        <v>6006</v>
      </c>
      <c r="H1514" s="11" t="s">
        <v>4280</v>
      </c>
      <c r="I1514" s="11" t="s">
        <v>16</v>
      </c>
      <c r="J1514" s="37">
        <v>45951.0</v>
      </c>
      <c r="K1514" s="11"/>
      <c r="L1514" s="11">
        <v>2.0251027E7</v>
      </c>
    </row>
    <row r="1515">
      <c r="A1515" s="9" t="s">
        <v>4654</v>
      </c>
      <c r="B1515" s="11" t="s">
        <v>30</v>
      </c>
      <c r="C1515" s="11" t="s">
        <v>35</v>
      </c>
      <c r="D1515" s="11" t="s">
        <v>37</v>
      </c>
      <c r="E1515" s="11" t="s">
        <v>6007</v>
      </c>
      <c r="F1515" s="11">
        <v>8.64501077844456E14</v>
      </c>
      <c r="G1515" s="11" t="s">
        <v>6008</v>
      </c>
      <c r="H1515" s="11" t="s">
        <v>4280</v>
      </c>
      <c r="I1515" s="11" t="s">
        <v>16</v>
      </c>
      <c r="J1515" s="37">
        <v>45951.0</v>
      </c>
      <c r="K1515" s="11"/>
      <c r="L1515" s="11">
        <v>2.0251027E7</v>
      </c>
    </row>
    <row r="1516">
      <c r="A1516" s="9" t="s">
        <v>4654</v>
      </c>
      <c r="B1516" s="11" t="s">
        <v>30</v>
      </c>
      <c r="C1516" s="11" t="s">
        <v>35</v>
      </c>
      <c r="D1516" s="11" t="s">
        <v>37</v>
      </c>
      <c r="E1516" s="11" t="s">
        <v>6009</v>
      </c>
      <c r="F1516" s="11">
        <v>8.63406078302887E14</v>
      </c>
      <c r="G1516" s="11" t="s">
        <v>6010</v>
      </c>
      <c r="H1516" s="11" t="s">
        <v>4280</v>
      </c>
      <c r="I1516" s="11" t="s">
        <v>16</v>
      </c>
      <c r="J1516" s="37">
        <v>45951.0</v>
      </c>
      <c r="K1516" s="11"/>
      <c r="L1516" s="11">
        <v>2.0251027E7</v>
      </c>
    </row>
    <row r="1517">
      <c r="A1517" s="9" t="s">
        <v>4654</v>
      </c>
      <c r="B1517" s="11" t="s">
        <v>30</v>
      </c>
      <c r="C1517" s="11" t="s">
        <v>35</v>
      </c>
      <c r="D1517" s="11" t="s">
        <v>37</v>
      </c>
      <c r="E1517" s="11" t="s">
        <v>6011</v>
      </c>
      <c r="F1517" s="11">
        <v>8.6340607831861E14</v>
      </c>
      <c r="G1517" s="11" t="s">
        <v>6012</v>
      </c>
      <c r="H1517" s="11" t="s">
        <v>4280</v>
      </c>
      <c r="I1517" s="11" t="s">
        <v>16</v>
      </c>
      <c r="J1517" s="37">
        <v>45951.0</v>
      </c>
      <c r="K1517" s="11"/>
      <c r="L1517" s="11">
        <v>2.0251027E7</v>
      </c>
    </row>
    <row r="1518">
      <c r="A1518" s="9" t="s">
        <v>4654</v>
      </c>
      <c r="B1518" s="11" t="s">
        <v>30</v>
      </c>
      <c r="C1518" s="11" t="s">
        <v>35</v>
      </c>
      <c r="D1518" s="11" t="s">
        <v>37</v>
      </c>
      <c r="E1518" s="11" t="s">
        <v>6013</v>
      </c>
      <c r="F1518" s="11">
        <v>8.6340607829071E14</v>
      </c>
      <c r="G1518" s="11" t="s">
        <v>6014</v>
      </c>
      <c r="H1518" s="11" t="s">
        <v>4280</v>
      </c>
      <c r="I1518" s="11" t="s">
        <v>16</v>
      </c>
      <c r="J1518" s="37">
        <v>45951.0</v>
      </c>
      <c r="K1518" s="11"/>
      <c r="L1518" s="11">
        <v>2.0251027E7</v>
      </c>
    </row>
    <row r="1519">
      <c r="A1519" s="9" t="s">
        <v>4654</v>
      </c>
      <c r="B1519" s="11" t="s">
        <v>30</v>
      </c>
      <c r="C1519" s="11" t="s">
        <v>35</v>
      </c>
      <c r="D1519" s="11" t="s">
        <v>37</v>
      </c>
      <c r="E1519" s="11" t="s">
        <v>6015</v>
      </c>
      <c r="F1519" s="11">
        <v>8.64501077844068E14</v>
      </c>
      <c r="G1519" s="11" t="s">
        <v>6016</v>
      </c>
      <c r="H1519" s="11" t="s">
        <v>4280</v>
      </c>
      <c r="I1519" s="11" t="s">
        <v>16</v>
      </c>
      <c r="J1519" s="37">
        <v>45951.0</v>
      </c>
      <c r="K1519" s="11"/>
      <c r="L1519" s="11">
        <v>2.0251027E7</v>
      </c>
    </row>
    <row r="1520">
      <c r="A1520" s="9" t="s">
        <v>4654</v>
      </c>
      <c r="B1520" s="11" t="s">
        <v>30</v>
      </c>
      <c r="C1520" s="11" t="s">
        <v>35</v>
      </c>
      <c r="D1520" s="11" t="s">
        <v>37</v>
      </c>
      <c r="E1520" s="11" t="s">
        <v>6017</v>
      </c>
      <c r="F1520" s="11">
        <v>8.64501075644791E14</v>
      </c>
      <c r="G1520" s="11" t="s">
        <v>6018</v>
      </c>
      <c r="H1520" s="11" t="s">
        <v>4280</v>
      </c>
      <c r="I1520" s="11" t="s">
        <v>16</v>
      </c>
      <c r="J1520" s="37">
        <v>45951.0</v>
      </c>
      <c r="K1520" s="11"/>
      <c r="L1520" s="11">
        <v>2.0251027E7</v>
      </c>
    </row>
    <row r="1521">
      <c r="A1521" s="9" t="s">
        <v>4654</v>
      </c>
      <c r="B1521" s="11" t="s">
        <v>30</v>
      </c>
      <c r="C1521" s="11" t="s">
        <v>35</v>
      </c>
      <c r="D1521" s="11" t="s">
        <v>37</v>
      </c>
      <c r="E1521" s="11" t="s">
        <v>6019</v>
      </c>
      <c r="F1521" s="11">
        <v>8.64501075644221E14</v>
      </c>
      <c r="G1521" s="11" t="s">
        <v>6020</v>
      </c>
      <c r="H1521" s="11" t="s">
        <v>4280</v>
      </c>
      <c r="I1521" s="11" t="s">
        <v>16</v>
      </c>
      <c r="J1521" s="37">
        <v>45951.0</v>
      </c>
      <c r="K1521" s="11"/>
      <c r="L1521" s="11">
        <v>2.0251027E7</v>
      </c>
    </row>
    <row r="1522">
      <c r="A1522" s="9" t="s">
        <v>4654</v>
      </c>
      <c r="B1522" s="11" t="s">
        <v>30</v>
      </c>
      <c r="C1522" s="11" t="s">
        <v>35</v>
      </c>
      <c r="D1522" s="11" t="s">
        <v>37</v>
      </c>
      <c r="E1522" s="11" t="s">
        <v>6021</v>
      </c>
      <c r="F1522" s="11">
        <v>8.64501077844126E14</v>
      </c>
      <c r="G1522" s="11" t="s">
        <v>6022</v>
      </c>
      <c r="H1522" s="11" t="s">
        <v>4280</v>
      </c>
      <c r="I1522" s="11" t="s">
        <v>16</v>
      </c>
      <c r="J1522" s="37">
        <v>45951.0</v>
      </c>
      <c r="K1522" s="11"/>
      <c r="L1522" s="11">
        <v>2.0251027E7</v>
      </c>
    </row>
    <row r="1523">
      <c r="A1523" s="9" t="s">
        <v>4654</v>
      </c>
      <c r="B1523" s="11" t="s">
        <v>30</v>
      </c>
      <c r="C1523" s="11" t="s">
        <v>35</v>
      </c>
      <c r="D1523" s="11" t="s">
        <v>37</v>
      </c>
      <c r="E1523" s="11" t="s">
        <v>6023</v>
      </c>
      <c r="F1523" s="11">
        <v>8.6340607829066E14</v>
      </c>
      <c r="G1523" s="11" t="s">
        <v>6024</v>
      </c>
      <c r="H1523" s="11" t="s">
        <v>4280</v>
      </c>
      <c r="I1523" s="11" t="s">
        <v>16</v>
      </c>
      <c r="J1523" s="37">
        <v>45951.0</v>
      </c>
      <c r="K1523" s="11"/>
      <c r="L1523" s="11">
        <v>2.0251027E7</v>
      </c>
    </row>
    <row r="1524">
      <c r="A1524" s="9" t="s">
        <v>4654</v>
      </c>
      <c r="B1524" s="11" t="s">
        <v>30</v>
      </c>
      <c r="C1524" s="11" t="s">
        <v>35</v>
      </c>
      <c r="D1524" s="11" t="s">
        <v>37</v>
      </c>
      <c r="E1524" s="11" t="s">
        <v>6025</v>
      </c>
      <c r="F1524" s="11">
        <v>8.63406078318503E14</v>
      </c>
      <c r="G1524" s="11" t="s">
        <v>6026</v>
      </c>
      <c r="H1524" s="11" t="s">
        <v>4280</v>
      </c>
      <c r="I1524" s="11" t="s">
        <v>16</v>
      </c>
      <c r="J1524" s="37">
        <v>45951.0</v>
      </c>
      <c r="K1524" s="11"/>
      <c r="L1524" s="11">
        <v>2.0251027E7</v>
      </c>
    </row>
    <row r="1525">
      <c r="A1525" s="9" t="s">
        <v>4654</v>
      </c>
      <c r="B1525" s="11" t="s">
        <v>30</v>
      </c>
      <c r="C1525" s="11" t="s">
        <v>35</v>
      </c>
      <c r="D1525" s="11" t="s">
        <v>37</v>
      </c>
      <c r="E1525" s="11" t="s">
        <v>6027</v>
      </c>
      <c r="F1525" s="11">
        <v>8.63406078318735E14</v>
      </c>
      <c r="G1525" s="11" t="s">
        <v>6028</v>
      </c>
      <c r="H1525" s="11" t="s">
        <v>4280</v>
      </c>
      <c r="I1525" s="11" t="s">
        <v>16</v>
      </c>
      <c r="J1525" s="37">
        <v>45951.0</v>
      </c>
      <c r="K1525" s="11"/>
      <c r="L1525" s="11">
        <v>2.0251027E7</v>
      </c>
    </row>
    <row r="1526">
      <c r="A1526" s="9" t="s">
        <v>4654</v>
      </c>
      <c r="B1526" s="11" t="s">
        <v>30</v>
      </c>
      <c r="C1526" s="11" t="s">
        <v>35</v>
      </c>
      <c r="D1526" s="11" t="s">
        <v>37</v>
      </c>
      <c r="E1526" s="11" t="s">
        <v>6029</v>
      </c>
      <c r="F1526" s="11">
        <v>8.64501077838045E14</v>
      </c>
      <c r="G1526" s="11" t="s">
        <v>6030</v>
      </c>
      <c r="H1526" s="11" t="s">
        <v>4280</v>
      </c>
      <c r="I1526" s="11" t="s">
        <v>16</v>
      </c>
      <c r="J1526" s="37">
        <v>45951.0</v>
      </c>
      <c r="K1526" s="11"/>
      <c r="L1526" s="11">
        <v>2.0251027E7</v>
      </c>
    </row>
    <row r="1527">
      <c r="A1527" s="9" t="s">
        <v>4654</v>
      </c>
      <c r="B1527" s="11" t="s">
        <v>30</v>
      </c>
      <c r="C1527" s="11" t="s">
        <v>35</v>
      </c>
      <c r="D1527" s="11" t="s">
        <v>37</v>
      </c>
      <c r="E1527" s="11" t="s">
        <v>6031</v>
      </c>
      <c r="F1527" s="11">
        <v>8.64501077841619E14</v>
      </c>
      <c r="G1527" s="11" t="s">
        <v>6032</v>
      </c>
      <c r="H1527" s="11" t="s">
        <v>4280</v>
      </c>
      <c r="I1527" s="11" t="s">
        <v>16</v>
      </c>
      <c r="J1527" s="37">
        <v>45951.0</v>
      </c>
      <c r="K1527" s="11"/>
      <c r="L1527" s="11">
        <v>2.0251027E7</v>
      </c>
    </row>
    <row r="1528">
      <c r="A1528" s="9" t="s">
        <v>4654</v>
      </c>
      <c r="B1528" s="11" t="s">
        <v>30</v>
      </c>
      <c r="C1528" s="11" t="s">
        <v>35</v>
      </c>
      <c r="D1528" s="11" t="s">
        <v>37</v>
      </c>
      <c r="E1528" s="11" t="s">
        <v>6033</v>
      </c>
      <c r="F1528" s="11">
        <v>8.64501077845933E14</v>
      </c>
      <c r="G1528" s="11" t="s">
        <v>6034</v>
      </c>
      <c r="H1528" s="11" t="s">
        <v>4280</v>
      </c>
      <c r="I1528" s="11" t="s">
        <v>16</v>
      </c>
      <c r="J1528" s="37">
        <v>45951.0</v>
      </c>
      <c r="K1528" s="11"/>
      <c r="L1528" s="11">
        <v>2.0251027E7</v>
      </c>
    </row>
    <row r="1529">
      <c r="A1529" s="9" t="s">
        <v>4654</v>
      </c>
      <c r="B1529" s="11" t="s">
        <v>30</v>
      </c>
      <c r="C1529" s="11" t="s">
        <v>35</v>
      </c>
      <c r="D1529" s="11" t="s">
        <v>37</v>
      </c>
      <c r="E1529" s="11" t="s">
        <v>6035</v>
      </c>
      <c r="F1529" s="11">
        <v>8.64501077855767E14</v>
      </c>
      <c r="G1529" s="11" t="s">
        <v>6036</v>
      </c>
      <c r="H1529" s="11" t="s">
        <v>4280</v>
      </c>
      <c r="I1529" s="11" t="s">
        <v>16</v>
      </c>
      <c r="J1529" s="37">
        <v>45951.0</v>
      </c>
      <c r="K1529" s="11"/>
      <c r="L1529" s="11">
        <v>2.0251027E7</v>
      </c>
    </row>
    <row r="1530">
      <c r="A1530" s="9" t="s">
        <v>4654</v>
      </c>
      <c r="B1530" s="11" t="s">
        <v>30</v>
      </c>
      <c r="C1530" s="11" t="s">
        <v>35</v>
      </c>
      <c r="D1530" s="11" t="s">
        <v>37</v>
      </c>
      <c r="E1530" s="11" t="s">
        <v>6037</v>
      </c>
      <c r="F1530" s="11">
        <v>8.63406079907643E14</v>
      </c>
      <c r="G1530" s="11" t="s">
        <v>6038</v>
      </c>
      <c r="H1530" s="11" t="s">
        <v>4280</v>
      </c>
      <c r="I1530" s="11" t="s">
        <v>16</v>
      </c>
      <c r="J1530" s="37">
        <v>45951.0</v>
      </c>
      <c r="K1530" s="11"/>
      <c r="L1530" s="11">
        <v>2.0251027E7</v>
      </c>
    </row>
    <row r="1531">
      <c r="A1531" s="9" t="s">
        <v>4654</v>
      </c>
      <c r="B1531" s="11" t="s">
        <v>30</v>
      </c>
      <c r="C1531" s="11" t="s">
        <v>35</v>
      </c>
      <c r="D1531" s="11" t="s">
        <v>37</v>
      </c>
      <c r="E1531" s="11" t="s">
        <v>6039</v>
      </c>
      <c r="F1531" s="11">
        <v>8.63406079906868E14</v>
      </c>
      <c r="G1531" s="11" t="s">
        <v>6040</v>
      </c>
      <c r="H1531" s="11" t="s">
        <v>4280</v>
      </c>
      <c r="I1531" s="11" t="s">
        <v>16</v>
      </c>
      <c r="J1531" s="37">
        <v>45951.0</v>
      </c>
      <c r="K1531" s="11"/>
      <c r="L1531" s="11">
        <v>2.0251027E7</v>
      </c>
    </row>
    <row r="1532">
      <c r="A1532" s="9" t="s">
        <v>4654</v>
      </c>
      <c r="B1532" s="11" t="s">
        <v>30</v>
      </c>
      <c r="C1532" s="11" t="s">
        <v>35</v>
      </c>
      <c r="D1532" s="11" t="s">
        <v>37</v>
      </c>
      <c r="E1532" s="11" t="s">
        <v>6041</v>
      </c>
      <c r="F1532" s="11">
        <v>8.6340607990553E14</v>
      </c>
      <c r="G1532" s="11" t="s">
        <v>6042</v>
      </c>
      <c r="H1532" s="11" t="s">
        <v>4280</v>
      </c>
      <c r="I1532" s="11" t="s">
        <v>16</v>
      </c>
      <c r="J1532" s="37">
        <v>45951.0</v>
      </c>
      <c r="K1532" s="11"/>
      <c r="L1532" s="11">
        <v>2.0251027E7</v>
      </c>
    </row>
    <row r="1533">
      <c r="A1533" s="9" t="s">
        <v>4654</v>
      </c>
      <c r="B1533" s="11" t="s">
        <v>30</v>
      </c>
      <c r="C1533" s="11" t="s">
        <v>35</v>
      </c>
      <c r="D1533" s="11" t="s">
        <v>37</v>
      </c>
      <c r="E1533" s="11" t="s">
        <v>6043</v>
      </c>
      <c r="F1533" s="11">
        <v>8.6450107784245E14</v>
      </c>
      <c r="G1533" s="11" t="s">
        <v>6044</v>
      </c>
      <c r="H1533" s="11" t="s">
        <v>4280</v>
      </c>
      <c r="I1533" s="11" t="s">
        <v>16</v>
      </c>
      <c r="J1533" s="37">
        <v>45951.0</v>
      </c>
      <c r="K1533" s="11"/>
      <c r="L1533" s="11">
        <v>2.0251027E7</v>
      </c>
    </row>
    <row r="1534">
      <c r="A1534" s="9" t="s">
        <v>4654</v>
      </c>
      <c r="B1534" s="11" t="s">
        <v>30</v>
      </c>
      <c r="C1534" s="11" t="s">
        <v>35</v>
      </c>
      <c r="D1534" s="11" t="s">
        <v>37</v>
      </c>
      <c r="E1534" s="11" t="s">
        <v>6045</v>
      </c>
      <c r="F1534" s="11">
        <v>8.64501077846113E14</v>
      </c>
      <c r="G1534" s="11" t="s">
        <v>6046</v>
      </c>
      <c r="H1534" s="11" t="s">
        <v>4280</v>
      </c>
      <c r="I1534" s="11" t="s">
        <v>16</v>
      </c>
      <c r="J1534" s="37">
        <v>45951.0</v>
      </c>
      <c r="K1534" s="11"/>
      <c r="L1534" s="11">
        <v>2.0251027E7</v>
      </c>
    </row>
    <row r="1535">
      <c r="A1535" s="9" t="s">
        <v>4654</v>
      </c>
      <c r="B1535" s="11" t="s">
        <v>30</v>
      </c>
      <c r="C1535" s="11" t="s">
        <v>35</v>
      </c>
      <c r="D1535" s="11" t="s">
        <v>37</v>
      </c>
      <c r="E1535" s="11" t="s">
        <v>6047</v>
      </c>
      <c r="F1535" s="11">
        <v>8.64501077856096E14</v>
      </c>
      <c r="G1535" s="11" t="s">
        <v>6048</v>
      </c>
      <c r="H1535" s="11" t="s">
        <v>4280</v>
      </c>
      <c r="I1535" s="11" t="s">
        <v>16</v>
      </c>
      <c r="J1535" s="37">
        <v>45951.0</v>
      </c>
      <c r="K1535" s="11"/>
      <c r="L1535" s="11">
        <v>2.0251027E7</v>
      </c>
    </row>
    <row r="1536">
      <c r="A1536" s="9" t="s">
        <v>4654</v>
      </c>
      <c r="B1536" s="11" t="s">
        <v>30</v>
      </c>
      <c r="C1536" s="11" t="s">
        <v>35</v>
      </c>
      <c r="D1536" s="11" t="s">
        <v>37</v>
      </c>
      <c r="E1536" s="11" t="s">
        <v>6049</v>
      </c>
      <c r="F1536" s="11">
        <v>8.63406078290272E14</v>
      </c>
      <c r="G1536" s="11" t="s">
        <v>6050</v>
      </c>
      <c r="H1536" s="11" t="s">
        <v>4280</v>
      </c>
      <c r="I1536" s="11" t="s">
        <v>16</v>
      </c>
      <c r="J1536" s="37">
        <v>45951.0</v>
      </c>
      <c r="K1536" s="11"/>
      <c r="L1536" s="11">
        <v>2.0251027E7</v>
      </c>
    </row>
    <row r="1537">
      <c r="A1537" s="9" t="s">
        <v>4654</v>
      </c>
      <c r="B1537" s="11" t="s">
        <v>30</v>
      </c>
      <c r="C1537" s="11" t="s">
        <v>35</v>
      </c>
      <c r="D1537" s="11" t="s">
        <v>37</v>
      </c>
      <c r="E1537" s="11" t="s">
        <v>6051</v>
      </c>
      <c r="F1537" s="11">
        <v>8.63406078290215E14</v>
      </c>
      <c r="G1537" s="11" t="s">
        <v>6052</v>
      </c>
      <c r="H1537" s="11" t="s">
        <v>4280</v>
      </c>
      <c r="I1537" s="11" t="s">
        <v>16</v>
      </c>
      <c r="J1537" s="37">
        <v>45951.0</v>
      </c>
      <c r="K1537" s="11"/>
      <c r="L1537" s="11">
        <v>2.0251027E7</v>
      </c>
    </row>
    <row r="1538">
      <c r="A1538" s="9" t="s">
        <v>4654</v>
      </c>
      <c r="B1538" s="11" t="s">
        <v>30</v>
      </c>
      <c r="C1538" s="11" t="s">
        <v>35</v>
      </c>
      <c r="D1538" s="11" t="s">
        <v>37</v>
      </c>
      <c r="E1538" s="11" t="s">
        <v>6053</v>
      </c>
      <c r="F1538" s="11">
        <v>8.64501077841577E14</v>
      </c>
      <c r="G1538" s="11" t="s">
        <v>6054</v>
      </c>
      <c r="H1538" s="11" t="s">
        <v>4280</v>
      </c>
      <c r="I1538" s="11" t="s">
        <v>16</v>
      </c>
      <c r="J1538" s="37">
        <v>45951.0</v>
      </c>
      <c r="K1538" s="11"/>
      <c r="L1538" s="11">
        <v>2.0251027E7</v>
      </c>
    </row>
    <row r="1539">
      <c r="A1539" s="9" t="s">
        <v>4654</v>
      </c>
      <c r="B1539" s="11" t="s">
        <v>30</v>
      </c>
      <c r="C1539" s="11" t="s">
        <v>35</v>
      </c>
      <c r="D1539" s="11" t="s">
        <v>37</v>
      </c>
      <c r="E1539" s="11" t="s">
        <v>6055</v>
      </c>
      <c r="F1539" s="11">
        <v>8.64501077842971E14</v>
      </c>
      <c r="G1539" s="11" t="s">
        <v>6056</v>
      </c>
      <c r="H1539" s="11" t="s">
        <v>4280</v>
      </c>
      <c r="I1539" s="11" t="s">
        <v>16</v>
      </c>
      <c r="J1539" s="37">
        <v>45951.0</v>
      </c>
      <c r="K1539" s="11"/>
      <c r="L1539" s="11">
        <v>2.0251027E7</v>
      </c>
    </row>
    <row r="1540">
      <c r="A1540" s="9" t="s">
        <v>4654</v>
      </c>
      <c r="B1540" s="11" t="s">
        <v>30</v>
      </c>
      <c r="C1540" s="11" t="s">
        <v>35</v>
      </c>
      <c r="D1540" s="11" t="s">
        <v>37</v>
      </c>
      <c r="E1540" s="11" t="s">
        <v>6057</v>
      </c>
      <c r="F1540" s="11">
        <v>8.63406078318594E14</v>
      </c>
      <c r="G1540" s="11" t="s">
        <v>6058</v>
      </c>
      <c r="H1540" s="11" t="s">
        <v>4280</v>
      </c>
      <c r="I1540" s="11" t="s">
        <v>16</v>
      </c>
      <c r="J1540" s="37">
        <v>45951.0</v>
      </c>
      <c r="K1540" s="11"/>
      <c r="L1540" s="11">
        <v>2.0251027E7</v>
      </c>
    </row>
    <row r="1541">
      <c r="A1541" s="9" t="s">
        <v>4654</v>
      </c>
      <c r="B1541" s="11" t="s">
        <v>30</v>
      </c>
      <c r="C1541" s="11" t="s">
        <v>35</v>
      </c>
      <c r="D1541" s="11" t="s">
        <v>37</v>
      </c>
      <c r="E1541" s="11" t="s">
        <v>6059</v>
      </c>
      <c r="F1541" s="11">
        <v>8.63406078290678E14</v>
      </c>
      <c r="G1541" s="11" t="s">
        <v>6060</v>
      </c>
      <c r="H1541" s="11" t="s">
        <v>4280</v>
      </c>
      <c r="I1541" s="11" t="s">
        <v>16</v>
      </c>
      <c r="J1541" s="37">
        <v>45951.0</v>
      </c>
      <c r="K1541" s="11"/>
      <c r="L1541" s="11">
        <v>2.0251027E7</v>
      </c>
    </row>
    <row r="1542">
      <c r="A1542" s="9" t="s">
        <v>4654</v>
      </c>
      <c r="B1542" s="11" t="s">
        <v>30</v>
      </c>
      <c r="C1542" s="11" t="s">
        <v>35</v>
      </c>
      <c r="D1542" s="11" t="s">
        <v>37</v>
      </c>
      <c r="E1542" s="11" t="s">
        <v>6061</v>
      </c>
      <c r="F1542" s="11">
        <v>8.64501077856062E14</v>
      </c>
      <c r="G1542" s="11" t="s">
        <v>6062</v>
      </c>
      <c r="H1542" s="11" t="s">
        <v>4280</v>
      </c>
      <c r="I1542" s="11" t="s">
        <v>16</v>
      </c>
      <c r="J1542" s="37">
        <v>45951.0</v>
      </c>
      <c r="K1542" s="11"/>
      <c r="L1542" s="11">
        <v>2.0251027E7</v>
      </c>
    </row>
    <row r="1543">
      <c r="A1543" s="9" t="s">
        <v>4654</v>
      </c>
      <c r="B1543" s="11" t="s">
        <v>30</v>
      </c>
      <c r="C1543" s="11" t="s">
        <v>35</v>
      </c>
      <c r="D1543" s="11" t="s">
        <v>37</v>
      </c>
      <c r="E1543" s="11" t="s">
        <v>6063</v>
      </c>
      <c r="F1543" s="11">
        <v>8.63406078318453E14</v>
      </c>
      <c r="G1543" s="11" t="s">
        <v>6064</v>
      </c>
      <c r="H1543" s="11" t="s">
        <v>4280</v>
      </c>
      <c r="I1543" s="11" t="s">
        <v>16</v>
      </c>
      <c r="J1543" s="37">
        <v>45951.0</v>
      </c>
      <c r="K1543" s="11"/>
      <c r="L1543" s="11">
        <v>2.0251027E7</v>
      </c>
    </row>
    <row r="1544">
      <c r="A1544" s="9" t="s">
        <v>4654</v>
      </c>
      <c r="B1544" s="11" t="s">
        <v>30</v>
      </c>
      <c r="C1544" s="11" t="s">
        <v>35</v>
      </c>
      <c r="D1544" s="11" t="s">
        <v>37</v>
      </c>
      <c r="E1544" s="11" t="s">
        <v>6065</v>
      </c>
      <c r="F1544" s="11">
        <v>8.64501077841726E14</v>
      </c>
      <c r="G1544" s="11" t="s">
        <v>6066</v>
      </c>
      <c r="H1544" s="11" t="s">
        <v>4280</v>
      </c>
      <c r="I1544" s="11" t="s">
        <v>16</v>
      </c>
      <c r="J1544" s="37">
        <v>45951.0</v>
      </c>
      <c r="K1544" s="11"/>
      <c r="L1544" s="11">
        <v>2.0251027E7</v>
      </c>
    </row>
    <row r="1545">
      <c r="A1545" s="9" t="s">
        <v>4654</v>
      </c>
      <c r="B1545" s="11" t="s">
        <v>30</v>
      </c>
      <c r="C1545" s="11" t="s">
        <v>35</v>
      </c>
      <c r="D1545" s="11" t="s">
        <v>37</v>
      </c>
      <c r="E1545" s="11" t="s">
        <v>6067</v>
      </c>
      <c r="F1545" s="11">
        <v>8.64501077844415E14</v>
      </c>
      <c r="G1545" s="11" t="s">
        <v>6068</v>
      </c>
      <c r="H1545" s="11" t="s">
        <v>4280</v>
      </c>
      <c r="I1545" s="11" t="s">
        <v>16</v>
      </c>
      <c r="J1545" s="37">
        <v>45951.0</v>
      </c>
      <c r="K1545" s="11"/>
      <c r="L1545" s="11">
        <v>2.0251027E7</v>
      </c>
    </row>
    <row r="1546">
      <c r="A1546" s="9" t="s">
        <v>4654</v>
      </c>
      <c r="B1546" s="11" t="s">
        <v>30</v>
      </c>
      <c r="C1546" s="11" t="s">
        <v>35</v>
      </c>
      <c r="D1546" s="11" t="s">
        <v>37</v>
      </c>
      <c r="E1546" s="11" t="s">
        <v>6069</v>
      </c>
      <c r="F1546" s="11">
        <v>8.63406078290611E14</v>
      </c>
      <c r="G1546" s="11" t="s">
        <v>6070</v>
      </c>
      <c r="H1546" s="11" t="s">
        <v>4280</v>
      </c>
      <c r="I1546" s="11" t="s">
        <v>16</v>
      </c>
      <c r="J1546" s="37">
        <v>45951.0</v>
      </c>
      <c r="K1546" s="11"/>
      <c r="L1546" s="11">
        <v>2.0251027E7</v>
      </c>
    </row>
    <row r="1547">
      <c r="A1547" s="9" t="s">
        <v>4654</v>
      </c>
      <c r="B1547" s="11" t="s">
        <v>30</v>
      </c>
      <c r="C1547" s="11" t="s">
        <v>35</v>
      </c>
      <c r="D1547" s="11" t="s">
        <v>37</v>
      </c>
      <c r="E1547" s="11" t="s">
        <v>6071</v>
      </c>
      <c r="F1547" s="11">
        <v>8.64501077836726E14</v>
      </c>
      <c r="G1547" s="11" t="s">
        <v>6072</v>
      </c>
      <c r="H1547" s="11" t="s">
        <v>4280</v>
      </c>
      <c r="I1547" s="11" t="s">
        <v>16</v>
      </c>
      <c r="J1547" s="37">
        <v>45951.0</v>
      </c>
      <c r="K1547" s="11"/>
      <c r="L1547" s="11">
        <v>2.0251027E7</v>
      </c>
    </row>
    <row r="1548">
      <c r="A1548" s="9" t="s">
        <v>4654</v>
      </c>
      <c r="B1548" s="11" t="s">
        <v>30</v>
      </c>
      <c r="C1548" s="11" t="s">
        <v>35</v>
      </c>
      <c r="D1548" s="11" t="s">
        <v>37</v>
      </c>
      <c r="E1548" s="11" t="s">
        <v>6073</v>
      </c>
      <c r="F1548" s="11">
        <v>8.64501077846964E14</v>
      </c>
      <c r="G1548" s="11" t="s">
        <v>6074</v>
      </c>
      <c r="H1548" s="11" t="s">
        <v>4280</v>
      </c>
      <c r="I1548" s="11" t="s">
        <v>16</v>
      </c>
      <c r="J1548" s="37">
        <v>45951.0</v>
      </c>
      <c r="K1548" s="11"/>
      <c r="L1548" s="11">
        <v>2.0251027E7</v>
      </c>
    </row>
    <row r="1549">
      <c r="A1549" s="9" t="s">
        <v>4654</v>
      </c>
      <c r="B1549" s="11" t="s">
        <v>30</v>
      </c>
      <c r="C1549" s="11" t="s">
        <v>35</v>
      </c>
      <c r="D1549" s="11" t="s">
        <v>37</v>
      </c>
      <c r="E1549" s="11" t="s">
        <v>6075</v>
      </c>
      <c r="F1549" s="11">
        <v>8.63406078290645E14</v>
      </c>
      <c r="G1549" s="11" t="s">
        <v>6076</v>
      </c>
      <c r="H1549" s="11" t="s">
        <v>4280</v>
      </c>
      <c r="I1549" s="11" t="s">
        <v>16</v>
      </c>
      <c r="J1549" s="37">
        <v>45951.0</v>
      </c>
      <c r="K1549" s="11"/>
      <c r="L1549" s="11">
        <v>2.0251027E7</v>
      </c>
    </row>
    <row r="1550">
      <c r="A1550" s="9" t="s">
        <v>4654</v>
      </c>
      <c r="B1550" s="11" t="s">
        <v>30</v>
      </c>
      <c r="C1550" s="11" t="s">
        <v>35</v>
      </c>
      <c r="D1550" s="11" t="s">
        <v>37</v>
      </c>
      <c r="E1550" s="11" t="s">
        <v>6077</v>
      </c>
      <c r="F1550" s="11">
        <v>8.64501077846139E14</v>
      </c>
      <c r="G1550" s="11" t="s">
        <v>6078</v>
      </c>
      <c r="H1550" s="11" t="s">
        <v>4280</v>
      </c>
      <c r="I1550" s="11" t="s">
        <v>16</v>
      </c>
      <c r="J1550" s="37">
        <v>45951.0</v>
      </c>
      <c r="K1550" s="11"/>
      <c r="L1550" s="11">
        <v>2.0251027E7</v>
      </c>
    </row>
    <row r="1551">
      <c r="A1551" s="9" t="s">
        <v>4654</v>
      </c>
      <c r="B1551" s="11" t="s">
        <v>30</v>
      </c>
      <c r="C1551" s="11" t="s">
        <v>35</v>
      </c>
      <c r="D1551" s="11" t="s">
        <v>37</v>
      </c>
      <c r="E1551" s="11" t="s">
        <v>6079</v>
      </c>
      <c r="F1551" s="11">
        <v>8.64501077845644E14</v>
      </c>
      <c r="G1551" s="11" t="s">
        <v>6080</v>
      </c>
      <c r="H1551" s="11" t="s">
        <v>4280</v>
      </c>
      <c r="I1551" s="11" t="s">
        <v>16</v>
      </c>
      <c r="J1551" s="37">
        <v>45951.0</v>
      </c>
      <c r="K1551" s="11"/>
      <c r="L1551" s="11">
        <v>2.0251027E7</v>
      </c>
    </row>
    <row r="1552">
      <c r="A1552" s="9" t="s">
        <v>4654</v>
      </c>
      <c r="B1552" s="11" t="s">
        <v>30</v>
      </c>
      <c r="C1552" s="11" t="s">
        <v>35</v>
      </c>
      <c r="D1552" s="11" t="s">
        <v>37</v>
      </c>
      <c r="E1552" s="11" t="s">
        <v>6081</v>
      </c>
      <c r="F1552" s="11">
        <v>8.63406078318412E14</v>
      </c>
      <c r="G1552" s="11" t="s">
        <v>6082</v>
      </c>
      <c r="H1552" s="11" t="s">
        <v>4280</v>
      </c>
      <c r="I1552" s="11" t="s">
        <v>16</v>
      </c>
      <c r="J1552" s="37">
        <v>45951.0</v>
      </c>
      <c r="K1552" s="11"/>
      <c r="L1552" s="11">
        <v>2.0251027E7</v>
      </c>
    </row>
    <row r="1553">
      <c r="A1553" s="9" t="s">
        <v>4654</v>
      </c>
      <c r="B1553" s="11" t="s">
        <v>30</v>
      </c>
      <c r="C1553" s="11" t="s">
        <v>35</v>
      </c>
      <c r="D1553" s="11" t="s">
        <v>37</v>
      </c>
      <c r="E1553" s="11" t="s">
        <v>6083</v>
      </c>
      <c r="F1553" s="11">
        <v>8.64501077844332E14</v>
      </c>
      <c r="G1553" s="11" t="s">
        <v>6084</v>
      </c>
      <c r="H1553" s="11" t="s">
        <v>4280</v>
      </c>
      <c r="I1553" s="11" t="s">
        <v>16</v>
      </c>
      <c r="J1553" s="37">
        <v>45951.0</v>
      </c>
      <c r="K1553" s="11"/>
      <c r="L1553" s="11">
        <v>2.0251027E7</v>
      </c>
    </row>
    <row r="1554">
      <c r="A1554" s="9" t="s">
        <v>4654</v>
      </c>
      <c r="B1554" s="11" t="s">
        <v>30</v>
      </c>
      <c r="C1554" s="11" t="s">
        <v>35</v>
      </c>
      <c r="D1554" s="11" t="s">
        <v>37</v>
      </c>
      <c r="E1554" s="11" t="s">
        <v>6085</v>
      </c>
      <c r="F1554" s="11">
        <v>8.63406079907338E14</v>
      </c>
      <c r="G1554" s="11" t="s">
        <v>6086</v>
      </c>
      <c r="H1554" s="11" t="s">
        <v>4280</v>
      </c>
      <c r="I1554" s="11" t="s">
        <v>16</v>
      </c>
      <c r="J1554" s="37">
        <v>45951.0</v>
      </c>
      <c r="K1554" s="11"/>
      <c r="L1554" s="11">
        <v>2.0251027E7</v>
      </c>
    </row>
    <row r="1555">
      <c r="A1555" s="9" t="s">
        <v>4654</v>
      </c>
      <c r="B1555" s="11" t="s">
        <v>30</v>
      </c>
      <c r="C1555" s="11" t="s">
        <v>35</v>
      </c>
      <c r="D1555" s="11" t="s">
        <v>37</v>
      </c>
      <c r="E1555" s="11" t="s">
        <v>6087</v>
      </c>
      <c r="F1555" s="11">
        <v>8.63406079912031E14</v>
      </c>
      <c r="G1555" s="11" t="s">
        <v>6088</v>
      </c>
      <c r="H1555" s="11" t="s">
        <v>4280</v>
      </c>
      <c r="I1555" s="11" t="s">
        <v>16</v>
      </c>
      <c r="J1555" s="37">
        <v>45951.0</v>
      </c>
      <c r="K1555" s="11"/>
      <c r="L1555" s="11">
        <v>2.0251027E7</v>
      </c>
    </row>
    <row r="1556">
      <c r="A1556" s="9" t="s">
        <v>4654</v>
      </c>
      <c r="B1556" s="11" t="s">
        <v>30</v>
      </c>
      <c r="C1556" s="11" t="s">
        <v>35</v>
      </c>
      <c r="D1556" s="11" t="s">
        <v>37</v>
      </c>
      <c r="E1556" s="11" t="s">
        <v>6089</v>
      </c>
      <c r="F1556" s="11">
        <v>8.63406079911967E14</v>
      </c>
      <c r="G1556" s="11" t="s">
        <v>6090</v>
      </c>
      <c r="H1556" s="11" t="s">
        <v>4280</v>
      </c>
      <c r="I1556" s="11" t="s">
        <v>16</v>
      </c>
      <c r="J1556" s="37">
        <v>45951.0</v>
      </c>
      <c r="K1556" s="11"/>
      <c r="L1556" s="11">
        <v>2.0251027E7</v>
      </c>
    </row>
    <row r="1557">
      <c r="A1557" s="9" t="s">
        <v>4654</v>
      </c>
      <c r="B1557" s="11" t="s">
        <v>30</v>
      </c>
      <c r="C1557" s="11" t="s">
        <v>35</v>
      </c>
      <c r="D1557" s="11" t="s">
        <v>37</v>
      </c>
      <c r="E1557" s="11" t="s">
        <v>6091</v>
      </c>
      <c r="F1557" s="11">
        <v>8.64501077845669E14</v>
      </c>
      <c r="G1557" s="11" t="s">
        <v>6092</v>
      </c>
      <c r="H1557" s="11" t="s">
        <v>4280</v>
      </c>
      <c r="I1557" s="11" t="s">
        <v>16</v>
      </c>
      <c r="J1557" s="37">
        <v>45951.0</v>
      </c>
      <c r="K1557" s="11"/>
      <c r="L1557" s="11">
        <v>2.0251027E7</v>
      </c>
    </row>
    <row r="1558">
      <c r="A1558" s="9" t="s">
        <v>4654</v>
      </c>
      <c r="B1558" s="11" t="s">
        <v>30</v>
      </c>
      <c r="C1558" s="11" t="s">
        <v>35</v>
      </c>
      <c r="D1558" s="11" t="s">
        <v>37</v>
      </c>
      <c r="E1558" s="11" t="s">
        <v>6093</v>
      </c>
      <c r="F1558" s="11">
        <v>8.63406079905332E14</v>
      </c>
      <c r="G1558" s="11" t="s">
        <v>6094</v>
      </c>
      <c r="H1558" s="11" t="s">
        <v>4280</v>
      </c>
      <c r="I1558" s="11" t="s">
        <v>16</v>
      </c>
      <c r="J1558" s="37">
        <v>45951.0</v>
      </c>
      <c r="K1558" s="11"/>
      <c r="L1558" s="11">
        <v>2.0251027E7</v>
      </c>
    </row>
    <row r="1559">
      <c r="A1559" s="9"/>
      <c r="B1559" s="11"/>
      <c r="C1559" s="11"/>
      <c r="D1559" s="11"/>
      <c r="E1559" s="11"/>
      <c r="F1559" s="11"/>
      <c r="G1559" s="11"/>
      <c r="H1559" s="11"/>
      <c r="I1559" s="11"/>
      <c r="J1559" s="37"/>
      <c r="K1559" s="11"/>
      <c r="L1559" s="11"/>
    </row>
    <row r="1560">
      <c r="A1560" s="9"/>
      <c r="B1560" s="11"/>
      <c r="C1560" s="11"/>
      <c r="D1560" s="11"/>
      <c r="E1560" s="11"/>
      <c r="F1560" s="11"/>
      <c r="G1560" s="11"/>
      <c r="H1560" s="11"/>
      <c r="I1560" s="11"/>
      <c r="J1560" s="37"/>
      <c r="K1560" s="11"/>
      <c r="L1560" s="11"/>
    </row>
    <row r="1561">
      <c r="A1561" s="9"/>
      <c r="B1561" s="11"/>
      <c r="C1561" s="11"/>
      <c r="D1561" s="11"/>
      <c r="E1561" s="11"/>
      <c r="F1561" s="11"/>
      <c r="G1561" s="11"/>
      <c r="H1561" s="11"/>
      <c r="I1561" s="11"/>
      <c r="J1561" s="37"/>
      <c r="K1561" s="11"/>
      <c r="L1561" s="11"/>
    </row>
    <row r="1562">
      <c r="A1562" s="9"/>
      <c r="B1562" s="11"/>
      <c r="C1562" s="11"/>
      <c r="D1562" s="11"/>
      <c r="E1562" s="11"/>
      <c r="F1562" s="11"/>
      <c r="G1562" s="11"/>
      <c r="H1562" s="11"/>
      <c r="I1562" s="11"/>
      <c r="J1562" s="37"/>
      <c r="K1562" s="11"/>
      <c r="L1562" s="11"/>
    </row>
    <row r="1563">
      <c r="A1563" s="9"/>
      <c r="B1563" s="11"/>
      <c r="C1563" s="11"/>
      <c r="D1563" s="11"/>
      <c r="E1563" s="11"/>
      <c r="F1563" s="11"/>
      <c r="G1563" s="11"/>
      <c r="H1563" s="11"/>
      <c r="I1563" s="11"/>
      <c r="J1563" s="37"/>
      <c r="K1563" s="11"/>
      <c r="L1563" s="11"/>
    </row>
    <row r="1564">
      <c r="A1564" s="9"/>
      <c r="B1564" s="11"/>
      <c r="C1564" s="11"/>
      <c r="D1564" s="11"/>
      <c r="E1564" s="11"/>
      <c r="F1564" s="11"/>
      <c r="G1564" s="11"/>
      <c r="H1564" s="11"/>
      <c r="I1564" s="11"/>
      <c r="J1564" s="37"/>
      <c r="K1564" s="11"/>
      <c r="L1564" s="11"/>
    </row>
    <row r="1565">
      <c r="A1565" s="9"/>
      <c r="B1565" s="11"/>
      <c r="C1565" s="11"/>
      <c r="D1565" s="11"/>
      <c r="E1565" s="11"/>
      <c r="F1565" s="11"/>
      <c r="G1565" s="11"/>
      <c r="H1565" s="11"/>
      <c r="I1565" s="11"/>
      <c r="J1565" s="37"/>
      <c r="K1565" s="11"/>
      <c r="L1565" s="11"/>
    </row>
    <row r="1566">
      <c r="A1566" s="9"/>
      <c r="B1566" s="11"/>
      <c r="C1566" s="11"/>
      <c r="D1566" s="11"/>
      <c r="E1566" s="11"/>
      <c r="F1566" s="11"/>
      <c r="G1566" s="11"/>
      <c r="H1566" s="11"/>
      <c r="I1566" s="11"/>
      <c r="J1566" s="37"/>
      <c r="K1566" s="11"/>
      <c r="L1566" s="11"/>
    </row>
    <row r="1567">
      <c r="A1567" s="9"/>
      <c r="B1567" s="11"/>
      <c r="C1567" s="11"/>
      <c r="D1567" s="11"/>
      <c r="E1567" s="11"/>
      <c r="F1567" s="11"/>
      <c r="G1567" s="11"/>
      <c r="H1567" s="11"/>
      <c r="I1567" s="11"/>
      <c r="J1567" s="37"/>
      <c r="K1567" s="11"/>
      <c r="L1567" s="11"/>
    </row>
    <row r="1568">
      <c r="A1568" s="9"/>
      <c r="B1568" s="11"/>
      <c r="C1568" s="11"/>
      <c r="D1568" s="11"/>
      <c r="E1568" s="11"/>
      <c r="F1568" s="11"/>
      <c r="G1568" s="11"/>
      <c r="H1568" s="11"/>
      <c r="I1568" s="11"/>
      <c r="J1568" s="37"/>
      <c r="K1568" s="11"/>
      <c r="L1568" s="11"/>
    </row>
    <row r="1569">
      <c r="A1569" s="9"/>
      <c r="B1569" s="11"/>
      <c r="C1569" s="11"/>
      <c r="D1569" s="11"/>
      <c r="E1569" s="11"/>
      <c r="F1569" s="11"/>
      <c r="G1569" s="11"/>
      <c r="H1569" s="11"/>
      <c r="I1569" s="11"/>
      <c r="J1569" s="37"/>
      <c r="K1569" s="11"/>
      <c r="L1569" s="11"/>
    </row>
    <row r="1570">
      <c r="A1570" s="9"/>
      <c r="B1570" s="11"/>
      <c r="C1570" s="11"/>
      <c r="D1570" s="11"/>
      <c r="E1570" s="11"/>
      <c r="F1570" s="11"/>
      <c r="G1570" s="11"/>
      <c r="H1570" s="11"/>
      <c r="I1570" s="11"/>
      <c r="J1570" s="37"/>
      <c r="K1570" s="11"/>
      <c r="L1570" s="11"/>
    </row>
    <row r="1571">
      <c r="A1571" s="9"/>
      <c r="B1571" s="11"/>
      <c r="C1571" s="11"/>
      <c r="D1571" s="11"/>
      <c r="E1571" s="11"/>
      <c r="F1571" s="11"/>
      <c r="G1571" s="11"/>
      <c r="H1571" s="11"/>
      <c r="I1571" s="11"/>
      <c r="J1571" s="37"/>
      <c r="K1571" s="11"/>
      <c r="L1571" s="11"/>
    </row>
    <row r="1572">
      <c r="A1572" s="9"/>
      <c r="B1572" s="11"/>
      <c r="C1572" s="11"/>
      <c r="D1572" s="11"/>
      <c r="E1572" s="11"/>
      <c r="F1572" s="11"/>
      <c r="G1572" s="11"/>
      <c r="H1572" s="11"/>
      <c r="I1572" s="11"/>
      <c r="J1572" s="37"/>
      <c r="K1572" s="11"/>
      <c r="L1572" s="11"/>
    </row>
    <row r="1573">
      <c r="A1573" s="9"/>
      <c r="B1573" s="11"/>
      <c r="C1573" s="11"/>
      <c r="D1573" s="11"/>
      <c r="E1573" s="11"/>
      <c r="F1573" s="11"/>
      <c r="G1573" s="11"/>
      <c r="H1573" s="11"/>
      <c r="I1573" s="11"/>
      <c r="J1573" s="37"/>
      <c r="K1573" s="11"/>
      <c r="L1573" s="11"/>
    </row>
    <row r="1574">
      <c r="A1574" s="9"/>
      <c r="B1574" s="11"/>
      <c r="C1574" s="11"/>
      <c r="D1574" s="11"/>
      <c r="E1574" s="11"/>
      <c r="F1574" s="11"/>
      <c r="G1574" s="11"/>
      <c r="H1574" s="11"/>
      <c r="I1574" s="11"/>
      <c r="J1574" s="37"/>
      <c r="K1574" s="11"/>
      <c r="L1574" s="11"/>
    </row>
    <row r="1575">
      <c r="A1575" s="9"/>
      <c r="B1575" s="11"/>
      <c r="C1575" s="11"/>
      <c r="D1575" s="11"/>
      <c r="E1575" s="11"/>
      <c r="F1575" s="11"/>
      <c r="G1575" s="11"/>
      <c r="H1575" s="11"/>
      <c r="I1575" s="11"/>
      <c r="J1575" s="37"/>
      <c r="K1575" s="11"/>
      <c r="L1575" s="11"/>
    </row>
    <row r="1576">
      <c r="A1576" s="9"/>
      <c r="B1576" s="11"/>
      <c r="C1576" s="11"/>
      <c r="D1576" s="11"/>
      <c r="E1576" s="11"/>
      <c r="F1576" s="11"/>
      <c r="G1576" s="11"/>
      <c r="H1576" s="11"/>
      <c r="I1576" s="11"/>
      <c r="J1576" s="37"/>
      <c r="K1576" s="11"/>
      <c r="L1576" s="11"/>
    </row>
    <row r="1577">
      <c r="A1577" s="9"/>
      <c r="B1577" s="11"/>
      <c r="C1577" s="11"/>
      <c r="D1577" s="11"/>
      <c r="E1577" s="11"/>
      <c r="F1577" s="11"/>
      <c r="G1577" s="11"/>
      <c r="H1577" s="11"/>
      <c r="I1577" s="11"/>
      <c r="J1577" s="37"/>
      <c r="K1577" s="11"/>
      <c r="L1577" s="11"/>
    </row>
    <row r="1578">
      <c r="A1578" s="9"/>
      <c r="B1578" s="11"/>
      <c r="C1578" s="11"/>
      <c r="D1578" s="11"/>
      <c r="E1578" s="11"/>
      <c r="F1578" s="11"/>
      <c r="G1578" s="11"/>
      <c r="H1578" s="11"/>
      <c r="I1578" s="11"/>
      <c r="J1578" s="37"/>
      <c r="K1578" s="11"/>
      <c r="L1578" s="11"/>
    </row>
    <row r="1579">
      <c r="A1579" s="9"/>
      <c r="B1579" s="11"/>
      <c r="C1579" s="11"/>
      <c r="D1579" s="11"/>
      <c r="E1579" s="11"/>
      <c r="F1579" s="11"/>
      <c r="G1579" s="11"/>
      <c r="H1579" s="11"/>
      <c r="I1579" s="11"/>
      <c r="J1579" s="37"/>
      <c r="K1579" s="11"/>
      <c r="L1579" s="11"/>
    </row>
    <row r="1580">
      <c r="A1580" s="9"/>
      <c r="B1580" s="11"/>
      <c r="C1580" s="11"/>
      <c r="D1580" s="11"/>
      <c r="E1580" s="11"/>
      <c r="F1580" s="11"/>
      <c r="G1580" s="11"/>
      <c r="H1580" s="11"/>
      <c r="I1580" s="11"/>
      <c r="J1580" s="37"/>
      <c r="K1580" s="11"/>
      <c r="L1580" s="11"/>
    </row>
    <row r="1581">
      <c r="A1581" s="9"/>
      <c r="B1581" s="11"/>
      <c r="C1581" s="11"/>
      <c r="D1581" s="11"/>
      <c r="E1581" s="11"/>
      <c r="F1581" s="11"/>
      <c r="G1581" s="11"/>
      <c r="H1581" s="11"/>
      <c r="I1581" s="11"/>
      <c r="J1581" s="37"/>
      <c r="K1581" s="11"/>
      <c r="L1581" s="11"/>
    </row>
    <row r="1582">
      <c r="A1582" s="9"/>
      <c r="B1582" s="11"/>
      <c r="C1582" s="11"/>
      <c r="D1582" s="11"/>
      <c r="E1582" s="11"/>
      <c r="F1582" s="11"/>
      <c r="G1582" s="11"/>
      <c r="H1582" s="11"/>
      <c r="I1582" s="11"/>
      <c r="J1582" s="37"/>
      <c r="K1582" s="11"/>
      <c r="L1582" s="11"/>
    </row>
    <row r="1583">
      <c r="A1583" s="9"/>
      <c r="B1583" s="11"/>
      <c r="C1583" s="11"/>
      <c r="D1583" s="11"/>
      <c r="E1583" s="11"/>
      <c r="F1583" s="11"/>
      <c r="G1583" s="11"/>
      <c r="H1583" s="11"/>
      <c r="I1583" s="11"/>
      <c r="J1583" s="37"/>
      <c r="K1583" s="11"/>
      <c r="L1583" s="11"/>
    </row>
    <row r="1584">
      <c r="A1584" s="9"/>
      <c r="B1584" s="11"/>
      <c r="C1584" s="11"/>
      <c r="D1584" s="11"/>
      <c r="E1584" s="11"/>
      <c r="F1584" s="11"/>
      <c r="G1584" s="11"/>
      <c r="H1584" s="11"/>
      <c r="I1584" s="11"/>
      <c r="J1584" s="37"/>
      <c r="K1584" s="11"/>
      <c r="L1584" s="11"/>
    </row>
    <row r="1585">
      <c r="A1585" s="9"/>
      <c r="B1585" s="11"/>
      <c r="C1585" s="11"/>
      <c r="D1585" s="11"/>
      <c r="E1585" s="11"/>
      <c r="F1585" s="11"/>
      <c r="G1585" s="11"/>
      <c r="H1585" s="11"/>
      <c r="I1585" s="11"/>
      <c r="J1585" s="37"/>
      <c r="K1585" s="11"/>
      <c r="L1585" s="11"/>
    </row>
    <row r="1586">
      <c r="A1586" s="9"/>
      <c r="B1586" s="11"/>
      <c r="C1586" s="11"/>
      <c r="D1586" s="11"/>
      <c r="E1586" s="11"/>
      <c r="F1586" s="11"/>
      <c r="G1586" s="11"/>
      <c r="H1586" s="11"/>
      <c r="I1586" s="11"/>
      <c r="J1586" s="37"/>
      <c r="K1586" s="11"/>
      <c r="L1586" s="11"/>
    </row>
    <row r="1587">
      <c r="A1587" s="9"/>
      <c r="B1587" s="11"/>
      <c r="C1587" s="11"/>
      <c r="D1587" s="11"/>
      <c r="E1587" s="11"/>
      <c r="F1587" s="11"/>
      <c r="G1587" s="11"/>
      <c r="H1587" s="11"/>
      <c r="I1587" s="11"/>
      <c r="J1587" s="37"/>
      <c r="K1587" s="11"/>
      <c r="L1587" s="11"/>
    </row>
    <row r="1588">
      <c r="A1588" s="9"/>
      <c r="B1588" s="11"/>
      <c r="C1588" s="11"/>
      <c r="D1588" s="11"/>
      <c r="E1588" s="11"/>
      <c r="F1588" s="11"/>
      <c r="G1588" s="11"/>
      <c r="H1588" s="11"/>
      <c r="I1588" s="11"/>
      <c r="J1588" s="37"/>
      <c r="K1588" s="11"/>
      <c r="L1588" s="11"/>
    </row>
    <row r="1589">
      <c r="A1589" s="9"/>
      <c r="B1589" s="11"/>
      <c r="C1589" s="11"/>
      <c r="D1589" s="11"/>
      <c r="E1589" s="11"/>
      <c r="F1589" s="11"/>
      <c r="G1589" s="11"/>
      <c r="H1589" s="11"/>
      <c r="I1589" s="11"/>
      <c r="J1589" s="37"/>
      <c r="K1589" s="11"/>
      <c r="L1589" s="11"/>
    </row>
    <row r="1590">
      <c r="A1590" s="9"/>
      <c r="B1590" s="11"/>
      <c r="C1590" s="11"/>
      <c r="D1590" s="11"/>
      <c r="E1590" s="11"/>
      <c r="F1590" s="11"/>
      <c r="G1590" s="11"/>
      <c r="H1590" s="11"/>
      <c r="I1590" s="11"/>
      <c r="J1590" s="37"/>
      <c r="K1590" s="11"/>
      <c r="L1590" s="11"/>
    </row>
    <row r="1591">
      <c r="A1591" s="9"/>
      <c r="B1591" s="11"/>
      <c r="C1591" s="11"/>
      <c r="D1591" s="11"/>
      <c r="E1591" s="11"/>
      <c r="F1591" s="11"/>
      <c r="G1591" s="11"/>
      <c r="H1591" s="11"/>
      <c r="I1591" s="11"/>
      <c r="J1591" s="37"/>
      <c r="K1591" s="11"/>
      <c r="L1591" s="11"/>
    </row>
    <row r="1592">
      <c r="A1592" s="9"/>
      <c r="B1592" s="11"/>
      <c r="C1592" s="11"/>
      <c r="D1592" s="11"/>
      <c r="E1592" s="11"/>
      <c r="F1592" s="11"/>
      <c r="G1592" s="11"/>
      <c r="H1592" s="11"/>
      <c r="I1592" s="11"/>
      <c r="J1592" s="37"/>
      <c r="K1592" s="11"/>
      <c r="L1592" s="11"/>
    </row>
    <row r="1593">
      <c r="A1593" s="9"/>
      <c r="B1593" s="11"/>
      <c r="C1593" s="11"/>
      <c r="D1593" s="11"/>
      <c r="E1593" s="11"/>
      <c r="F1593" s="11"/>
      <c r="G1593" s="11"/>
      <c r="H1593" s="11"/>
      <c r="I1593" s="11"/>
      <c r="J1593" s="37"/>
      <c r="K1593" s="11"/>
      <c r="L1593" s="11"/>
    </row>
    <row r="1594">
      <c r="A1594" s="9"/>
      <c r="B1594" s="11"/>
      <c r="C1594" s="11"/>
      <c r="D1594" s="11"/>
      <c r="E1594" s="11"/>
      <c r="F1594" s="11"/>
      <c r="G1594" s="11"/>
      <c r="H1594" s="11"/>
      <c r="I1594" s="11"/>
      <c r="J1594" s="37"/>
      <c r="K1594" s="11"/>
      <c r="L1594" s="11"/>
    </row>
    <row r="1595">
      <c r="A1595" s="9"/>
      <c r="B1595" s="11"/>
      <c r="C1595" s="11"/>
      <c r="D1595" s="11"/>
      <c r="E1595" s="11"/>
      <c r="F1595" s="11"/>
      <c r="G1595" s="11"/>
      <c r="H1595" s="11"/>
      <c r="I1595" s="11"/>
      <c r="J1595" s="37"/>
      <c r="K1595" s="11"/>
      <c r="L1595" s="11"/>
    </row>
    <row r="1596">
      <c r="A1596" s="9"/>
      <c r="B1596" s="11"/>
      <c r="C1596" s="11"/>
      <c r="D1596" s="11"/>
      <c r="E1596" s="11"/>
      <c r="F1596" s="11"/>
      <c r="G1596" s="11"/>
      <c r="H1596" s="11"/>
      <c r="I1596" s="11"/>
      <c r="J1596" s="37"/>
      <c r="K1596" s="11"/>
      <c r="L1596" s="11"/>
    </row>
    <row r="1597">
      <c r="A1597" s="9"/>
      <c r="B1597" s="11"/>
      <c r="C1597" s="11"/>
      <c r="D1597" s="11"/>
      <c r="E1597" s="11"/>
      <c r="F1597" s="11"/>
      <c r="G1597" s="11"/>
      <c r="H1597" s="11"/>
      <c r="I1597" s="11"/>
      <c r="J1597" s="37"/>
      <c r="K1597" s="11"/>
      <c r="L1597" s="11"/>
    </row>
    <row r="1598">
      <c r="A1598" s="9"/>
      <c r="B1598" s="11"/>
      <c r="C1598" s="11"/>
      <c r="D1598" s="11"/>
      <c r="E1598" s="11"/>
      <c r="F1598" s="11"/>
      <c r="G1598" s="11"/>
      <c r="H1598" s="11"/>
      <c r="I1598" s="11"/>
      <c r="J1598" s="37"/>
      <c r="K1598" s="11"/>
      <c r="L1598" s="11"/>
    </row>
    <row r="1599">
      <c r="A1599" s="9"/>
      <c r="B1599" s="11"/>
      <c r="C1599" s="11"/>
      <c r="D1599" s="11"/>
      <c r="E1599" s="11"/>
      <c r="F1599" s="11"/>
      <c r="G1599" s="11"/>
      <c r="H1599" s="11"/>
      <c r="I1599" s="11"/>
      <c r="J1599" s="37"/>
      <c r="K1599" s="11"/>
      <c r="L1599" s="11"/>
    </row>
    <row r="1600">
      <c r="A1600" s="9"/>
      <c r="B1600" s="11"/>
      <c r="C1600" s="11"/>
      <c r="D1600" s="11"/>
      <c r="E1600" s="11"/>
      <c r="F1600" s="11"/>
      <c r="G1600" s="11"/>
      <c r="H1600" s="11"/>
      <c r="I1600" s="11"/>
      <c r="J1600" s="37"/>
      <c r="K1600" s="11"/>
      <c r="L1600" s="11"/>
    </row>
    <row r="1601">
      <c r="A1601" s="9"/>
      <c r="B1601" s="11"/>
      <c r="C1601" s="11"/>
      <c r="D1601" s="11"/>
      <c r="E1601" s="11"/>
      <c r="F1601" s="11"/>
      <c r="G1601" s="11"/>
      <c r="H1601" s="11"/>
      <c r="I1601" s="11"/>
      <c r="J1601" s="37"/>
      <c r="K1601" s="11"/>
      <c r="L1601" s="11"/>
    </row>
    <row r="1602">
      <c r="A1602" s="9"/>
      <c r="B1602" s="11"/>
      <c r="C1602" s="11"/>
      <c r="D1602" s="11"/>
      <c r="E1602" s="11"/>
      <c r="F1602" s="11"/>
      <c r="G1602" s="11"/>
      <c r="H1602" s="11"/>
      <c r="I1602" s="11"/>
      <c r="J1602" s="37"/>
      <c r="K1602" s="11"/>
      <c r="L1602" s="11"/>
    </row>
    <row r="1603">
      <c r="A1603" s="9"/>
      <c r="B1603" s="11"/>
      <c r="C1603" s="11"/>
      <c r="D1603" s="11"/>
      <c r="E1603" s="11"/>
      <c r="F1603" s="11"/>
      <c r="G1603" s="11"/>
      <c r="H1603" s="11"/>
      <c r="I1603" s="11"/>
      <c r="J1603" s="37"/>
      <c r="K1603" s="11"/>
      <c r="L1603" s="11"/>
    </row>
    <row r="1604">
      <c r="A1604" s="9"/>
      <c r="B1604" s="11"/>
      <c r="C1604" s="11"/>
      <c r="D1604" s="11"/>
      <c r="E1604" s="11"/>
      <c r="F1604" s="11"/>
      <c r="G1604" s="11"/>
      <c r="H1604" s="11"/>
      <c r="I1604" s="11"/>
      <c r="J1604" s="37"/>
      <c r="K1604" s="11"/>
      <c r="L1604" s="11"/>
    </row>
    <row r="1605">
      <c r="A1605" s="9"/>
      <c r="B1605" s="11"/>
      <c r="C1605" s="11"/>
      <c r="D1605" s="11"/>
      <c r="E1605" s="11"/>
      <c r="F1605" s="11"/>
      <c r="G1605" s="11"/>
      <c r="H1605" s="11"/>
      <c r="I1605" s="11"/>
      <c r="J1605" s="37"/>
      <c r="K1605" s="11"/>
      <c r="L1605" s="11"/>
    </row>
    <row r="1606">
      <c r="A1606" s="9"/>
      <c r="B1606" s="11"/>
      <c r="C1606" s="11"/>
      <c r="D1606" s="11"/>
      <c r="E1606" s="11"/>
      <c r="F1606" s="11"/>
      <c r="G1606" s="11"/>
      <c r="H1606" s="11"/>
      <c r="I1606" s="11"/>
      <c r="J1606" s="37"/>
      <c r="K1606" s="11"/>
      <c r="L1606" s="11"/>
    </row>
    <row r="1607">
      <c r="A1607" s="9"/>
      <c r="B1607" s="11"/>
      <c r="C1607" s="11"/>
      <c r="D1607" s="11"/>
      <c r="E1607" s="11"/>
      <c r="F1607" s="11"/>
      <c r="G1607" s="11"/>
      <c r="H1607" s="11"/>
      <c r="I1607" s="11"/>
      <c r="J1607" s="37"/>
      <c r="K1607" s="11"/>
      <c r="L1607" s="11"/>
    </row>
    <row r="1608">
      <c r="A1608" s="9"/>
      <c r="B1608" s="11"/>
      <c r="C1608" s="11"/>
      <c r="D1608" s="11"/>
      <c r="E1608" s="11"/>
      <c r="F1608" s="11"/>
      <c r="G1608" s="11"/>
      <c r="H1608" s="11"/>
      <c r="I1608" s="11"/>
      <c r="J1608" s="37"/>
      <c r="K1608" s="11"/>
      <c r="L1608" s="11"/>
    </row>
    <row r="1609">
      <c r="A1609" s="9"/>
      <c r="B1609" s="11"/>
      <c r="C1609" s="11"/>
      <c r="D1609" s="11"/>
      <c r="E1609" s="11"/>
      <c r="F1609" s="11"/>
      <c r="G1609" s="11"/>
      <c r="H1609" s="11"/>
      <c r="I1609" s="11"/>
      <c r="J1609" s="37"/>
      <c r="K1609" s="11"/>
      <c r="L1609" s="11"/>
    </row>
    <row r="1610">
      <c r="A1610" s="9"/>
      <c r="B1610" s="11"/>
      <c r="C1610" s="11"/>
      <c r="D1610" s="11"/>
      <c r="E1610" s="11"/>
      <c r="F1610" s="11"/>
      <c r="G1610" s="11"/>
      <c r="H1610" s="11"/>
      <c r="I1610" s="11"/>
      <c r="J1610" s="37"/>
      <c r="K1610" s="11"/>
      <c r="L1610" s="11"/>
    </row>
    <row r="1611">
      <c r="A1611" s="9"/>
      <c r="B1611" s="11"/>
      <c r="C1611" s="11"/>
      <c r="D1611" s="11"/>
      <c r="E1611" s="11"/>
      <c r="F1611" s="11"/>
      <c r="G1611" s="11"/>
      <c r="H1611" s="11"/>
      <c r="I1611" s="11"/>
      <c r="J1611" s="37"/>
      <c r="K1611" s="11"/>
      <c r="L1611" s="11"/>
    </row>
    <row r="1612">
      <c r="A1612" s="9"/>
      <c r="B1612" s="11"/>
      <c r="C1612" s="11"/>
      <c r="D1612" s="11"/>
      <c r="E1612" s="11"/>
      <c r="F1612" s="11"/>
      <c r="G1612" s="11"/>
      <c r="H1612" s="11"/>
      <c r="I1612" s="11"/>
      <c r="J1612" s="37"/>
      <c r="K1612" s="11"/>
      <c r="L1612" s="11"/>
    </row>
    <row r="1613">
      <c r="A1613" s="9"/>
      <c r="B1613" s="11"/>
      <c r="C1613" s="11"/>
      <c r="D1613" s="11"/>
      <c r="E1613" s="11"/>
      <c r="F1613" s="11"/>
      <c r="G1613" s="11"/>
      <c r="H1613" s="11"/>
      <c r="I1613" s="11"/>
      <c r="J1613" s="37"/>
      <c r="K1613" s="11"/>
      <c r="L1613" s="11"/>
    </row>
    <row r="1614">
      <c r="A1614" s="9"/>
      <c r="B1614" s="11"/>
      <c r="C1614" s="11"/>
      <c r="D1614" s="11"/>
      <c r="E1614" s="11"/>
      <c r="F1614" s="11"/>
      <c r="G1614" s="11"/>
      <c r="H1614" s="11"/>
      <c r="I1614" s="11"/>
      <c r="J1614" s="37"/>
      <c r="K1614" s="11"/>
      <c r="L1614" s="11"/>
    </row>
    <row r="1615">
      <c r="A1615" s="9"/>
      <c r="B1615" s="11"/>
      <c r="C1615" s="11"/>
      <c r="D1615" s="11"/>
      <c r="E1615" s="11"/>
      <c r="F1615" s="11"/>
      <c r="G1615" s="11"/>
      <c r="H1615" s="11"/>
      <c r="I1615" s="11"/>
      <c r="J1615" s="37"/>
      <c r="K1615" s="11"/>
      <c r="L1615" s="11"/>
    </row>
    <row r="1616">
      <c r="A1616" s="9"/>
      <c r="B1616" s="11"/>
      <c r="C1616" s="11"/>
      <c r="D1616" s="11"/>
      <c r="E1616" s="11"/>
      <c r="F1616" s="11"/>
      <c r="G1616" s="11"/>
      <c r="H1616" s="11"/>
      <c r="I1616" s="11"/>
      <c r="J1616" s="37"/>
      <c r="K1616" s="11"/>
      <c r="L1616" s="11"/>
    </row>
    <row r="1617">
      <c r="A1617" s="9"/>
      <c r="B1617" s="11"/>
      <c r="C1617" s="11"/>
      <c r="D1617" s="11"/>
      <c r="E1617" s="11"/>
      <c r="F1617" s="11"/>
      <c r="G1617" s="11"/>
      <c r="H1617" s="11"/>
      <c r="I1617" s="11"/>
      <c r="J1617" s="37"/>
      <c r="K1617" s="11"/>
      <c r="L1617" s="11"/>
    </row>
    <row r="1618">
      <c r="A1618" s="9"/>
      <c r="B1618" s="11"/>
      <c r="C1618" s="11"/>
      <c r="D1618" s="11"/>
      <c r="E1618" s="11"/>
      <c r="F1618" s="11"/>
      <c r="G1618" s="11"/>
      <c r="H1618" s="11"/>
      <c r="I1618" s="11"/>
      <c r="J1618" s="37"/>
      <c r="K1618" s="11"/>
      <c r="L1618" s="11"/>
    </row>
    <row r="1619">
      <c r="A1619" s="9"/>
      <c r="B1619" s="11"/>
      <c r="C1619" s="11"/>
      <c r="D1619" s="11"/>
      <c r="E1619" s="11"/>
      <c r="F1619" s="11"/>
      <c r="G1619" s="11"/>
      <c r="H1619" s="11"/>
      <c r="I1619" s="11"/>
      <c r="J1619" s="37"/>
      <c r="K1619" s="11"/>
      <c r="L1619" s="11"/>
    </row>
    <row r="1620">
      <c r="A1620" s="9"/>
      <c r="B1620" s="11"/>
      <c r="C1620" s="11"/>
      <c r="D1620" s="11"/>
      <c r="E1620" s="11"/>
      <c r="F1620" s="11"/>
      <c r="G1620" s="11"/>
      <c r="H1620" s="11"/>
      <c r="I1620" s="11"/>
      <c r="J1620" s="37"/>
      <c r="K1620" s="11"/>
      <c r="L1620" s="11"/>
    </row>
    <row r="1621">
      <c r="A1621" s="9"/>
      <c r="B1621" s="11"/>
      <c r="C1621" s="11"/>
      <c r="D1621" s="11"/>
      <c r="E1621" s="11"/>
      <c r="F1621" s="11"/>
      <c r="G1621" s="11"/>
      <c r="H1621" s="11"/>
      <c r="I1621" s="11"/>
      <c r="J1621" s="37"/>
      <c r="K1621" s="11"/>
      <c r="L1621" s="11"/>
    </row>
    <row r="1622">
      <c r="A1622" s="9"/>
      <c r="B1622" s="11"/>
      <c r="C1622" s="11"/>
      <c r="D1622" s="11"/>
      <c r="E1622" s="11"/>
      <c r="F1622" s="11"/>
      <c r="G1622" s="11"/>
      <c r="H1622" s="11"/>
      <c r="I1622" s="11"/>
      <c r="J1622" s="37"/>
      <c r="K1622" s="11"/>
      <c r="L1622" s="11"/>
    </row>
    <row r="1623">
      <c r="A1623" s="9"/>
      <c r="B1623" s="11"/>
      <c r="C1623" s="11"/>
      <c r="D1623" s="11"/>
      <c r="E1623" s="11"/>
      <c r="F1623" s="11"/>
      <c r="G1623" s="11"/>
      <c r="H1623" s="11"/>
      <c r="I1623" s="11"/>
      <c r="J1623" s="37"/>
      <c r="K1623" s="11"/>
      <c r="L1623" s="11"/>
    </row>
    <row r="1624">
      <c r="A1624" s="9"/>
      <c r="B1624" s="11"/>
      <c r="C1624" s="11"/>
      <c r="D1624" s="11"/>
      <c r="E1624" s="11"/>
      <c r="F1624" s="11"/>
      <c r="G1624" s="11"/>
      <c r="H1624" s="11"/>
      <c r="I1624" s="11"/>
      <c r="J1624" s="37"/>
      <c r="K1624" s="11"/>
      <c r="L1624" s="11"/>
    </row>
    <row r="1625">
      <c r="A1625" s="9"/>
      <c r="B1625" s="11"/>
      <c r="C1625" s="11"/>
      <c r="D1625" s="11"/>
      <c r="E1625" s="11"/>
      <c r="F1625" s="11"/>
      <c r="G1625" s="11"/>
      <c r="H1625" s="11"/>
      <c r="I1625" s="11"/>
      <c r="J1625" s="37"/>
      <c r="K1625" s="11"/>
      <c r="L1625" s="11"/>
    </row>
    <row r="1626">
      <c r="A1626" s="9"/>
      <c r="B1626" s="11"/>
      <c r="C1626" s="11"/>
      <c r="D1626" s="11"/>
      <c r="E1626" s="11"/>
      <c r="F1626" s="11"/>
      <c r="G1626" s="11"/>
      <c r="H1626" s="11"/>
      <c r="I1626" s="11"/>
      <c r="J1626" s="37"/>
      <c r="K1626" s="11"/>
      <c r="L1626" s="11"/>
    </row>
    <row r="1627">
      <c r="A1627" s="9"/>
      <c r="B1627" s="11"/>
      <c r="C1627" s="11"/>
      <c r="D1627" s="11"/>
      <c r="E1627" s="11"/>
      <c r="F1627" s="11"/>
      <c r="G1627" s="11"/>
      <c r="H1627" s="11"/>
      <c r="I1627" s="11"/>
      <c r="J1627" s="37"/>
      <c r="K1627" s="11"/>
      <c r="L1627" s="11"/>
    </row>
    <row r="1628">
      <c r="A1628" s="9"/>
      <c r="B1628" s="11"/>
      <c r="C1628" s="11"/>
      <c r="D1628" s="11"/>
      <c r="E1628" s="11"/>
      <c r="F1628" s="11"/>
      <c r="G1628" s="11"/>
      <c r="H1628" s="11"/>
      <c r="I1628" s="11"/>
      <c r="J1628" s="37"/>
      <c r="K1628" s="11"/>
      <c r="L1628" s="11"/>
    </row>
    <row r="1629">
      <c r="A1629" s="9"/>
      <c r="B1629" s="11"/>
      <c r="C1629" s="11"/>
      <c r="D1629" s="11"/>
      <c r="E1629" s="11"/>
      <c r="F1629" s="11"/>
      <c r="G1629" s="11"/>
      <c r="H1629" s="11"/>
      <c r="I1629" s="11"/>
      <c r="J1629" s="37"/>
      <c r="K1629" s="11"/>
      <c r="L1629" s="11"/>
    </row>
    <row r="1630">
      <c r="A1630" s="9"/>
      <c r="B1630" s="11"/>
      <c r="C1630" s="11"/>
      <c r="D1630" s="11"/>
      <c r="E1630" s="11"/>
      <c r="F1630" s="11"/>
      <c r="G1630" s="11"/>
      <c r="H1630" s="11"/>
      <c r="I1630" s="11"/>
      <c r="J1630" s="37"/>
      <c r="K1630" s="11"/>
      <c r="L1630" s="11"/>
    </row>
    <row r="1631">
      <c r="A1631" s="9"/>
      <c r="B1631" s="11"/>
      <c r="C1631" s="11"/>
      <c r="D1631" s="11"/>
      <c r="E1631" s="11"/>
      <c r="F1631" s="11"/>
      <c r="G1631" s="11"/>
      <c r="H1631" s="11"/>
      <c r="I1631" s="11"/>
      <c r="J1631" s="37"/>
      <c r="K1631" s="11"/>
      <c r="L1631" s="11"/>
    </row>
    <row r="1632">
      <c r="A1632" s="9"/>
      <c r="B1632" s="11"/>
      <c r="C1632" s="11"/>
      <c r="D1632" s="11"/>
      <c r="E1632" s="11"/>
      <c r="F1632" s="11"/>
      <c r="G1632" s="11"/>
      <c r="H1632" s="11"/>
      <c r="I1632" s="11"/>
      <c r="J1632" s="37"/>
      <c r="K1632" s="11"/>
      <c r="L1632" s="11"/>
    </row>
    <row r="1633">
      <c r="A1633" s="9"/>
      <c r="B1633" s="11"/>
      <c r="C1633" s="11"/>
      <c r="D1633" s="11"/>
      <c r="E1633" s="11"/>
      <c r="F1633" s="11"/>
      <c r="G1633" s="11"/>
      <c r="H1633" s="11"/>
      <c r="I1633" s="11"/>
      <c r="J1633" s="37"/>
      <c r="K1633" s="11"/>
      <c r="L1633" s="11"/>
    </row>
    <row r="1634">
      <c r="A1634" s="9"/>
      <c r="B1634" s="11"/>
      <c r="C1634" s="11"/>
      <c r="D1634" s="11"/>
      <c r="E1634" s="11"/>
      <c r="F1634" s="11"/>
      <c r="G1634" s="11"/>
      <c r="H1634" s="11"/>
      <c r="I1634" s="11"/>
      <c r="J1634" s="37"/>
      <c r="K1634" s="11"/>
      <c r="L1634" s="11"/>
    </row>
    <row r="1635">
      <c r="A1635" s="9"/>
      <c r="B1635" s="11"/>
      <c r="C1635" s="11"/>
      <c r="D1635" s="11"/>
      <c r="E1635" s="11"/>
      <c r="F1635" s="11"/>
      <c r="G1635" s="11"/>
      <c r="H1635" s="11"/>
      <c r="I1635" s="11"/>
      <c r="J1635" s="37"/>
      <c r="K1635" s="11"/>
      <c r="L1635" s="11"/>
    </row>
    <row r="1636">
      <c r="A1636" s="9"/>
      <c r="B1636" s="11"/>
      <c r="C1636" s="11"/>
      <c r="D1636" s="11"/>
      <c r="E1636" s="11"/>
      <c r="F1636" s="11"/>
      <c r="G1636" s="11"/>
      <c r="H1636" s="11"/>
      <c r="I1636" s="11"/>
      <c r="J1636" s="37"/>
      <c r="K1636" s="11"/>
      <c r="L1636" s="11"/>
    </row>
    <row r="1637">
      <c r="A1637" s="9"/>
      <c r="B1637" s="11"/>
      <c r="C1637" s="11"/>
      <c r="D1637" s="11"/>
      <c r="E1637" s="11"/>
      <c r="F1637" s="11"/>
      <c r="G1637" s="11"/>
      <c r="H1637" s="11"/>
      <c r="I1637" s="11"/>
      <c r="J1637" s="37"/>
      <c r="K1637" s="11"/>
      <c r="L1637" s="11"/>
    </row>
    <row r="1638">
      <c r="A1638" s="9"/>
      <c r="B1638" s="11"/>
      <c r="C1638" s="11"/>
      <c r="D1638" s="11"/>
      <c r="E1638" s="11"/>
      <c r="F1638" s="11"/>
      <c r="G1638" s="11"/>
      <c r="H1638" s="11"/>
      <c r="I1638" s="11"/>
      <c r="J1638" s="37"/>
      <c r="K1638" s="11"/>
      <c r="L1638" s="11"/>
    </row>
    <row r="1639">
      <c r="A1639" s="9"/>
      <c r="B1639" s="11"/>
      <c r="C1639" s="11"/>
      <c r="D1639" s="11"/>
      <c r="E1639" s="11"/>
      <c r="F1639" s="11"/>
      <c r="G1639" s="11"/>
      <c r="H1639" s="11"/>
      <c r="I1639" s="11"/>
      <c r="J1639" s="37"/>
      <c r="K1639" s="11"/>
      <c r="L1639" s="11"/>
    </row>
    <row r="1640">
      <c r="A1640" s="9"/>
      <c r="B1640" s="11"/>
      <c r="C1640" s="11"/>
      <c r="D1640" s="11"/>
      <c r="E1640" s="11"/>
      <c r="F1640" s="11"/>
      <c r="G1640" s="11"/>
      <c r="H1640" s="11"/>
      <c r="I1640" s="11"/>
      <c r="J1640" s="37"/>
      <c r="K1640" s="11"/>
      <c r="L1640" s="11"/>
    </row>
    <row r="1641">
      <c r="A1641" s="9"/>
      <c r="B1641" s="11"/>
      <c r="C1641" s="11"/>
      <c r="D1641" s="11"/>
      <c r="E1641" s="11"/>
      <c r="F1641" s="11"/>
      <c r="G1641" s="11"/>
      <c r="H1641" s="11"/>
      <c r="I1641" s="11"/>
      <c r="J1641" s="37"/>
      <c r="K1641" s="11"/>
      <c r="L1641" s="11"/>
    </row>
    <row r="1642">
      <c r="A1642" s="9"/>
      <c r="B1642" s="11"/>
      <c r="C1642" s="11"/>
      <c r="D1642" s="11"/>
      <c r="E1642" s="11"/>
      <c r="F1642" s="11"/>
      <c r="G1642" s="11"/>
      <c r="H1642" s="11"/>
      <c r="I1642" s="11"/>
      <c r="J1642" s="37"/>
      <c r="K1642" s="11"/>
      <c r="L1642" s="11"/>
    </row>
    <row r="1643">
      <c r="A1643" s="9"/>
      <c r="B1643" s="11"/>
      <c r="C1643" s="11"/>
      <c r="D1643" s="11"/>
      <c r="E1643" s="11"/>
      <c r="F1643" s="11"/>
      <c r="G1643" s="11"/>
      <c r="H1643" s="11"/>
      <c r="I1643" s="11"/>
      <c r="J1643" s="37"/>
      <c r="K1643" s="11"/>
      <c r="L1643" s="11"/>
    </row>
    <row r="1644">
      <c r="A1644" s="9"/>
      <c r="B1644" s="11"/>
      <c r="C1644" s="11"/>
      <c r="D1644" s="11"/>
      <c r="E1644" s="11"/>
      <c r="F1644" s="11"/>
      <c r="G1644" s="11"/>
      <c r="H1644" s="11"/>
      <c r="I1644" s="11"/>
      <c r="J1644" s="37"/>
      <c r="K1644" s="11"/>
      <c r="L1644" s="11"/>
    </row>
    <row r="1645">
      <c r="A1645" s="9"/>
      <c r="B1645" s="11"/>
      <c r="C1645" s="11"/>
      <c r="D1645" s="11"/>
      <c r="E1645" s="11"/>
      <c r="F1645" s="11"/>
      <c r="G1645" s="11"/>
      <c r="H1645" s="11"/>
      <c r="I1645" s="11"/>
      <c r="J1645" s="37"/>
      <c r="K1645" s="11"/>
      <c r="L1645" s="11"/>
    </row>
    <row r="1646">
      <c r="A1646" s="9"/>
      <c r="B1646" s="11"/>
      <c r="C1646" s="11"/>
      <c r="D1646" s="11"/>
      <c r="E1646" s="11"/>
      <c r="F1646" s="11"/>
      <c r="G1646" s="11"/>
      <c r="H1646" s="11"/>
      <c r="I1646" s="11"/>
      <c r="J1646" s="37"/>
      <c r="K1646" s="11"/>
      <c r="L1646" s="11"/>
    </row>
    <row r="1647">
      <c r="A1647" s="9"/>
      <c r="B1647" s="11"/>
      <c r="C1647" s="11"/>
      <c r="D1647" s="11"/>
      <c r="E1647" s="11"/>
      <c r="F1647" s="11"/>
      <c r="G1647" s="11"/>
      <c r="H1647" s="11"/>
      <c r="I1647" s="11"/>
      <c r="J1647" s="37"/>
      <c r="K1647" s="11"/>
      <c r="L1647" s="11"/>
    </row>
    <row r="1648">
      <c r="A1648" s="9"/>
      <c r="B1648" s="11"/>
      <c r="C1648" s="11"/>
      <c r="D1648" s="11"/>
      <c r="E1648" s="11"/>
      <c r="F1648" s="11"/>
      <c r="G1648" s="11"/>
      <c r="H1648" s="11"/>
      <c r="I1648" s="11"/>
      <c r="J1648" s="37"/>
      <c r="K1648" s="11"/>
      <c r="L1648" s="11"/>
    </row>
    <row r="1649">
      <c r="A1649" s="9"/>
      <c r="B1649" s="11"/>
      <c r="C1649" s="11"/>
      <c r="D1649" s="11"/>
      <c r="E1649" s="11"/>
      <c r="F1649" s="11"/>
      <c r="G1649" s="11"/>
      <c r="H1649" s="11"/>
      <c r="I1649" s="11"/>
      <c r="J1649" s="37"/>
      <c r="K1649" s="11"/>
      <c r="L1649" s="11"/>
    </row>
    <row r="1650">
      <c r="A1650" s="9"/>
      <c r="B1650" s="11"/>
      <c r="C1650" s="11"/>
      <c r="D1650" s="11"/>
      <c r="E1650" s="11"/>
      <c r="F1650" s="11"/>
      <c r="G1650" s="11"/>
      <c r="H1650" s="11"/>
      <c r="I1650" s="11"/>
      <c r="J1650" s="37"/>
      <c r="K1650" s="11"/>
      <c r="L1650" s="11"/>
    </row>
    <row r="1651">
      <c r="A1651" s="9"/>
      <c r="B1651" s="11"/>
      <c r="C1651" s="11"/>
      <c r="D1651" s="11"/>
      <c r="E1651" s="11"/>
      <c r="F1651" s="11"/>
      <c r="G1651" s="11"/>
      <c r="H1651" s="11"/>
      <c r="I1651" s="11"/>
      <c r="J1651" s="37"/>
      <c r="K1651" s="11"/>
      <c r="L1651" s="11"/>
    </row>
    <row r="1652">
      <c r="A1652" s="9"/>
      <c r="B1652" s="11"/>
      <c r="C1652" s="11"/>
      <c r="D1652" s="11"/>
      <c r="E1652" s="11"/>
      <c r="F1652" s="11"/>
      <c r="G1652" s="11"/>
      <c r="H1652" s="11"/>
      <c r="I1652" s="11"/>
      <c r="J1652" s="37"/>
      <c r="K1652" s="11"/>
      <c r="L1652" s="11"/>
    </row>
    <row r="1653">
      <c r="A1653" s="9"/>
      <c r="B1653" s="11"/>
      <c r="C1653" s="11"/>
      <c r="D1653" s="11"/>
      <c r="E1653" s="11"/>
      <c r="F1653" s="11"/>
      <c r="G1653" s="11"/>
      <c r="H1653" s="11"/>
      <c r="I1653" s="11"/>
      <c r="J1653" s="37"/>
      <c r="K1653" s="11"/>
      <c r="L1653" s="11"/>
    </row>
    <row r="1654">
      <c r="A1654" s="9"/>
      <c r="B1654" s="11"/>
      <c r="C1654" s="11"/>
      <c r="D1654" s="11"/>
      <c r="E1654" s="11"/>
      <c r="F1654" s="11"/>
      <c r="G1654" s="11"/>
      <c r="H1654" s="11"/>
      <c r="I1654" s="11"/>
      <c r="J1654" s="37"/>
      <c r="K1654" s="11"/>
      <c r="L1654" s="11"/>
    </row>
    <row r="1655">
      <c r="A1655" s="9"/>
      <c r="B1655" s="11"/>
      <c r="C1655" s="11"/>
      <c r="D1655" s="11"/>
      <c r="E1655" s="11"/>
      <c r="F1655" s="11"/>
      <c r="G1655" s="11"/>
      <c r="H1655" s="11"/>
      <c r="I1655" s="11"/>
      <c r="J1655" s="37"/>
      <c r="K1655" s="11"/>
      <c r="L1655" s="11"/>
    </row>
    <row r="1656">
      <c r="A1656" s="9"/>
      <c r="B1656" s="11"/>
      <c r="C1656" s="11"/>
      <c r="D1656" s="11"/>
      <c r="E1656" s="11"/>
      <c r="F1656" s="11"/>
      <c r="G1656" s="11"/>
      <c r="H1656" s="11"/>
      <c r="I1656" s="11"/>
      <c r="J1656" s="37"/>
      <c r="K1656" s="11"/>
      <c r="L1656" s="11"/>
    </row>
    <row r="1657">
      <c r="A1657" s="9"/>
      <c r="B1657" s="11"/>
      <c r="C1657" s="11"/>
      <c r="D1657" s="11"/>
      <c r="E1657" s="11"/>
      <c r="F1657" s="11"/>
      <c r="G1657" s="11"/>
      <c r="H1657" s="11"/>
      <c r="I1657" s="11"/>
      <c r="J1657" s="37"/>
      <c r="K1657" s="11"/>
      <c r="L1657" s="11"/>
    </row>
    <row r="1658">
      <c r="A1658" s="9"/>
      <c r="B1658" s="11"/>
      <c r="C1658" s="11"/>
      <c r="D1658" s="11"/>
      <c r="E1658" s="11"/>
      <c r="F1658" s="11"/>
      <c r="G1658" s="11"/>
      <c r="H1658" s="11"/>
      <c r="I1658" s="11"/>
      <c r="J1658" s="37"/>
      <c r="K1658" s="11"/>
      <c r="L1658" s="11"/>
    </row>
    <row r="1659">
      <c r="A1659" s="9"/>
      <c r="B1659" s="11"/>
      <c r="C1659" s="11"/>
      <c r="D1659" s="11"/>
      <c r="E1659" s="11"/>
      <c r="F1659" s="11"/>
      <c r="G1659" s="11"/>
      <c r="H1659" s="11"/>
      <c r="I1659" s="11"/>
      <c r="J1659" s="37"/>
      <c r="K1659" s="11"/>
      <c r="L1659" s="11"/>
    </row>
    <row r="1660">
      <c r="A1660" s="9"/>
      <c r="B1660" s="11"/>
      <c r="C1660" s="11"/>
      <c r="D1660" s="11"/>
      <c r="E1660" s="11"/>
      <c r="F1660" s="11"/>
      <c r="G1660" s="11"/>
      <c r="H1660" s="11"/>
      <c r="I1660" s="11"/>
      <c r="J1660" s="37"/>
      <c r="K1660" s="11"/>
      <c r="L1660" s="11"/>
    </row>
    <row r="1661">
      <c r="A1661" s="9"/>
      <c r="B1661" s="11"/>
      <c r="C1661" s="11"/>
      <c r="D1661" s="11"/>
      <c r="E1661" s="11"/>
      <c r="F1661" s="11"/>
      <c r="G1661" s="11"/>
      <c r="H1661" s="11"/>
      <c r="I1661" s="11"/>
      <c r="J1661" s="37"/>
      <c r="K1661" s="11"/>
      <c r="L1661" s="11"/>
    </row>
    <row r="1662">
      <c r="A1662" s="9"/>
      <c r="B1662" s="11"/>
      <c r="C1662" s="11"/>
      <c r="D1662" s="11"/>
      <c r="E1662" s="11"/>
      <c r="F1662" s="11"/>
      <c r="G1662" s="11"/>
      <c r="H1662" s="11"/>
      <c r="I1662" s="11"/>
      <c r="J1662" s="37"/>
      <c r="K1662" s="11"/>
      <c r="L1662" s="11"/>
    </row>
    <row r="1663">
      <c r="A1663" s="9"/>
      <c r="B1663" s="11"/>
      <c r="C1663" s="11"/>
      <c r="D1663" s="11"/>
      <c r="E1663" s="11"/>
      <c r="F1663" s="11"/>
      <c r="G1663" s="11"/>
      <c r="H1663" s="11"/>
      <c r="I1663" s="11"/>
      <c r="J1663" s="37"/>
      <c r="K1663" s="11"/>
      <c r="L1663" s="11"/>
    </row>
    <row r="1664">
      <c r="A1664" s="9"/>
      <c r="B1664" s="11"/>
      <c r="C1664" s="11"/>
      <c r="D1664" s="11"/>
      <c r="E1664" s="11"/>
      <c r="F1664" s="11"/>
      <c r="G1664" s="11"/>
      <c r="H1664" s="11"/>
      <c r="I1664" s="11"/>
      <c r="J1664" s="37"/>
      <c r="K1664" s="11"/>
      <c r="L1664" s="11"/>
    </row>
    <row r="1665">
      <c r="A1665" s="9"/>
      <c r="B1665" s="11"/>
      <c r="C1665" s="11"/>
      <c r="D1665" s="11"/>
      <c r="E1665" s="11"/>
      <c r="F1665" s="11"/>
      <c r="G1665" s="11"/>
      <c r="H1665" s="11"/>
      <c r="I1665" s="11"/>
      <c r="J1665" s="37"/>
      <c r="K1665" s="11"/>
      <c r="L1665" s="11"/>
    </row>
    <row r="1666">
      <c r="A1666" s="9"/>
      <c r="B1666" s="11"/>
      <c r="C1666" s="11"/>
      <c r="D1666" s="11"/>
      <c r="E1666" s="11"/>
      <c r="F1666" s="11"/>
      <c r="G1666" s="11"/>
      <c r="H1666" s="11"/>
      <c r="I1666" s="11"/>
      <c r="J1666" s="37"/>
      <c r="K1666" s="11"/>
      <c r="L1666" s="11"/>
    </row>
    <row r="1667">
      <c r="A1667" s="9"/>
      <c r="B1667" s="11"/>
      <c r="C1667" s="11"/>
      <c r="D1667" s="11"/>
      <c r="E1667" s="11"/>
      <c r="F1667" s="11"/>
      <c r="G1667" s="11"/>
      <c r="H1667" s="11"/>
      <c r="I1667" s="11"/>
      <c r="J1667" s="37"/>
      <c r="K1667" s="11"/>
      <c r="L1667" s="11"/>
    </row>
    <row r="1668">
      <c r="A1668" s="9"/>
      <c r="B1668" s="11"/>
      <c r="C1668" s="11"/>
      <c r="D1668" s="11"/>
      <c r="E1668" s="11"/>
      <c r="F1668" s="11"/>
      <c r="G1668" s="11"/>
      <c r="H1668" s="11"/>
      <c r="I1668" s="11"/>
      <c r="J1668" s="37"/>
      <c r="K1668" s="11"/>
      <c r="L1668" s="11"/>
    </row>
    <row r="1669">
      <c r="A1669" s="9"/>
      <c r="B1669" s="11"/>
      <c r="C1669" s="11"/>
      <c r="D1669" s="11"/>
      <c r="E1669" s="11"/>
      <c r="F1669" s="11"/>
      <c r="G1669" s="11"/>
      <c r="H1669" s="11"/>
      <c r="I1669" s="11"/>
      <c r="J1669" s="37"/>
      <c r="K1669" s="11"/>
      <c r="L1669" s="11"/>
    </row>
    <row r="1670">
      <c r="A1670" s="9"/>
      <c r="B1670" s="11"/>
      <c r="C1670" s="11"/>
      <c r="D1670" s="11"/>
      <c r="E1670" s="11"/>
      <c r="F1670" s="11"/>
      <c r="G1670" s="11"/>
      <c r="H1670" s="11"/>
      <c r="I1670" s="11"/>
      <c r="J1670" s="37"/>
      <c r="K1670" s="11"/>
      <c r="L1670" s="11"/>
    </row>
    <row r="1671">
      <c r="A1671" s="9"/>
      <c r="B1671" s="11"/>
      <c r="C1671" s="11"/>
      <c r="D1671" s="11"/>
      <c r="E1671" s="11"/>
      <c r="F1671" s="11"/>
      <c r="G1671" s="11"/>
      <c r="H1671" s="11"/>
      <c r="I1671" s="11"/>
      <c r="J1671" s="37"/>
      <c r="K1671" s="11"/>
      <c r="L1671" s="11"/>
    </row>
    <row r="1672">
      <c r="A1672" s="9"/>
      <c r="B1672" s="11"/>
      <c r="C1672" s="11"/>
      <c r="D1672" s="11"/>
      <c r="E1672" s="11"/>
      <c r="F1672" s="11"/>
      <c r="G1672" s="11"/>
      <c r="H1672" s="11"/>
      <c r="I1672" s="11"/>
      <c r="J1672" s="37"/>
      <c r="K1672" s="11"/>
      <c r="L1672" s="11"/>
    </row>
    <row r="1673">
      <c r="A1673" s="9"/>
      <c r="B1673" s="11"/>
      <c r="C1673" s="11"/>
      <c r="D1673" s="11"/>
      <c r="E1673" s="11"/>
      <c r="F1673" s="11"/>
      <c r="G1673" s="11"/>
      <c r="H1673" s="11"/>
      <c r="I1673" s="11"/>
      <c r="J1673" s="37"/>
      <c r="K1673" s="11"/>
      <c r="L1673" s="11"/>
    </row>
    <row r="1674">
      <c r="A1674" s="9"/>
      <c r="B1674" s="11"/>
      <c r="C1674" s="11"/>
      <c r="D1674" s="11"/>
      <c r="E1674" s="11"/>
      <c r="F1674" s="11"/>
      <c r="G1674" s="11"/>
      <c r="H1674" s="11"/>
      <c r="I1674" s="11"/>
      <c r="J1674" s="37"/>
      <c r="K1674" s="11"/>
      <c r="L1674" s="11"/>
    </row>
    <row r="1675">
      <c r="A1675" s="9"/>
      <c r="B1675" s="11"/>
      <c r="C1675" s="11"/>
      <c r="D1675" s="11"/>
      <c r="E1675" s="11"/>
      <c r="F1675" s="11"/>
      <c r="G1675" s="11"/>
      <c r="H1675" s="11"/>
      <c r="I1675" s="11"/>
      <c r="J1675" s="37"/>
      <c r="K1675" s="11"/>
      <c r="L1675" s="11"/>
    </row>
    <row r="1676">
      <c r="A1676" s="9"/>
      <c r="B1676" s="11"/>
      <c r="C1676" s="11"/>
      <c r="D1676" s="11"/>
      <c r="E1676" s="11"/>
      <c r="F1676" s="11"/>
      <c r="G1676" s="11"/>
      <c r="H1676" s="11"/>
      <c r="I1676" s="11"/>
      <c r="J1676" s="37"/>
      <c r="K1676" s="11"/>
      <c r="L1676" s="11"/>
    </row>
    <row r="1677">
      <c r="A1677" s="9"/>
      <c r="B1677" s="11"/>
      <c r="C1677" s="11"/>
      <c r="D1677" s="11"/>
      <c r="E1677" s="11"/>
      <c r="F1677" s="11"/>
      <c r="G1677" s="11"/>
      <c r="H1677" s="11"/>
      <c r="I1677" s="11"/>
      <c r="J1677" s="37"/>
      <c r="K1677" s="11"/>
      <c r="L1677" s="11"/>
    </row>
    <row r="1678">
      <c r="A1678" s="9"/>
      <c r="B1678" s="11"/>
      <c r="C1678" s="11"/>
      <c r="D1678" s="11"/>
      <c r="E1678" s="11"/>
      <c r="F1678" s="11"/>
      <c r="G1678" s="11"/>
      <c r="H1678" s="11"/>
      <c r="I1678" s="11"/>
      <c r="J1678" s="37"/>
      <c r="K1678" s="11"/>
      <c r="L1678" s="11"/>
    </row>
    <row r="1679">
      <c r="A1679" s="9"/>
      <c r="B1679" s="11"/>
      <c r="C1679" s="11"/>
      <c r="D1679" s="11"/>
      <c r="E1679" s="11"/>
      <c r="F1679" s="11"/>
      <c r="G1679" s="11"/>
      <c r="H1679" s="11"/>
      <c r="I1679" s="11"/>
      <c r="J1679" s="37"/>
      <c r="K1679" s="11"/>
      <c r="L1679" s="11"/>
    </row>
    <row r="1680">
      <c r="A1680" s="9"/>
      <c r="B1680" s="11"/>
      <c r="C1680" s="11"/>
      <c r="D1680" s="11"/>
      <c r="E1680" s="11"/>
      <c r="F1680" s="11"/>
      <c r="G1680" s="11"/>
      <c r="H1680" s="11"/>
      <c r="I1680" s="11"/>
      <c r="J1680" s="37"/>
      <c r="K1680" s="11"/>
      <c r="L1680" s="11"/>
    </row>
    <row r="1681">
      <c r="A1681" s="9"/>
      <c r="B1681" s="11"/>
      <c r="C1681" s="11"/>
      <c r="D1681" s="11"/>
      <c r="E1681" s="11"/>
      <c r="F1681" s="11"/>
      <c r="G1681" s="11"/>
      <c r="H1681" s="11"/>
      <c r="I1681" s="11"/>
      <c r="J1681" s="37"/>
      <c r="K1681" s="11"/>
      <c r="L1681" s="11"/>
    </row>
    <row r="1682">
      <c r="A1682" s="9"/>
      <c r="B1682" s="11"/>
      <c r="C1682" s="11"/>
      <c r="D1682" s="11"/>
      <c r="E1682" s="11"/>
      <c r="F1682" s="11"/>
      <c r="G1682" s="11"/>
      <c r="H1682" s="11"/>
      <c r="I1682" s="11"/>
      <c r="J1682" s="37"/>
      <c r="K1682" s="11"/>
      <c r="L1682" s="11"/>
    </row>
    <row r="1683">
      <c r="A1683" s="9"/>
      <c r="B1683" s="11"/>
      <c r="C1683" s="11"/>
      <c r="D1683" s="11"/>
      <c r="E1683" s="11"/>
      <c r="F1683" s="11"/>
      <c r="G1683" s="11"/>
      <c r="H1683" s="11"/>
      <c r="I1683" s="11"/>
      <c r="J1683" s="37"/>
      <c r="K1683" s="11"/>
      <c r="L1683" s="11"/>
    </row>
    <row r="1684">
      <c r="A1684" s="9"/>
      <c r="B1684" s="11"/>
      <c r="C1684" s="11"/>
      <c r="D1684" s="11"/>
      <c r="E1684" s="11"/>
      <c r="F1684" s="11"/>
      <c r="G1684" s="11"/>
      <c r="H1684" s="11"/>
      <c r="I1684" s="11"/>
      <c r="J1684" s="37"/>
      <c r="K1684" s="11"/>
      <c r="L1684" s="11"/>
    </row>
    <row r="1685">
      <c r="A1685" s="9"/>
      <c r="B1685" s="11"/>
      <c r="C1685" s="11"/>
      <c r="D1685" s="11"/>
      <c r="E1685" s="11"/>
      <c r="F1685" s="11"/>
      <c r="G1685" s="11"/>
      <c r="H1685" s="11"/>
      <c r="I1685" s="11"/>
      <c r="J1685" s="37"/>
      <c r="K1685" s="11"/>
      <c r="L1685" s="11"/>
    </row>
    <row r="1686">
      <c r="A1686" s="9"/>
      <c r="B1686" s="11"/>
      <c r="C1686" s="11"/>
      <c r="D1686" s="11"/>
      <c r="E1686" s="11"/>
      <c r="F1686" s="11"/>
      <c r="G1686" s="11"/>
      <c r="H1686" s="11"/>
      <c r="I1686" s="11"/>
      <c r="J1686" s="37"/>
      <c r="K1686" s="11"/>
      <c r="L1686" s="11"/>
    </row>
    <row r="1687">
      <c r="A1687" s="9"/>
      <c r="B1687" s="11"/>
      <c r="C1687" s="11"/>
      <c r="D1687" s="11"/>
      <c r="E1687" s="11"/>
      <c r="F1687" s="11"/>
      <c r="G1687" s="11"/>
      <c r="H1687" s="11"/>
      <c r="I1687" s="11"/>
      <c r="J1687" s="37"/>
      <c r="K1687" s="11"/>
      <c r="L1687" s="11"/>
    </row>
    <row r="1688">
      <c r="A1688" s="9"/>
      <c r="B1688" s="11"/>
      <c r="C1688" s="11"/>
      <c r="D1688" s="11"/>
      <c r="E1688" s="11"/>
      <c r="F1688" s="11"/>
      <c r="G1688" s="11"/>
      <c r="H1688" s="11"/>
      <c r="I1688" s="11"/>
      <c r="J1688" s="37"/>
      <c r="K1688" s="11"/>
      <c r="L1688" s="11"/>
    </row>
    <row r="1689">
      <c r="A1689" s="9"/>
      <c r="B1689" s="11"/>
      <c r="C1689" s="11"/>
      <c r="D1689" s="11"/>
      <c r="E1689" s="11"/>
      <c r="F1689" s="11"/>
      <c r="G1689" s="11"/>
      <c r="H1689" s="11"/>
      <c r="I1689" s="11"/>
      <c r="J1689" s="37"/>
      <c r="K1689" s="11"/>
      <c r="L1689" s="11"/>
    </row>
    <row r="1690">
      <c r="A1690" s="9"/>
      <c r="B1690" s="11"/>
      <c r="C1690" s="11"/>
      <c r="D1690" s="11"/>
      <c r="E1690" s="11"/>
      <c r="F1690" s="11"/>
      <c r="G1690" s="11"/>
      <c r="H1690" s="11"/>
      <c r="I1690" s="11"/>
      <c r="J1690" s="37"/>
      <c r="K1690" s="11"/>
      <c r="L1690" s="11"/>
    </row>
    <row r="1691">
      <c r="A1691" s="9"/>
      <c r="B1691" s="11"/>
      <c r="C1691" s="11"/>
      <c r="D1691" s="11"/>
      <c r="E1691" s="11"/>
      <c r="F1691" s="11"/>
      <c r="G1691" s="11"/>
      <c r="H1691" s="11"/>
      <c r="I1691" s="11"/>
      <c r="J1691" s="37"/>
      <c r="K1691" s="11"/>
      <c r="L1691" s="11"/>
    </row>
    <row r="1692">
      <c r="A1692" s="9"/>
      <c r="B1692" s="11"/>
      <c r="C1692" s="11"/>
      <c r="D1692" s="11"/>
      <c r="E1692" s="11"/>
      <c r="F1692" s="11"/>
      <c r="G1692" s="11"/>
      <c r="H1692" s="11"/>
      <c r="I1692" s="11"/>
      <c r="J1692" s="37"/>
      <c r="K1692" s="11"/>
      <c r="L1692" s="11"/>
    </row>
    <row r="1693">
      <c r="A1693" s="9"/>
      <c r="B1693" s="11"/>
      <c r="C1693" s="11"/>
      <c r="D1693" s="11"/>
      <c r="E1693" s="11"/>
      <c r="F1693" s="11"/>
      <c r="G1693" s="11"/>
      <c r="H1693" s="11"/>
      <c r="I1693" s="11"/>
      <c r="J1693" s="37"/>
      <c r="K1693" s="11"/>
      <c r="L1693" s="11"/>
    </row>
    <row r="1694">
      <c r="A1694" s="9"/>
      <c r="B1694" s="11"/>
      <c r="C1694" s="11"/>
      <c r="D1694" s="11"/>
      <c r="E1694" s="11"/>
      <c r="F1694" s="11"/>
      <c r="G1694" s="11"/>
      <c r="H1694" s="11"/>
      <c r="I1694" s="11"/>
      <c r="J1694" s="37"/>
      <c r="K1694" s="11"/>
      <c r="L1694" s="11"/>
    </row>
    <row r="1695">
      <c r="A1695" s="9"/>
      <c r="B1695" s="11"/>
      <c r="C1695" s="11"/>
      <c r="D1695" s="11"/>
      <c r="E1695" s="11"/>
      <c r="F1695" s="11"/>
      <c r="G1695" s="11"/>
      <c r="H1695" s="11"/>
      <c r="I1695" s="11"/>
      <c r="J1695" s="37"/>
      <c r="K1695" s="11"/>
      <c r="L1695" s="11"/>
    </row>
    <row r="1696">
      <c r="A1696" s="9"/>
      <c r="B1696" s="11"/>
      <c r="C1696" s="11"/>
      <c r="D1696" s="11"/>
      <c r="E1696" s="11"/>
      <c r="F1696" s="11"/>
      <c r="G1696" s="11"/>
      <c r="H1696" s="11"/>
      <c r="I1696" s="11"/>
      <c r="J1696" s="37"/>
      <c r="K1696" s="11"/>
      <c r="L1696" s="11"/>
    </row>
    <row r="1697">
      <c r="A1697" s="9"/>
      <c r="B1697" s="11"/>
      <c r="C1697" s="11"/>
      <c r="D1697" s="11"/>
      <c r="E1697" s="11"/>
      <c r="F1697" s="11"/>
      <c r="G1697" s="11"/>
      <c r="H1697" s="11"/>
      <c r="I1697" s="11"/>
      <c r="J1697" s="37"/>
      <c r="K1697" s="11"/>
      <c r="L1697" s="11"/>
    </row>
    <row r="1698">
      <c r="A1698" s="9"/>
      <c r="B1698" s="11"/>
      <c r="C1698" s="11"/>
      <c r="D1698" s="11"/>
      <c r="E1698" s="11"/>
      <c r="F1698" s="11"/>
      <c r="G1698" s="11"/>
      <c r="H1698" s="11"/>
      <c r="I1698" s="11"/>
      <c r="J1698" s="37"/>
      <c r="K1698" s="11"/>
      <c r="L1698" s="11"/>
    </row>
    <row r="1699">
      <c r="A1699" s="9"/>
      <c r="B1699" s="11"/>
      <c r="C1699" s="11"/>
      <c r="D1699" s="11"/>
      <c r="E1699" s="11"/>
      <c r="F1699" s="11"/>
      <c r="G1699" s="11"/>
      <c r="H1699" s="11"/>
      <c r="I1699" s="11"/>
      <c r="J1699" s="37"/>
      <c r="K1699" s="11"/>
      <c r="L1699" s="11"/>
    </row>
    <row r="1700">
      <c r="A1700" s="9"/>
      <c r="B1700" s="11"/>
      <c r="C1700" s="11"/>
      <c r="D1700" s="11"/>
      <c r="E1700" s="11"/>
      <c r="F1700" s="11"/>
      <c r="G1700" s="11"/>
      <c r="H1700" s="11"/>
      <c r="I1700" s="11"/>
      <c r="J1700" s="37"/>
      <c r="K1700" s="11"/>
      <c r="L1700" s="11"/>
    </row>
    <row r="1701">
      <c r="A1701" s="9"/>
      <c r="B1701" s="11"/>
      <c r="C1701" s="11"/>
      <c r="D1701" s="11"/>
      <c r="E1701" s="11"/>
      <c r="F1701" s="11"/>
      <c r="G1701" s="11"/>
      <c r="H1701" s="11"/>
      <c r="I1701" s="11"/>
      <c r="J1701" s="37"/>
      <c r="K1701" s="11"/>
      <c r="L1701" s="11"/>
    </row>
    <row r="1702">
      <c r="A1702" s="9"/>
      <c r="B1702" s="11"/>
      <c r="C1702" s="11"/>
      <c r="D1702" s="11"/>
      <c r="E1702" s="11"/>
      <c r="F1702" s="11"/>
      <c r="G1702" s="11"/>
      <c r="H1702" s="11"/>
      <c r="I1702" s="11"/>
      <c r="J1702" s="37"/>
      <c r="K1702" s="11"/>
      <c r="L1702" s="11"/>
    </row>
    <row r="1703">
      <c r="A1703" s="9"/>
      <c r="B1703" s="11"/>
      <c r="C1703" s="11"/>
      <c r="D1703" s="11"/>
      <c r="E1703" s="11"/>
      <c r="F1703" s="11"/>
      <c r="G1703" s="11"/>
      <c r="H1703" s="11"/>
      <c r="I1703" s="11"/>
      <c r="J1703" s="37"/>
      <c r="K1703" s="11"/>
      <c r="L1703" s="11"/>
    </row>
    <row r="1704">
      <c r="A1704" s="9"/>
      <c r="B1704" s="11"/>
      <c r="C1704" s="11"/>
      <c r="D1704" s="11"/>
      <c r="E1704" s="11"/>
      <c r="F1704" s="11"/>
      <c r="G1704" s="11"/>
      <c r="H1704" s="11"/>
      <c r="I1704" s="11"/>
      <c r="J1704" s="37"/>
      <c r="K1704" s="11"/>
      <c r="L1704" s="11"/>
    </row>
    <row r="1705">
      <c r="A1705" s="9"/>
      <c r="B1705" s="11"/>
      <c r="C1705" s="11"/>
      <c r="D1705" s="11"/>
      <c r="E1705" s="11"/>
      <c r="F1705" s="11"/>
      <c r="G1705" s="11"/>
      <c r="H1705" s="11"/>
      <c r="I1705" s="11"/>
      <c r="J1705" s="37"/>
      <c r="K1705" s="11"/>
      <c r="L1705" s="11"/>
    </row>
    <row r="1706">
      <c r="A1706" s="9"/>
      <c r="B1706" s="11"/>
      <c r="C1706" s="11"/>
      <c r="D1706" s="11"/>
      <c r="E1706" s="11"/>
      <c r="F1706" s="11"/>
      <c r="G1706" s="11"/>
      <c r="H1706" s="11"/>
      <c r="I1706" s="11"/>
      <c r="J1706" s="37"/>
      <c r="K1706" s="11"/>
      <c r="L1706" s="11"/>
    </row>
    <row r="1707">
      <c r="A1707" s="9"/>
      <c r="B1707" s="11"/>
      <c r="C1707" s="11"/>
      <c r="D1707" s="11"/>
      <c r="E1707" s="11"/>
      <c r="F1707" s="11"/>
      <c r="G1707" s="11"/>
      <c r="H1707" s="11"/>
      <c r="I1707" s="11"/>
      <c r="J1707" s="37"/>
      <c r="K1707" s="11"/>
      <c r="L1707" s="11"/>
    </row>
    <row r="1708">
      <c r="A1708" s="9"/>
      <c r="B1708" s="11"/>
      <c r="C1708" s="11"/>
      <c r="D1708" s="11"/>
      <c r="E1708" s="11"/>
      <c r="F1708" s="11"/>
      <c r="G1708" s="11"/>
      <c r="H1708" s="11"/>
      <c r="I1708" s="11"/>
      <c r="J1708" s="37"/>
      <c r="K1708" s="11"/>
      <c r="L1708" s="11"/>
    </row>
    <row r="1709">
      <c r="A1709" s="9"/>
      <c r="B1709" s="11"/>
      <c r="C1709" s="11"/>
      <c r="D1709" s="11"/>
      <c r="E1709" s="11"/>
      <c r="F1709" s="11"/>
      <c r="G1709" s="11"/>
      <c r="H1709" s="11"/>
      <c r="I1709" s="11"/>
      <c r="J1709" s="37"/>
      <c r="K1709" s="11"/>
      <c r="L1709" s="11"/>
    </row>
    <row r="1710">
      <c r="A1710" s="9"/>
      <c r="B1710" s="11"/>
      <c r="C1710" s="11"/>
      <c r="D1710" s="11"/>
      <c r="E1710" s="11"/>
      <c r="F1710" s="11"/>
      <c r="G1710" s="11"/>
      <c r="H1710" s="11"/>
      <c r="I1710" s="11"/>
      <c r="J1710" s="37"/>
      <c r="K1710" s="11"/>
      <c r="L1710" s="11"/>
    </row>
    <row r="1711">
      <c r="A1711" s="9"/>
      <c r="B1711" s="11"/>
      <c r="C1711" s="11"/>
      <c r="D1711" s="11"/>
      <c r="E1711" s="11"/>
      <c r="F1711" s="11"/>
      <c r="G1711" s="11"/>
      <c r="H1711" s="11"/>
      <c r="I1711" s="11"/>
      <c r="J1711" s="37"/>
      <c r="K1711" s="11"/>
      <c r="L1711" s="11"/>
    </row>
    <row r="1712">
      <c r="A1712" s="9"/>
      <c r="B1712" s="11"/>
      <c r="C1712" s="11"/>
      <c r="D1712" s="11"/>
      <c r="E1712" s="11"/>
      <c r="F1712" s="11"/>
      <c r="G1712" s="11"/>
      <c r="H1712" s="11"/>
      <c r="I1712" s="11"/>
      <c r="J1712" s="37"/>
      <c r="K1712" s="11"/>
      <c r="L1712" s="11"/>
    </row>
    <row r="1713">
      <c r="A1713" s="9"/>
      <c r="B1713" s="11"/>
      <c r="C1713" s="11"/>
      <c r="D1713" s="11"/>
      <c r="E1713" s="11"/>
      <c r="F1713" s="11"/>
      <c r="G1713" s="11"/>
      <c r="H1713" s="11"/>
      <c r="I1713" s="11"/>
      <c r="J1713" s="37"/>
      <c r="K1713" s="11"/>
      <c r="L1713" s="11"/>
    </row>
    <row r="1714">
      <c r="A1714" s="9"/>
      <c r="B1714" s="11"/>
      <c r="C1714" s="11"/>
      <c r="D1714" s="11"/>
      <c r="E1714" s="11"/>
      <c r="F1714" s="11"/>
      <c r="G1714" s="11"/>
      <c r="H1714" s="11"/>
      <c r="I1714" s="11"/>
      <c r="J1714" s="37"/>
      <c r="K1714" s="11"/>
      <c r="L1714" s="11"/>
    </row>
    <row r="1715">
      <c r="A1715" s="9"/>
      <c r="B1715" s="11"/>
      <c r="C1715" s="11"/>
      <c r="D1715" s="11"/>
      <c r="E1715" s="11"/>
      <c r="F1715" s="11"/>
      <c r="G1715" s="11"/>
      <c r="H1715" s="11"/>
      <c r="I1715" s="11"/>
      <c r="J1715" s="37"/>
      <c r="K1715" s="11"/>
      <c r="L1715" s="11"/>
    </row>
    <row r="1716">
      <c r="A1716" s="9"/>
      <c r="B1716" s="11"/>
      <c r="C1716" s="11"/>
      <c r="D1716" s="11"/>
      <c r="E1716" s="11"/>
      <c r="F1716" s="11"/>
      <c r="G1716" s="11"/>
      <c r="H1716" s="11"/>
      <c r="I1716" s="11"/>
      <c r="J1716" s="37"/>
      <c r="K1716" s="11"/>
      <c r="L1716" s="11"/>
    </row>
    <row r="1717">
      <c r="A1717" s="9"/>
      <c r="B1717" s="11"/>
      <c r="C1717" s="11"/>
      <c r="D1717" s="11"/>
      <c r="E1717" s="11"/>
      <c r="F1717" s="11"/>
      <c r="G1717" s="11"/>
      <c r="H1717" s="11"/>
      <c r="I1717" s="11"/>
      <c r="J1717" s="37"/>
      <c r="K1717" s="11"/>
      <c r="L1717" s="11"/>
    </row>
    <row r="1718">
      <c r="A1718" s="9"/>
      <c r="B1718" s="11"/>
      <c r="C1718" s="11"/>
      <c r="D1718" s="11"/>
      <c r="E1718" s="11"/>
      <c r="F1718" s="11"/>
      <c r="G1718" s="11"/>
      <c r="H1718" s="11"/>
      <c r="I1718" s="11"/>
      <c r="J1718" s="37"/>
      <c r="K1718" s="11"/>
      <c r="L1718" s="11"/>
    </row>
    <row r="1719">
      <c r="A1719" s="9"/>
      <c r="B1719" s="11"/>
      <c r="C1719" s="11"/>
      <c r="D1719" s="11"/>
      <c r="E1719" s="11"/>
      <c r="F1719" s="11"/>
      <c r="G1719" s="11"/>
      <c r="H1719" s="11"/>
      <c r="I1719" s="11"/>
      <c r="J1719" s="37"/>
      <c r="K1719" s="11"/>
      <c r="L1719" s="11"/>
    </row>
    <row r="1720">
      <c r="A1720" s="9"/>
      <c r="B1720" s="11"/>
      <c r="C1720" s="11"/>
      <c r="D1720" s="11"/>
      <c r="E1720" s="11"/>
      <c r="F1720" s="11"/>
      <c r="G1720" s="11"/>
      <c r="H1720" s="11"/>
      <c r="I1720" s="11"/>
      <c r="J1720" s="37"/>
      <c r="K1720" s="11"/>
      <c r="L1720" s="11"/>
    </row>
    <row r="1721">
      <c r="A1721" s="9"/>
      <c r="B1721" s="11"/>
      <c r="C1721" s="11"/>
      <c r="D1721" s="11"/>
      <c r="E1721" s="11"/>
      <c r="F1721" s="11"/>
      <c r="G1721" s="11"/>
      <c r="H1721" s="11"/>
      <c r="I1721" s="11"/>
      <c r="J1721" s="37"/>
      <c r="K1721" s="11"/>
      <c r="L1721" s="11"/>
    </row>
    <row r="1722">
      <c r="A1722" s="9"/>
      <c r="B1722" s="11"/>
      <c r="C1722" s="11"/>
      <c r="D1722" s="11"/>
      <c r="E1722" s="11"/>
      <c r="F1722" s="11"/>
      <c r="G1722" s="11"/>
      <c r="H1722" s="11"/>
      <c r="I1722" s="11"/>
      <c r="J1722" s="37"/>
      <c r="K1722" s="11"/>
      <c r="L1722" s="11"/>
    </row>
    <row r="1723">
      <c r="A1723" s="9"/>
      <c r="B1723" s="11"/>
      <c r="C1723" s="11"/>
      <c r="D1723" s="11"/>
      <c r="E1723" s="11"/>
      <c r="F1723" s="11"/>
      <c r="G1723" s="11"/>
      <c r="H1723" s="11"/>
      <c r="I1723" s="11"/>
      <c r="J1723" s="37"/>
      <c r="K1723" s="11"/>
      <c r="L1723" s="11"/>
    </row>
    <row r="1724">
      <c r="A1724" s="9"/>
      <c r="B1724" s="11"/>
      <c r="C1724" s="11"/>
      <c r="D1724" s="11"/>
      <c r="E1724" s="11"/>
      <c r="F1724" s="11"/>
      <c r="G1724" s="11"/>
      <c r="H1724" s="11"/>
      <c r="I1724" s="11"/>
      <c r="J1724" s="37"/>
      <c r="K1724" s="11"/>
      <c r="L1724" s="11"/>
    </row>
    <row r="1725">
      <c r="A1725" s="9"/>
      <c r="B1725" s="11"/>
      <c r="C1725" s="11"/>
      <c r="D1725" s="11"/>
      <c r="E1725" s="11"/>
      <c r="F1725" s="11"/>
      <c r="G1725" s="11"/>
      <c r="H1725" s="11"/>
      <c r="I1725" s="11"/>
      <c r="J1725" s="37"/>
      <c r="K1725" s="11"/>
      <c r="L1725" s="11"/>
    </row>
    <row r="1726">
      <c r="A1726" s="9"/>
      <c r="B1726" s="11"/>
      <c r="C1726" s="11"/>
      <c r="D1726" s="11"/>
      <c r="E1726" s="11"/>
      <c r="F1726" s="11"/>
      <c r="G1726" s="11"/>
      <c r="H1726" s="11"/>
      <c r="I1726" s="11"/>
      <c r="J1726" s="37"/>
      <c r="K1726" s="11"/>
      <c r="L1726" s="11"/>
    </row>
    <row r="1727">
      <c r="A1727" s="9"/>
      <c r="B1727" s="11"/>
      <c r="C1727" s="11"/>
      <c r="D1727" s="11"/>
      <c r="E1727" s="11"/>
      <c r="F1727" s="11"/>
      <c r="G1727" s="11"/>
      <c r="H1727" s="11"/>
      <c r="I1727" s="11"/>
      <c r="J1727" s="37"/>
      <c r="K1727" s="11"/>
      <c r="L1727" s="11"/>
    </row>
    <row r="1728">
      <c r="A1728" s="9"/>
      <c r="B1728" s="11"/>
      <c r="C1728" s="11"/>
      <c r="D1728" s="11"/>
      <c r="E1728" s="11"/>
      <c r="F1728" s="11"/>
      <c r="G1728" s="11"/>
      <c r="H1728" s="11"/>
      <c r="I1728" s="11"/>
      <c r="J1728" s="37"/>
      <c r="K1728" s="11"/>
      <c r="L1728" s="11"/>
    </row>
    <row r="1729">
      <c r="A1729" s="9"/>
      <c r="B1729" s="11"/>
      <c r="C1729" s="11"/>
      <c r="D1729" s="11"/>
      <c r="E1729" s="11"/>
      <c r="F1729" s="11"/>
      <c r="G1729" s="11"/>
      <c r="H1729" s="11"/>
      <c r="I1729" s="11"/>
      <c r="J1729" s="37"/>
      <c r="K1729" s="11"/>
      <c r="L1729" s="11"/>
    </row>
    <row r="1730">
      <c r="A1730" s="9"/>
      <c r="B1730" s="11"/>
      <c r="C1730" s="11"/>
      <c r="D1730" s="11"/>
      <c r="E1730" s="11"/>
      <c r="F1730" s="11"/>
      <c r="G1730" s="11"/>
      <c r="H1730" s="11"/>
      <c r="I1730" s="11"/>
      <c r="J1730" s="37"/>
      <c r="K1730" s="11"/>
      <c r="L1730" s="11"/>
    </row>
    <row r="1731">
      <c r="A1731" s="9"/>
      <c r="B1731" s="11"/>
      <c r="C1731" s="11"/>
      <c r="D1731" s="11"/>
      <c r="E1731" s="11"/>
      <c r="F1731" s="11"/>
      <c r="G1731" s="11"/>
      <c r="H1731" s="11"/>
      <c r="I1731" s="11"/>
      <c r="J1731" s="37"/>
      <c r="K1731" s="11"/>
      <c r="L1731" s="11"/>
    </row>
    <row r="1732">
      <c r="A1732" s="9"/>
      <c r="B1732" s="11"/>
      <c r="C1732" s="11"/>
      <c r="D1732" s="11"/>
      <c r="E1732" s="11"/>
      <c r="F1732" s="11"/>
      <c r="G1732" s="11"/>
      <c r="H1732" s="11"/>
      <c r="I1732" s="11"/>
      <c r="J1732" s="37"/>
      <c r="K1732" s="11"/>
      <c r="L1732" s="11"/>
    </row>
    <row r="1733">
      <c r="A1733" s="9"/>
      <c r="B1733" s="11"/>
      <c r="C1733" s="11"/>
      <c r="D1733" s="11"/>
      <c r="E1733" s="11"/>
      <c r="F1733" s="11"/>
      <c r="G1733" s="11"/>
      <c r="H1733" s="11"/>
      <c r="I1733" s="11"/>
      <c r="J1733" s="37"/>
      <c r="K1733" s="11"/>
      <c r="L1733" s="11"/>
    </row>
    <row r="1734">
      <c r="A1734" s="9"/>
      <c r="B1734" s="11"/>
      <c r="C1734" s="11"/>
      <c r="D1734" s="11"/>
      <c r="E1734" s="11"/>
      <c r="F1734" s="11"/>
      <c r="G1734" s="11"/>
      <c r="H1734" s="11"/>
      <c r="I1734" s="11"/>
      <c r="J1734" s="37"/>
      <c r="K1734" s="11"/>
      <c r="L1734" s="11"/>
    </row>
    <row r="1735">
      <c r="A1735" s="9"/>
      <c r="B1735" s="11"/>
      <c r="C1735" s="11"/>
      <c r="D1735" s="11"/>
      <c r="E1735" s="11"/>
      <c r="F1735" s="11"/>
      <c r="G1735" s="11"/>
      <c r="H1735" s="11"/>
      <c r="I1735" s="11"/>
      <c r="J1735" s="37"/>
      <c r="K1735" s="11"/>
      <c r="L1735" s="11"/>
    </row>
    <row r="1736">
      <c r="A1736" s="9"/>
      <c r="B1736" s="11"/>
      <c r="C1736" s="11"/>
      <c r="D1736" s="11"/>
      <c r="E1736" s="11"/>
      <c r="F1736" s="11"/>
      <c r="G1736" s="11"/>
      <c r="H1736" s="11"/>
      <c r="I1736" s="11"/>
      <c r="J1736" s="37"/>
      <c r="K1736" s="11"/>
      <c r="L1736" s="11"/>
    </row>
    <row r="1737">
      <c r="A1737" s="9"/>
      <c r="B1737" s="11"/>
      <c r="C1737" s="11"/>
      <c r="D1737" s="11"/>
      <c r="E1737" s="11"/>
      <c r="F1737" s="11"/>
      <c r="G1737" s="11"/>
      <c r="H1737" s="11"/>
      <c r="I1737" s="11"/>
      <c r="J1737" s="37"/>
      <c r="K1737" s="11"/>
      <c r="L1737" s="11"/>
    </row>
    <row r="1738">
      <c r="A1738" s="9"/>
      <c r="B1738" s="11"/>
      <c r="C1738" s="11"/>
      <c r="D1738" s="11"/>
      <c r="E1738" s="11"/>
      <c r="F1738" s="11"/>
      <c r="G1738" s="11"/>
      <c r="H1738" s="11"/>
      <c r="I1738" s="11"/>
      <c r="J1738" s="37"/>
      <c r="K1738" s="11"/>
      <c r="L1738" s="11"/>
    </row>
    <row r="1739">
      <c r="A1739" s="9"/>
      <c r="B1739" s="11"/>
      <c r="C1739" s="11"/>
      <c r="D1739" s="11"/>
      <c r="E1739" s="11"/>
      <c r="F1739" s="11"/>
      <c r="G1739" s="11"/>
      <c r="H1739" s="11"/>
      <c r="I1739" s="11"/>
      <c r="J1739" s="37"/>
      <c r="K1739" s="11"/>
      <c r="L1739" s="11"/>
    </row>
    <row r="1740">
      <c r="A1740" s="9"/>
      <c r="B1740" s="11"/>
      <c r="C1740" s="11"/>
      <c r="D1740" s="11"/>
      <c r="E1740" s="11"/>
      <c r="F1740" s="11"/>
      <c r="G1740" s="11"/>
      <c r="H1740" s="11"/>
      <c r="I1740" s="11"/>
      <c r="J1740" s="37"/>
      <c r="K1740" s="11"/>
      <c r="L1740" s="11"/>
    </row>
    <row r="1741">
      <c r="A1741" s="9"/>
      <c r="B1741" s="11"/>
      <c r="C1741" s="11"/>
      <c r="D1741" s="11"/>
      <c r="E1741" s="11"/>
      <c r="F1741" s="11"/>
      <c r="G1741" s="11"/>
      <c r="H1741" s="11"/>
      <c r="I1741" s="11"/>
      <c r="J1741" s="37"/>
      <c r="K1741" s="11"/>
      <c r="L1741" s="11"/>
    </row>
    <row r="1742">
      <c r="A1742" s="9"/>
      <c r="B1742" s="11"/>
      <c r="C1742" s="11"/>
      <c r="D1742" s="11"/>
      <c r="E1742" s="11"/>
      <c r="F1742" s="11"/>
      <c r="G1742" s="11"/>
      <c r="H1742" s="11"/>
      <c r="I1742" s="11"/>
      <c r="J1742" s="37"/>
      <c r="K1742" s="11"/>
      <c r="L1742" s="11"/>
    </row>
    <row r="1743">
      <c r="A1743" s="9"/>
      <c r="B1743" s="11"/>
      <c r="C1743" s="11"/>
      <c r="D1743" s="11"/>
      <c r="E1743" s="11"/>
      <c r="F1743" s="11"/>
      <c r="G1743" s="11"/>
      <c r="H1743" s="11"/>
      <c r="I1743" s="11"/>
      <c r="J1743" s="37"/>
      <c r="K1743" s="11"/>
      <c r="L1743" s="11"/>
    </row>
    <row r="1744">
      <c r="A1744" s="9"/>
      <c r="B1744" s="11"/>
      <c r="C1744" s="11"/>
      <c r="D1744" s="11"/>
      <c r="E1744" s="11"/>
      <c r="F1744" s="11"/>
      <c r="G1744" s="11"/>
      <c r="H1744" s="11"/>
      <c r="I1744" s="11"/>
      <c r="J1744" s="37"/>
      <c r="K1744" s="11"/>
      <c r="L1744" s="11"/>
    </row>
    <row r="1745">
      <c r="A1745" s="9"/>
      <c r="B1745" s="11"/>
      <c r="C1745" s="11"/>
      <c r="D1745" s="11"/>
      <c r="E1745" s="11"/>
      <c r="F1745" s="11"/>
      <c r="G1745" s="11"/>
      <c r="H1745" s="11"/>
      <c r="I1745" s="11"/>
      <c r="J1745" s="37"/>
      <c r="K1745" s="11"/>
      <c r="L1745" s="11"/>
    </row>
    <row r="1746">
      <c r="A1746" s="9"/>
      <c r="B1746" s="11"/>
      <c r="C1746" s="11"/>
      <c r="D1746" s="11"/>
      <c r="E1746" s="11"/>
      <c r="F1746" s="11"/>
      <c r="G1746" s="11"/>
      <c r="H1746" s="11"/>
      <c r="I1746" s="11"/>
      <c r="J1746" s="37"/>
      <c r="K1746" s="11"/>
      <c r="L1746" s="11"/>
    </row>
    <row r="1747">
      <c r="A1747" s="9"/>
      <c r="B1747" s="11"/>
      <c r="C1747" s="11"/>
      <c r="D1747" s="11"/>
      <c r="E1747" s="11"/>
      <c r="F1747" s="11"/>
      <c r="G1747" s="11"/>
      <c r="H1747" s="11"/>
      <c r="I1747" s="11"/>
      <c r="J1747" s="37"/>
      <c r="K1747" s="11"/>
      <c r="L1747" s="11"/>
    </row>
    <row r="1748">
      <c r="A1748" s="9"/>
      <c r="B1748" s="11"/>
      <c r="C1748" s="11"/>
      <c r="D1748" s="11"/>
      <c r="E1748" s="11"/>
      <c r="F1748" s="11"/>
      <c r="G1748" s="11"/>
      <c r="H1748" s="11"/>
      <c r="I1748" s="11"/>
      <c r="J1748" s="37"/>
      <c r="K1748" s="11"/>
      <c r="L1748" s="11"/>
    </row>
    <row r="1749">
      <c r="A1749" s="9"/>
      <c r="B1749" s="11"/>
      <c r="C1749" s="11"/>
      <c r="D1749" s="11"/>
      <c r="E1749" s="11"/>
      <c r="F1749" s="11"/>
      <c r="G1749" s="11"/>
      <c r="H1749" s="11"/>
      <c r="I1749" s="11"/>
      <c r="J1749" s="37"/>
      <c r="K1749" s="11"/>
      <c r="L1749" s="11"/>
    </row>
    <row r="1750">
      <c r="A1750" s="9"/>
      <c r="B1750" s="11"/>
      <c r="C1750" s="11"/>
      <c r="D1750" s="11"/>
      <c r="E1750" s="11"/>
      <c r="F1750" s="11"/>
      <c r="G1750" s="11"/>
      <c r="H1750" s="11"/>
      <c r="I1750" s="11"/>
      <c r="J1750" s="37"/>
      <c r="K1750" s="11"/>
      <c r="L1750" s="11"/>
    </row>
    <row r="1751">
      <c r="A1751" s="9"/>
      <c r="B1751" s="11"/>
      <c r="C1751" s="11"/>
      <c r="D1751" s="11"/>
      <c r="E1751" s="11"/>
      <c r="F1751" s="11"/>
      <c r="G1751" s="11"/>
      <c r="H1751" s="11"/>
      <c r="I1751" s="11"/>
      <c r="J1751" s="37"/>
      <c r="K1751" s="11"/>
      <c r="L1751" s="11"/>
    </row>
    <row r="1752">
      <c r="A1752" s="9"/>
      <c r="B1752" s="11"/>
      <c r="C1752" s="11"/>
      <c r="D1752" s="11"/>
      <c r="E1752" s="11"/>
      <c r="F1752" s="11"/>
      <c r="G1752" s="11"/>
      <c r="H1752" s="11"/>
      <c r="I1752" s="11"/>
      <c r="J1752" s="37"/>
      <c r="K1752" s="11"/>
      <c r="L1752" s="11"/>
    </row>
    <row r="1753">
      <c r="A1753" s="9"/>
      <c r="B1753" s="11"/>
      <c r="C1753" s="11"/>
      <c r="D1753" s="11"/>
      <c r="E1753" s="11"/>
      <c r="F1753" s="11"/>
      <c r="G1753" s="11"/>
      <c r="H1753" s="11"/>
      <c r="I1753" s="11"/>
      <c r="J1753" s="37"/>
      <c r="K1753" s="11"/>
      <c r="L1753" s="11"/>
    </row>
    <row r="1754">
      <c r="A1754" s="9"/>
      <c r="B1754" s="11"/>
      <c r="C1754" s="11"/>
      <c r="D1754" s="11"/>
      <c r="E1754" s="11"/>
      <c r="F1754" s="11"/>
      <c r="G1754" s="11"/>
      <c r="H1754" s="11"/>
      <c r="I1754" s="11"/>
      <c r="J1754" s="37"/>
      <c r="K1754" s="11"/>
      <c r="L1754" s="11"/>
    </row>
    <row r="1755">
      <c r="A1755" s="9"/>
      <c r="B1755" s="11"/>
      <c r="C1755" s="11"/>
      <c r="D1755" s="11"/>
      <c r="E1755" s="11"/>
      <c r="F1755" s="11"/>
      <c r="G1755" s="11"/>
      <c r="H1755" s="11"/>
      <c r="I1755" s="11"/>
      <c r="J1755" s="37"/>
      <c r="K1755" s="11"/>
      <c r="L1755" s="11"/>
    </row>
    <row r="1756">
      <c r="A1756" s="9"/>
      <c r="B1756" s="11"/>
      <c r="C1756" s="11"/>
      <c r="D1756" s="11"/>
      <c r="E1756" s="11"/>
      <c r="F1756" s="11"/>
      <c r="G1756" s="11"/>
      <c r="H1756" s="11"/>
      <c r="I1756" s="11"/>
      <c r="J1756" s="37"/>
      <c r="K1756" s="11"/>
      <c r="L1756" s="11"/>
    </row>
    <row r="1757">
      <c r="A1757" s="9"/>
      <c r="B1757" s="11"/>
      <c r="C1757" s="11"/>
      <c r="D1757" s="11"/>
      <c r="E1757" s="11"/>
      <c r="F1757" s="11"/>
      <c r="G1757" s="11"/>
      <c r="H1757" s="11"/>
      <c r="I1757" s="11"/>
      <c r="J1757" s="37"/>
      <c r="K1757" s="11"/>
      <c r="L1757" s="11"/>
    </row>
    <row r="1758">
      <c r="A1758" s="9"/>
      <c r="B1758" s="11"/>
      <c r="C1758" s="11"/>
      <c r="D1758" s="11"/>
      <c r="E1758" s="11"/>
      <c r="F1758" s="11"/>
      <c r="G1758" s="11"/>
      <c r="H1758" s="11"/>
      <c r="I1758" s="11"/>
      <c r="J1758" s="37"/>
      <c r="K1758" s="11"/>
      <c r="L1758" s="11"/>
    </row>
    <row r="1759">
      <c r="A1759" s="9"/>
      <c r="B1759" s="11"/>
      <c r="C1759" s="11"/>
      <c r="D1759" s="11"/>
      <c r="E1759" s="11"/>
      <c r="F1759" s="11"/>
      <c r="G1759" s="11"/>
      <c r="H1759" s="11"/>
      <c r="I1759" s="11"/>
      <c r="J1759" s="37"/>
      <c r="K1759" s="11"/>
      <c r="L1759" s="11"/>
    </row>
    <row r="1760">
      <c r="A1760" s="9"/>
      <c r="B1760" s="11"/>
      <c r="C1760" s="11"/>
      <c r="D1760" s="11"/>
      <c r="E1760" s="11"/>
      <c r="F1760" s="11"/>
      <c r="G1760" s="11"/>
      <c r="H1760" s="11"/>
      <c r="I1760" s="11"/>
      <c r="J1760" s="37"/>
      <c r="K1760" s="11"/>
      <c r="L1760" s="11"/>
    </row>
    <row r="1761">
      <c r="A1761" s="9"/>
      <c r="B1761" s="11"/>
      <c r="C1761" s="11"/>
      <c r="D1761" s="11"/>
      <c r="E1761" s="11"/>
      <c r="F1761" s="11"/>
      <c r="G1761" s="11"/>
      <c r="H1761" s="11"/>
      <c r="I1761" s="11"/>
      <c r="J1761" s="37"/>
      <c r="K1761" s="11"/>
      <c r="L1761" s="11"/>
    </row>
    <row r="1762">
      <c r="A1762" s="9"/>
      <c r="B1762" s="11"/>
      <c r="C1762" s="11"/>
      <c r="D1762" s="11"/>
      <c r="E1762" s="11"/>
      <c r="F1762" s="11"/>
      <c r="G1762" s="11"/>
      <c r="H1762" s="11"/>
      <c r="I1762" s="11"/>
      <c r="J1762" s="37"/>
      <c r="K1762" s="11"/>
      <c r="L1762" s="11"/>
    </row>
    <row r="1763">
      <c r="A1763" s="9"/>
      <c r="B1763" s="11"/>
      <c r="C1763" s="11"/>
      <c r="D1763" s="11"/>
      <c r="E1763" s="11"/>
      <c r="F1763" s="11"/>
      <c r="G1763" s="11"/>
      <c r="H1763" s="11"/>
      <c r="I1763" s="11"/>
      <c r="J1763" s="37"/>
      <c r="K1763" s="11"/>
      <c r="L1763" s="11"/>
    </row>
    <row r="1764">
      <c r="A1764" s="9"/>
      <c r="B1764" s="11"/>
      <c r="C1764" s="11"/>
      <c r="D1764" s="11"/>
      <c r="E1764" s="11"/>
      <c r="F1764" s="11"/>
      <c r="G1764" s="11"/>
      <c r="H1764" s="11"/>
      <c r="I1764" s="11"/>
      <c r="J1764" s="37"/>
      <c r="K1764" s="11"/>
      <c r="L1764" s="11"/>
    </row>
    <row r="1765">
      <c r="A1765" s="9"/>
      <c r="B1765" s="11"/>
      <c r="C1765" s="11"/>
      <c r="D1765" s="11"/>
      <c r="E1765" s="11"/>
      <c r="F1765" s="11"/>
      <c r="G1765" s="11"/>
      <c r="H1765" s="11"/>
      <c r="I1765" s="11"/>
      <c r="J1765" s="37"/>
      <c r="K1765" s="11"/>
      <c r="L1765" s="11"/>
    </row>
    <row r="1766">
      <c r="A1766" s="9"/>
      <c r="B1766" s="11"/>
      <c r="C1766" s="11"/>
      <c r="D1766" s="11"/>
      <c r="E1766" s="11"/>
      <c r="F1766" s="11"/>
      <c r="G1766" s="11"/>
      <c r="H1766" s="11"/>
      <c r="I1766" s="11"/>
      <c r="J1766" s="37"/>
      <c r="K1766" s="11"/>
      <c r="L1766" s="11"/>
    </row>
    <row r="1767">
      <c r="A1767" s="9"/>
      <c r="B1767" s="11"/>
      <c r="C1767" s="11"/>
      <c r="D1767" s="11"/>
      <c r="E1767" s="11"/>
      <c r="F1767" s="11"/>
      <c r="G1767" s="11"/>
      <c r="H1767" s="11"/>
      <c r="I1767" s="11"/>
      <c r="J1767" s="37"/>
      <c r="K1767" s="11"/>
      <c r="L1767" s="11"/>
    </row>
    <row r="1768">
      <c r="A1768" s="9"/>
      <c r="B1768" s="11"/>
      <c r="C1768" s="11"/>
      <c r="D1768" s="11"/>
      <c r="E1768" s="11"/>
      <c r="F1768" s="11"/>
      <c r="G1768" s="11"/>
      <c r="H1768" s="11"/>
      <c r="I1768" s="11"/>
      <c r="J1768" s="37"/>
      <c r="K1768" s="11"/>
      <c r="L1768" s="11"/>
    </row>
    <row r="1769">
      <c r="A1769" s="9"/>
      <c r="B1769" s="11"/>
      <c r="C1769" s="11"/>
      <c r="D1769" s="11"/>
      <c r="E1769" s="11"/>
      <c r="F1769" s="11"/>
      <c r="G1769" s="11"/>
      <c r="H1769" s="11"/>
      <c r="I1769" s="11"/>
      <c r="J1769" s="37"/>
      <c r="K1769" s="11"/>
      <c r="L1769" s="11"/>
    </row>
    <row r="1770">
      <c r="A1770" s="9"/>
      <c r="B1770" s="11"/>
      <c r="C1770" s="11"/>
      <c r="D1770" s="11"/>
      <c r="E1770" s="11"/>
      <c r="F1770" s="11"/>
      <c r="G1770" s="11"/>
      <c r="H1770" s="11"/>
      <c r="I1770" s="11"/>
      <c r="J1770" s="37"/>
      <c r="K1770" s="11"/>
      <c r="L1770" s="11"/>
    </row>
    <row r="1771">
      <c r="A1771" s="9"/>
      <c r="B1771" s="11"/>
      <c r="C1771" s="11"/>
      <c r="D1771" s="11"/>
      <c r="E1771" s="11"/>
      <c r="F1771" s="11"/>
      <c r="G1771" s="11"/>
      <c r="H1771" s="11"/>
      <c r="I1771" s="11"/>
      <c r="J1771" s="37"/>
      <c r="K1771" s="11"/>
      <c r="L1771" s="11"/>
    </row>
    <row r="1772">
      <c r="A1772" s="9"/>
      <c r="B1772" s="11"/>
      <c r="C1772" s="11"/>
      <c r="D1772" s="11"/>
      <c r="E1772" s="11"/>
      <c r="F1772" s="11"/>
      <c r="G1772" s="11"/>
      <c r="H1772" s="11"/>
      <c r="I1772" s="11"/>
      <c r="J1772" s="37"/>
      <c r="K1772" s="11"/>
      <c r="L1772" s="11"/>
    </row>
    <row r="1773">
      <c r="A1773" s="9"/>
      <c r="B1773" s="11"/>
      <c r="C1773" s="11"/>
      <c r="D1773" s="11"/>
      <c r="E1773" s="11"/>
      <c r="F1773" s="11"/>
      <c r="G1773" s="11"/>
      <c r="H1773" s="11"/>
      <c r="I1773" s="11"/>
      <c r="J1773" s="37"/>
      <c r="K1773" s="11"/>
      <c r="L1773" s="11"/>
    </row>
    <row r="1774">
      <c r="A1774" s="9"/>
      <c r="B1774" s="11"/>
      <c r="C1774" s="11"/>
      <c r="D1774" s="11"/>
      <c r="E1774" s="11"/>
      <c r="F1774" s="11"/>
      <c r="G1774" s="11"/>
      <c r="H1774" s="11"/>
      <c r="I1774" s="11"/>
      <c r="J1774" s="37"/>
      <c r="K1774" s="11"/>
      <c r="L1774" s="11"/>
    </row>
    <row r="1775">
      <c r="A1775" s="9"/>
      <c r="B1775" s="11"/>
      <c r="C1775" s="11"/>
      <c r="D1775" s="11"/>
      <c r="E1775" s="11"/>
      <c r="F1775" s="11"/>
      <c r="G1775" s="11"/>
      <c r="H1775" s="11"/>
      <c r="I1775" s="11"/>
      <c r="J1775" s="37"/>
      <c r="K1775" s="11"/>
      <c r="L1775" s="11"/>
    </row>
    <row r="1776">
      <c r="A1776" s="9"/>
      <c r="B1776" s="11"/>
      <c r="C1776" s="11"/>
      <c r="D1776" s="11"/>
      <c r="E1776" s="11"/>
      <c r="F1776" s="11"/>
      <c r="G1776" s="11"/>
      <c r="H1776" s="11"/>
      <c r="I1776" s="11"/>
      <c r="J1776" s="37"/>
      <c r="K1776" s="11"/>
      <c r="L1776" s="11"/>
    </row>
    <row r="1777">
      <c r="A1777" s="9"/>
      <c r="B1777" s="11"/>
      <c r="C1777" s="11"/>
      <c r="D1777" s="11"/>
      <c r="E1777" s="11"/>
      <c r="F1777" s="11"/>
      <c r="G1777" s="11"/>
      <c r="H1777" s="11"/>
      <c r="I1777" s="11"/>
      <c r="J1777" s="37"/>
      <c r="K1777" s="11"/>
      <c r="L1777" s="11"/>
    </row>
    <row r="1778">
      <c r="A1778" s="9"/>
      <c r="B1778" s="11"/>
      <c r="C1778" s="11"/>
      <c r="D1778" s="11"/>
      <c r="E1778" s="11"/>
      <c r="F1778" s="11"/>
      <c r="G1778" s="11"/>
      <c r="H1778" s="11"/>
      <c r="I1778" s="11"/>
      <c r="J1778" s="37"/>
      <c r="K1778" s="11"/>
      <c r="L1778" s="11"/>
    </row>
    <row r="1779">
      <c r="A1779" s="9"/>
      <c r="B1779" s="11"/>
      <c r="C1779" s="11"/>
      <c r="D1779" s="11"/>
      <c r="E1779" s="11"/>
      <c r="F1779" s="11"/>
      <c r="G1779" s="11"/>
      <c r="H1779" s="11"/>
      <c r="I1779" s="11"/>
      <c r="J1779" s="37"/>
      <c r="K1779" s="11"/>
      <c r="L1779" s="11"/>
    </row>
    <row r="1780">
      <c r="A1780" s="9"/>
      <c r="B1780" s="11"/>
      <c r="C1780" s="11"/>
      <c r="D1780" s="11"/>
      <c r="E1780" s="11"/>
      <c r="F1780" s="11"/>
      <c r="G1780" s="11"/>
      <c r="H1780" s="11"/>
      <c r="I1780" s="11"/>
      <c r="J1780" s="37"/>
      <c r="K1780" s="11"/>
      <c r="L1780" s="11"/>
    </row>
    <row r="1781">
      <c r="A1781" s="9"/>
      <c r="B1781" s="11"/>
      <c r="C1781" s="11"/>
      <c r="D1781" s="11"/>
      <c r="E1781" s="11"/>
      <c r="F1781" s="11"/>
      <c r="G1781" s="11"/>
      <c r="H1781" s="11"/>
      <c r="I1781" s="11"/>
      <c r="J1781" s="37"/>
      <c r="K1781" s="11"/>
      <c r="L1781" s="11"/>
    </row>
    <row r="1782">
      <c r="A1782" s="9"/>
      <c r="B1782" s="11"/>
      <c r="C1782" s="11"/>
      <c r="D1782" s="11"/>
      <c r="E1782" s="11"/>
      <c r="F1782" s="11"/>
      <c r="G1782" s="11"/>
      <c r="H1782" s="11"/>
      <c r="I1782" s="11"/>
      <c r="J1782" s="37"/>
      <c r="K1782" s="11"/>
      <c r="L1782" s="11"/>
    </row>
    <row r="1783">
      <c r="A1783" s="9"/>
      <c r="B1783" s="11"/>
      <c r="C1783" s="11"/>
      <c r="D1783" s="11"/>
      <c r="E1783" s="11"/>
      <c r="F1783" s="11"/>
      <c r="G1783" s="11"/>
      <c r="H1783" s="11"/>
      <c r="I1783" s="11"/>
      <c r="J1783" s="37"/>
      <c r="K1783" s="11"/>
      <c r="L1783" s="11"/>
    </row>
    <row r="1784">
      <c r="A1784" s="9"/>
      <c r="B1784" s="11"/>
      <c r="C1784" s="11"/>
      <c r="D1784" s="11"/>
      <c r="E1784" s="11"/>
      <c r="F1784" s="11"/>
      <c r="G1784" s="11"/>
      <c r="H1784" s="11"/>
      <c r="I1784" s="11"/>
      <c r="J1784" s="37"/>
      <c r="K1784" s="11"/>
      <c r="L1784" s="11"/>
    </row>
    <row r="1785">
      <c r="A1785" s="9"/>
      <c r="B1785" s="11"/>
      <c r="C1785" s="11"/>
      <c r="D1785" s="11"/>
      <c r="E1785" s="11"/>
      <c r="F1785" s="11"/>
      <c r="G1785" s="11"/>
      <c r="H1785" s="11"/>
      <c r="I1785" s="11"/>
      <c r="J1785" s="37"/>
      <c r="K1785" s="11"/>
      <c r="L1785" s="11"/>
    </row>
    <row r="1786">
      <c r="A1786" s="9"/>
      <c r="B1786" s="11"/>
      <c r="C1786" s="11"/>
      <c r="D1786" s="11"/>
      <c r="E1786" s="11"/>
      <c r="F1786" s="11"/>
      <c r="G1786" s="11"/>
      <c r="H1786" s="11"/>
      <c r="I1786" s="11"/>
      <c r="J1786" s="37"/>
      <c r="K1786" s="11"/>
      <c r="L1786" s="11"/>
    </row>
    <row r="1787">
      <c r="A1787" s="9"/>
      <c r="B1787" s="11"/>
      <c r="C1787" s="11"/>
      <c r="D1787" s="11"/>
      <c r="E1787" s="11"/>
      <c r="F1787" s="11"/>
      <c r="G1787" s="11"/>
      <c r="H1787" s="11"/>
      <c r="I1787" s="11"/>
      <c r="J1787" s="37"/>
      <c r="K1787" s="11"/>
      <c r="L1787" s="11"/>
    </row>
    <row r="1788">
      <c r="A1788" s="9"/>
      <c r="B1788" s="11"/>
      <c r="C1788" s="11"/>
      <c r="D1788" s="11"/>
      <c r="E1788" s="11"/>
      <c r="F1788" s="11"/>
      <c r="G1788" s="11"/>
      <c r="H1788" s="11"/>
      <c r="I1788" s="11"/>
      <c r="J1788" s="37"/>
      <c r="K1788" s="11"/>
      <c r="L1788" s="11"/>
    </row>
    <row r="1789">
      <c r="A1789" s="9"/>
      <c r="B1789" s="11"/>
      <c r="C1789" s="11"/>
      <c r="D1789" s="11"/>
      <c r="E1789" s="11"/>
      <c r="F1789" s="11"/>
      <c r="G1789" s="11"/>
      <c r="H1789" s="11"/>
      <c r="I1789" s="11"/>
      <c r="J1789" s="37"/>
      <c r="K1789" s="11"/>
      <c r="L1789" s="11"/>
    </row>
    <row r="1790">
      <c r="A1790" s="9"/>
      <c r="B1790" s="11"/>
      <c r="C1790" s="11"/>
      <c r="D1790" s="11"/>
      <c r="E1790" s="11"/>
      <c r="F1790" s="11"/>
      <c r="G1790" s="11"/>
      <c r="H1790" s="11"/>
      <c r="I1790" s="11"/>
      <c r="J1790" s="37"/>
      <c r="K1790" s="11"/>
      <c r="L1790" s="11"/>
    </row>
    <row r="1791">
      <c r="A1791" s="9"/>
      <c r="B1791" s="11"/>
      <c r="C1791" s="11"/>
      <c r="D1791" s="11"/>
      <c r="E1791" s="11"/>
      <c r="F1791" s="11"/>
      <c r="G1791" s="11"/>
      <c r="H1791" s="11"/>
      <c r="I1791" s="11"/>
      <c r="J1791" s="37"/>
      <c r="K1791" s="11"/>
      <c r="L1791" s="11"/>
    </row>
    <row r="1792">
      <c r="A1792" s="9"/>
      <c r="B1792" s="11"/>
      <c r="C1792" s="11"/>
      <c r="D1792" s="11"/>
      <c r="E1792" s="11"/>
      <c r="F1792" s="11"/>
      <c r="G1792" s="11"/>
      <c r="H1792" s="11"/>
      <c r="I1792" s="11"/>
      <c r="J1792" s="37"/>
      <c r="K1792" s="11"/>
      <c r="L1792" s="11"/>
    </row>
    <row r="1793">
      <c r="A1793" s="9"/>
      <c r="B1793" s="11"/>
      <c r="C1793" s="11"/>
      <c r="D1793" s="11"/>
      <c r="E1793" s="11"/>
      <c r="F1793" s="11"/>
      <c r="G1793" s="11"/>
      <c r="H1793" s="11"/>
      <c r="I1793" s="11"/>
      <c r="J1793" s="37"/>
      <c r="K1793" s="11"/>
      <c r="L1793" s="11"/>
    </row>
    <row r="1794">
      <c r="A1794" s="9"/>
      <c r="B1794" s="11"/>
      <c r="C1794" s="11"/>
      <c r="D1794" s="11"/>
      <c r="E1794" s="11"/>
      <c r="F1794" s="11"/>
      <c r="G1794" s="11"/>
      <c r="H1794" s="11"/>
      <c r="I1794" s="11"/>
      <c r="J1794" s="37"/>
      <c r="K1794" s="11"/>
      <c r="L1794" s="11"/>
    </row>
    <row r="1795">
      <c r="A1795" s="9"/>
      <c r="B1795" s="11"/>
      <c r="C1795" s="11"/>
      <c r="D1795" s="11"/>
      <c r="E1795" s="11"/>
      <c r="F1795" s="11"/>
      <c r="G1795" s="11"/>
      <c r="H1795" s="11"/>
      <c r="I1795" s="11"/>
      <c r="J1795" s="37"/>
      <c r="K1795" s="11"/>
      <c r="L1795" s="11"/>
    </row>
    <row r="1796">
      <c r="A1796" s="9"/>
      <c r="B1796" s="11"/>
      <c r="C1796" s="11"/>
      <c r="D1796" s="11"/>
      <c r="E1796" s="11"/>
      <c r="F1796" s="11"/>
      <c r="G1796" s="11"/>
      <c r="H1796" s="11"/>
      <c r="I1796" s="11"/>
      <c r="J1796" s="37"/>
      <c r="K1796" s="11"/>
      <c r="L1796" s="11"/>
    </row>
    <row r="1797">
      <c r="A1797" s="9"/>
      <c r="B1797" s="11"/>
      <c r="C1797" s="11"/>
      <c r="D1797" s="11"/>
      <c r="E1797" s="11"/>
      <c r="F1797" s="11"/>
      <c r="G1797" s="11"/>
      <c r="H1797" s="11"/>
      <c r="I1797" s="11"/>
      <c r="J1797" s="37"/>
      <c r="K1797" s="11"/>
      <c r="L1797" s="11"/>
    </row>
    <row r="1798">
      <c r="A1798" s="9"/>
      <c r="B1798" s="11"/>
      <c r="C1798" s="11"/>
      <c r="D1798" s="11"/>
      <c r="E1798" s="11"/>
      <c r="F1798" s="11"/>
      <c r="G1798" s="11"/>
      <c r="H1798" s="11"/>
      <c r="I1798" s="11"/>
      <c r="J1798" s="37"/>
      <c r="K1798" s="11"/>
      <c r="L1798" s="11"/>
    </row>
    <row r="1799">
      <c r="A1799" s="9"/>
      <c r="B1799" s="11"/>
      <c r="C1799" s="11"/>
      <c r="D1799" s="11"/>
      <c r="E1799" s="11"/>
      <c r="F1799" s="11"/>
      <c r="G1799" s="11"/>
      <c r="H1799" s="11"/>
      <c r="I1799" s="11"/>
      <c r="J1799" s="37"/>
      <c r="K1799" s="11"/>
      <c r="L1799" s="11"/>
    </row>
    <row r="1800">
      <c r="A1800" s="9"/>
      <c r="B1800" s="11"/>
      <c r="C1800" s="11"/>
      <c r="D1800" s="11"/>
      <c r="E1800" s="11"/>
      <c r="F1800" s="11"/>
      <c r="G1800" s="11"/>
      <c r="H1800" s="11"/>
      <c r="I1800" s="11"/>
      <c r="J1800" s="37"/>
      <c r="K1800" s="11"/>
      <c r="L1800" s="11"/>
    </row>
    <row r="1801">
      <c r="A1801" s="9"/>
      <c r="B1801" s="11"/>
      <c r="C1801" s="11"/>
      <c r="D1801" s="11"/>
      <c r="E1801" s="11"/>
      <c r="F1801" s="11"/>
      <c r="G1801" s="11"/>
      <c r="H1801" s="11"/>
      <c r="I1801" s="11"/>
      <c r="J1801" s="37"/>
      <c r="K1801" s="11"/>
      <c r="L1801" s="11"/>
    </row>
    <row r="1802">
      <c r="A1802" s="9"/>
      <c r="B1802" s="11"/>
      <c r="C1802" s="11"/>
      <c r="D1802" s="11"/>
      <c r="E1802" s="11"/>
      <c r="F1802" s="11"/>
      <c r="G1802" s="11"/>
      <c r="H1802" s="11"/>
      <c r="I1802" s="11"/>
      <c r="J1802" s="37"/>
      <c r="K1802" s="11"/>
      <c r="L1802" s="11"/>
    </row>
    <row r="1803">
      <c r="A1803" s="9"/>
      <c r="B1803" s="11"/>
      <c r="C1803" s="11"/>
      <c r="D1803" s="11"/>
      <c r="E1803" s="11"/>
      <c r="F1803" s="11"/>
      <c r="G1803" s="11"/>
      <c r="H1803" s="11"/>
      <c r="I1803" s="11"/>
      <c r="J1803" s="37"/>
      <c r="K1803" s="11"/>
      <c r="L1803" s="11"/>
    </row>
    <row r="1804">
      <c r="A1804" s="9"/>
      <c r="B1804" s="11"/>
      <c r="C1804" s="11"/>
      <c r="D1804" s="11"/>
      <c r="E1804" s="11"/>
      <c r="F1804" s="11"/>
      <c r="G1804" s="11"/>
      <c r="H1804" s="11"/>
      <c r="I1804" s="11"/>
      <c r="J1804" s="37"/>
      <c r="K1804" s="11"/>
      <c r="L1804" s="11"/>
    </row>
    <row r="1805">
      <c r="A1805" s="9"/>
      <c r="B1805" s="11"/>
      <c r="C1805" s="11"/>
      <c r="D1805" s="11"/>
      <c r="E1805" s="11"/>
      <c r="F1805" s="11"/>
      <c r="G1805" s="11"/>
      <c r="H1805" s="11"/>
      <c r="I1805" s="11"/>
      <c r="J1805" s="37"/>
      <c r="K1805" s="11"/>
      <c r="L1805" s="11"/>
    </row>
    <row r="1806">
      <c r="A1806" s="9"/>
      <c r="B1806" s="11"/>
      <c r="C1806" s="11"/>
      <c r="D1806" s="11"/>
      <c r="E1806" s="11"/>
      <c r="F1806" s="11"/>
      <c r="G1806" s="11"/>
      <c r="H1806" s="11"/>
      <c r="I1806" s="11"/>
      <c r="J1806" s="37"/>
      <c r="K1806" s="11"/>
      <c r="L1806" s="11"/>
    </row>
    <row r="1807">
      <c r="A1807" s="9"/>
      <c r="B1807" s="11"/>
      <c r="C1807" s="11"/>
      <c r="D1807" s="11"/>
      <c r="E1807" s="11"/>
      <c r="F1807" s="11"/>
      <c r="G1807" s="11"/>
      <c r="H1807" s="11"/>
      <c r="I1807" s="11"/>
      <c r="J1807" s="37"/>
      <c r="K1807" s="11"/>
      <c r="L1807" s="11"/>
    </row>
    <row r="1808">
      <c r="A1808" s="9"/>
      <c r="B1808" s="11"/>
      <c r="C1808" s="11"/>
      <c r="D1808" s="11"/>
      <c r="E1808" s="11"/>
      <c r="F1808" s="11"/>
      <c r="G1808" s="11"/>
      <c r="H1808" s="11"/>
      <c r="I1808" s="11"/>
      <c r="J1808" s="37"/>
      <c r="K1808" s="11"/>
      <c r="L1808" s="11"/>
    </row>
    <row r="1809">
      <c r="A1809" s="9"/>
      <c r="B1809" s="11"/>
      <c r="C1809" s="11"/>
      <c r="D1809" s="11"/>
      <c r="E1809" s="11"/>
      <c r="F1809" s="11"/>
      <c r="G1809" s="11"/>
      <c r="H1809" s="11"/>
      <c r="I1809" s="11"/>
      <c r="J1809" s="37"/>
      <c r="K1809" s="11"/>
      <c r="L1809" s="11"/>
    </row>
    <row r="1810">
      <c r="A1810" s="9"/>
      <c r="B1810" s="11"/>
      <c r="C1810" s="11"/>
      <c r="D1810" s="11"/>
      <c r="E1810" s="11"/>
      <c r="F1810" s="11"/>
      <c r="G1810" s="11"/>
      <c r="H1810" s="11"/>
      <c r="I1810" s="11"/>
      <c r="J1810" s="37"/>
      <c r="K1810" s="11"/>
      <c r="L1810" s="11"/>
    </row>
    <row r="1811">
      <c r="A1811" s="9"/>
      <c r="B1811" s="11"/>
      <c r="C1811" s="11"/>
      <c r="D1811" s="11"/>
      <c r="E1811" s="11"/>
      <c r="F1811" s="11"/>
      <c r="G1811" s="11"/>
      <c r="H1811" s="11"/>
      <c r="I1811" s="11"/>
      <c r="J1811" s="37"/>
      <c r="K1811" s="11"/>
      <c r="L1811" s="11"/>
    </row>
    <row r="1812">
      <c r="A1812" s="9"/>
      <c r="B1812" s="11"/>
      <c r="C1812" s="11"/>
      <c r="D1812" s="11"/>
      <c r="E1812" s="11"/>
      <c r="F1812" s="11"/>
      <c r="G1812" s="11"/>
      <c r="H1812" s="11"/>
      <c r="I1812" s="11"/>
      <c r="J1812" s="37"/>
      <c r="K1812" s="11"/>
      <c r="L1812" s="11"/>
    </row>
    <row r="1813">
      <c r="A1813" s="9"/>
      <c r="B1813" s="11"/>
      <c r="C1813" s="11"/>
      <c r="D1813" s="11"/>
      <c r="E1813" s="11"/>
      <c r="F1813" s="11"/>
      <c r="G1813" s="11"/>
      <c r="H1813" s="11"/>
      <c r="I1813" s="11"/>
      <c r="J1813" s="37"/>
      <c r="K1813" s="11"/>
      <c r="L1813" s="11"/>
    </row>
    <row r="1814">
      <c r="A1814" s="9"/>
      <c r="B1814" s="11"/>
      <c r="C1814" s="11"/>
      <c r="D1814" s="11"/>
      <c r="E1814" s="11"/>
      <c r="F1814" s="11"/>
      <c r="G1814" s="11"/>
      <c r="H1814" s="11"/>
      <c r="I1814" s="11"/>
      <c r="J1814" s="37"/>
      <c r="K1814" s="11"/>
      <c r="L1814" s="11"/>
    </row>
    <row r="1815">
      <c r="A1815" s="9"/>
      <c r="B1815" s="11"/>
      <c r="C1815" s="11"/>
      <c r="D1815" s="11"/>
      <c r="E1815" s="11"/>
      <c r="F1815" s="11"/>
      <c r="G1815" s="11"/>
      <c r="H1815" s="11"/>
      <c r="I1815" s="11"/>
      <c r="J1815" s="37"/>
      <c r="K1815" s="11"/>
      <c r="L1815" s="11"/>
    </row>
    <row r="1816">
      <c r="A1816" s="9"/>
      <c r="B1816" s="11"/>
      <c r="C1816" s="11"/>
      <c r="D1816" s="11"/>
      <c r="E1816" s="11"/>
      <c r="F1816" s="11"/>
      <c r="G1816" s="11"/>
      <c r="H1816" s="11"/>
      <c r="I1816" s="11"/>
      <c r="J1816" s="37"/>
      <c r="K1816" s="11"/>
      <c r="L1816" s="11"/>
    </row>
    <row r="1817">
      <c r="A1817" s="9"/>
      <c r="B1817" s="11"/>
      <c r="C1817" s="11"/>
      <c r="D1817" s="11"/>
      <c r="E1817" s="11"/>
      <c r="F1817" s="11"/>
      <c r="G1817" s="11"/>
      <c r="H1817" s="11"/>
      <c r="I1817" s="11"/>
      <c r="J1817" s="37"/>
      <c r="K1817" s="11"/>
      <c r="L1817" s="11"/>
    </row>
    <row r="1818">
      <c r="A1818" s="9"/>
      <c r="B1818" s="11"/>
      <c r="C1818" s="11"/>
      <c r="D1818" s="11"/>
      <c r="E1818" s="11"/>
      <c r="F1818" s="11"/>
      <c r="G1818" s="11"/>
      <c r="H1818" s="11"/>
      <c r="I1818" s="11"/>
      <c r="J1818" s="37"/>
      <c r="K1818" s="11"/>
      <c r="L1818" s="11"/>
    </row>
    <row r="1819">
      <c r="A1819" s="9"/>
      <c r="B1819" s="11"/>
      <c r="C1819" s="11"/>
      <c r="D1819" s="11"/>
      <c r="E1819" s="11"/>
      <c r="F1819" s="11"/>
      <c r="G1819" s="11"/>
      <c r="H1819" s="11"/>
      <c r="I1819" s="11"/>
      <c r="J1819" s="37"/>
      <c r="K1819" s="11"/>
      <c r="L1819" s="11"/>
    </row>
    <row r="1820">
      <c r="A1820" s="9"/>
      <c r="B1820" s="11"/>
      <c r="C1820" s="11"/>
      <c r="D1820" s="11"/>
      <c r="E1820" s="11"/>
      <c r="F1820" s="11"/>
      <c r="G1820" s="11"/>
      <c r="H1820" s="11"/>
      <c r="I1820" s="11"/>
      <c r="J1820" s="37"/>
      <c r="K1820" s="11"/>
      <c r="L1820" s="11"/>
    </row>
    <row r="1821">
      <c r="A1821" s="9"/>
      <c r="B1821" s="11"/>
      <c r="C1821" s="11"/>
      <c r="D1821" s="11"/>
      <c r="E1821" s="11"/>
      <c r="F1821" s="11"/>
      <c r="G1821" s="11"/>
      <c r="H1821" s="11"/>
      <c r="I1821" s="11"/>
      <c r="J1821" s="37"/>
      <c r="K1821" s="11"/>
      <c r="L1821" s="11"/>
    </row>
    <row r="1822">
      <c r="A1822" s="9"/>
      <c r="B1822" s="11"/>
      <c r="C1822" s="11"/>
      <c r="D1822" s="11"/>
      <c r="E1822" s="11"/>
      <c r="F1822" s="11"/>
      <c r="G1822" s="11"/>
      <c r="H1822" s="11"/>
      <c r="I1822" s="11"/>
      <c r="J1822" s="37"/>
      <c r="K1822" s="11"/>
      <c r="L1822" s="11"/>
    </row>
    <row r="1823">
      <c r="A1823" s="9"/>
      <c r="B1823" s="11"/>
      <c r="C1823" s="11"/>
      <c r="D1823" s="11"/>
      <c r="E1823" s="11"/>
      <c r="F1823" s="11"/>
      <c r="G1823" s="11"/>
      <c r="H1823" s="11"/>
      <c r="I1823" s="11"/>
      <c r="J1823" s="37"/>
      <c r="K1823" s="11"/>
      <c r="L1823" s="11"/>
    </row>
    <row r="1824">
      <c r="A1824" s="9"/>
      <c r="B1824" s="11"/>
      <c r="C1824" s="11"/>
      <c r="D1824" s="11"/>
      <c r="E1824" s="11"/>
      <c r="F1824" s="11"/>
      <c r="G1824" s="11"/>
      <c r="H1824" s="11"/>
      <c r="I1824" s="11"/>
      <c r="J1824" s="37"/>
      <c r="K1824" s="11"/>
      <c r="L1824" s="11"/>
    </row>
    <row r="1825">
      <c r="A1825" s="9"/>
      <c r="B1825" s="11"/>
      <c r="C1825" s="11"/>
      <c r="D1825" s="11"/>
      <c r="E1825" s="11"/>
      <c r="F1825" s="11"/>
      <c r="G1825" s="11"/>
      <c r="H1825" s="11"/>
      <c r="I1825" s="11"/>
      <c r="J1825" s="37"/>
      <c r="K1825" s="11"/>
      <c r="L1825" s="11"/>
    </row>
    <row r="1826">
      <c r="A1826" s="9"/>
      <c r="B1826" s="11"/>
      <c r="C1826" s="11"/>
      <c r="D1826" s="11"/>
      <c r="E1826" s="11"/>
      <c r="F1826" s="11"/>
      <c r="G1826" s="11"/>
      <c r="H1826" s="11"/>
      <c r="I1826" s="11"/>
      <c r="J1826" s="37"/>
      <c r="K1826" s="11"/>
      <c r="L1826" s="11"/>
    </row>
    <row r="1827">
      <c r="A1827" s="9"/>
      <c r="B1827" s="11"/>
      <c r="C1827" s="11"/>
      <c r="D1827" s="11"/>
      <c r="E1827" s="11"/>
      <c r="F1827" s="11"/>
      <c r="G1827" s="11"/>
      <c r="H1827" s="11"/>
      <c r="I1827" s="11"/>
      <c r="J1827" s="37"/>
      <c r="K1827" s="11"/>
      <c r="L1827" s="11"/>
    </row>
    <row r="1828">
      <c r="A1828" s="9"/>
      <c r="B1828" s="11"/>
      <c r="C1828" s="11"/>
      <c r="D1828" s="11"/>
      <c r="E1828" s="11"/>
      <c r="F1828" s="11"/>
      <c r="G1828" s="11"/>
      <c r="H1828" s="11"/>
      <c r="I1828" s="11"/>
      <c r="J1828" s="37"/>
      <c r="K1828" s="11"/>
      <c r="L1828" s="11"/>
    </row>
    <row r="1829">
      <c r="A1829" s="9"/>
      <c r="B1829" s="11"/>
      <c r="C1829" s="11"/>
      <c r="D1829" s="11"/>
      <c r="E1829" s="11"/>
      <c r="F1829" s="11"/>
      <c r="G1829" s="11"/>
      <c r="H1829" s="11"/>
      <c r="I1829" s="11"/>
      <c r="J1829" s="37"/>
      <c r="K1829" s="11"/>
      <c r="L1829" s="11"/>
    </row>
    <row r="1830">
      <c r="A1830" s="9"/>
      <c r="B1830" s="11"/>
      <c r="C1830" s="11"/>
      <c r="D1830" s="11"/>
      <c r="E1830" s="11"/>
      <c r="F1830" s="11"/>
      <c r="G1830" s="11"/>
      <c r="H1830" s="11"/>
      <c r="I1830" s="11"/>
      <c r="J1830" s="37"/>
      <c r="K1830" s="11"/>
      <c r="L1830" s="11"/>
    </row>
    <row r="1831">
      <c r="A1831" s="9"/>
      <c r="B1831" s="11"/>
      <c r="C1831" s="11"/>
      <c r="D1831" s="11"/>
      <c r="E1831" s="11"/>
      <c r="F1831" s="11"/>
      <c r="G1831" s="11"/>
      <c r="H1831" s="11"/>
      <c r="I1831" s="11"/>
      <c r="J1831" s="37"/>
      <c r="K1831" s="11"/>
      <c r="L1831" s="11"/>
    </row>
    <row r="1832">
      <c r="A1832" s="9"/>
      <c r="B1832" s="11"/>
      <c r="C1832" s="11"/>
      <c r="D1832" s="11"/>
      <c r="E1832" s="11"/>
      <c r="F1832" s="11"/>
      <c r="G1832" s="11"/>
      <c r="H1832" s="11"/>
      <c r="I1832" s="11"/>
      <c r="J1832" s="37"/>
      <c r="K1832" s="11"/>
      <c r="L1832" s="11"/>
    </row>
    <row r="1833">
      <c r="A1833" s="9"/>
      <c r="B1833" s="11"/>
      <c r="C1833" s="11"/>
      <c r="D1833" s="11"/>
      <c r="E1833" s="11"/>
      <c r="F1833" s="11"/>
      <c r="G1833" s="11"/>
      <c r="H1833" s="11"/>
      <c r="I1833" s="11"/>
      <c r="J1833" s="37"/>
      <c r="K1833" s="11"/>
      <c r="L1833" s="11"/>
    </row>
    <row r="1834">
      <c r="A1834" s="9"/>
      <c r="B1834" s="11"/>
      <c r="C1834" s="11"/>
      <c r="D1834" s="11"/>
      <c r="E1834" s="11"/>
      <c r="F1834" s="11"/>
      <c r="G1834" s="11"/>
      <c r="H1834" s="11"/>
      <c r="I1834" s="11"/>
      <c r="J1834" s="37"/>
      <c r="K1834" s="11"/>
      <c r="L1834" s="11"/>
    </row>
    <row r="1835">
      <c r="A1835" s="9"/>
      <c r="B1835" s="11"/>
      <c r="C1835" s="11"/>
      <c r="D1835" s="11"/>
      <c r="E1835" s="11"/>
      <c r="F1835" s="11"/>
      <c r="G1835" s="11"/>
      <c r="H1835" s="11"/>
      <c r="I1835" s="11"/>
      <c r="J1835" s="37"/>
      <c r="K1835" s="11"/>
      <c r="L1835" s="11"/>
    </row>
    <row r="1836">
      <c r="A1836" s="9"/>
      <c r="B1836" s="11"/>
      <c r="C1836" s="11"/>
      <c r="D1836" s="11"/>
      <c r="E1836" s="11"/>
      <c r="F1836" s="11"/>
      <c r="G1836" s="11"/>
      <c r="H1836" s="11"/>
      <c r="I1836" s="11"/>
      <c r="J1836" s="37"/>
      <c r="K1836" s="11"/>
      <c r="L1836" s="11"/>
    </row>
    <row r="1837">
      <c r="A1837" s="9"/>
      <c r="B1837" s="11"/>
      <c r="C1837" s="11"/>
      <c r="D1837" s="11"/>
      <c r="E1837" s="11"/>
      <c r="F1837" s="11"/>
      <c r="G1837" s="11"/>
      <c r="H1837" s="11"/>
      <c r="I1837" s="11"/>
      <c r="J1837" s="37"/>
      <c r="K1837" s="11"/>
      <c r="L1837" s="11"/>
    </row>
    <row r="1838">
      <c r="A1838" s="9"/>
      <c r="B1838" s="11"/>
      <c r="C1838" s="11"/>
      <c r="D1838" s="11"/>
      <c r="E1838" s="11"/>
      <c r="F1838" s="11"/>
      <c r="G1838" s="11"/>
      <c r="H1838" s="11"/>
      <c r="I1838" s="11"/>
      <c r="J1838" s="37"/>
      <c r="K1838" s="11"/>
      <c r="L1838" s="11"/>
    </row>
    <row r="1839">
      <c r="A1839" s="9"/>
      <c r="B1839" s="11"/>
      <c r="C1839" s="11"/>
      <c r="D1839" s="11"/>
      <c r="E1839" s="11"/>
      <c r="F1839" s="11"/>
      <c r="G1839" s="11"/>
      <c r="H1839" s="11"/>
      <c r="I1839" s="11"/>
      <c r="J1839" s="37"/>
      <c r="K1839" s="11"/>
      <c r="L1839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15.63"/>
    <col customWidth="1" min="3" max="3" width="15.13"/>
    <col customWidth="1" min="5" max="5" width="10.75"/>
    <col customWidth="1" min="6" max="7" width="19.38"/>
    <col customWidth="1" min="8" max="8" width="80.0"/>
    <col customWidth="1" min="9" max="12" width="19.38"/>
    <col customWidth="1" min="13" max="13" width="22.5"/>
    <col customWidth="1" min="14" max="14" width="25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8</v>
      </c>
      <c r="H1" s="7" t="s">
        <v>11</v>
      </c>
      <c r="I1" s="7" t="s">
        <v>13</v>
      </c>
      <c r="J1" s="7" t="s">
        <v>17</v>
      </c>
      <c r="K1" s="7" t="s">
        <v>19</v>
      </c>
      <c r="L1" s="7" t="s">
        <v>21</v>
      </c>
      <c r="M1" s="7" t="s">
        <v>24</v>
      </c>
      <c r="N1" s="7" t="s">
        <v>26</v>
      </c>
    </row>
    <row r="2">
      <c r="A2" s="10" t="s">
        <v>29</v>
      </c>
      <c r="B2" s="12" t="s">
        <v>34</v>
      </c>
      <c r="C2" s="12" t="s">
        <v>40</v>
      </c>
      <c r="D2" s="12" t="s">
        <v>42</v>
      </c>
      <c r="E2" s="12" t="s">
        <v>46</v>
      </c>
      <c r="F2" s="14" t="s">
        <v>48</v>
      </c>
      <c r="G2" s="17">
        <v>45660.0</v>
      </c>
      <c r="H2" s="20" t="s">
        <v>51</v>
      </c>
      <c r="I2" s="20" t="s">
        <v>45</v>
      </c>
      <c r="J2" s="21" t="s">
        <v>54</v>
      </c>
      <c r="K2" s="22">
        <v>46013.0</v>
      </c>
      <c r="L2" s="22"/>
      <c r="M2" s="22"/>
      <c r="N2" s="24" t="b">
        <v>1</v>
      </c>
    </row>
    <row r="3">
      <c r="A3" s="10" t="s">
        <v>29</v>
      </c>
      <c r="B3" s="12" t="s">
        <v>34</v>
      </c>
      <c r="C3" s="12" t="s">
        <v>40</v>
      </c>
      <c r="D3" s="12" t="s">
        <v>63</v>
      </c>
      <c r="E3" s="12" t="s">
        <v>46</v>
      </c>
      <c r="F3" s="14" t="s">
        <v>65</v>
      </c>
      <c r="G3" s="17">
        <v>45660.0</v>
      </c>
      <c r="H3" s="20" t="s">
        <v>70</v>
      </c>
      <c r="I3" s="22"/>
      <c r="J3" s="22"/>
      <c r="K3" s="22"/>
      <c r="L3" s="22"/>
      <c r="M3" s="22"/>
      <c r="N3" s="24" t="b">
        <v>0</v>
      </c>
    </row>
    <row r="4">
      <c r="A4" s="10" t="s">
        <v>29</v>
      </c>
      <c r="B4" s="12" t="s">
        <v>34</v>
      </c>
      <c r="C4" s="12" t="s">
        <v>40</v>
      </c>
      <c r="D4" s="31" t="s">
        <v>74</v>
      </c>
      <c r="E4" s="12" t="s">
        <v>46</v>
      </c>
      <c r="F4" s="14" t="s">
        <v>77</v>
      </c>
      <c r="G4" s="17">
        <v>45660.0</v>
      </c>
      <c r="H4" s="22"/>
      <c r="I4" s="22"/>
      <c r="J4" s="22"/>
      <c r="K4" s="22"/>
      <c r="L4" s="22"/>
      <c r="M4" s="22"/>
      <c r="N4" s="24" t="b">
        <v>0</v>
      </c>
    </row>
    <row r="5">
      <c r="A5" s="10" t="s">
        <v>29</v>
      </c>
      <c r="B5" s="12" t="s">
        <v>34</v>
      </c>
      <c r="C5" s="12" t="s">
        <v>40</v>
      </c>
      <c r="D5" s="12" t="s">
        <v>84</v>
      </c>
      <c r="E5" s="12" t="s">
        <v>46</v>
      </c>
      <c r="F5" s="14" t="s">
        <v>85</v>
      </c>
      <c r="G5" s="17">
        <v>45660.0</v>
      </c>
      <c r="H5" s="20" t="s">
        <v>86</v>
      </c>
      <c r="I5" s="20" t="s">
        <v>45</v>
      </c>
      <c r="J5" s="21" t="s">
        <v>88</v>
      </c>
      <c r="K5" s="22">
        <v>46181.0</v>
      </c>
      <c r="L5" s="22"/>
      <c r="M5" s="22"/>
      <c r="N5" s="24" t="b">
        <v>1</v>
      </c>
    </row>
    <row r="6">
      <c r="A6" s="10" t="s">
        <v>29</v>
      </c>
      <c r="B6" s="12" t="s">
        <v>34</v>
      </c>
      <c r="C6" s="12" t="s">
        <v>40</v>
      </c>
      <c r="D6" s="12" t="s">
        <v>93</v>
      </c>
      <c r="E6" s="12" t="s">
        <v>46</v>
      </c>
      <c r="F6" s="14" t="s">
        <v>95</v>
      </c>
      <c r="G6" s="17">
        <v>45660.0</v>
      </c>
      <c r="H6" s="21" t="s">
        <v>98</v>
      </c>
      <c r="I6" s="20" t="s">
        <v>45</v>
      </c>
      <c r="J6" s="35" t="s">
        <v>100</v>
      </c>
      <c r="K6" s="22">
        <v>46072.0</v>
      </c>
      <c r="L6" s="22">
        <v>46072.0</v>
      </c>
      <c r="M6" s="22"/>
      <c r="N6" s="24" t="b">
        <v>1</v>
      </c>
    </row>
    <row r="7">
      <c r="A7" s="10" t="s">
        <v>29</v>
      </c>
      <c r="B7" s="12" t="s">
        <v>34</v>
      </c>
      <c r="C7" s="12" t="s">
        <v>40</v>
      </c>
      <c r="D7" s="12" t="s">
        <v>106</v>
      </c>
      <c r="E7" s="12" t="s">
        <v>46</v>
      </c>
      <c r="F7" s="14" t="s">
        <v>108</v>
      </c>
      <c r="G7" s="17">
        <v>45660.0</v>
      </c>
      <c r="H7" s="20" t="s">
        <v>111</v>
      </c>
      <c r="I7" s="20" t="s">
        <v>45</v>
      </c>
      <c r="J7" s="21" t="s">
        <v>113</v>
      </c>
      <c r="K7" s="22">
        <v>46182.0</v>
      </c>
      <c r="L7" s="22"/>
      <c r="M7" s="22"/>
      <c r="N7" s="24" t="b">
        <v>1</v>
      </c>
    </row>
    <row r="8">
      <c r="A8" s="10" t="s">
        <v>29</v>
      </c>
      <c r="B8" s="12" t="s">
        <v>34</v>
      </c>
      <c r="C8" s="12" t="s">
        <v>40</v>
      </c>
      <c r="D8" s="12" t="s">
        <v>116</v>
      </c>
      <c r="E8" s="12" t="s">
        <v>46</v>
      </c>
      <c r="F8" s="14" t="s">
        <v>119</v>
      </c>
      <c r="G8" s="17">
        <v>45660.0</v>
      </c>
      <c r="H8" s="20" t="s">
        <v>123</v>
      </c>
      <c r="I8" s="20" t="s">
        <v>45</v>
      </c>
      <c r="J8" s="21" t="s">
        <v>125</v>
      </c>
      <c r="K8" s="22"/>
      <c r="L8" s="22"/>
      <c r="M8" s="22"/>
      <c r="N8" s="24" t="b">
        <v>0</v>
      </c>
    </row>
    <row r="9">
      <c r="A9" s="10" t="s">
        <v>29</v>
      </c>
      <c r="B9" s="12" t="s">
        <v>34</v>
      </c>
      <c r="C9" s="12" t="s">
        <v>40</v>
      </c>
      <c r="D9" s="31" t="s">
        <v>129</v>
      </c>
      <c r="E9" s="12" t="s">
        <v>46</v>
      </c>
      <c r="F9" s="14" t="s">
        <v>131</v>
      </c>
      <c r="G9" s="17">
        <v>45660.0</v>
      </c>
      <c r="H9" s="22"/>
      <c r="I9" s="22"/>
      <c r="J9" s="22"/>
      <c r="K9" s="22"/>
      <c r="L9" s="22"/>
      <c r="M9" s="22"/>
      <c r="N9" s="24" t="b">
        <v>0</v>
      </c>
    </row>
    <row r="10">
      <c r="A10" s="10" t="s">
        <v>29</v>
      </c>
      <c r="B10" s="12" t="s">
        <v>34</v>
      </c>
      <c r="C10" s="12" t="s">
        <v>40</v>
      </c>
      <c r="D10" s="12" t="s">
        <v>140</v>
      </c>
      <c r="E10" s="12" t="s">
        <v>46</v>
      </c>
      <c r="F10" s="14" t="s">
        <v>142</v>
      </c>
      <c r="G10" s="17">
        <v>45660.0</v>
      </c>
      <c r="H10" s="20" t="s">
        <v>144</v>
      </c>
      <c r="I10" s="20" t="s">
        <v>45</v>
      </c>
      <c r="J10" s="35" t="s">
        <v>147</v>
      </c>
      <c r="K10" s="22">
        <v>46073.0</v>
      </c>
      <c r="L10" s="22">
        <v>46073.0</v>
      </c>
      <c r="M10" s="22"/>
      <c r="N10" s="24" t="b">
        <v>1</v>
      </c>
    </row>
    <row r="11">
      <c r="A11" s="10" t="s">
        <v>29</v>
      </c>
      <c r="B11" s="12" t="s">
        <v>34</v>
      </c>
      <c r="C11" s="12" t="s">
        <v>40</v>
      </c>
      <c r="D11" s="31" t="s">
        <v>153</v>
      </c>
      <c r="E11" s="12" t="s">
        <v>46</v>
      </c>
      <c r="F11" s="14" t="s">
        <v>156</v>
      </c>
      <c r="G11" s="17">
        <v>45660.0</v>
      </c>
      <c r="H11" s="22"/>
      <c r="I11" s="22"/>
      <c r="J11" s="22"/>
      <c r="K11" s="22"/>
      <c r="L11" s="22"/>
      <c r="M11" s="22"/>
      <c r="N11" s="24" t="b">
        <v>0</v>
      </c>
    </row>
    <row r="12">
      <c r="A12" s="10" t="s">
        <v>29</v>
      </c>
      <c r="B12" s="12" t="s">
        <v>34</v>
      </c>
      <c r="C12" s="12" t="s">
        <v>40</v>
      </c>
      <c r="D12" s="12" t="s">
        <v>158</v>
      </c>
      <c r="E12" s="12" t="s">
        <v>46</v>
      </c>
      <c r="F12" s="14" t="s">
        <v>161</v>
      </c>
      <c r="G12" s="17">
        <v>45660.0</v>
      </c>
      <c r="H12" s="20" t="s">
        <v>163</v>
      </c>
      <c r="I12" s="20" t="s">
        <v>45</v>
      </c>
      <c r="J12" s="21" t="s">
        <v>165</v>
      </c>
      <c r="K12" s="22">
        <v>46013.0</v>
      </c>
      <c r="L12" s="22"/>
      <c r="M12" s="22"/>
      <c r="N12" s="24" t="b">
        <v>1</v>
      </c>
    </row>
    <row r="13">
      <c r="A13" s="10" t="s">
        <v>29</v>
      </c>
      <c r="B13" s="12" t="s">
        <v>34</v>
      </c>
      <c r="C13" s="12" t="s">
        <v>40</v>
      </c>
      <c r="D13" s="12" t="s">
        <v>171</v>
      </c>
      <c r="E13" s="12" t="s">
        <v>46</v>
      </c>
      <c r="F13" s="14" t="s">
        <v>172</v>
      </c>
      <c r="G13" s="17">
        <v>45660.0</v>
      </c>
      <c r="H13" s="20" t="s">
        <v>174</v>
      </c>
      <c r="I13" s="20" t="s">
        <v>45</v>
      </c>
      <c r="J13" s="21" t="s">
        <v>176</v>
      </c>
      <c r="K13" s="22"/>
      <c r="L13" s="22"/>
      <c r="M13" s="22"/>
      <c r="N13" s="24" t="b">
        <v>0</v>
      </c>
    </row>
    <row r="14">
      <c r="A14" s="10" t="s">
        <v>29</v>
      </c>
      <c r="B14" s="12" t="s">
        <v>34</v>
      </c>
      <c r="C14" s="12" t="s">
        <v>40</v>
      </c>
      <c r="D14" s="12" t="s">
        <v>182</v>
      </c>
      <c r="E14" s="12" t="s">
        <v>46</v>
      </c>
      <c r="F14" s="14" t="s">
        <v>184</v>
      </c>
      <c r="G14" s="17">
        <v>45660.0</v>
      </c>
      <c r="H14" s="20" t="s">
        <v>186</v>
      </c>
      <c r="I14" s="22"/>
      <c r="J14" s="22"/>
      <c r="K14" s="22"/>
      <c r="L14" s="22"/>
      <c r="M14" s="22"/>
      <c r="N14" s="24" t="b">
        <v>0</v>
      </c>
    </row>
    <row r="15">
      <c r="A15" s="10" t="s">
        <v>29</v>
      </c>
      <c r="B15" s="12" t="s">
        <v>34</v>
      </c>
      <c r="C15" s="12" t="s">
        <v>40</v>
      </c>
      <c r="D15" s="12" t="s">
        <v>189</v>
      </c>
      <c r="E15" s="12" t="s">
        <v>46</v>
      </c>
      <c r="F15" s="14" t="s">
        <v>190</v>
      </c>
      <c r="G15" s="17">
        <v>45660.0</v>
      </c>
      <c r="H15" s="20" t="s">
        <v>193</v>
      </c>
      <c r="I15" s="22"/>
      <c r="J15" s="22"/>
      <c r="K15" s="22"/>
      <c r="L15" s="22"/>
      <c r="M15" s="22"/>
      <c r="N15" s="24" t="b">
        <v>0</v>
      </c>
    </row>
    <row r="16">
      <c r="A16" s="10" t="s">
        <v>29</v>
      </c>
      <c r="B16" s="12" t="s">
        <v>34</v>
      </c>
      <c r="C16" s="12" t="s">
        <v>40</v>
      </c>
      <c r="D16" s="12" t="s">
        <v>198</v>
      </c>
      <c r="E16" s="12" t="s">
        <v>46</v>
      </c>
      <c r="F16" s="14" t="s">
        <v>200</v>
      </c>
      <c r="G16" s="17">
        <v>45660.0</v>
      </c>
      <c r="H16" s="20" t="s">
        <v>193</v>
      </c>
      <c r="I16" s="22"/>
      <c r="J16" s="22"/>
      <c r="K16" s="22"/>
      <c r="L16" s="22"/>
      <c r="M16" s="22"/>
      <c r="N16" s="24" t="b">
        <v>0</v>
      </c>
    </row>
    <row r="17">
      <c r="A17" s="10" t="s">
        <v>29</v>
      </c>
      <c r="B17" s="12" t="s">
        <v>34</v>
      </c>
      <c r="C17" s="12" t="s">
        <v>40</v>
      </c>
      <c r="D17" s="31" t="s">
        <v>205</v>
      </c>
      <c r="E17" s="12" t="s">
        <v>46</v>
      </c>
      <c r="F17" s="14" t="s">
        <v>208</v>
      </c>
      <c r="G17" s="17">
        <v>45660.0</v>
      </c>
      <c r="H17" s="22"/>
      <c r="I17" s="22"/>
      <c r="J17" s="22"/>
      <c r="K17" s="22"/>
      <c r="L17" s="22"/>
      <c r="M17" s="22"/>
      <c r="N17" s="24" t="b">
        <v>0</v>
      </c>
    </row>
    <row r="18">
      <c r="A18" s="10" t="s">
        <v>29</v>
      </c>
      <c r="B18" s="12" t="s">
        <v>34</v>
      </c>
      <c r="C18" s="12" t="s">
        <v>40</v>
      </c>
      <c r="D18" s="12" t="s">
        <v>214</v>
      </c>
      <c r="E18" s="12" t="s">
        <v>46</v>
      </c>
      <c r="F18" s="14" t="s">
        <v>217</v>
      </c>
      <c r="G18" s="17">
        <v>45660.0</v>
      </c>
      <c r="H18" s="20" t="s">
        <v>219</v>
      </c>
      <c r="I18" s="20" t="s">
        <v>45</v>
      </c>
      <c r="J18" s="21" t="s">
        <v>221</v>
      </c>
      <c r="K18" s="22">
        <v>46181.0</v>
      </c>
      <c r="L18" s="22"/>
      <c r="M18" s="22"/>
      <c r="N18" s="24" t="b">
        <v>1</v>
      </c>
    </row>
    <row r="19">
      <c r="A19" s="10" t="s">
        <v>29</v>
      </c>
      <c r="B19" s="12" t="s">
        <v>34</v>
      </c>
      <c r="C19" s="12" t="s">
        <v>40</v>
      </c>
      <c r="D19" s="12" t="s">
        <v>226</v>
      </c>
      <c r="E19" s="12" t="s">
        <v>46</v>
      </c>
      <c r="F19" s="14" t="s">
        <v>228</v>
      </c>
      <c r="G19" s="17">
        <v>45660.0</v>
      </c>
      <c r="H19" s="20" t="s">
        <v>229</v>
      </c>
      <c r="I19" s="20" t="s">
        <v>45</v>
      </c>
      <c r="J19" s="21" t="s">
        <v>230</v>
      </c>
      <c r="K19" s="22">
        <v>46181.0</v>
      </c>
      <c r="L19" s="22"/>
      <c r="M19" s="22"/>
      <c r="N19" s="24" t="b">
        <v>1</v>
      </c>
    </row>
    <row r="20">
      <c r="A20" s="10" t="s">
        <v>29</v>
      </c>
      <c r="B20" s="12" t="s">
        <v>34</v>
      </c>
      <c r="C20" s="12" t="s">
        <v>40</v>
      </c>
      <c r="D20" s="12" t="s">
        <v>236</v>
      </c>
      <c r="E20" s="12" t="s">
        <v>46</v>
      </c>
      <c r="F20" s="14" t="s">
        <v>238</v>
      </c>
      <c r="G20" s="17">
        <v>45660.0</v>
      </c>
      <c r="H20" s="20" t="s">
        <v>240</v>
      </c>
      <c r="I20" s="20"/>
      <c r="J20" s="20"/>
      <c r="K20" s="22"/>
      <c r="L20" s="22"/>
      <c r="M20" s="22"/>
      <c r="N20" s="24" t="b">
        <v>0</v>
      </c>
    </row>
    <row r="21">
      <c r="A21" s="10" t="s">
        <v>29</v>
      </c>
      <c r="B21" s="12" t="s">
        <v>34</v>
      </c>
      <c r="C21" s="12" t="s">
        <v>40</v>
      </c>
      <c r="D21" s="31" t="s">
        <v>244</v>
      </c>
      <c r="E21" s="12" t="s">
        <v>46</v>
      </c>
      <c r="F21" s="14" t="s">
        <v>246</v>
      </c>
      <c r="G21" s="17">
        <v>45660.0</v>
      </c>
      <c r="H21" s="22"/>
      <c r="I21" s="22"/>
      <c r="J21" s="22"/>
      <c r="K21" s="22"/>
      <c r="L21" s="22"/>
      <c r="M21" s="22"/>
      <c r="N21" s="24" t="b">
        <v>0</v>
      </c>
    </row>
    <row r="22">
      <c r="A22" s="10" t="s">
        <v>29</v>
      </c>
      <c r="B22" s="12" t="s">
        <v>34</v>
      </c>
      <c r="C22" s="12" t="s">
        <v>40</v>
      </c>
      <c r="D22" s="12" t="s">
        <v>254</v>
      </c>
      <c r="E22" s="12" t="s">
        <v>46</v>
      </c>
      <c r="F22" s="14" t="s">
        <v>256</v>
      </c>
      <c r="G22" s="17">
        <v>45660.0</v>
      </c>
      <c r="H22" s="20" t="s">
        <v>258</v>
      </c>
      <c r="I22" s="20" t="s">
        <v>45</v>
      </c>
      <c r="J22" s="35" t="s">
        <v>259</v>
      </c>
      <c r="K22" s="22">
        <v>46060.0</v>
      </c>
      <c r="L22" s="22">
        <v>46059.0</v>
      </c>
      <c r="M22" s="22"/>
      <c r="N22" s="24" t="b">
        <v>1</v>
      </c>
    </row>
    <row r="23">
      <c r="A23" s="10" t="s">
        <v>29</v>
      </c>
      <c r="B23" s="12" t="s">
        <v>34</v>
      </c>
      <c r="C23" s="12" t="s">
        <v>40</v>
      </c>
      <c r="D23" s="12" t="s">
        <v>265</v>
      </c>
      <c r="E23" s="12" t="s">
        <v>46</v>
      </c>
      <c r="F23" s="14" t="s">
        <v>266</v>
      </c>
      <c r="G23" s="17">
        <v>45660.0</v>
      </c>
      <c r="H23" s="20" t="s">
        <v>267</v>
      </c>
      <c r="I23" s="20" t="s">
        <v>45</v>
      </c>
      <c r="J23" s="21" t="s">
        <v>268</v>
      </c>
      <c r="K23" s="22">
        <v>46080.0</v>
      </c>
      <c r="L23" s="22"/>
      <c r="M23" s="22"/>
      <c r="N23" s="24" t="b">
        <v>1</v>
      </c>
    </row>
    <row r="24">
      <c r="A24" s="10" t="s">
        <v>29</v>
      </c>
      <c r="B24" s="12" t="s">
        <v>34</v>
      </c>
      <c r="C24" s="12" t="s">
        <v>40</v>
      </c>
      <c r="D24" s="12" t="s">
        <v>276</v>
      </c>
      <c r="E24" s="12" t="s">
        <v>46</v>
      </c>
      <c r="F24" s="14" t="s">
        <v>279</v>
      </c>
      <c r="G24" s="17">
        <v>45660.0</v>
      </c>
      <c r="H24" s="20" t="s">
        <v>280</v>
      </c>
      <c r="I24" s="22"/>
      <c r="J24" s="22"/>
      <c r="K24" s="22"/>
      <c r="L24" s="22"/>
      <c r="M24" s="22"/>
      <c r="N24" s="24" t="b">
        <v>0</v>
      </c>
    </row>
    <row r="25">
      <c r="A25" s="10" t="s">
        <v>29</v>
      </c>
      <c r="B25" s="12" t="s">
        <v>34</v>
      </c>
      <c r="C25" s="12" t="s">
        <v>40</v>
      </c>
      <c r="D25" s="12" t="s">
        <v>282</v>
      </c>
      <c r="E25" s="12" t="s">
        <v>46</v>
      </c>
      <c r="F25" s="14" t="s">
        <v>285</v>
      </c>
      <c r="G25" s="17">
        <v>45660.0</v>
      </c>
      <c r="H25" s="20" t="s">
        <v>288</v>
      </c>
      <c r="I25" s="20" t="s">
        <v>289</v>
      </c>
      <c r="J25" s="20" t="s">
        <v>291</v>
      </c>
      <c r="K25" s="22"/>
      <c r="L25" s="22"/>
      <c r="M25" s="20" t="s">
        <v>296</v>
      </c>
      <c r="N25" s="24" t="b">
        <v>1</v>
      </c>
    </row>
    <row r="26">
      <c r="A26" s="10" t="s">
        <v>29</v>
      </c>
      <c r="B26" s="12" t="s">
        <v>34</v>
      </c>
      <c r="C26" s="12" t="s">
        <v>40</v>
      </c>
      <c r="D26" s="12" t="s">
        <v>298</v>
      </c>
      <c r="E26" s="12" t="s">
        <v>46</v>
      </c>
      <c r="F26" s="14" t="s">
        <v>299</v>
      </c>
      <c r="G26" s="17">
        <v>45660.0</v>
      </c>
      <c r="H26" s="20" t="s">
        <v>302</v>
      </c>
      <c r="I26" s="20" t="s">
        <v>45</v>
      </c>
      <c r="J26" s="21" t="s">
        <v>305</v>
      </c>
      <c r="K26" s="22">
        <v>46014.0</v>
      </c>
      <c r="L26" s="22"/>
      <c r="M26" s="22"/>
      <c r="N26" s="24" t="b">
        <v>1</v>
      </c>
    </row>
    <row r="27">
      <c r="A27" s="10" t="s">
        <v>29</v>
      </c>
      <c r="B27" s="12" t="s">
        <v>34</v>
      </c>
      <c r="C27" s="12" t="s">
        <v>40</v>
      </c>
      <c r="D27" s="12" t="s">
        <v>306</v>
      </c>
      <c r="E27" s="12" t="s">
        <v>46</v>
      </c>
      <c r="F27" s="14" t="s">
        <v>308</v>
      </c>
      <c r="G27" s="17">
        <v>45660.0</v>
      </c>
      <c r="H27" s="20" t="s">
        <v>313</v>
      </c>
      <c r="I27" s="20" t="s">
        <v>45</v>
      </c>
      <c r="J27" s="35" t="s">
        <v>314</v>
      </c>
      <c r="K27" s="22">
        <v>46003.0</v>
      </c>
      <c r="L27" s="22">
        <v>46076.0</v>
      </c>
      <c r="M27" s="22"/>
      <c r="N27" s="24" t="b">
        <v>1</v>
      </c>
    </row>
    <row r="28">
      <c r="A28" s="10" t="s">
        <v>29</v>
      </c>
      <c r="B28" s="12" t="s">
        <v>34</v>
      </c>
      <c r="C28" s="12" t="s">
        <v>40</v>
      </c>
      <c r="D28" s="12" t="s">
        <v>320</v>
      </c>
      <c r="E28" s="12" t="s">
        <v>46</v>
      </c>
      <c r="F28" s="14" t="s">
        <v>323</v>
      </c>
      <c r="G28" s="17">
        <v>45660.0</v>
      </c>
      <c r="H28" s="20" t="s">
        <v>324</v>
      </c>
      <c r="I28" s="20" t="s">
        <v>45</v>
      </c>
      <c r="J28" s="38" t="s">
        <v>325</v>
      </c>
      <c r="K28" s="22"/>
      <c r="L28" s="22"/>
      <c r="M28" s="22"/>
      <c r="N28" s="24" t="b">
        <v>1</v>
      </c>
    </row>
    <row r="29">
      <c r="A29" s="10" t="s">
        <v>29</v>
      </c>
      <c r="B29" s="12" t="s">
        <v>34</v>
      </c>
      <c r="C29" s="12" t="s">
        <v>40</v>
      </c>
      <c r="D29" s="12" t="s">
        <v>333</v>
      </c>
      <c r="E29" s="12" t="s">
        <v>46</v>
      </c>
      <c r="F29" s="14" t="s">
        <v>334</v>
      </c>
      <c r="G29" s="17">
        <v>45660.0</v>
      </c>
      <c r="H29" s="20" t="s">
        <v>335</v>
      </c>
      <c r="I29" s="20" t="s">
        <v>45</v>
      </c>
      <c r="J29" s="21" t="s">
        <v>336</v>
      </c>
      <c r="K29" s="22">
        <v>46013.0</v>
      </c>
      <c r="L29" s="22"/>
      <c r="M29" s="39"/>
      <c r="N29" s="24" t="b">
        <v>1</v>
      </c>
    </row>
    <row r="30">
      <c r="A30" s="10" t="s">
        <v>29</v>
      </c>
      <c r="B30" s="12" t="s">
        <v>34</v>
      </c>
      <c r="C30" s="12" t="s">
        <v>40</v>
      </c>
      <c r="D30" s="12" t="s">
        <v>342</v>
      </c>
      <c r="E30" s="12" t="s">
        <v>46</v>
      </c>
      <c r="F30" s="14" t="s">
        <v>344</v>
      </c>
      <c r="G30" s="17">
        <v>45660.0</v>
      </c>
      <c r="H30" s="20" t="s">
        <v>347</v>
      </c>
      <c r="I30" s="20" t="s">
        <v>45</v>
      </c>
      <c r="J30" s="21" t="s">
        <v>348</v>
      </c>
      <c r="K30" s="22">
        <v>46030.0</v>
      </c>
      <c r="L30" s="22"/>
      <c r="M30" s="22"/>
      <c r="N30" s="24" t="b">
        <v>1</v>
      </c>
    </row>
    <row r="31">
      <c r="A31" s="10" t="s">
        <v>29</v>
      </c>
      <c r="B31" s="12" t="s">
        <v>34</v>
      </c>
      <c r="C31" s="12" t="s">
        <v>40</v>
      </c>
      <c r="D31" s="12" t="s">
        <v>355</v>
      </c>
      <c r="E31" s="12" t="s">
        <v>46</v>
      </c>
      <c r="F31" s="14" t="s">
        <v>357</v>
      </c>
      <c r="G31" s="17">
        <v>45660.0</v>
      </c>
      <c r="H31" s="20" t="s">
        <v>359</v>
      </c>
      <c r="I31" s="20" t="s">
        <v>45</v>
      </c>
      <c r="J31" s="21" t="s">
        <v>360</v>
      </c>
      <c r="K31" s="22">
        <v>46182.0</v>
      </c>
      <c r="L31" s="22"/>
      <c r="M31" s="22"/>
      <c r="N31" s="24" t="b">
        <v>1</v>
      </c>
    </row>
    <row r="32">
      <c r="A32" s="10" t="s">
        <v>29</v>
      </c>
      <c r="B32" s="12" t="s">
        <v>34</v>
      </c>
      <c r="C32" s="12" t="s">
        <v>40</v>
      </c>
      <c r="D32" s="12" t="s">
        <v>365</v>
      </c>
      <c r="E32" s="12" t="s">
        <v>46</v>
      </c>
      <c r="F32" s="14" t="s">
        <v>366</v>
      </c>
      <c r="G32" s="17">
        <v>45660.0</v>
      </c>
      <c r="H32" s="20" t="s">
        <v>367</v>
      </c>
      <c r="I32" s="20" t="s">
        <v>45</v>
      </c>
      <c r="J32" s="20" t="s">
        <v>368</v>
      </c>
      <c r="K32" s="22">
        <v>46087.0</v>
      </c>
      <c r="L32" s="22">
        <v>46230.0</v>
      </c>
      <c r="M32" s="20" t="s">
        <v>369</v>
      </c>
      <c r="N32" s="24" t="b">
        <v>1</v>
      </c>
    </row>
    <row r="33">
      <c r="A33" s="10" t="s">
        <v>29</v>
      </c>
      <c r="B33" s="12" t="s">
        <v>34</v>
      </c>
      <c r="C33" s="12" t="s">
        <v>40</v>
      </c>
      <c r="D33" s="31" t="s">
        <v>376</v>
      </c>
      <c r="E33" s="12" t="s">
        <v>46</v>
      </c>
      <c r="F33" s="14" t="s">
        <v>378</v>
      </c>
      <c r="G33" s="17">
        <v>45660.0</v>
      </c>
      <c r="H33" s="22"/>
      <c r="I33" s="22"/>
      <c r="J33" s="22"/>
      <c r="K33" s="22"/>
      <c r="L33" s="22"/>
      <c r="M33" s="22"/>
      <c r="N33" s="24" t="b">
        <v>0</v>
      </c>
    </row>
    <row r="34">
      <c r="A34" s="10" t="s">
        <v>29</v>
      </c>
      <c r="B34" s="12" t="s">
        <v>34</v>
      </c>
      <c r="C34" s="12" t="s">
        <v>40</v>
      </c>
      <c r="D34" s="12" t="s">
        <v>384</v>
      </c>
      <c r="E34" s="12" t="s">
        <v>46</v>
      </c>
      <c r="F34" s="14" t="s">
        <v>385</v>
      </c>
      <c r="G34" s="17">
        <v>45660.0</v>
      </c>
      <c r="H34" s="20" t="s">
        <v>386</v>
      </c>
      <c r="I34" s="20" t="s">
        <v>45</v>
      </c>
      <c r="J34" s="35" t="s">
        <v>387</v>
      </c>
      <c r="K34" s="22">
        <v>46062.0</v>
      </c>
      <c r="L34" s="22">
        <v>46062.0</v>
      </c>
      <c r="M34" s="22"/>
      <c r="N34" s="24" t="b">
        <v>1</v>
      </c>
    </row>
    <row r="35">
      <c r="A35" s="10" t="s">
        <v>29</v>
      </c>
      <c r="B35" s="12" t="s">
        <v>34</v>
      </c>
      <c r="C35" s="12" t="s">
        <v>40</v>
      </c>
      <c r="D35" s="12" t="s">
        <v>394</v>
      </c>
      <c r="E35" s="12" t="s">
        <v>46</v>
      </c>
      <c r="F35" s="14" t="s">
        <v>396</v>
      </c>
      <c r="G35" s="17">
        <v>45660.0</v>
      </c>
      <c r="H35" s="20" t="s">
        <v>186</v>
      </c>
      <c r="I35" s="22"/>
      <c r="J35" s="22"/>
      <c r="K35" s="22"/>
      <c r="L35" s="22"/>
      <c r="M35" s="22"/>
      <c r="N35" s="24" t="b">
        <v>0</v>
      </c>
    </row>
    <row r="36">
      <c r="A36" s="10" t="s">
        <v>29</v>
      </c>
      <c r="B36" s="12" t="s">
        <v>34</v>
      </c>
      <c r="C36" s="12" t="s">
        <v>40</v>
      </c>
      <c r="D36" s="12" t="s">
        <v>399</v>
      </c>
      <c r="E36" s="12" t="s">
        <v>46</v>
      </c>
      <c r="F36" s="14" t="s">
        <v>402</v>
      </c>
      <c r="G36" s="17">
        <v>45660.0</v>
      </c>
      <c r="H36" s="20" t="s">
        <v>404</v>
      </c>
      <c r="I36" s="20" t="s">
        <v>45</v>
      </c>
      <c r="J36" s="35" t="s">
        <v>405</v>
      </c>
      <c r="K36" s="22">
        <v>46060.0</v>
      </c>
      <c r="L36" s="22">
        <v>46060.0</v>
      </c>
      <c r="M36" s="22"/>
      <c r="N36" s="24" t="b">
        <v>1</v>
      </c>
    </row>
    <row r="37">
      <c r="A37" s="10" t="s">
        <v>29</v>
      </c>
      <c r="B37" s="12" t="s">
        <v>34</v>
      </c>
      <c r="C37" s="12" t="s">
        <v>40</v>
      </c>
      <c r="D37" s="12" t="s">
        <v>408</v>
      </c>
      <c r="E37" s="12" t="s">
        <v>46</v>
      </c>
      <c r="F37" s="14" t="s">
        <v>410</v>
      </c>
      <c r="G37" s="17">
        <v>45660.0</v>
      </c>
      <c r="H37" s="20" t="s">
        <v>416</v>
      </c>
      <c r="I37" s="20" t="s">
        <v>45</v>
      </c>
      <c r="J37" s="21" t="s">
        <v>418</v>
      </c>
      <c r="K37" s="22">
        <v>45996.0</v>
      </c>
      <c r="L37" s="22"/>
      <c r="M37" s="20" t="s">
        <v>420</v>
      </c>
      <c r="N37" s="24" t="b">
        <v>1</v>
      </c>
    </row>
    <row r="38">
      <c r="A38" s="10" t="s">
        <v>29</v>
      </c>
      <c r="B38" s="12" t="s">
        <v>34</v>
      </c>
      <c r="C38" s="12" t="s">
        <v>40</v>
      </c>
      <c r="D38" s="12" t="s">
        <v>421</v>
      </c>
      <c r="E38" s="12" t="s">
        <v>46</v>
      </c>
      <c r="F38" s="14" t="s">
        <v>425</v>
      </c>
      <c r="G38" s="17">
        <v>45660.0</v>
      </c>
      <c r="H38" s="40" t="s">
        <v>426</v>
      </c>
      <c r="I38" s="20" t="s">
        <v>45</v>
      </c>
      <c r="J38" s="41" t="s">
        <v>427</v>
      </c>
      <c r="K38" s="42">
        <v>46216.0</v>
      </c>
      <c r="L38" s="42">
        <v>46216.0</v>
      </c>
      <c r="M38" s="22"/>
      <c r="N38" s="24" t="b">
        <v>1</v>
      </c>
    </row>
    <row r="39">
      <c r="A39" s="10" t="s">
        <v>29</v>
      </c>
      <c r="B39" s="12" t="s">
        <v>34</v>
      </c>
      <c r="C39" s="12" t="s">
        <v>40</v>
      </c>
      <c r="D39" s="12" t="s">
        <v>436</v>
      </c>
      <c r="E39" s="12" t="s">
        <v>46</v>
      </c>
      <c r="F39" s="14" t="s">
        <v>441</v>
      </c>
      <c r="G39" s="17">
        <v>45660.0</v>
      </c>
      <c r="H39" s="20" t="s">
        <v>443</v>
      </c>
      <c r="I39" s="20" t="s">
        <v>45</v>
      </c>
      <c r="J39" s="21" t="s">
        <v>444</v>
      </c>
      <c r="K39" s="22">
        <v>46181.0</v>
      </c>
      <c r="L39" s="22"/>
      <c r="M39" s="22"/>
      <c r="N39" s="24" t="b">
        <v>1</v>
      </c>
    </row>
    <row r="40">
      <c r="A40" s="10" t="s">
        <v>29</v>
      </c>
      <c r="B40" s="12" t="s">
        <v>34</v>
      </c>
      <c r="C40" s="12" t="s">
        <v>40</v>
      </c>
      <c r="D40" s="12" t="s">
        <v>449</v>
      </c>
      <c r="E40" s="12" t="s">
        <v>46</v>
      </c>
      <c r="F40" s="14" t="s">
        <v>450</v>
      </c>
      <c r="G40" s="17">
        <v>45660.0</v>
      </c>
      <c r="H40" s="20" t="s">
        <v>453</v>
      </c>
      <c r="I40" s="20" t="s">
        <v>45</v>
      </c>
      <c r="J40" s="21" t="s">
        <v>455</v>
      </c>
      <c r="K40" s="22"/>
      <c r="L40" s="22"/>
      <c r="M40" s="22"/>
      <c r="N40" s="24" t="b">
        <v>0</v>
      </c>
    </row>
    <row r="41">
      <c r="A41" s="10" t="s">
        <v>29</v>
      </c>
      <c r="B41" s="12" t="s">
        <v>34</v>
      </c>
      <c r="C41" s="12" t="s">
        <v>40</v>
      </c>
      <c r="D41" s="12" t="s">
        <v>462</v>
      </c>
      <c r="E41" s="12" t="s">
        <v>46</v>
      </c>
      <c r="F41" s="14" t="s">
        <v>464</v>
      </c>
      <c r="G41" s="17">
        <v>45660.0</v>
      </c>
      <c r="H41" s="20" t="s">
        <v>465</v>
      </c>
      <c r="I41" s="20" t="s">
        <v>45</v>
      </c>
      <c r="J41" s="35" t="s">
        <v>466</v>
      </c>
      <c r="K41" s="22">
        <v>46009.0</v>
      </c>
      <c r="L41" s="22">
        <v>46078.0</v>
      </c>
      <c r="M41" s="22"/>
      <c r="N41" s="24" t="b">
        <v>1</v>
      </c>
    </row>
    <row r="42">
      <c r="A42" s="10" t="s">
        <v>29</v>
      </c>
      <c r="B42" s="12" t="s">
        <v>34</v>
      </c>
      <c r="C42" s="12" t="s">
        <v>40</v>
      </c>
      <c r="D42" s="12" t="s">
        <v>471</v>
      </c>
      <c r="E42" s="12" t="s">
        <v>46</v>
      </c>
      <c r="F42" s="14" t="s">
        <v>473</v>
      </c>
      <c r="G42" s="17">
        <v>45660.0</v>
      </c>
      <c r="H42" s="20" t="s">
        <v>280</v>
      </c>
      <c r="I42" s="22"/>
      <c r="J42" s="22"/>
      <c r="K42" s="22"/>
      <c r="L42" s="22"/>
      <c r="M42" s="22"/>
      <c r="N42" s="24" t="b">
        <v>0</v>
      </c>
    </row>
    <row r="43">
      <c r="A43" s="10" t="s">
        <v>29</v>
      </c>
      <c r="B43" s="12" t="s">
        <v>34</v>
      </c>
      <c r="C43" s="12" t="s">
        <v>40</v>
      </c>
      <c r="D43" s="12" t="s">
        <v>483</v>
      </c>
      <c r="E43" s="12" t="s">
        <v>46</v>
      </c>
      <c r="F43" s="14" t="s">
        <v>485</v>
      </c>
      <c r="G43" s="17">
        <v>45660.0</v>
      </c>
      <c r="H43" s="20" t="s">
        <v>489</v>
      </c>
      <c r="I43" s="20" t="s">
        <v>45</v>
      </c>
      <c r="J43" s="21" t="s">
        <v>490</v>
      </c>
      <c r="K43" s="22">
        <v>46013.0</v>
      </c>
      <c r="L43" s="22"/>
      <c r="M43" s="22"/>
      <c r="N43" s="24" t="b">
        <v>1</v>
      </c>
    </row>
    <row r="44">
      <c r="A44" s="10" t="s">
        <v>29</v>
      </c>
      <c r="B44" s="12" t="s">
        <v>34</v>
      </c>
      <c r="C44" s="12" t="s">
        <v>40</v>
      </c>
      <c r="D44" s="12" t="s">
        <v>493</v>
      </c>
      <c r="E44" s="12" t="s">
        <v>46</v>
      </c>
      <c r="F44" s="14" t="s">
        <v>495</v>
      </c>
      <c r="G44" s="17">
        <v>45660.0</v>
      </c>
      <c r="H44" s="20" t="s">
        <v>499</v>
      </c>
      <c r="I44" s="20" t="s">
        <v>45</v>
      </c>
      <c r="J44" s="21" t="s">
        <v>500</v>
      </c>
      <c r="K44" s="22">
        <v>46106.0</v>
      </c>
      <c r="L44" s="22"/>
      <c r="M44" s="22"/>
      <c r="N44" s="24" t="b">
        <v>1</v>
      </c>
    </row>
    <row r="45">
      <c r="A45" s="10" t="s">
        <v>29</v>
      </c>
      <c r="B45" s="12" t="s">
        <v>34</v>
      </c>
      <c r="C45" s="12" t="s">
        <v>40</v>
      </c>
      <c r="D45" s="12" t="s">
        <v>505</v>
      </c>
      <c r="E45" s="12" t="s">
        <v>46</v>
      </c>
      <c r="F45" s="14" t="s">
        <v>506</v>
      </c>
      <c r="G45" s="17">
        <v>45660.0</v>
      </c>
      <c r="H45" s="20" t="s">
        <v>70</v>
      </c>
      <c r="I45" s="22"/>
      <c r="J45" s="22"/>
      <c r="K45" s="22"/>
      <c r="L45" s="22"/>
      <c r="M45" s="22"/>
      <c r="N45" s="24" t="b">
        <v>0</v>
      </c>
    </row>
    <row r="46">
      <c r="A46" s="10" t="s">
        <v>29</v>
      </c>
      <c r="B46" s="12" t="s">
        <v>34</v>
      </c>
      <c r="C46" s="12" t="s">
        <v>40</v>
      </c>
      <c r="D46" s="12" t="s">
        <v>509</v>
      </c>
      <c r="E46" s="12" t="s">
        <v>46</v>
      </c>
      <c r="F46" s="14" t="s">
        <v>510</v>
      </c>
      <c r="G46" s="17">
        <v>45660.0</v>
      </c>
      <c r="H46" s="20" t="s">
        <v>513</v>
      </c>
      <c r="I46" s="20" t="s">
        <v>45</v>
      </c>
      <c r="J46" s="21" t="s">
        <v>514</v>
      </c>
      <c r="K46" s="22">
        <v>46036.0</v>
      </c>
      <c r="L46" s="22"/>
      <c r="M46" s="22"/>
      <c r="N46" s="24" t="b">
        <v>1</v>
      </c>
    </row>
    <row r="47">
      <c r="A47" s="10" t="s">
        <v>29</v>
      </c>
      <c r="B47" s="12" t="s">
        <v>34</v>
      </c>
      <c r="C47" s="12" t="s">
        <v>40</v>
      </c>
      <c r="D47" s="12" t="s">
        <v>518</v>
      </c>
      <c r="E47" s="12" t="s">
        <v>46</v>
      </c>
      <c r="F47" s="14" t="s">
        <v>520</v>
      </c>
      <c r="G47" s="17">
        <v>45660.0</v>
      </c>
      <c r="H47" s="20" t="s">
        <v>523</v>
      </c>
      <c r="I47" s="20" t="s">
        <v>45</v>
      </c>
      <c r="J47" s="21" t="s">
        <v>524</v>
      </c>
      <c r="K47" s="22">
        <v>46002.0</v>
      </c>
      <c r="L47" s="22"/>
      <c r="M47" s="22"/>
      <c r="N47" s="24" t="b">
        <v>1</v>
      </c>
    </row>
    <row r="48">
      <c r="A48" s="10" t="s">
        <v>29</v>
      </c>
      <c r="B48" s="12" t="s">
        <v>34</v>
      </c>
      <c r="C48" s="12" t="s">
        <v>40</v>
      </c>
      <c r="D48" s="12" t="s">
        <v>529</v>
      </c>
      <c r="E48" s="12" t="s">
        <v>46</v>
      </c>
      <c r="F48" s="14" t="s">
        <v>530</v>
      </c>
      <c r="G48" s="17">
        <v>45660.0</v>
      </c>
      <c r="H48" s="20" t="s">
        <v>533</v>
      </c>
      <c r="I48" s="20" t="s">
        <v>45</v>
      </c>
      <c r="J48" s="21" t="s">
        <v>534</v>
      </c>
      <c r="K48" s="22">
        <v>46080.0</v>
      </c>
      <c r="L48" s="22"/>
      <c r="M48" s="22"/>
      <c r="N48" s="24" t="b">
        <v>1</v>
      </c>
    </row>
    <row r="49">
      <c r="A49" s="10" t="s">
        <v>29</v>
      </c>
      <c r="B49" s="12" t="s">
        <v>34</v>
      </c>
      <c r="C49" s="12" t="s">
        <v>40</v>
      </c>
      <c r="D49" s="12" t="s">
        <v>542</v>
      </c>
      <c r="E49" s="12" t="s">
        <v>46</v>
      </c>
      <c r="F49" s="14" t="s">
        <v>543</v>
      </c>
      <c r="G49" s="17">
        <v>45660.0</v>
      </c>
      <c r="H49" s="20" t="s">
        <v>544</v>
      </c>
      <c r="I49" s="20" t="s">
        <v>45</v>
      </c>
      <c r="J49" s="21" t="s">
        <v>545</v>
      </c>
      <c r="K49" s="22">
        <v>46004.0</v>
      </c>
      <c r="L49" s="22"/>
      <c r="M49" s="22"/>
      <c r="N49" s="24" t="b">
        <v>1</v>
      </c>
    </row>
    <row r="50">
      <c r="A50" s="10" t="s">
        <v>548</v>
      </c>
      <c r="B50" s="12" t="s">
        <v>34</v>
      </c>
      <c r="C50" s="12" t="s">
        <v>40</v>
      </c>
      <c r="D50" s="12" t="s">
        <v>553</v>
      </c>
      <c r="E50" s="12" t="s">
        <v>46</v>
      </c>
      <c r="F50" s="14" t="s">
        <v>553</v>
      </c>
      <c r="G50" s="17">
        <v>45660.0</v>
      </c>
      <c r="H50" s="22"/>
      <c r="I50" s="22"/>
      <c r="J50" s="22"/>
      <c r="K50" s="22"/>
      <c r="L50" s="22"/>
      <c r="M50" s="22"/>
      <c r="N50" s="22"/>
    </row>
    <row r="51">
      <c r="A51" s="10" t="s">
        <v>548</v>
      </c>
      <c r="B51" s="12" t="s">
        <v>34</v>
      </c>
      <c r="C51" s="12" t="s">
        <v>557</v>
      </c>
      <c r="D51" s="12" t="s">
        <v>558</v>
      </c>
      <c r="E51" s="12" t="s">
        <v>46</v>
      </c>
      <c r="F51" s="14" t="s">
        <v>558</v>
      </c>
      <c r="G51" s="17">
        <v>45660.0</v>
      </c>
      <c r="H51" s="22"/>
      <c r="I51" s="22"/>
      <c r="J51" s="22"/>
      <c r="K51" s="22"/>
      <c r="L51" s="22"/>
      <c r="M51" s="22"/>
      <c r="N51" s="22"/>
    </row>
    <row r="52">
      <c r="A52" s="10" t="s">
        <v>548</v>
      </c>
      <c r="B52" s="12" t="s">
        <v>566</v>
      </c>
      <c r="C52" s="12"/>
      <c r="D52" s="12" t="s">
        <v>567</v>
      </c>
      <c r="E52" s="12" t="s">
        <v>569</v>
      </c>
      <c r="F52" s="48"/>
      <c r="G52" s="17">
        <v>45660.0</v>
      </c>
      <c r="H52" s="22"/>
      <c r="I52" s="22"/>
      <c r="J52" s="22"/>
      <c r="K52" s="22"/>
      <c r="L52" s="22"/>
      <c r="M52" s="22"/>
      <c r="N52" s="22"/>
    </row>
  </sheetData>
  <autoFilter ref="$A$1:$N$52"/>
  <conditionalFormatting sqref="A1:N52">
    <cfRule type="expression" dxfId="0" priority="1">
      <formula>#REF!="Enabled"</formula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6.13"/>
  </cols>
  <sheetData>
    <row r="1">
      <c r="A1" s="43" t="s">
        <v>417</v>
      </c>
    </row>
    <row r="2">
      <c r="A2" s="44" t="s">
        <v>435</v>
      </c>
    </row>
    <row r="3">
      <c r="A3" s="44" t="s">
        <v>448</v>
      </c>
    </row>
    <row r="4">
      <c r="A4" s="45" t="s">
        <v>460</v>
      </c>
    </row>
    <row r="5">
      <c r="A5" s="44" t="s">
        <v>470</v>
      </c>
    </row>
    <row r="6">
      <c r="A6" s="44" t="s">
        <v>475</v>
      </c>
    </row>
    <row r="7">
      <c r="A7" s="43" t="s">
        <v>482</v>
      </c>
    </row>
    <row r="8">
      <c r="A8" s="43" t="s">
        <v>491</v>
      </c>
    </row>
    <row r="9">
      <c r="A9" s="43" t="s">
        <v>502</v>
      </c>
    </row>
    <row r="10">
      <c r="A10" s="43" t="s">
        <v>507</v>
      </c>
    </row>
    <row r="20">
      <c r="A20" s="47"/>
    </row>
  </sheetData>
  <hyperlinks>
    <hyperlink r:id="rId1" location="gid=0" ref="A1"/>
    <hyperlink r:id="rId2" location="gid=1383285638" ref="A2"/>
    <hyperlink r:id="rId3" location="gid=1383726204" ref="A3"/>
    <hyperlink r:id="rId4" location="gid=772849677" ref="A4"/>
    <hyperlink r:id="rId5" location="gid=1755681844" ref="A5"/>
    <hyperlink r:id="rId6" location="gid=619542810" ref="A6"/>
    <hyperlink r:id="rId7" ref="A7"/>
    <hyperlink r:id="rId8" ref="A8"/>
    <hyperlink r:id="rId9" ref="A9"/>
    <hyperlink r:id="rId10" location="gid=1755681844" ref="A10"/>
  </hyperlinks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24.0"/>
    <col customWidth="1" min="3" max="3" width="19.25"/>
    <col customWidth="1" min="4" max="5" width="17.25"/>
    <col customWidth="1" min="6" max="6" width="17.5"/>
    <col customWidth="1" min="7" max="7" width="2.63"/>
  </cols>
  <sheetData>
    <row r="1">
      <c r="A1" s="49"/>
      <c r="B1" s="50" t="s">
        <v>9</v>
      </c>
      <c r="C1" s="51" t="s">
        <v>580</v>
      </c>
      <c r="D1" s="51" t="s">
        <v>583</v>
      </c>
      <c r="E1" s="51" t="s">
        <v>4</v>
      </c>
      <c r="F1" s="51" t="s">
        <v>586</v>
      </c>
      <c r="G1" s="49"/>
    </row>
    <row r="2">
      <c r="A2" s="52"/>
      <c r="B2" s="53" t="str">
        <f>IFERROR(__xludf.DUMMYFUNCTION("join(""-"",C2:E2)"),"BAT-7428-Silver")</f>
        <v>BAT-7428-Silver</v>
      </c>
      <c r="C2" s="54" t="s">
        <v>593</v>
      </c>
      <c r="D2" s="54">
        <v>7428.0</v>
      </c>
      <c r="E2" s="54" t="s">
        <v>595</v>
      </c>
      <c r="F2" s="54" t="s">
        <v>596</v>
      </c>
      <c r="G2" s="52"/>
    </row>
    <row r="3">
      <c r="A3" s="52"/>
      <c r="B3" s="53" t="str">
        <f>IFERROR(__xludf.DUMMYFUNCTION("join(""-"",C3:E3)"),"MC-R280-Black")</f>
        <v>MC-R280-Black</v>
      </c>
      <c r="C3" s="54" t="s">
        <v>600</v>
      </c>
      <c r="D3" s="54" t="s">
        <v>52</v>
      </c>
      <c r="E3" s="54" t="s">
        <v>603</v>
      </c>
      <c r="F3" s="54" t="s">
        <v>50</v>
      </c>
      <c r="G3" s="52"/>
    </row>
    <row r="4">
      <c r="A4" s="52"/>
      <c r="B4" s="53" t="str">
        <f>IFERROR(__xludf.DUMMYFUNCTION("join(""-"",C4:E4)"),"MC-R280-White")</f>
        <v>MC-R280-White</v>
      </c>
      <c r="C4" s="54" t="s">
        <v>600</v>
      </c>
      <c r="D4" s="54" t="s">
        <v>52</v>
      </c>
      <c r="E4" s="54" t="s">
        <v>606</v>
      </c>
      <c r="F4" s="54" t="s">
        <v>50</v>
      </c>
      <c r="G4" s="52"/>
    </row>
    <row r="5">
      <c r="A5" s="52"/>
      <c r="B5" s="53" t="str">
        <f>IFERROR(__xludf.DUMMYFUNCTION("join(""-"",C5:E5)"),"MC-R280 Sport-Red")</f>
        <v>MC-R280 Sport-Red</v>
      </c>
      <c r="C5" s="54" t="s">
        <v>600</v>
      </c>
      <c r="D5" s="54" t="s">
        <v>612</v>
      </c>
      <c r="E5" s="54" t="s">
        <v>613</v>
      </c>
      <c r="F5" s="54" t="s">
        <v>50</v>
      </c>
      <c r="G5" s="52"/>
    </row>
    <row r="6">
      <c r="A6" s="52"/>
      <c r="B6" s="53" t="str">
        <f>IFERROR(__xludf.DUMMYFUNCTION("join(""-"",C6:E6)"),"MC-R280 Sport-Blue")</f>
        <v>MC-R280 Sport-Blue</v>
      </c>
      <c r="C6" s="54" t="s">
        <v>600</v>
      </c>
      <c r="D6" s="54" t="s">
        <v>612</v>
      </c>
      <c r="E6" s="54" t="s">
        <v>569</v>
      </c>
      <c r="F6" s="54" t="s">
        <v>50</v>
      </c>
      <c r="G6" s="52"/>
    </row>
    <row r="7">
      <c r="A7" s="52"/>
      <c r="B7" s="53" t="str">
        <f>IFERROR(__xludf.DUMMYFUNCTION("join(""-"",C7:E7)"),"MC-D400-Red")</f>
        <v>MC-D400-Red</v>
      </c>
      <c r="C7" s="54" t="s">
        <v>600</v>
      </c>
      <c r="D7" s="54" t="s">
        <v>616</v>
      </c>
      <c r="E7" s="54" t="s">
        <v>613</v>
      </c>
      <c r="F7" s="54" t="s">
        <v>50</v>
      </c>
      <c r="G7" s="52"/>
    </row>
    <row r="8">
      <c r="A8" s="52"/>
      <c r="B8" s="53" t="str">
        <f>IFERROR(__xludf.DUMMYFUNCTION("join(""-"",C8:E8)"),"MC-D400-Blue")</f>
        <v>MC-D400-Blue</v>
      </c>
      <c r="C8" s="54" t="s">
        <v>600</v>
      </c>
      <c r="D8" s="54" t="s">
        <v>616</v>
      </c>
      <c r="E8" s="54" t="s">
        <v>569</v>
      </c>
      <c r="F8" s="54" t="s">
        <v>50</v>
      </c>
      <c r="G8" s="52"/>
    </row>
    <row r="9">
      <c r="A9" s="52"/>
      <c r="B9" s="53" t="str">
        <f>IFERROR(__xludf.DUMMYFUNCTION("join(""-"",C9:E9)"),"BSS-5-door-Silver")</f>
        <v>BSS-5-door-Silver</v>
      </c>
      <c r="C9" s="54" t="s">
        <v>619</v>
      </c>
      <c r="D9" s="54" t="s">
        <v>622</v>
      </c>
      <c r="E9" s="54" t="s">
        <v>595</v>
      </c>
      <c r="F9" s="54" t="s">
        <v>624</v>
      </c>
      <c r="G9" s="52"/>
    </row>
    <row r="10">
      <c r="A10" s="52"/>
      <c r="B10" s="53" t="str">
        <f>IFERROR(__xludf.DUMMYFUNCTION("join(""-"",C10:E10)"),"MC-RUIDI-Gray")</f>
        <v>MC-RUIDI-Gray</v>
      </c>
      <c r="C10" s="54" t="s">
        <v>600</v>
      </c>
      <c r="D10" s="54" t="s">
        <v>626</v>
      </c>
      <c r="E10" s="54" t="s">
        <v>627</v>
      </c>
      <c r="F10" s="54" t="s">
        <v>628</v>
      </c>
      <c r="G10" s="52"/>
    </row>
    <row r="11">
      <c r="A11" s="52"/>
      <c r="B11" s="53" t="str">
        <f>IFERROR(__xludf.DUMMYFUNCTION("join(""-"",C11:E11)"),"MC-VESPA-Red")</f>
        <v>MC-VESPA-Red</v>
      </c>
      <c r="C11" s="55" t="s">
        <v>600</v>
      </c>
      <c r="D11" s="56" t="s">
        <v>630</v>
      </c>
      <c r="E11" s="56" t="s">
        <v>613</v>
      </c>
      <c r="F11" s="54" t="s">
        <v>628</v>
      </c>
      <c r="G11" s="52"/>
    </row>
    <row r="12">
      <c r="A12" s="52"/>
      <c r="B12" s="55" t="str">
        <f>IFERROR(__xludf.DUMMYFUNCTION("join(""-"",C12:E12)"),"MC-LEOPARD-Blue")</f>
        <v>MC-LEOPARD-Blue</v>
      </c>
      <c r="C12" s="55" t="s">
        <v>600</v>
      </c>
      <c r="D12" s="57" t="s">
        <v>636</v>
      </c>
      <c r="E12" s="57" t="s">
        <v>569</v>
      </c>
      <c r="F12" s="57" t="s">
        <v>628</v>
      </c>
      <c r="G12" s="52"/>
    </row>
    <row r="13">
      <c r="A13" s="52"/>
      <c r="B13" s="55" t="str">
        <f>IFERROR(__xludf.DUMMYFUNCTION("join(""-"",C13:E13)"),"MC-OKT-Red")</f>
        <v>MC-OKT-Red</v>
      </c>
      <c r="C13" s="55" t="s">
        <v>600</v>
      </c>
      <c r="D13" s="55" t="s">
        <v>637</v>
      </c>
      <c r="E13" s="55" t="s">
        <v>613</v>
      </c>
      <c r="F13" s="55" t="s">
        <v>50</v>
      </c>
      <c r="G13" s="52"/>
    </row>
    <row r="14">
      <c r="A14" s="52"/>
      <c r="B14" s="55" t="str">
        <f>IFERROR(__xludf.DUMMYFUNCTION("join(""-"",C14:E14)"),"MC-OKG-Green")</f>
        <v>MC-OKG-Green</v>
      </c>
      <c r="C14" s="55" t="s">
        <v>600</v>
      </c>
      <c r="D14" s="55" t="s">
        <v>638</v>
      </c>
      <c r="E14" s="55" t="s">
        <v>46</v>
      </c>
      <c r="F14" s="55" t="s">
        <v>50</v>
      </c>
      <c r="G14" s="52"/>
    </row>
    <row r="15">
      <c r="A15" s="52"/>
      <c r="B15" s="53" t="str">
        <f>IFERROR(__xludf.DUMMYFUNCTION("join(""-"",C15:E15)"),"MC-D400-Black")</f>
        <v>MC-D400-Black</v>
      </c>
      <c r="C15" s="54" t="s">
        <v>600</v>
      </c>
      <c r="D15" s="54" t="s">
        <v>616</v>
      </c>
      <c r="E15" s="54" t="s">
        <v>603</v>
      </c>
      <c r="F15" s="55" t="s">
        <v>50</v>
      </c>
      <c r="G15" s="52"/>
    </row>
    <row r="16">
      <c r="A16" s="52"/>
      <c r="B16" s="53"/>
      <c r="C16" s="53"/>
      <c r="D16" s="53"/>
      <c r="E16" s="53"/>
      <c r="F16" s="53"/>
      <c r="G16" s="52"/>
    </row>
    <row r="17">
      <c r="A17" s="52"/>
      <c r="B17" s="53"/>
      <c r="C17" s="53"/>
      <c r="D17" s="53"/>
      <c r="E17" s="53"/>
      <c r="F17" s="53"/>
      <c r="G17" s="52"/>
    </row>
    <row r="18">
      <c r="A18" s="52"/>
      <c r="B18" s="53"/>
      <c r="C18" s="53"/>
      <c r="D18" s="53"/>
      <c r="E18" s="53"/>
      <c r="F18" s="53"/>
      <c r="G18" s="52"/>
    </row>
    <row r="19">
      <c r="A19" s="52"/>
      <c r="B19" s="53"/>
      <c r="C19" s="53"/>
      <c r="D19" s="53"/>
      <c r="E19" s="53"/>
      <c r="F19" s="53"/>
      <c r="G19" s="52"/>
    </row>
    <row r="20">
      <c r="A20" s="52"/>
      <c r="B20" s="53"/>
      <c r="C20" s="53"/>
      <c r="D20" s="53"/>
      <c r="E20" s="53"/>
      <c r="F20" s="53"/>
      <c r="G20" s="52"/>
    </row>
    <row r="21">
      <c r="A21" s="52"/>
      <c r="B21" s="53"/>
      <c r="C21" s="53"/>
      <c r="D21" s="53"/>
      <c r="E21" s="53"/>
      <c r="F21" s="53"/>
      <c r="G21" s="52"/>
    </row>
    <row r="22">
      <c r="A22" s="52"/>
      <c r="B22" s="53"/>
      <c r="C22" s="53"/>
      <c r="D22" s="53"/>
      <c r="E22" s="53"/>
      <c r="F22" s="53"/>
      <c r="G22" s="52"/>
    </row>
    <row r="23">
      <c r="A23" s="52"/>
      <c r="B23" s="53"/>
      <c r="C23" s="53"/>
      <c r="D23" s="53"/>
      <c r="E23" s="53"/>
      <c r="F23" s="53"/>
      <c r="G23" s="52"/>
    </row>
    <row r="24">
      <c r="A24" s="52"/>
      <c r="B24" s="53"/>
      <c r="C24" s="53"/>
      <c r="D24" s="53"/>
      <c r="E24" s="53"/>
      <c r="F24" s="53"/>
      <c r="G24" s="52"/>
    </row>
    <row r="25">
      <c r="A25" s="52"/>
      <c r="B25" s="53"/>
      <c r="C25" s="53"/>
      <c r="D25" s="53"/>
      <c r="E25" s="53"/>
      <c r="F25" s="53"/>
      <c r="G25" s="52"/>
    </row>
    <row r="26">
      <c r="A26" s="52"/>
      <c r="B26" s="53"/>
      <c r="C26" s="53"/>
      <c r="D26" s="53"/>
      <c r="E26" s="53"/>
      <c r="F26" s="53"/>
      <c r="G26" s="52"/>
    </row>
    <row r="27">
      <c r="A27" s="52"/>
      <c r="B27" s="53"/>
      <c r="C27" s="53"/>
      <c r="D27" s="53"/>
      <c r="E27" s="53"/>
      <c r="F27" s="53"/>
      <c r="G27" s="52"/>
    </row>
    <row r="28">
      <c r="A28" s="52"/>
      <c r="B28" s="53"/>
      <c r="C28" s="53"/>
      <c r="D28" s="53"/>
      <c r="E28" s="53"/>
      <c r="F28" s="53"/>
      <c r="G28" s="52"/>
    </row>
    <row r="29">
      <c r="A29" s="52"/>
      <c r="B29" s="53"/>
      <c r="C29" s="53"/>
      <c r="D29" s="53"/>
      <c r="E29" s="53"/>
      <c r="F29" s="53"/>
      <c r="G29" s="52"/>
    </row>
    <row r="30">
      <c r="A30" s="52"/>
      <c r="B30" s="53"/>
      <c r="C30" s="53"/>
      <c r="D30" s="53"/>
      <c r="E30" s="53"/>
      <c r="F30" s="53"/>
      <c r="G30" s="52"/>
    </row>
    <row r="31">
      <c r="A31" s="52"/>
      <c r="B31" s="53"/>
      <c r="C31" s="53"/>
      <c r="D31" s="53"/>
      <c r="E31" s="53"/>
      <c r="F31" s="53"/>
      <c r="G31" s="52"/>
    </row>
    <row r="32">
      <c r="A32" s="52"/>
      <c r="B32" s="53"/>
      <c r="C32" s="53"/>
      <c r="D32" s="53"/>
      <c r="E32" s="53"/>
      <c r="F32" s="53"/>
      <c r="G32" s="52"/>
    </row>
    <row r="33">
      <c r="A33" s="52"/>
      <c r="B33" s="53"/>
      <c r="C33" s="53"/>
      <c r="D33" s="53"/>
      <c r="E33" s="53"/>
      <c r="F33" s="53"/>
      <c r="G33" s="52"/>
    </row>
    <row r="34">
      <c r="A34" s="52"/>
      <c r="B34" s="53"/>
      <c r="C34" s="53"/>
      <c r="D34" s="53"/>
      <c r="E34" s="53"/>
      <c r="F34" s="53"/>
      <c r="G34" s="52"/>
    </row>
    <row r="35">
      <c r="A35" s="52"/>
      <c r="B35" s="53"/>
      <c r="C35" s="53"/>
      <c r="D35" s="53"/>
      <c r="E35" s="53"/>
      <c r="F35" s="53"/>
      <c r="G35" s="52"/>
    </row>
    <row r="36">
      <c r="A36" s="52"/>
      <c r="B36" s="53"/>
      <c r="C36" s="53"/>
      <c r="D36" s="53"/>
      <c r="E36" s="53"/>
      <c r="F36" s="53"/>
      <c r="G36" s="52"/>
    </row>
    <row r="37">
      <c r="A37" s="52"/>
      <c r="B37" s="53"/>
      <c r="C37" s="53"/>
      <c r="D37" s="53"/>
      <c r="E37" s="53"/>
      <c r="F37" s="53"/>
      <c r="G37" s="52"/>
    </row>
    <row r="38">
      <c r="A38" s="52"/>
      <c r="B38" s="53"/>
      <c r="C38" s="53"/>
      <c r="D38" s="53"/>
      <c r="E38" s="53"/>
      <c r="F38" s="53"/>
      <c r="G38" s="52"/>
    </row>
    <row r="39">
      <c r="A39" s="52"/>
      <c r="B39" s="53"/>
      <c r="C39" s="53"/>
      <c r="D39" s="53"/>
      <c r="E39" s="53"/>
      <c r="F39" s="53"/>
      <c r="G39" s="52"/>
    </row>
    <row r="40">
      <c r="A40" s="52"/>
      <c r="B40" s="53"/>
      <c r="C40" s="53"/>
      <c r="D40" s="53"/>
      <c r="E40" s="53"/>
      <c r="F40" s="53"/>
      <c r="G40" s="52"/>
    </row>
    <row r="41">
      <c r="A41" s="52"/>
      <c r="B41" s="53"/>
      <c r="C41" s="53"/>
      <c r="D41" s="53"/>
      <c r="E41" s="53"/>
      <c r="F41" s="53"/>
      <c r="G41" s="52"/>
    </row>
    <row r="42">
      <c r="A42" s="52"/>
      <c r="B42" s="53"/>
      <c r="C42" s="53"/>
      <c r="D42" s="53"/>
      <c r="E42" s="53"/>
      <c r="F42" s="53"/>
      <c r="G42" s="52"/>
    </row>
    <row r="43">
      <c r="A43" s="52"/>
      <c r="B43" s="53"/>
      <c r="C43" s="53"/>
      <c r="D43" s="53"/>
      <c r="E43" s="53"/>
      <c r="F43" s="53"/>
      <c r="G43" s="52"/>
    </row>
    <row r="44">
      <c r="A44" s="52"/>
      <c r="B44" s="53"/>
      <c r="C44" s="53"/>
      <c r="D44" s="53"/>
      <c r="E44" s="53"/>
      <c r="F44" s="53"/>
      <c r="G44" s="52"/>
    </row>
    <row r="45">
      <c r="A45" s="52"/>
      <c r="B45" s="53"/>
      <c r="C45" s="53"/>
      <c r="D45" s="53"/>
      <c r="E45" s="53"/>
      <c r="F45" s="53"/>
      <c r="G45" s="52"/>
    </row>
    <row r="46">
      <c r="A46" s="52"/>
      <c r="B46" s="53"/>
      <c r="C46" s="53"/>
      <c r="D46" s="53"/>
      <c r="E46" s="53"/>
      <c r="F46" s="53"/>
      <c r="G46" s="52"/>
    </row>
    <row r="47">
      <c r="A47" s="52"/>
      <c r="B47" s="53"/>
      <c r="C47" s="53"/>
      <c r="D47" s="53"/>
      <c r="E47" s="53"/>
      <c r="F47" s="53"/>
      <c r="G47" s="52"/>
    </row>
    <row r="48">
      <c r="A48" s="52"/>
      <c r="B48" s="53"/>
      <c r="C48" s="53"/>
      <c r="D48" s="53"/>
      <c r="E48" s="53"/>
      <c r="F48" s="53"/>
      <c r="G48" s="52"/>
    </row>
    <row r="49">
      <c r="A49" s="52"/>
      <c r="B49" s="53"/>
      <c r="C49" s="53"/>
      <c r="D49" s="53"/>
      <c r="E49" s="53"/>
      <c r="F49" s="53"/>
      <c r="G49" s="52"/>
    </row>
    <row r="50">
      <c r="A50" s="52"/>
      <c r="B50" s="53"/>
      <c r="C50" s="53"/>
      <c r="D50" s="53"/>
      <c r="E50" s="53"/>
      <c r="F50" s="53"/>
      <c r="G50" s="52"/>
    </row>
    <row r="51">
      <c r="A51" s="52"/>
      <c r="B51" s="53"/>
      <c r="C51" s="53"/>
      <c r="D51" s="53"/>
      <c r="E51" s="53"/>
      <c r="F51" s="53"/>
      <c r="G51" s="52"/>
    </row>
    <row r="52">
      <c r="A52" s="52"/>
      <c r="B52" s="53"/>
      <c r="C52" s="53"/>
      <c r="D52" s="53"/>
      <c r="E52" s="53"/>
      <c r="F52" s="53"/>
      <c r="G52" s="52"/>
    </row>
    <row r="53">
      <c r="A53" s="52"/>
      <c r="B53" s="53"/>
      <c r="C53" s="53"/>
      <c r="D53" s="53"/>
      <c r="E53" s="53"/>
      <c r="F53" s="53"/>
      <c r="G53" s="52"/>
    </row>
    <row r="54">
      <c r="A54" s="52"/>
      <c r="B54" s="53"/>
      <c r="C54" s="53"/>
      <c r="D54" s="53"/>
      <c r="E54" s="53"/>
      <c r="F54" s="53"/>
      <c r="G54" s="52"/>
    </row>
    <row r="55">
      <c r="A55" s="52"/>
      <c r="B55" s="53"/>
      <c r="C55" s="53"/>
      <c r="D55" s="53"/>
      <c r="E55" s="53"/>
      <c r="F55" s="53"/>
      <c r="G55" s="52"/>
    </row>
    <row r="56">
      <c r="A56" s="52"/>
      <c r="B56" s="53"/>
      <c r="C56" s="53"/>
      <c r="D56" s="53"/>
      <c r="E56" s="53"/>
      <c r="F56" s="53"/>
      <c r="G56" s="52"/>
    </row>
    <row r="57">
      <c r="A57" s="52"/>
      <c r="B57" s="53"/>
      <c r="C57" s="53"/>
      <c r="D57" s="53"/>
      <c r="E57" s="53"/>
      <c r="F57" s="53"/>
      <c r="G57" s="52"/>
    </row>
    <row r="58">
      <c r="A58" s="52"/>
      <c r="B58" s="53"/>
      <c r="C58" s="53"/>
      <c r="D58" s="53"/>
      <c r="E58" s="53"/>
      <c r="F58" s="53"/>
      <c r="G58" s="52"/>
    </row>
    <row r="59">
      <c r="A59" s="52"/>
      <c r="B59" s="53"/>
      <c r="C59" s="53"/>
      <c r="D59" s="53"/>
      <c r="E59" s="53"/>
      <c r="F59" s="53"/>
      <c r="G59" s="52"/>
    </row>
    <row r="60">
      <c r="A60" s="52"/>
      <c r="B60" s="53"/>
      <c r="C60" s="53"/>
      <c r="D60" s="53"/>
      <c r="E60" s="53"/>
      <c r="F60" s="53"/>
      <c r="G60" s="52"/>
    </row>
    <row r="61">
      <c r="A61" s="52"/>
      <c r="B61" s="53"/>
      <c r="C61" s="53"/>
      <c r="D61" s="53"/>
      <c r="E61" s="53"/>
      <c r="F61" s="53"/>
      <c r="G61" s="52"/>
    </row>
    <row r="62">
      <c r="A62" s="52"/>
      <c r="B62" s="53"/>
      <c r="C62" s="53"/>
      <c r="D62" s="53"/>
      <c r="E62" s="53"/>
      <c r="F62" s="53"/>
      <c r="G62" s="52"/>
    </row>
    <row r="63">
      <c r="A63" s="52"/>
      <c r="B63" s="53"/>
      <c r="C63" s="53"/>
      <c r="D63" s="53"/>
      <c r="E63" s="53"/>
      <c r="F63" s="53"/>
      <c r="G63" s="52"/>
    </row>
    <row r="64">
      <c r="A64" s="52"/>
      <c r="B64" s="53"/>
      <c r="C64" s="53"/>
      <c r="D64" s="53"/>
      <c r="E64" s="53"/>
      <c r="F64" s="53"/>
      <c r="G64" s="52"/>
    </row>
    <row r="65">
      <c r="A65" s="52"/>
      <c r="B65" s="53"/>
      <c r="C65" s="53"/>
      <c r="D65" s="53"/>
      <c r="E65" s="53"/>
      <c r="F65" s="53"/>
      <c r="G65" s="52"/>
    </row>
    <row r="66">
      <c r="A66" s="52"/>
      <c r="B66" s="53"/>
      <c r="C66" s="53"/>
      <c r="D66" s="53"/>
      <c r="E66" s="53"/>
      <c r="F66" s="53"/>
      <c r="G66" s="52"/>
    </row>
    <row r="67">
      <c r="A67" s="52"/>
      <c r="B67" s="53"/>
      <c r="C67" s="53"/>
      <c r="D67" s="53"/>
      <c r="E67" s="53"/>
      <c r="F67" s="53"/>
      <c r="G67" s="52"/>
    </row>
    <row r="68">
      <c r="A68" s="52"/>
      <c r="B68" s="53"/>
      <c r="C68" s="53"/>
      <c r="D68" s="53"/>
      <c r="E68" s="53"/>
      <c r="F68" s="53"/>
      <c r="G68" s="52"/>
    </row>
    <row r="69">
      <c r="A69" s="52"/>
      <c r="B69" s="53"/>
      <c r="C69" s="53"/>
      <c r="D69" s="53"/>
      <c r="E69" s="53"/>
      <c r="F69" s="53"/>
      <c r="G69" s="52"/>
    </row>
    <row r="70">
      <c r="A70" s="52"/>
      <c r="B70" s="53"/>
      <c r="C70" s="53"/>
      <c r="D70" s="53"/>
      <c r="E70" s="53"/>
      <c r="F70" s="53"/>
      <c r="G70" s="52"/>
    </row>
    <row r="71">
      <c r="A71" s="52"/>
      <c r="B71" s="53"/>
      <c r="C71" s="53"/>
      <c r="D71" s="53"/>
      <c r="E71" s="53"/>
      <c r="F71" s="53"/>
      <c r="G71" s="52"/>
    </row>
    <row r="72">
      <c r="A72" s="52"/>
      <c r="B72" s="53"/>
      <c r="C72" s="53"/>
      <c r="D72" s="53"/>
      <c r="E72" s="53"/>
      <c r="F72" s="53"/>
      <c r="G72" s="52"/>
    </row>
    <row r="73">
      <c r="A73" s="52"/>
      <c r="B73" s="53"/>
      <c r="C73" s="53"/>
      <c r="D73" s="53"/>
      <c r="E73" s="53"/>
      <c r="F73" s="53"/>
      <c r="G73" s="52"/>
    </row>
    <row r="74">
      <c r="A74" s="52"/>
      <c r="B74" s="53"/>
      <c r="C74" s="53"/>
      <c r="D74" s="53"/>
      <c r="E74" s="53"/>
      <c r="F74" s="53"/>
      <c r="G74" s="52"/>
    </row>
    <row r="75">
      <c r="A75" s="52"/>
      <c r="B75" s="53"/>
      <c r="C75" s="53"/>
      <c r="D75" s="53"/>
      <c r="E75" s="53"/>
      <c r="F75" s="53"/>
      <c r="G75" s="52"/>
    </row>
    <row r="76">
      <c r="A76" s="52"/>
      <c r="B76" s="53"/>
      <c r="C76" s="53"/>
      <c r="D76" s="53"/>
      <c r="E76" s="53"/>
      <c r="F76" s="53"/>
      <c r="G76" s="52"/>
    </row>
    <row r="77">
      <c r="A77" s="52"/>
      <c r="B77" s="53"/>
      <c r="C77" s="53"/>
      <c r="D77" s="53"/>
      <c r="E77" s="53"/>
      <c r="F77" s="53"/>
      <c r="G77" s="52"/>
    </row>
    <row r="78">
      <c r="A78" s="52"/>
      <c r="B78" s="53"/>
      <c r="C78" s="53"/>
      <c r="D78" s="53"/>
      <c r="E78" s="53"/>
      <c r="F78" s="53"/>
      <c r="G78" s="52"/>
    </row>
    <row r="79">
      <c r="A79" s="52"/>
      <c r="B79" s="53"/>
      <c r="C79" s="53"/>
      <c r="D79" s="53"/>
      <c r="E79" s="53"/>
      <c r="F79" s="53"/>
      <c r="G79" s="52"/>
    </row>
    <row r="80">
      <c r="A80" s="52"/>
      <c r="B80" s="53"/>
      <c r="C80" s="53"/>
      <c r="D80" s="53"/>
      <c r="E80" s="53"/>
      <c r="F80" s="53"/>
      <c r="G80" s="52"/>
    </row>
    <row r="81">
      <c r="A81" s="52"/>
      <c r="B81" s="53"/>
      <c r="C81" s="53"/>
      <c r="D81" s="53"/>
      <c r="E81" s="53"/>
      <c r="F81" s="53"/>
      <c r="G81" s="52"/>
    </row>
    <row r="82">
      <c r="A82" s="52"/>
      <c r="B82" s="53"/>
      <c r="C82" s="53"/>
      <c r="D82" s="53"/>
      <c r="E82" s="53"/>
      <c r="F82" s="53"/>
      <c r="G82" s="52"/>
    </row>
    <row r="83">
      <c r="A83" s="52"/>
      <c r="B83" s="53"/>
      <c r="C83" s="53"/>
      <c r="D83" s="53"/>
      <c r="E83" s="53"/>
      <c r="F83" s="53"/>
      <c r="G83" s="52"/>
    </row>
    <row r="84">
      <c r="A84" s="52"/>
      <c r="B84" s="53"/>
      <c r="C84" s="53"/>
      <c r="D84" s="53"/>
      <c r="E84" s="53"/>
      <c r="F84" s="53"/>
      <c r="G84" s="52"/>
    </row>
    <row r="85">
      <c r="A85" s="52"/>
      <c r="B85" s="53"/>
      <c r="C85" s="53"/>
      <c r="D85" s="53"/>
      <c r="E85" s="53"/>
      <c r="F85" s="53"/>
      <c r="G85" s="52"/>
    </row>
    <row r="86">
      <c r="A86" s="52"/>
      <c r="B86" s="53"/>
      <c r="C86" s="53"/>
      <c r="D86" s="53"/>
      <c r="E86" s="53"/>
      <c r="F86" s="53"/>
      <c r="G86" s="52"/>
    </row>
    <row r="87">
      <c r="A87" s="52"/>
      <c r="B87" s="53"/>
      <c r="C87" s="53"/>
      <c r="D87" s="53"/>
      <c r="E87" s="53"/>
      <c r="F87" s="53"/>
      <c r="G87" s="52"/>
    </row>
    <row r="88">
      <c r="A88" s="52"/>
      <c r="B88" s="53"/>
      <c r="C88" s="53"/>
      <c r="D88" s="53"/>
      <c r="E88" s="53"/>
      <c r="F88" s="53"/>
      <c r="G88" s="52"/>
    </row>
    <row r="89">
      <c r="A89" s="52"/>
      <c r="B89" s="53"/>
      <c r="C89" s="53"/>
      <c r="D89" s="53"/>
      <c r="E89" s="53"/>
      <c r="F89" s="53"/>
      <c r="G89" s="52"/>
    </row>
    <row r="90">
      <c r="A90" s="52"/>
      <c r="B90" s="53"/>
      <c r="C90" s="53"/>
      <c r="D90" s="53"/>
      <c r="E90" s="53"/>
      <c r="F90" s="53"/>
      <c r="G90" s="52"/>
    </row>
    <row r="91">
      <c r="A91" s="52"/>
      <c r="B91" s="53"/>
      <c r="C91" s="53"/>
      <c r="D91" s="53"/>
      <c r="E91" s="53"/>
      <c r="F91" s="53"/>
      <c r="G91" s="52"/>
    </row>
    <row r="92">
      <c r="A92" s="52"/>
      <c r="B92" s="53"/>
      <c r="C92" s="53"/>
      <c r="D92" s="53"/>
      <c r="E92" s="53"/>
      <c r="F92" s="53"/>
      <c r="G92" s="52"/>
    </row>
    <row r="93">
      <c r="A93" s="52"/>
      <c r="B93" s="53"/>
      <c r="C93" s="53"/>
      <c r="D93" s="53"/>
      <c r="E93" s="53"/>
      <c r="F93" s="53"/>
      <c r="G93" s="52"/>
    </row>
    <row r="94">
      <c r="A94" s="52"/>
      <c r="B94" s="53"/>
      <c r="C94" s="53"/>
      <c r="D94" s="53"/>
      <c r="E94" s="53"/>
      <c r="F94" s="53"/>
      <c r="G94" s="52"/>
    </row>
    <row r="95">
      <c r="A95" s="52"/>
      <c r="B95" s="53"/>
      <c r="C95" s="53"/>
      <c r="D95" s="53"/>
      <c r="E95" s="53"/>
      <c r="F95" s="53"/>
      <c r="G95" s="52"/>
    </row>
    <row r="96">
      <c r="A96" s="52"/>
      <c r="B96" s="53"/>
      <c r="C96" s="53"/>
      <c r="D96" s="53"/>
      <c r="E96" s="53"/>
      <c r="F96" s="53"/>
      <c r="G96" s="52"/>
    </row>
    <row r="97">
      <c r="A97" s="52"/>
      <c r="B97" s="53"/>
      <c r="C97" s="53"/>
      <c r="D97" s="53"/>
      <c r="E97" s="53"/>
      <c r="F97" s="53"/>
      <c r="G97" s="52"/>
    </row>
    <row r="98">
      <c r="A98" s="52"/>
      <c r="B98" s="53"/>
      <c r="C98" s="53"/>
      <c r="D98" s="53"/>
      <c r="E98" s="53"/>
      <c r="F98" s="53"/>
      <c r="G98" s="52"/>
    </row>
    <row r="99">
      <c r="A99" s="52"/>
      <c r="B99" s="53"/>
      <c r="C99" s="53"/>
      <c r="D99" s="53"/>
      <c r="E99" s="53"/>
      <c r="F99" s="53"/>
      <c r="G99" s="52"/>
    </row>
    <row r="100">
      <c r="A100" s="52"/>
      <c r="B100" s="53"/>
      <c r="C100" s="53"/>
      <c r="D100" s="53"/>
      <c r="E100" s="53"/>
      <c r="F100" s="53"/>
      <c r="G100" s="52"/>
    </row>
    <row r="101">
      <c r="A101" s="52"/>
      <c r="B101" s="53"/>
      <c r="C101" s="53"/>
      <c r="D101" s="53"/>
      <c r="E101" s="53"/>
      <c r="F101" s="53"/>
      <c r="G101" s="52"/>
    </row>
    <row r="102">
      <c r="A102" s="52"/>
      <c r="B102" s="53"/>
      <c r="C102" s="53"/>
      <c r="D102" s="53"/>
      <c r="E102" s="53"/>
      <c r="F102" s="53"/>
      <c r="G102" s="52"/>
    </row>
    <row r="103">
      <c r="A103" s="52"/>
      <c r="B103" s="53"/>
      <c r="C103" s="53"/>
      <c r="D103" s="53"/>
      <c r="E103" s="53"/>
      <c r="F103" s="53"/>
      <c r="G103" s="52"/>
    </row>
    <row r="104">
      <c r="A104" s="52"/>
      <c r="B104" s="53"/>
      <c r="C104" s="53"/>
      <c r="D104" s="53"/>
      <c r="E104" s="53"/>
      <c r="F104" s="53"/>
      <c r="G104" s="52"/>
    </row>
    <row r="105">
      <c r="A105" s="52"/>
      <c r="B105" s="53"/>
      <c r="C105" s="53"/>
      <c r="D105" s="53"/>
      <c r="E105" s="53"/>
      <c r="F105" s="53"/>
      <c r="G105" s="52"/>
    </row>
    <row r="106">
      <c r="A106" s="52"/>
      <c r="B106" s="53"/>
      <c r="C106" s="53"/>
      <c r="D106" s="53"/>
      <c r="E106" s="53"/>
      <c r="F106" s="53"/>
      <c r="G106" s="52"/>
    </row>
    <row r="107">
      <c r="A107" s="52"/>
      <c r="B107" s="53"/>
      <c r="C107" s="53"/>
      <c r="D107" s="53"/>
      <c r="E107" s="53"/>
      <c r="F107" s="53"/>
      <c r="G107" s="52"/>
    </row>
    <row r="108">
      <c r="A108" s="52"/>
      <c r="B108" s="53"/>
      <c r="C108" s="53"/>
      <c r="D108" s="53"/>
      <c r="E108" s="53"/>
      <c r="F108" s="53"/>
      <c r="G108" s="52"/>
    </row>
    <row r="109">
      <c r="A109" s="52"/>
      <c r="B109" s="53"/>
      <c r="C109" s="53"/>
      <c r="D109" s="53"/>
      <c r="E109" s="53"/>
      <c r="F109" s="53"/>
      <c r="G109" s="52"/>
    </row>
    <row r="110">
      <c r="A110" s="52"/>
      <c r="B110" s="53"/>
      <c r="C110" s="53"/>
      <c r="D110" s="53"/>
      <c r="E110" s="53"/>
      <c r="F110" s="53"/>
      <c r="G110" s="52"/>
    </row>
    <row r="111">
      <c r="A111" s="52"/>
      <c r="B111" s="53"/>
      <c r="C111" s="53"/>
      <c r="D111" s="53"/>
      <c r="E111" s="53"/>
      <c r="F111" s="53"/>
      <c r="G111" s="52"/>
    </row>
    <row r="112">
      <c r="A112" s="52"/>
      <c r="B112" s="53"/>
      <c r="C112" s="53"/>
      <c r="D112" s="53"/>
      <c r="E112" s="53"/>
      <c r="F112" s="53"/>
      <c r="G112" s="52"/>
    </row>
    <row r="113">
      <c r="A113" s="52"/>
      <c r="B113" s="53"/>
      <c r="C113" s="53"/>
      <c r="D113" s="53"/>
      <c r="E113" s="53"/>
      <c r="F113" s="53"/>
      <c r="G113" s="52"/>
    </row>
    <row r="114">
      <c r="A114" s="52"/>
      <c r="B114" s="53"/>
      <c r="C114" s="53"/>
      <c r="D114" s="53"/>
      <c r="E114" s="53"/>
      <c r="F114" s="53"/>
      <c r="G114" s="52"/>
    </row>
    <row r="115">
      <c r="A115" s="52"/>
      <c r="B115" s="53"/>
      <c r="C115" s="53"/>
      <c r="D115" s="53"/>
      <c r="E115" s="53"/>
      <c r="F115" s="53"/>
      <c r="G115" s="52"/>
    </row>
    <row r="116">
      <c r="A116" s="52"/>
      <c r="B116" s="53"/>
      <c r="C116" s="53"/>
      <c r="D116" s="53"/>
      <c r="E116" s="53"/>
      <c r="F116" s="53"/>
      <c r="G116" s="52"/>
    </row>
    <row r="117">
      <c r="A117" s="52"/>
      <c r="B117" s="53"/>
      <c r="C117" s="53"/>
      <c r="D117" s="53"/>
      <c r="E117" s="53"/>
      <c r="F117" s="53"/>
      <c r="G117" s="52"/>
    </row>
    <row r="118">
      <c r="A118" s="52"/>
      <c r="B118" s="53"/>
      <c r="C118" s="53"/>
      <c r="D118" s="53"/>
      <c r="E118" s="53"/>
      <c r="F118" s="53"/>
      <c r="G118" s="52"/>
    </row>
    <row r="119">
      <c r="A119" s="52"/>
      <c r="B119" s="53"/>
      <c r="C119" s="53"/>
      <c r="D119" s="53"/>
      <c r="E119" s="53"/>
      <c r="F119" s="53"/>
      <c r="G119" s="52"/>
    </row>
    <row r="120">
      <c r="A120" s="52"/>
      <c r="B120" s="53"/>
      <c r="C120" s="53"/>
      <c r="D120" s="53"/>
      <c r="E120" s="53"/>
      <c r="F120" s="53"/>
      <c r="G120" s="52"/>
    </row>
    <row r="121">
      <c r="A121" s="52"/>
      <c r="B121" s="53"/>
      <c r="C121" s="53"/>
      <c r="D121" s="53"/>
      <c r="E121" s="53"/>
      <c r="F121" s="53"/>
      <c r="G121" s="52"/>
    </row>
    <row r="122">
      <c r="A122" s="52"/>
      <c r="B122" s="53"/>
      <c r="C122" s="53"/>
      <c r="D122" s="53"/>
      <c r="E122" s="53"/>
      <c r="F122" s="53"/>
      <c r="G122" s="52"/>
    </row>
    <row r="123">
      <c r="A123" s="52"/>
      <c r="B123" s="53"/>
      <c r="C123" s="53"/>
      <c r="D123" s="53"/>
      <c r="E123" s="53"/>
      <c r="F123" s="53"/>
      <c r="G123" s="52"/>
    </row>
    <row r="124">
      <c r="A124" s="52"/>
      <c r="B124" s="53"/>
      <c r="C124" s="53"/>
      <c r="D124" s="53"/>
      <c r="E124" s="53"/>
      <c r="F124" s="53"/>
      <c r="G124" s="52"/>
    </row>
    <row r="125">
      <c r="A125" s="52"/>
      <c r="B125" s="53"/>
      <c r="C125" s="53"/>
      <c r="D125" s="53"/>
      <c r="E125" s="53"/>
      <c r="F125" s="53"/>
      <c r="G125" s="52"/>
    </row>
    <row r="126">
      <c r="A126" s="52"/>
      <c r="B126" s="53"/>
      <c r="C126" s="53"/>
      <c r="D126" s="53"/>
      <c r="E126" s="53"/>
      <c r="F126" s="53"/>
      <c r="G126" s="52"/>
    </row>
    <row r="127">
      <c r="A127" s="52"/>
      <c r="B127" s="53"/>
      <c r="C127" s="53"/>
      <c r="D127" s="53"/>
      <c r="E127" s="53"/>
      <c r="F127" s="53"/>
      <c r="G127" s="52"/>
    </row>
    <row r="128">
      <c r="A128" s="52"/>
      <c r="B128" s="53"/>
      <c r="C128" s="53"/>
      <c r="D128" s="53"/>
      <c r="E128" s="53"/>
      <c r="F128" s="53"/>
      <c r="G128" s="52"/>
    </row>
    <row r="129">
      <c r="A129" s="52"/>
      <c r="B129" s="53"/>
      <c r="C129" s="53"/>
      <c r="D129" s="53"/>
      <c r="E129" s="53"/>
      <c r="F129" s="53"/>
      <c r="G129" s="52"/>
    </row>
    <row r="130">
      <c r="A130" s="52"/>
      <c r="B130" s="53"/>
      <c r="C130" s="53"/>
      <c r="D130" s="53"/>
      <c r="E130" s="53"/>
      <c r="F130" s="53"/>
      <c r="G130" s="52"/>
    </row>
    <row r="131">
      <c r="A131" s="52"/>
      <c r="B131" s="53"/>
      <c r="C131" s="53"/>
      <c r="D131" s="53"/>
      <c r="E131" s="53"/>
      <c r="F131" s="53"/>
      <c r="G131" s="52"/>
    </row>
    <row r="132">
      <c r="A132" s="52"/>
      <c r="B132" s="53"/>
      <c r="C132" s="53"/>
      <c r="D132" s="53"/>
      <c r="E132" s="53"/>
      <c r="F132" s="53"/>
      <c r="G132" s="52"/>
    </row>
    <row r="133">
      <c r="A133" s="52"/>
      <c r="B133" s="53"/>
      <c r="C133" s="53"/>
      <c r="D133" s="53"/>
      <c r="E133" s="53"/>
      <c r="F133" s="53"/>
      <c r="G133" s="52"/>
    </row>
    <row r="134">
      <c r="A134" s="52"/>
      <c r="B134" s="53"/>
      <c r="C134" s="53"/>
      <c r="D134" s="53"/>
      <c r="E134" s="53"/>
      <c r="F134" s="53"/>
      <c r="G134" s="52"/>
    </row>
    <row r="135">
      <c r="A135" s="52"/>
      <c r="B135" s="53"/>
      <c r="C135" s="53"/>
      <c r="D135" s="53"/>
      <c r="E135" s="53"/>
      <c r="F135" s="53"/>
      <c r="G135" s="52"/>
    </row>
    <row r="136">
      <c r="A136" s="52"/>
      <c r="B136" s="53"/>
      <c r="C136" s="53"/>
      <c r="D136" s="53"/>
      <c r="E136" s="53"/>
      <c r="F136" s="53"/>
      <c r="G136" s="52"/>
    </row>
    <row r="137">
      <c r="A137" s="52"/>
      <c r="B137" s="53"/>
      <c r="C137" s="53"/>
      <c r="D137" s="53"/>
      <c r="E137" s="53"/>
      <c r="F137" s="53"/>
      <c r="G137" s="52"/>
    </row>
    <row r="138">
      <c r="A138" s="52"/>
      <c r="B138" s="53"/>
      <c r="C138" s="53"/>
      <c r="D138" s="53"/>
      <c r="E138" s="53"/>
      <c r="F138" s="53"/>
      <c r="G138" s="52"/>
    </row>
    <row r="139">
      <c r="A139" s="52"/>
      <c r="B139" s="53"/>
      <c r="C139" s="53"/>
      <c r="D139" s="53"/>
      <c r="E139" s="53"/>
      <c r="F139" s="53"/>
      <c r="G139" s="52"/>
    </row>
    <row r="140">
      <c r="A140" s="52"/>
      <c r="B140" s="53"/>
      <c r="C140" s="53"/>
      <c r="D140" s="53"/>
      <c r="E140" s="53"/>
      <c r="F140" s="53"/>
      <c r="G140" s="52"/>
    </row>
    <row r="141">
      <c r="A141" s="52"/>
      <c r="B141" s="53"/>
      <c r="C141" s="53"/>
      <c r="D141" s="53"/>
      <c r="E141" s="53"/>
      <c r="F141" s="53"/>
      <c r="G141" s="52"/>
    </row>
    <row r="142">
      <c r="A142" s="52"/>
      <c r="B142" s="53"/>
      <c r="C142" s="53"/>
      <c r="D142" s="53"/>
      <c r="E142" s="53"/>
      <c r="F142" s="53"/>
      <c r="G142" s="52"/>
    </row>
    <row r="143">
      <c r="A143" s="52"/>
      <c r="B143" s="53"/>
      <c r="C143" s="53"/>
      <c r="D143" s="53"/>
      <c r="E143" s="53"/>
      <c r="F143" s="53"/>
      <c r="G143" s="52"/>
    </row>
    <row r="144">
      <c r="A144" s="52"/>
      <c r="B144" s="53"/>
      <c r="C144" s="53"/>
      <c r="D144" s="53"/>
      <c r="E144" s="53"/>
      <c r="F144" s="53"/>
      <c r="G144" s="52"/>
    </row>
    <row r="145">
      <c r="A145" s="52"/>
      <c r="B145" s="53"/>
      <c r="C145" s="53"/>
      <c r="D145" s="53"/>
      <c r="E145" s="53"/>
      <c r="F145" s="53"/>
      <c r="G145" s="52"/>
    </row>
    <row r="146">
      <c r="A146" s="52"/>
      <c r="B146" s="53"/>
      <c r="C146" s="53"/>
      <c r="D146" s="53"/>
      <c r="E146" s="53"/>
      <c r="F146" s="53"/>
      <c r="G146" s="52"/>
    </row>
    <row r="147">
      <c r="A147" s="52"/>
      <c r="B147" s="53"/>
      <c r="C147" s="53"/>
      <c r="D147" s="53"/>
      <c r="E147" s="53"/>
      <c r="F147" s="53"/>
      <c r="G147" s="52"/>
    </row>
    <row r="148">
      <c r="A148" s="52"/>
      <c r="B148" s="53"/>
      <c r="C148" s="53"/>
      <c r="D148" s="53"/>
      <c r="E148" s="53"/>
      <c r="F148" s="53"/>
      <c r="G148" s="52"/>
    </row>
    <row r="149">
      <c r="A149" s="52"/>
      <c r="B149" s="53"/>
      <c r="C149" s="53"/>
      <c r="D149" s="53"/>
      <c r="E149" s="53"/>
      <c r="F149" s="53"/>
      <c r="G149" s="52"/>
    </row>
    <row r="150">
      <c r="A150" s="52"/>
      <c r="B150" s="53"/>
      <c r="C150" s="53"/>
      <c r="D150" s="53"/>
      <c r="E150" s="53"/>
      <c r="F150" s="53"/>
      <c r="G150" s="52"/>
    </row>
    <row r="151">
      <c r="A151" s="52"/>
      <c r="B151" s="53"/>
      <c r="C151" s="53"/>
      <c r="D151" s="53"/>
      <c r="E151" s="53"/>
      <c r="F151" s="53"/>
      <c r="G151" s="52"/>
    </row>
    <row r="152">
      <c r="A152" s="52"/>
      <c r="B152" s="53"/>
      <c r="C152" s="53"/>
      <c r="D152" s="53"/>
      <c r="E152" s="53"/>
      <c r="F152" s="53"/>
      <c r="G152" s="52"/>
    </row>
    <row r="153">
      <c r="A153" s="52"/>
      <c r="B153" s="53"/>
      <c r="C153" s="53"/>
      <c r="D153" s="53"/>
      <c r="E153" s="53"/>
      <c r="F153" s="53"/>
      <c r="G153" s="52"/>
    </row>
    <row r="154">
      <c r="A154" s="52"/>
      <c r="B154" s="53"/>
      <c r="C154" s="53"/>
      <c r="D154" s="53"/>
      <c r="E154" s="53"/>
      <c r="F154" s="53"/>
      <c r="G154" s="52"/>
    </row>
    <row r="155">
      <c r="A155" s="52"/>
      <c r="B155" s="53"/>
      <c r="C155" s="53"/>
      <c r="D155" s="53"/>
      <c r="E155" s="53"/>
      <c r="F155" s="53"/>
      <c r="G155" s="52"/>
    </row>
    <row r="156">
      <c r="A156" s="52"/>
      <c r="B156" s="53"/>
      <c r="C156" s="53"/>
      <c r="D156" s="53"/>
      <c r="E156" s="53"/>
      <c r="F156" s="53"/>
      <c r="G156" s="52"/>
    </row>
    <row r="157">
      <c r="A157" s="52"/>
      <c r="B157" s="53"/>
      <c r="C157" s="53"/>
      <c r="D157" s="53"/>
      <c r="E157" s="53"/>
      <c r="F157" s="53"/>
      <c r="G157" s="52"/>
    </row>
    <row r="158">
      <c r="A158" s="52"/>
      <c r="B158" s="53"/>
      <c r="C158" s="53"/>
      <c r="D158" s="53"/>
      <c r="E158" s="53"/>
      <c r="F158" s="53"/>
      <c r="G158" s="52"/>
    </row>
    <row r="159">
      <c r="A159" s="52"/>
      <c r="B159" s="53"/>
      <c r="C159" s="53"/>
      <c r="D159" s="53"/>
      <c r="E159" s="53"/>
      <c r="F159" s="53"/>
      <c r="G159" s="52"/>
    </row>
    <row r="160">
      <c r="A160" s="52"/>
      <c r="B160" s="53"/>
      <c r="C160" s="53"/>
      <c r="D160" s="53"/>
      <c r="E160" s="53"/>
      <c r="F160" s="53"/>
      <c r="G160" s="52"/>
    </row>
    <row r="161">
      <c r="A161" s="52"/>
      <c r="B161" s="53"/>
      <c r="C161" s="53"/>
      <c r="D161" s="53"/>
      <c r="E161" s="53"/>
      <c r="F161" s="53"/>
      <c r="G161" s="52"/>
    </row>
    <row r="162">
      <c r="A162" s="52"/>
      <c r="B162" s="53"/>
      <c r="C162" s="53"/>
      <c r="D162" s="53"/>
      <c r="E162" s="53"/>
      <c r="F162" s="53"/>
      <c r="G162" s="52"/>
    </row>
    <row r="163">
      <c r="A163" s="52"/>
      <c r="B163" s="53"/>
      <c r="C163" s="53"/>
      <c r="D163" s="53"/>
      <c r="E163" s="53"/>
      <c r="F163" s="53"/>
      <c r="G163" s="52"/>
    </row>
    <row r="164">
      <c r="A164" s="52"/>
      <c r="B164" s="53"/>
      <c r="C164" s="53"/>
      <c r="D164" s="53"/>
      <c r="E164" s="53"/>
      <c r="F164" s="53"/>
      <c r="G164" s="52"/>
    </row>
    <row r="165">
      <c r="A165" s="52"/>
      <c r="B165" s="53"/>
      <c r="C165" s="53"/>
      <c r="D165" s="53"/>
      <c r="E165" s="53"/>
      <c r="F165" s="53"/>
      <c r="G165" s="52"/>
    </row>
    <row r="166">
      <c r="A166" s="52"/>
      <c r="B166" s="53"/>
      <c r="C166" s="53"/>
      <c r="D166" s="53"/>
      <c r="E166" s="53"/>
      <c r="F166" s="53"/>
      <c r="G166" s="52"/>
    </row>
    <row r="167">
      <c r="A167" s="52"/>
      <c r="B167" s="53"/>
      <c r="C167" s="53"/>
      <c r="D167" s="53"/>
      <c r="E167" s="53"/>
      <c r="F167" s="53"/>
      <c r="G167" s="52"/>
    </row>
    <row r="168">
      <c r="A168" s="52"/>
      <c r="B168" s="53"/>
      <c r="C168" s="53"/>
      <c r="D168" s="53"/>
      <c r="E168" s="53"/>
      <c r="F168" s="53"/>
      <c r="G168" s="52"/>
    </row>
    <row r="169">
      <c r="A169" s="52"/>
      <c r="B169" s="53"/>
      <c r="C169" s="53"/>
      <c r="D169" s="53"/>
      <c r="E169" s="53"/>
      <c r="F169" s="53"/>
      <c r="G169" s="52"/>
    </row>
    <row r="170">
      <c r="A170" s="52"/>
      <c r="B170" s="53"/>
      <c r="C170" s="53"/>
      <c r="D170" s="53"/>
      <c r="E170" s="53"/>
      <c r="F170" s="53"/>
      <c r="G170" s="52"/>
    </row>
    <row r="171">
      <c r="A171" s="52"/>
      <c r="B171" s="53"/>
      <c r="C171" s="53"/>
      <c r="D171" s="53"/>
      <c r="E171" s="53"/>
      <c r="F171" s="53"/>
      <c r="G171" s="52"/>
    </row>
    <row r="172">
      <c r="A172" s="52"/>
      <c r="B172" s="53"/>
      <c r="C172" s="53"/>
      <c r="D172" s="53"/>
      <c r="E172" s="53"/>
      <c r="F172" s="53"/>
      <c r="G172" s="52"/>
    </row>
    <row r="173">
      <c r="A173" s="52"/>
      <c r="B173" s="53"/>
      <c r="C173" s="53"/>
      <c r="D173" s="53"/>
      <c r="E173" s="53"/>
      <c r="F173" s="53"/>
      <c r="G173" s="52"/>
    </row>
    <row r="174">
      <c r="A174" s="52"/>
      <c r="B174" s="53"/>
      <c r="C174" s="53"/>
      <c r="D174" s="53"/>
      <c r="E174" s="53"/>
      <c r="F174" s="53"/>
      <c r="G174" s="52"/>
    </row>
    <row r="175">
      <c r="A175" s="52"/>
      <c r="B175" s="53"/>
      <c r="C175" s="53"/>
      <c r="D175" s="53"/>
      <c r="E175" s="53"/>
      <c r="F175" s="53"/>
      <c r="G175" s="52"/>
    </row>
    <row r="176">
      <c r="A176" s="52"/>
      <c r="B176" s="53"/>
      <c r="C176" s="53"/>
      <c r="D176" s="53"/>
      <c r="E176" s="53"/>
      <c r="F176" s="53"/>
      <c r="G176" s="52"/>
    </row>
    <row r="177">
      <c r="A177" s="52"/>
      <c r="B177" s="53"/>
      <c r="C177" s="53"/>
      <c r="D177" s="53"/>
      <c r="E177" s="53"/>
      <c r="F177" s="53"/>
      <c r="G177" s="52"/>
    </row>
    <row r="178">
      <c r="A178" s="52"/>
      <c r="B178" s="53"/>
      <c r="C178" s="53"/>
      <c r="D178" s="53"/>
      <c r="E178" s="53"/>
      <c r="F178" s="53"/>
      <c r="G178" s="52"/>
    </row>
    <row r="179">
      <c r="A179" s="52"/>
      <c r="B179" s="53"/>
      <c r="C179" s="53"/>
      <c r="D179" s="53"/>
      <c r="E179" s="53"/>
      <c r="F179" s="53"/>
      <c r="G179" s="52"/>
    </row>
    <row r="180">
      <c r="A180" s="52"/>
      <c r="B180" s="53"/>
      <c r="C180" s="53"/>
      <c r="D180" s="53"/>
      <c r="E180" s="53"/>
      <c r="F180" s="53"/>
      <c r="G180" s="52"/>
    </row>
    <row r="181">
      <c r="A181" s="52"/>
      <c r="B181" s="53"/>
      <c r="C181" s="53"/>
      <c r="D181" s="53"/>
      <c r="E181" s="53"/>
      <c r="F181" s="53"/>
      <c r="G181" s="52"/>
    </row>
    <row r="182">
      <c r="A182" s="52"/>
      <c r="B182" s="53"/>
      <c r="C182" s="53"/>
      <c r="D182" s="53"/>
      <c r="E182" s="53"/>
      <c r="F182" s="53"/>
      <c r="G182" s="52"/>
    </row>
    <row r="183">
      <c r="A183" s="52"/>
      <c r="B183" s="53"/>
      <c r="C183" s="53"/>
      <c r="D183" s="53"/>
      <c r="E183" s="53"/>
      <c r="F183" s="53"/>
      <c r="G183" s="52"/>
    </row>
    <row r="184">
      <c r="A184" s="52"/>
      <c r="B184" s="53"/>
      <c r="C184" s="53"/>
      <c r="D184" s="53"/>
      <c r="E184" s="53"/>
      <c r="F184" s="53"/>
      <c r="G184" s="52"/>
    </row>
    <row r="185">
      <c r="A185" s="52"/>
      <c r="B185" s="53"/>
      <c r="C185" s="53"/>
      <c r="D185" s="53"/>
      <c r="E185" s="53"/>
      <c r="F185" s="53"/>
      <c r="G185" s="52"/>
    </row>
    <row r="186">
      <c r="A186" s="52"/>
      <c r="B186" s="53"/>
      <c r="C186" s="53"/>
      <c r="D186" s="53"/>
      <c r="E186" s="53"/>
      <c r="F186" s="53"/>
      <c r="G186" s="52"/>
    </row>
    <row r="187">
      <c r="A187" s="52"/>
      <c r="B187" s="53"/>
      <c r="C187" s="53"/>
      <c r="D187" s="53"/>
      <c r="E187" s="53"/>
      <c r="F187" s="53"/>
      <c r="G187" s="52"/>
    </row>
    <row r="188">
      <c r="A188" s="52"/>
      <c r="B188" s="53"/>
      <c r="C188" s="53"/>
      <c r="D188" s="53"/>
      <c r="E188" s="53"/>
      <c r="F188" s="53"/>
      <c r="G188" s="52"/>
    </row>
    <row r="189">
      <c r="A189" s="52"/>
      <c r="B189" s="53"/>
      <c r="C189" s="53"/>
      <c r="D189" s="53"/>
      <c r="E189" s="53"/>
      <c r="F189" s="53"/>
      <c r="G189" s="52"/>
    </row>
    <row r="190">
      <c r="A190" s="52"/>
      <c r="B190" s="53"/>
      <c r="C190" s="53"/>
      <c r="D190" s="53"/>
      <c r="E190" s="53"/>
      <c r="F190" s="53"/>
      <c r="G190" s="52"/>
    </row>
    <row r="191">
      <c r="A191" s="52"/>
      <c r="B191" s="53"/>
      <c r="C191" s="53"/>
      <c r="D191" s="53"/>
      <c r="E191" s="53"/>
      <c r="F191" s="53"/>
      <c r="G191" s="52"/>
    </row>
    <row r="192">
      <c r="A192" s="52"/>
      <c r="B192" s="53"/>
      <c r="C192" s="53"/>
      <c r="D192" s="53"/>
      <c r="E192" s="53"/>
      <c r="F192" s="53"/>
      <c r="G192" s="52"/>
    </row>
    <row r="193">
      <c r="A193" s="52"/>
      <c r="B193" s="53"/>
      <c r="C193" s="53"/>
      <c r="D193" s="53"/>
      <c r="E193" s="53"/>
      <c r="F193" s="53"/>
      <c r="G193" s="52"/>
    </row>
    <row r="194">
      <c r="A194" s="52"/>
      <c r="B194" s="53"/>
      <c r="C194" s="53"/>
      <c r="D194" s="53"/>
      <c r="E194" s="53"/>
      <c r="F194" s="53"/>
      <c r="G194" s="52"/>
    </row>
    <row r="195">
      <c r="A195" s="52"/>
      <c r="B195" s="53"/>
      <c r="C195" s="53"/>
      <c r="D195" s="53"/>
      <c r="E195" s="53"/>
      <c r="F195" s="53"/>
      <c r="G195" s="52"/>
    </row>
    <row r="196">
      <c r="A196" s="52"/>
      <c r="B196" s="53"/>
      <c r="C196" s="53"/>
      <c r="D196" s="53"/>
      <c r="E196" s="53"/>
      <c r="F196" s="53"/>
      <c r="G196" s="52"/>
    </row>
    <row r="197">
      <c r="A197" s="52"/>
      <c r="B197" s="53"/>
      <c r="C197" s="53"/>
      <c r="D197" s="53"/>
      <c r="E197" s="53"/>
      <c r="F197" s="53"/>
      <c r="G197" s="52"/>
    </row>
    <row r="198">
      <c r="A198" s="52"/>
      <c r="B198" s="53"/>
      <c r="C198" s="53"/>
      <c r="D198" s="53"/>
      <c r="E198" s="53"/>
      <c r="F198" s="53"/>
      <c r="G198" s="52"/>
    </row>
    <row r="199">
      <c r="A199" s="52"/>
      <c r="B199" s="53"/>
      <c r="C199" s="53"/>
      <c r="D199" s="53"/>
      <c r="E199" s="53"/>
      <c r="F199" s="53"/>
      <c r="G199" s="52"/>
    </row>
    <row r="200">
      <c r="A200" s="52"/>
      <c r="B200" s="53"/>
      <c r="C200" s="53"/>
      <c r="D200" s="53"/>
      <c r="E200" s="53"/>
      <c r="F200" s="53"/>
      <c r="G200" s="52"/>
    </row>
    <row r="201">
      <c r="A201" s="52"/>
      <c r="B201" s="53"/>
      <c r="C201" s="53"/>
      <c r="D201" s="53"/>
      <c r="E201" s="53"/>
      <c r="F201" s="53"/>
      <c r="G201" s="52"/>
    </row>
    <row r="202">
      <c r="A202" s="52"/>
      <c r="B202" s="53"/>
      <c r="C202" s="53"/>
      <c r="D202" s="53"/>
      <c r="E202" s="53"/>
      <c r="F202" s="53"/>
      <c r="G202" s="52"/>
    </row>
    <row r="203">
      <c r="A203" s="52"/>
      <c r="B203" s="53"/>
      <c r="C203" s="53"/>
      <c r="D203" s="53"/>
      <c r="E203" s="53"/>
      <c r="F203" s="53"/>
      <c r="G203" s="52"/>
    </row>
    <row r="204">
      <c r="A204" s="52"/>
      <c r="B204" s="53"/>
      <c r="C204" s="53"/>
      <c r="D204" s="53"/>
      <c r="E204" s="53"/>
      <c r="F204" s="53"/>
      <c r="G204" s="52"/>
    </row>
    <row r="205">
      <c r="A205" s="52"/>
      <c r="B205" s="53"/>
      <c r="C205" s="53"/>
      <c r="D205" s="53"/>
      <c r="E205" s="53"/>
      <c r="F205" s="53"/>
      <c r="G205" s="52"/>
    </row>
    <row r="206">
      <c r="A206" s="52"/>
      <c r="B206" s="53"/>
      <c r="C206" s="53"/>
      <c r="D206" s="53"/>
      <c r="E206" s="53"/>
      <c r="F206" s="53"/>
      <c r="G206" s="52"/>
    </row>
    <row r="207">
      <c r="A207" s="52"/>
      <c r="B207" s="53"/>
      <c r="C207" s="53"/>
      <c r="D207" s="53"/>
      <c r="E207" s="53"/>
      <c r="F207" s="53"/>
      <c r="G207" s="52"/>
    </row>
    <row r="208">
      <c r="A208" s="52"/>
      <c r="B208" s="53"/>
      <c r="C208" s="53"/>
      <c r="D208" s="53"/>
      <c r="E208" s="53"/>
      <c r="F208" s="53"/>
      <c r="G208" s="52"/>
    </row>
    <row r="209">
      <c r="A209" s="52"/>
      <c r="B209" s="53"/>
      <c r="C209" s="53"/>
      <c r="D209" s="53"/>
      <c r="E209" s="53"/>
      <c r="F209" s="53"/>
      <c r="G209" s="52"/>
    </row>
    <row r="210">
      <c r="A210" s="52"/>
      <c r="B210" s="53"/>
      <c r="C210" s="53"/>
      <c r="D210" s="53"/>
      <c r="E210" s="53"/>
      <c r="F210" s="53"/>
      <c r="G210" s="52"/>
    </row>
    <row r="211">
      <c r="A211" s="52"/>
      <c r="B211" s="53"/>
      <c r="C211" s="53"/>
      <c r="D211" s="53"/>
      <c r="E211" s="53"/>
      <c r="F211" s="53"/>
      <c r="G211" s="52"/>
    </row>
    <row r="212">
      <c r="A212" s="52"/>
      <c r="B212" s="53"/>
      <c r="C212" s="53"/>
      <c r="D212" s="53"/>
      <c r="E212" s="53"/>
      <c r="F212" s="53"/>
      <c r="G212" s="52"/>
    </row>
    <row r="213">
      <c r="A213" s="52"/>
      <c r="B213" s="53"/>
      <c r="C213" s="53"/>
      <c r="D213" s="53"/>
      <c r="E213" s="53"/>
      <c r="F213" s="53"/>
      <c r="G213" s="52"/>
    </row>
    <row r="214">
      <c r="A214" s="52"/>
      <c r="B214" s="53"/>
      <c r="C214" s="53"/>
      <c r="D214" s="53"/>
      <c r="E214" s="53"/>
      <c r="F214" s="53"/>
      <c r="G214" s="52"/>
    </row>
    <row r="215">
      <c r="A215" s="52"/>
      <c r="B215" s="53"/>
      <c r="C215" s="53"/>
      <c r="D215" s="53"/>
      <c r="E215" s="53"/>
      <c r="F215" s="53"/>
      <c r="G215" s="52"/>
    </row>
    <row r="216">
      <c r="A216" s="52"/>
      <c r="B216" s="53"/>
      <c r="C216" s="53"/>
      <c r="D216" s="53"/>
      <c r="E216" s="53"/>
      <c r="F216" s="53"/>
      <c r="G216" s="52"/>
    </row>
    <row r="217">
      <c r="A217" s="52"/>
      <c r="B217" s="53"/>
      <c r="C217" s="53"/>
      <c r="D217" s="53"/>
      <c r="E217" s="53"/>
      <c r="F217" s="53"/>
      <c r="G217" s="52"/>
    </row>
    <row r="218">
      <c r="A218" s="52"/>
      <c r="B218" s="53"/>
      <c r="C218" s="53"/>
      <c r="D218" s="53"/>
      <c r="E218" s="53"/>
      <c r="F218" s="53"/>
      <c r="G218" s="52"/>
    </row>
    <row r="219">
      <c r="A219" s="52"/>
      <c r="B219" s="53"/>
      <c r="C219" s="53"/>
      <c r="D219" s="53"/>
      <c r="E219" s="53"/>
      <c r="F219" s="53"/>
      <c r="G219" s="52"/>
    </row>
    <row r="220">
      <c r="A220" s="52"/>
      <c r="B220" s="53"/>
      <c r="C220" s="53"/>
      <c r="D220" s="53"/>
      <c r="E220" s="53"/>
      <c r="F220" s="53"/>
      <c r="G220" s="52"/>
    </row>
    <row r="221">
      <c r="A221" s="52"/>
      <c r="B221" s="53"/>
      <c r="C221" s="53"/>
      <c r="D221" s="53"/>
      <c r="E221" s="53"/>
      <c r="F221" s="53"/>
      <c r="G221" s="52"/>
    </row>
    <row r="222">
      <c r="A222" s="52"/>
      <c r="B222" s="53"/>
      <c r="C222" s="53"/>
      <c r="D222" s="53"/>
      <c r="E222" s="53"/>
      <c r="F222" s="53"/>
      <c r="G222" s="52"/>
    </row>
    <row r="223">
      <c r="A223" s="52"/>
      <c r="B223" s="53"/>
      <c r="C223" s="53"/>
      <c r="D223" s="53"/>
      <c r="E223" s="53"/>
      <c r="F223" s="53"/>
      <c r="G223" s="52"/>
    </row>
    <row r="224">
      <c r="A224" s="52"/>
      <c r="B224" s="53"/>
      <c r="C224" s="53"/>
      <c r="D224" s="53"/>
      <c r="E224" s="53"/>
      <c r="F224" s="53"/>
      <c r="G224" s="52"/>
    </row>
    <row r="225">
      <c r="A225" s="52"/>
      <c r="B225" s="53"/>
      <c r="C225" s="53"/>
      <c r="D225" s="53"/>
      <c r="E225" s="53"/>
      <c r="F225" s="53"/>
      <c r="G225" s="52"/>
    </row>
    <row r="226">
      <c r="A226" s="52"/>
      <c r="B226" s="53"/>
      <c r="C226" s="53"/>
      <c r="D226" s="53"/>
      <c r="E226" s="53"/>
      <c r="F226" s="53"/>
      <c r="G226" s="52"/>
    </row>
    <row r="227">
      <c r="A227" s="52"/>
      <c r="B227" s="53"/>
      <c r="C227" s="53"/>
      <c r="D227" s="53"/>
      <c r="E227" s="53"/>
      <c r="F227" s="53"/>
      <c r="G227" s="52"/>
    </row>
    <row r="228">
      <c r="A228" s="52"/>
      <c r="B228" s="53"/>
      <c r="C228" s="53"/>
      <c r="D228" s="53"/>
      <c r="E228" s="53"/>
      <c r="F228" s="53"/>
      <c r="G228" s="52"/>
    </row>
    <row r="229">
      <c r="A229" s="52"/>
      <c r="B229" s="53"/>
      <c r="C229" s="53"/>
      <c r="D229" s="53"/>
      <c r="E229" s="53"/>
      <c r="F229" s="53"/>
      <c r="G229" s="52"/>
    </row>
    <row r="230">
      <c r="A230" s="52"/>
      <c r="B230" s="53"/>
      <c r="C230" s="53"/>
      <c r="D230" s="53"/>
      <c r="E230" s="53"/>
      <c r="F230" s="53"/>
      <c r="G230" s="52"/>
    </row>
    <row r="231">
      <c r="A231" s="52"/>
      <c r="B231" s="53"/>
      <c r="C231" s="53"/>
      <c r="D231" s="53"/>
      <c r="E231" s="53"/>
      <c r="F231" s="53"/>
      <c r="G231" s="52"/>
    </row>
    <row r="232">
      <c r="A232" s="52"/>
      <c r="B232" s="53"/>
      <c r="C232" s="53"/>
      <c r="D232" s="53"/>
      <c r="E232" s="53"/>
      <c r="F232" s="53"/>
      <c r="G232" s="52"/>
    </row>
    <row r="233">
      <c r="A233" s="52"/>
      <c r="B233" s="53"/>
      <c r="C233" s="53"/>
      <c r="D233" s="53"/>
      <c r="E233" s="53"/>
      <c r="F233" s="53"/>
      <c r="G233" s="52"/>
    </row>
    <row r="234">
      <c r="A234" s="52"/>
      <c r="B234" s="53"/>
      <c r="C234" s="53"/>
      <c r="D234" s="53"/>
      <c r="E234" s="53"/>
      <c r="F234" s="53"/>
      <c r="G234" s="52"/>
    </row>
    <row r="235">
      <c r="A235" s="52"/>
      <c r="B235" s="53"/>
      <c r="C235" s="53"/>
      <c r="D235" s="53"/>
      <c r="E235" s="53"/>
      <c r="F235" s="53"/>
      <c r="G235" s="52"/>
    </row>
    <row r="236">
      <c r="A236" s="52"/>
      <c r="B236" s="53"/>
      <c r="C236" s="53"/>
      <c r="D236" s="53"/>
      <c r="E236" s="53"/>
      <c r="F236" s="53"/>
      <c r="G236" s="52"/>
    </row>
    <row r="237">
      <c r="A237" s="52"/>
      <c r="B237" s="53"/>
      <c r="C237" s="53"/>
      <c r="D237" s="53"/>
      <c r="E237" s="53"/>
      <c r="F237" s="53"/>
      <c r="G237" s="52"/>
    </row>
    <row r="238">
      <c r="A238" s="52"/>
      <c r="B238" s="53"/>
      <c r="C238" s="53"/>
      <c r="D238" s="53"/>
      <c r="E238" s="53"/>
      <c r="F238" s="53"/>
      <c r="G238" s="52"/>
    </row>
    <row r="239">
      <c r="A239" s="52"/>
      <c r="B239" s="53"/>
      <c r="C239" s="53"/>
      <c r="D239" s="53"/>
      <c r="E239" s="53"/>
      <c r="F239" s="53"/>
      <c r="G239" s="52"/>
    </row>
    <row r="240">
      <c r="A240" s="52"/>
      <c r="B240" s="53"/>
      <c r="C240" s="53"/>
      <c r="D240" s="53"/>
      <c r="E240" s="53"/>
      <c r="F240" s="53"/>
      <c r="G240" s="52"/>
    </row>
    <row r="241">
      <c r="A241" s="52"/>
      <c r="B241" s="53"/>
      <c r="C241" s="53"/>
      <c r="D241" s="53"/>
      <c r="E241" s="53"/>
      <c r="F241" s="53"/>
      <c r="G241" s="52"/>
    </row>
    <row r="242">
      <c r="A242" s="52"/>
      <c r="B242" s="53"/>
      <c r="C242" s="53"/>
      <c r="D242" s="53"/>
      <c r="E242" s="53"/>
      <c r="F242" s="53"/>
      <c r="G242" s="52"/>
    </row>
    <row r="243">
      <c r="A243" s="52"/>
      <c r="B243" s="53"/>
      <c r="C243" s="53"/>
      <c r="D243" s="53"/>
      <c r="E243" s="53"/>
      <c r="F243" s="53"/>
      <c r="G243" s="52"/>
    </row>
    <row r="244">
      <c r="A244" s="52"/>
      <c r="B244" s="53"/>
      <c r="C244" s="53"/>
      <c r="D244" s="53"/>
      <c r="E244" s="53"/>
      <c r="F244" s="53"/>
      <c r="G244" s="52"/>
    </row>
    <row r="245">
      <c r="A245" s="52"/>
      <c r="B245" s="53"/>
      <c r="C245" s="53"/>
      <c r="D245" s="53"/>
      <c r="E245" s="53"/>
      <c r="F245" s="53"/>
      <c r="G245" s="52"/>
    </row>
    <row r="246">
      <c r="A246" s="52"/>
      <c r="B246" s="53"/>
      <c r="C246" s="53"/>
      <c r="D246" s="53"/>
      <c r="E246" s="53"/>
      <c r="F246" s="53"/>
      <c r="G246" s="52"/>
    </row>
    <row r="247">
      <c r="A247" s="52"/>
      <c r="B247" s="53"/>
      <c r="C247" s="53"/>
      <c r="D247" s="53"/>
      <c r="E247" s="53"/>
      <c r="F247" s="53"/>
      <c r="G247" s="52"/>
    </row>
    <row r="248">
      <c r="A248" s="52"/>
      <c r="B248" s="53"/>
      <c r="C248" s="53"/>
      <c r="D248" s="53"/>
      <c r="E248" s="53"/>
      <c r="F248" s="53"/>
      <c r="G248" s="52"/>
    </row>
    <row r="249">
      <c r="A249" s="52"/>
      <c r="B249" s="53"/>
      <c r="C249" s="53"/>
      <c r="D249" s="53"/>
      <c r="E249" s="53"/>
      <c r="F249" s="53"/>
      <c r="G249" s="52"/>
    </row>
    <row r="250">
      <c r="A250" s="52"/>
      <c r="B250" s="53"/>
      <c r="C250" s="53"/>
      <c r="D250" s="53"/>
      <c r="E250" s="53"/>
      <c r="F250" s="53"/>
      <c r="G250" s="52"/>
    </row>
    <row r="251">
      <c r="A251" s="52"/>
      <c r="B251" s="53"/>
      <c r="C251" s="53"/>
      <c r="D251" s="53"/>
      <c r="E251" s="53"/>
      <c r="F251" s="53"/>
      <c r="G251" s="52"/>
    </row>
    <row r="252">
      <c r="A252" s="52"/>
      <c r="B252" s="53"/>
      <c r="C252" s="53"/>
      <c r="D252" s="53"/>
      <c r="E252" s="53"/>
      <c r="F252" s="53"/>
      <c r="G252" s="52"/>
    </row>
    <row r="253">
      <c r="A253" s="52"/>
      <c r="B253" s="53"/>
      <c r="C253" s="53"/>
      <c r="D253" s="53"/>
      <c r="E253" s="53"/>
      <c r="F253" s="53"/>
      <c r="G253" s="52"/>
    </row>
    <row r="254">
      <c r="A254" s="52"/>
      <c r="B254" s="53"/>
      <c r="C254" s="53"/>
      <c r="D254" s="53"/>
      <c r="E254" s="53"/>
      <c r="F254" s="53"/>
      <c r="G254" s="52"/>
    </row>
    <row r="255">
      <c r="A255" s="52"/>
      <c r="B255" s="53"/>
      <c r="C255" s="53"/>
      <c r="D255" s="53"/>
      <c r="E255" s="53"/>
      <c r="F255" s="53"/>
      <c r="G255" s="52"/>
    </row>
    <row r="256">
      <c r="A256" s="52"/>
      <c r="B256" s="53"/>
      <c r="C256" s="53"/>
      <c r="D256" s="53"/>
      <c r="E256" s="53"/>
      <c r="F256" s="53"/>
      <c r="G256" s="52"/>
    </row>
    <row r="257">
      <c r="A257" s="52"/>
      <c r="B257" s="53"/>
      <c r="C257" s="53"/>
      <c r="D257" s="53"/>
      <c r="E257" s="53"/>
      <c r="F257" s="53"/>
      <c r="G257" s="52"/>
    </row>
    <row r="258">
      <c r="A258" s="52"/>
      <c r="B258" s="53"/>
      <c r="C258" s="53"/>
      <c r="D258" s="53"/>
      <c r="E258" s="53"/>
      <c r="F258" s="53"/>
      <c r="G258" s="52"/>
    </row>
    <row r="259">
      <c r="A259" s="52"/>
      <c r="B259" s="53"/>
      <c r="C259" s="53"/>
      <c r="D259" s="53"/>
      <c r="E259" s="53"/>
      <c r="F259" s="53"/>
      <c r="G259" s="52"/>
    </row>
    <row r="260">
      <c r="A260" s="52"/>
      <c r="B260" s="53"/>
      <c r="C260" s="53"/>
      <c r="D260" s="53"/>
      <c r="E260" s="53"/>
      <c r="F260" s="53"/>
      <c r="G260" s="52"/>
    </row>
    <row r="261">
      <c r="A261" s="52"/>
      <c r="B261" s="53"/>
      <c r="C261" s="53"/>
      <c r="D261" s="53"/>
      <c r="E261" s="53"/>
      <c r="F261" s="53"/>
      <c r="G261" s="52"/>
    </row>
    <row r="262">
      <c r="A262" s="52"/>
      <c r="B262" s="53"/>
      <c r="C262" s="53"/>
      <c r="D262" s="53"/>
      <c r="E262" s="53"/>
      <c r="F262" s="53"/>
      <c r="G262" s="52"/>
    </row>
    <row r="263">
      <c r="A263" s="52"/>
      <c r="B263" s="53"/>
      <c r="C263" s="53"/>
      <c r="D263" s="53"/>
      <c r="E263" s="53"/>
      <c r="F263" s="53"/>
      <c r="G263" s="52"/>
    </row>
    <row r="264">
      <c r="A264" s="52"/>
      <c r="B264" s="53"/>
      <c r="C264" s="53"/>
      <c r="D264" s="53"/>
      <c r="E264" s="53"/>
      <c r="F264" s="53"/>
      <c r="G264" s="52"/>
    </row>
    <row r="265">
      <c r="A265" s="52"/>
      <c r="B265" s="53"/>
      <c r="C265" s="53"/>
      <c r="D265" s="53"/>
      <c r="E265" s="53"/>
      <c r="F265" s="53"/>
      <c r="G265" s="52"/>
    </row>
    <row r="266">
      <c r="A266" s="52"/>
      <c r="B266" s="53"/>
      <c r="C266" s="53"/>
      <c r="D266" s="53"/>
      <c r="E266" s="53"/>
      <c r="F266" s="53"/>
      <c r="G266" s="52"/>
    </row>
    <row r="267">
      <c r="A267" s="52"/>
      <c r="B267" s="53"/>
      <c r="C267" s="53"/>
      <c r="D267" s="53"/>
      <c r="E267" s="53"/>
      <c r="F267" s="53"/>
      <c r="G267" s="52"/>
    </row>
    <row r="268">
      <c r="A268" s="52"/>
      <c r="B268" s="53"/>
      <c r="C268" s="53"/>
      <c r="D268" s="53"/>
      <c r="E268" s="53"/>
      <c r="F268" s="53"/>
      <c r="G268" s="52"/>
    </row>
    <row r="269">
      <c r="A269" s="52"/>
      <c r="B269" s="53"/>
      <c r="C269" s="53"/>
      <c r="D269" s="53"/>
      <c r="E269" s="53"/>
      <c r="F269" s="53"/>
      <c r="G269" s="52"/>
    </row>
    <row r="270">
      <c r="A270" s="52"/>
      <c r="B270" s="53"/>
      <c r="C270" s="53"/>
      <c r="D270" s="53"/>
      <c r="E270" s="53"/>
      <c r="F270" s="53"/>
      <c r="G270" s="52"/>
    </row>
    <row r="271">
      <c r="A271" s="52"/>
      <c r="B271" s="53"/>
      <c r="C271" s="53"/>
      <c r="D271" s="53"/>
      <c r="E271" s="53"/>
      <c r="F271" s="53"/>
      <c r="G271" s="52"/>
    </row>
    <row r="272">
      <c r="A272" s="52"/>
      <c r="B272" s="53"/>
      <c r="C272" s="53"/>
      <c r="D272" s="53"/>
      <c r="E272" s="53"/>
      <c r="F272" s="53"/>
      <c r="G272" s="52"/>
    </row>
    <row r="273">
      <c r="A273" s="52"/>
      <c r="B273" s="53"/>
      <c r="C273" s="53"/>
      <c r="D273" s="53"/>
      <c r="E273" s="53"/>
      <c r="F273" s="53"/>
      <c r="G273" s="52"/>
    </row>
    <row r="274">
      <c r="A274" s="52"/>
      <c r="B274" s="53"/>
      <c r="C274" s="53"/>
      <c r="D274" s="53"/>
      <c r="E274" s="53"/>
      <c r="F274" s="53"/>
      <c r="G274" s="52"/>
    </row>
    <row r="275">
      <c r="A275" s="52"/>
      <c r="B275" s="53"/>
      <c r="C275" s="53"/>
      <c r="D275" s="53"/>
      <c r="E275" s="53"/>
      <c r="F275" s="53"/>
      <c r="G275" s="52"/>
    </row>
    <row r="276">
      <c r="A276" s="52"/>
      <c r="B276" s="53"/>
      <c r="C276" s="53"/>
      <c r="D276" s="53"/>
      <c r="E276" s="53"/>
      <c r="F276" s="53"/>
      <c r="G276" s="52"/>
    </row>
    <row r="277">
      <c r="A277" s="52"/>
      <c r="B277" s="53"/>
      <c r="C277" s="53"/>
      <c r="D277" s="53"/>
      <c r="E277" s="53"/>
      <c r="F277" s="53"/>
      <c r="G277" s="52"/>
    </row>
    <row r="278">
      <c r="A278" s="52"/>
      <c r="B278" s="53"/>
      <c r="C278" s="53"/>
      <c r="D278" s="53"/>
      <c r="E278" s="53"/>
      <c r="F278" s="53"/>
      <c r="G278" s="52"/>
    </row>
    <row r="279">
      <c r="A279" s="52"/>
      <c r="B279" s="53"/>
      <c r="C279" s="53"/>
      <c r="D279" s="53"/>
      <c r="E279" s="53"/>
      <c r="F279" s="53"/>
      <c r="G279" s="52"/>
    </row>
    <row r="280">
      <c r="A280" s="52"/>
      <c r="B280" s="53"/>
      <c r="C280" s="53"/>
      <c r="D280" s="53"/>
      <c r="E280" s="53"/>
      <c r="F280" s="53"/>
      <c r="G280" s="52"/>
    </row>
    <row r="281">
      <c r="A281" s="52"/>
      <c r="B281" s="53"/>
      <c r="C281" s="53"/>
      <c r="D281" s="53"/>
      <c r="E281" s="53"/>
      <c r="F281" s="53"/>
      <c r="G281" s="52"/>
    </row>
    <row r="282">
      <c r="A282" s="52"/>
      <c r="B282" s="53"/>
      <c r="C282" s="53"/>
      <c r="D282" s="53"/>
      <c r="E282" s="53"/>
      <c r="F282" s="53"/>
      <c r="G282" s="52"/>
    </row>
    <row r="283">
      <c r="A283" s="52"/>
      <c r="B283" s="53"/>
      <c r="C283" s="53"/>
      <c r="D283" s="53"/>
      <c r="E283" s="53"/>
      <c r="F283" s="53"/>
      <c r="G283" s="52"/>
    </row>
    <row r="284">
      <c r="A284" s="52"/>
      <c r="B284" s="53"/>
      <c r="C284" s="53"/>
      <c r="D284" s="53"/>
      <c r="E284" s="53"/>
      <c r="F284" s="53"/>
      <c r="G284" s="52"/>
    </row>
    <row r="285">
      <c r="A285" s="52"/>
      <c r="B285" s="53"/>
      <c r="C285" s="53"/>
      <c r="D285" s="53"/>
      <c r="E285" s="53"/>
      <c r="F285" s="53"/>
      <c r="G285" s="52"/>
    </row>
    <row r="286">
      <c r="A286" s="52"/>
      <c r="B286" s="53"/>
      <c r="C286" s="53"/>
      <c r="D286" s="53"/>
      <c r="E286" s="53"/>
      <c r="F286" s="53"/>
      <c r="G286" s="52"/>
    </row>
    <row r="287">
      <c r="A287" s="52"/>
      <c r="B287" s="53"/>
      <c r="C287" s="53"/>
      <c r="D287" s="53"/>
      <c r="E287" s="53"/>
      <c r="F287" s="53"/>
      <c r="G287" s="52"/>
    </row>
    <row r="288">
      <c r="A288" s="52"/>
      <c r="B288" s="53"/>
      <c r="C288" s="53"/>
      <c r="D288" s="53"/>
      <c r="E288" s="53"/>
      <c r="F288" s="53"/>
      <c r="G288" s="52"/>
    </row>
    <row r="289">
      <c r="A289" s="52"/>
      <c r="B289" s="53"/>
      <c r="C289" s="53"/>
      <c r="D289" s="53"/>
      <c r="E289" s="53"/>
      <c r="F289" s="53"/>
      <c r="G289" s="52"/>
    </row>
    <row r="290">
      <c r="A290" s="52"/>
      <c r="B290" s="53"/>
      <c r="C290" s="53"/>
      <c r="D290" s="53"/>
      <c r="E290" s="53"/>
      <c r="F290" s="53"/>
      <c r="G290" s="52"/>
    </row>
    <row r="291">
      <c r="A291" s="52"/>
      <c r="B291" s="53"/>
      <c r="C291" s="53"/>
      <c r="D291" s="53"/>
      <c r="E291" s="53"/>
      <c r="F291" s="53"/>
      <c r="G291" s="52"/>
    </row>
    <row r="292">
      <c r="A292" s="52"/>
      <c r="B292" s="53"/>
      <c r="C292" s="53"/>
      <c r="D292" s="53"/>
      <c r="E292" s="53"/>
      <c r="F292" s="53"/>
      <c r="G292" s="52"/>
    </row>
    <row r="293">
      <c r="A293" s="52"/>
      <c r="B293" s="53"/>
      <c r="C293" s="53"/>
      <c r="D293" s="53"/>
      <c r="E293" s="53"/>
      <c r="F293" s="53"/>
      <c r="G293" s="52"/>
    </row>
    <row r="294">
      <c r="A294" s="52"/>
      <c r="B294" s="53"/>
      <c r="C294" s="53"/>
      <c r="D294" s="53"/>
      <c r="E294" s="53"/>
      <c r="F294" s="53"/>
      <c r="G294" s="52"/>
    </row>
    <row r="295">
      <c r="A295" s="52"/>
      <c r="B295" s="53"/>
      <c r="C295" s="53"/>
      <c r="D295" s="53"/>
      <c r="E295" s="53"/>
      <c r="F295" s="53"/>
      <c r="G295" s="52"/>
    </row>
    <row r="296">
      <c r="A296" s="52"/>
      <c r="B296" s="53"/>
      <c r="C296" s="53"/>
      <c r="D296" s="53"/>
      <c r="E296" s="53"/>
      <c r="F296" s="53"/>
      <c r="G296" s="52"/>
    </row>
    <row r="297">
      <c r="A297" s="52"/>
      <c r="B297" s="53"/>
      <c r="C297" s="53"/>
      <c r="D297" s="53"/>
      <c r="E297" s="53"/>
      <c r="F297" s="53"/>
      <c r="G297" s="52"/>
    </row>
    <row r="298">
      <c r="A298" s="52"/>
      <c r="B298" s="53"/>
      <c r="C298" s="53"/>
      <c r="D298" s="53"/>
      <c r="E298" s="53"/>
      <c r="F298" s="53"/>
      <c r="G298" s="52"/>
    </row>
    <row r="299">
      <c r="A299" s="52"/>
      <c r="B299" s="53"/>
      <c r="C299" s="53"/>
      <c r="D299" s="53"/>
      <c r="E299" s="53"/>
      <c r="F299" s="53"/>
      <c r="G299" s="52"/>
    </row>
    <row r="300">
      <c r="A300" s="52"/>
      <c r="B300" s="53"/>
      <c r="C300" s="53"/>
      <c r="D300" s="53"/>
      <c r="E300" s="53"/>
      <c r="F300" s="53"/>
      <c r="G300" s="52"/>
    </row>
    <row r="301">
      <c r="A301" s="52"/>
      <c r="B301" s="53"/>
      <c r="C301" s="53"/>
      <c r="D301" s="53"/>
      <c r="E301" s="53"/>
      <c r="F301" s="53"/>
      <c r="G301" s="52"/>
    </row>
    <row r="302">
      <c r="A302" s="52"/>
      <c r="B302" s="53"/>
      <c r="C302" s="53"/>
      <c r="D302" s="53"/>
      <c r="E302" s="53"/>
      <c r="F302" s="53"/>
      <c r="G302" s="52"/>
    </row>
    <row r="303">
      <c r="A303" s="52"/>
      <c r="B303" s="53"/>
      <c r="C303" s="53"/>
      <c r="D303" s="53"/>
      <c r="E303" s="53"/>
      <c r="F303" s="53"/>
      <c r="G303" s="52"/>
    </row>
    <row r="304">
      <c r="A304" s="52"/>
      <c r="B304" s="53"/>
      <c r="C304" s="53"/>
      <c r="D304" s="53"/>
      <c r="E304" s="53"/>
      <c r="F304" s="53"/>
      <c r="G304" s="52"/>
    </row>
    <row r="305">
      <c r="A305" s="52"/>
      <c r="B305" s="53"/>
      <c r="C305" s="53"/>
      <c r="D305" s="53"/>
      <c r="E305" s="53"/>
      <c r="F305" s="53"/>
      <c r="G305" s="52"/>
    </row>
    <row r="306">
      <c r="A306" s="52"/>
      <c r="B306" s="53"/>
      <c r="C306" s="53"/>
      <c r="D306" s="53"/>
      <c r="E306" s="53"/>
      <c r="F306" s="53"/>
      <c r="G306" s="52"/>
    </row>
    <row r="307">
      <c r="A307" s="52"/>
      <c r="B307" s="53"/>
      <c r="C307" s="53"/>
      <c r="D307" s="53"/>
      <c r="E307" s="53"/>
      <c r="F307" s="53"/>
      <c r="G307" s="52"/>
    </row>
    <row r="308">
      <c r="A308" s="52"/>
      <c r="B308" s="53"/>
      <c r="C308" s="53"/>
      <c r="D308" s="53"/>
      <c r="E308" s="53"/>
      <c r="F308" s="53"/>
      <c r="G308" s="52"/>
    </row>
    <row r="309">
      <c r="A309" s="52"/>
      <c r="B309" s="53"/>
      <c r="C309" s="53"/>
      <c r="D309" s="53"/>
      <c r="E309" s="53"/>
      <c r="F309" s="53"/>
      <c r="G309" s="52"/>
    </row>
    <row r="310">
      <c r="A310" s="52"/>
      <c r="B310" s="53"/>
      <c r="C310" s="53"/>
      <c r="D310" s="53"/>
      <c r="E310" s="53"/>
      <c r="F310" s="53"/>
      <c r="G310" s="52"/>
    </row>
    <row r="311">
      <c r="A311" s="52"/>
      <c r="B311" s="53"/>
      <c r="C311" s="53"/>
      <c r="D311" s="53"/>
      <c r="E311" s="53"/>
      <c r="F311" s="53"/>
      <c r="G311" s="52"/>
    </row>
    <row r="312">
      <c r="A312" s="52"/>
      <c r="B312" s="53"/>
      <c r="C312" s="53"/>
      <c r="D312" s="53"/>
      <c r="E312" s="53"/>
      <c r="F312" s="53"/>
      <c r="G312" s="52"/>
    </row>
    <row r="313">
      <c r="A313" s="52"/>
      <c r="B313" s="53"/>
      <c r="C313" s="53"/>
      <c r="D313" s="53"/>
      <c r="E313" s="53"/>
      <c r="F313" s="53"/>
      <c r="G313" s="52"/>
    </row>
    <row r="314">
      <c r="A314" s="52"/>
      <c r="B314" s="53"/>
      <c r="C314" s="53"/>
      <c r="D314" s="53"/>
      <c r="E314" s="53"/>
      <c r="F314" s="53"/>
      <c r="G314" s="52"/>
    </row>
    <row r="315">
      <c r="A315" s="52"/>
      <c r="B315" s="53"/>
      <c r="C315" s="53"/>
      <c r="D315" s="53"/>
      <c r="E315" s="53"/>
      <c r="F315" s="53"/>
      <c r="G315" s="52"/>
    </row>
    <row r="316">
      <c r="A316" s="52"/>
      <c r="B316" s="53"/>
      <c r="C316" s="53"/>
      <c r="D316" s="53"/>
      <c r="E316" s="53"/>
      <c r="F316" s="53"/>
      <c r="G316" s="52"/>
    </row>
    <row r="317">
      <c r="A317" s="52"/>
      <c r="B317" s="53"/>
      <c r="C317" s="53"/>
      <c r="D317" s="53"/>
      <c r="E317" s="53"/>
      <c r="F317" s="53"/>
      <c r="G317" s="52"/>
    </row>
    <row r="318">
      <c r="A318" s="52"/>
      <c r="B318" s="53"/>
      <c r="C318" s="53"/>
      <c r="D318" s="53"/>
      <c r="E318" s="53"/>
      <c r="F318" s="53"/>
      <c r="G318" s="52"/>
    </row>
    <row r="319">
      <c r="A319" s="52"/>
      <c r="B319" s="53"/>
      <c r="C319" s="53"/>
      <c r="D319" s="53"/>
      <c r="E319" s="53"/>
      <c r="F319" s="53"/>
      <c r="G319" s="52"/>
    </row>
    <row r="320">
      <c r="A320" s="52"/>
      <c r="B320" s="53"/>
      <c r="C320" s="53"/>
      <c r="D320" s="53"/>
      <c r="E320" s="53"/>
      <c r="F320" s="53"/>
      <c r="G320" s="52"/>
    </row>
    <row r="321">
      <c r="A321" s="52"/>
      <c r="B321" s="53"/>
      <c r="C321" s="53"/>
      <c r="D321" s="53"/>
      <c r="E321" s="53"/>
      <c r="F321" s="53"/>
      <c r="G321" s="52"/>
    </row>
    <row r="322">
      <c r="A322" s="52"/>
      <c r="B322" s="53"/>
      <c r="C322" s="53"/>
      <c r="D322" s="53"/>
      <c r="E322" s="53"/>
      <c r="F322" s="53"/>
      <c r="G322" s="52"/>
    </row>
    <row r="323">
      <c r="A323" s="52"/>
      <c r="B323" s="53"/>
      <c r="C323" s="53"/>
      <c r="D323" s="53"/>
      <c r="E323" s="53"/>
      <c r="F323" s="53"/>
      <c r="G323" s="52"/>
    </row>
    <row r="324">
      <c r="A324" s="52"/>
      <c r="B324" s="53"/>
      <c r="C324" s="53"/>
      <c r="D324" s="53"/>
      <c r="E324" s="53"/>
      <c r="F324" s="53"/>
      <c r="G324" s="52"/>
    </row>
    <row r="325">
      <c r="A325" s="52"/>
      <c r="B325" s="53"/>
      <c r="C325" s="53"/>
      <c r="D325" s="53"/>
      <c r="E325" s="53"/>
      <c r="F325" s="53"/>
      <c r="G325" s="52"/>
    </row>
    <row r="326">
      <c r="A326" s="52"/>
      <c r="B326" s="53"/>
      <c r="C326" s="53"/>
      <c r="D326" s="53"/>
      <c r="E326" s="53"/>
      <c r="F326" s="53"/>
      <c r="G326" s="52"/>
    </row>
    <row r="327">
      <c r="A327" s="52"/>
      <c r="B327" s="53"/>
      <c r="C327" s="53"/>
      <c r="D327" s="53"/>
      <c r="E327" s="53"/>
      <c r="F327" s="53"/>
      <c r="G327" s="52"/>
    </row>
    <row r="328">
      <c r="A328" s="52"/>
      <c r="B328" s="53"/>
      <c r="C328" s="53"/>
      <c r="D328" s="53"/>
      <c r="E328" s="53"/>
      <c r="F328" s="53"/>
      <c r="G328" s="52"/>
    </row>
    <row r="329">
      <c r="A329" s="52"/>
      <c r="B329" s="53"/>
      <c r="C329" s="53"/>
      <c r="D329" s="53"/>
      <c r="E329" s="53"/>
      <c r="F329" s="53"/>
      <c r="G329" s="52"/>
    </row>
    <row r="330">
      <c r="A330" s="52"/>
      <c r="B330" s="53"/>
      <c r="C330" s="53"/>
      <c r="D330" s="53"/>
      <c r="E330" s="53"/>
      <c r="F330" s="53"/>
      <c r="G330" s="52"/>
    </row>
    <row r="331">
      <c r="A331" s="52"/>
      <c r="B331" s="53"/>
      <c r="C331" s="53"/>
      <c r="D331" s="53"/>
      <c r="E331" s="53"/>
      <c r="F331" s="53"/>
      <c r="G331" s="52"/>
    </row>
    <row r="332">
      <c r="A332" s="52"/>
      <c r="B332" s="53"/>
      <c r="C332" s="53"/>
      <c r="D332" s="53"/>
      <c r="E332" s="53"/>
      <c r="F332" s="53"/>
      <c r="G332" s="52"/>
    </row>
    <row r="333">
      <c r="A333" s="52"/>
      <c r="B333" s="53"/>
      <c r="C333" s="53"/>
      <c r="D333" s="53"/>
      <c r="E333" s="53"/>
      <c r="F333" s="53"/>
      <c r="G333" s="52"/>
    </row>
    <row r="334">
      <c r="A334" s="52"/>
      <c r="B334" s="53"/>
      <c r="C334" s="53"/>
      <c r="D334" s="53"/>
      <c r="E334" s="53"/>
      <c r="F334" s="53"/>
      <c r="G334" s="52"/>
    </row>
    <row r="335">
      <c r="A335" s="52"/>
      <c r="B335" s="53"/>
      <c r="C335" s="53"/>
      <c r="D335" s="53"/>
      <c r="E335" s="53"/>
      <c r="F335" s="53"/>
      <c r="G335" s="52"/>
    </row>
    <row r="336">
      <c r="A336" s="52"/>
      <c r="B336" s="53"/>
      <c r="C336" s="53"/>
      <c r="D336" s="53"/>
      <c r="E336" s="53"/>
      <c r="F336" s="53"/>
      <c r="G336" s="52"/>
    </row>
    <row r="337">
      <c r="A337" s="52"/>
      <c r="B337" s="53"/>
      <c r="C337" s="53"/>
      <c r="D337" s="53"/>
      <c r="E337" s="53"/>
      <c r="F337" s="53"/>
      <c r="G337" s="52"/>
    </row>
    <row r="338">
      <c r="A338" s="52"/>
      <c r="B338" s="53"/>
      <c r="C338" s="53"/>
      <c r="D338" s="53"/>
      <c r="E338" s="53"/>
      <c r="F338" s="53"/>
      <c r="G338" s="52"/>
    </row>
    <row r="339">
      <c r="A339" s="52"/>
      <c r="B339" s="53"/>
      <c r="C339" s="53"/>
      <c r="D339" s="53"/>
      <c r="E339" s="53"/>
      <c r="F339" s="53"/>
      <c r="G339" s="52"/>
    </row>
    <row r="340">
      <c r="A340" s="52"/>
      <c r="B340" s="53"/>
      <c r="C340" s="53"/>
      <c r="D340" s="53"/>
      <c r="E340" s="53"/>
      <c r="F340" s="53"/>
      <c r="G340" s="52"/>
    </row>
    <row r="341">
      <c r="A341" s="52"/>
      <c r="B341" s="53"/>
      <c r="C341" s="53"/>
      <c r="D341" s="53"/>
      <c r="E341" s="53"/>
      <c r="F341" s="53"/>
      <c r="G341" s="52"/>
    </row>
    <row r="342">
      <c r="A342" s="52"/>
      <c r="B342" s="53"/>
      <c r="C342" s="53"/>
      <c r="D342" s="53"/>
      <c r="E342" s="53"/>
      <c r="F342" s="53"/>
      <c r="G342" s="52"/>
    </row>
    <row r="343">
      <c r="A343" s="52"/>
      <c r="B343" s="53"/>
      <c r="C343" s="53"/>
      <c r="D343" s="53"/>
      <c r="E343" s="53"/>
      <c r="F343" s="53"/>
      <c r="G343" s="52"/>
    </row>
    <row r="344">
      <c r="A344" s="52"/>
      <c r="B344" s="53"/>
      <c r="C344" s="53"/>
      <c r="D344" s="53"/>
      <c r="E344" s="53"/>
      <c r="F344" s="53"/>
      <c r="G344" s="52"/>
    </row>
    <row r="345">
      <c r="A345" s="52"/>
      <c r="B345" s="53"/>
      <c r="C345" s="53"/>
      <c r="D345" s="53"/>
      <c r="E345" s="53"/>
      <c r="F345" s="53"/>
      <c r="G345" s="52"/>
    </row>
    <row r="346">
      <c r="A346" s="52"/>
      <c r="B346" s="53"/>
      <c r="C346" s="53"/>
      <c r="D346" s="53"/>
      <c r="E346" s="53"/>
      <c r="F346" s="53"/>
      <c r="G346" s="52"/>
    </row>
    <row r="347">
      <c r="A347" s="52"/>
      <c r="B347" s="53"/>
      <c r="C347" s="53"/>
      <c r="D347" s="53"/>
      <c r="E347" s="53"/>
      <c r="F347" s="53"/>
      <c r="G347" s="52"/>
    </row>
    <row r="348">
      <c r="A348" s="52"/>
      <c r="B348" s="53"/>
      <c r="C348" s="53"/>
      <c r="D348" s="53"/>
      <c r="E348" s="53"/>
      <c r="F348" s="53"/>
      <c r="G348" s="52"/>
    </row>
    <row r="349">
      <c r="A349" s="52"/>
      <c r="B349" s="53"/>
      <c r="C349" s="53"/>
      <c r="D349" s="53"/>
      <c r="E349" s="53"/>
      <c r="F349" s="53"/>
      <c r="G349" s="52"/>
    </row>
    <row r="350">
      <c r="A350" s="52"/>
      <c r="B350" s="53"/>
      <c r="C350" s="53"/>
      <c r="D350" s="53"/>
      <c r="E350" s="53"/>
      <c r="F350" s="53"/>
      <c r="G350" s="52"/>
    </row>
    <row r="351">
      <c r="A351" s="52"/>
      <c r="B351" s="53"/>
      <c r="C351" s="53"/>
      <c r="D351" s="53"/>
      <c r="E351" s="53"/>
      <c r="F351" s="53"/>
      <c r="G351" s="52"/>
    </row>
    <row r="352">
      <c r="A352" s="52"/>
      <c r="B352" s="53"/>
      <c r="C352" s="53"/>
      <c r="D352" s="53"/>
      <c r="E352" s="53"/>
      <c r="F352" s="53"/>
      <c r="G352" s="52"/>
    </row>
    <row r="353">
      <c r="A353" s="52"/>
      <c r="B353" s="53"/>
      <c r="C353" s="53"/>
      <c r="D353" s="53"/>
      <c r="E353" s="53"/>
      <c r="F353" s="53"/>
      <c r="G353" s="52"/>
    </row>
    <row r="354">
      <c r="A354" s="52"/>
      <c r="B354" s="53"/>
      <c r="C354" s="53"/>
      <c r="D354" s="53"/>
      <c r="E354" s="53"/>
      <c r="F354" s="53"/>
      <c r="G354" s="52"/>
    </row>
    <row r="355">
      <c r="A355" s="52"/>
      <c r="B355" s="53"/>
      <c r="C355" s="53"/>
      <c r="D355" s="53"/>
      <c r="E355" s="53"/>
      <c r="F355" s="53"/>
      <c r="G355" s="52"/>
    </row>
    <row r="356">
      <c r="A356" s="52"/>
      <c r="B356" s="53"/>
      <c r="C356" s="53"/>
      <c r="D356" s="53"/>
      <c r="E356" s="53"/>
      <c r="F356" s="53"/>
      <c r="G356" s="52"/>
    </row>
    <row r="357">
      <c r="A357" s="52"/>
      <c r="B357" s="53"/>
      <c r="C357" s="53"/>
      <c r="D357" s="53"/>
      <c r="E357" s="53"/>
      <c r="F357" s="53"/>
      <c r="G357" s="52"/>
    </row>
    <row r="358">
      <c r="A358" s="52"/>
      <c r="B358" s="53"/>
      <c r="C358" s="53"/>
      <c r="D358" s="53"/>
      <c r="E358" s="53"/>
      <c r="F358" s="53"/>
      <c r="G358" s="52"/>
    </row>
    <row r="359">
      <c r="A359" s="52"/>
      <c r="B359" s="53"/>
      <c r="C359" s="53"/>
      <c r="D359" s="53"/>
      <c r="E359" s="53"/>
      <c r="F359" s="53"/>
      <c r="G359" s="52"/>
    </row>
    <row r="360">
      <c r="A360" s="52"/>
      <c r="B360" s="53"/>
      <c r="C360" s="53"/>
      <c r="D360" s="53"/>
      <c r="E360" s="53"/>
      <c r="F360" s="53"/>
      <c r="G360" s="52"/>
    </row>
    <row r="361">
      <c r="A361" s="52"/>
      <c r="B361" s="53"/>
      <c r="C361" s="53"/>
      <c r="D361" s="53"/>
      <c r="E361" s="53"/>
      <c r="F361" s="53"/>
      <c r="G361" s="52"/>
    </row>
    <row r="362">
      <c r="A362" s="52"/>
      <c r="B362" s="53"/>
      <c r="C362" s="53"/>
      <c r="D362" s="53"/>
      <c r="E362" s="53"/>
      <c r="F362" s="53"/>
      <c r="G362" s="52"/>
    </row>
    <row r="363">
      <c r="A363" s="52"/>
      <c r="B363" s="53"/>
      <c r="C363" s="53"/>
      <c r="D363" s="53"/>
      <c r="E363" s="53"/>
      <c r="F363" s="53"/>
      <c r="G363" s="52"/>
    </row>
    <row r="364">
      <c r="A364" s="52"/>
      <c r="B364" s="53"/>
      <c r="C364" s="53"/>
      <c r="D364" s="53"/>
      <c r="E364" s="53"/>
      <c r="F364" s="53"/>
      <c r="G364" s="52"/>
    </row>
    <row r="365">
      <c r="A365" s="52"/>
      <c r="B365" s="53"/>
      <c r="C365" s="53"/>
      <c r="D365" s="53"/>
      <c r="E365" s="53"/>
      <c r="F365" s="53"/>
      <c r="G365" s="52"/>
    </row>
    <row r="366">
      <c r="A366" s="52"/>
      <c r="B366" s="53"/>
      <c r="C366" s="53"/>
      <c r="D366" s="53"/>
      <c r="E366" s="53"/>
      <c r="F366" s="53"/>
      <c r="G366" s="52"/>
    </row>
    <row r="367">
      <c r="A367" s="52"/>
      <c r="B367" s="53"/>
      <c r="C367" s="53"/>
      <c r="D367" s="53"/>
      <c r="E367" s="53"/>
      <c r="F367" s="53"/>
      <c r="G367" s="52"/>
    </row>
    <row r="368">
      <c r="A368" s="52"/>
      <c r="B368" s="53"/>
      <c r="C368" s="53"/>
      <c r="D368" s="53"/>
      <c r="E368" s="53"/>
      <c r="F368" s="53"/>
      <c r="G368" s="52"/>
    </row>
    <row r="369">
      <c r="A369" s="52"/>
      <c r="B369" s="53"/>
      <c r="C369" s="53"/>
      <c r="D369" s="53"/>
      <c r="E369" s="53"/>
      <c r="F369" s="53"/>
      <c r="G369" s="52"/>
    </row>
    <row r="370">
      <c r="A370" s="52"/>
      <c r="B370" s="53"/>
      <c r="C370" s="53"/>
      <c r="D370" s="53"/>
      <c r="E370" s="53"/>
      <c r="F370" s="53"/>
      <c r="G370" s="52"/>
    </row>
    <row r="371">
      <c r="A371" s="52"/>
      <c r="B371" s="53"/>
      <c r="C371" s="53"/>
      <c r="D371" s="53"/>
      <c r="E371" s="53"/>
      <c r="F371" s="53"/>
      <c r="G371" s="52"/>
    </row>
    <row r="372">
      <c r="A372" s="52"/>
      <c r="B372" s="53"/>
      <c r="C372" s="53"/>
      <c r="D372" s="53"/>
      <c r="E372" s="53"/>
      <c r="F372" s="53"/>
      <c r="G372" s="52"/>
    </row>
    <row r="373">
      <c r="A373" s="52"/>
      <c r="B373" s="53"/>
      <c r="C373" s="53"/>
      <c r="D373" s="53"/>
      <c r="E373" s="53"/>
      <c r="F373" s="53"/>
      <c r="G373" s="52"/>
    </row>
    <row r="374">
      <c r="A374" s="52"/>
      <c r="B374" s="53"/>
      <c r="C374" s="53"/>
      <c r="D374" s="53"/>
      <c r="E374" s="53"/>
      <c r="F374" s="53"/>
      <c r="G374" s="52"/>
    </row>
    <row r="375">
      <c r="A375" s="52"/>
      <c r="B375" s="53"/>
      <c r="C375" s="53"/>
      <c r="D375" s="53"/>
      <c r="E375" s="53"/>
      <c r="F375" s="53"/>
      <c r="G375" s="52"/>
    </row>
    <row r="376">
      <c r="A376" s="52"/>
      <c r="B376" s="53"/>
      <c r="C376" s="53"/>
      <c r="D376" s="53"/>
      <c r="E376" s="53"/>
      <c r="F376" s="53"/>
      <c r="G376" s="52"/>
    </row>
    <row r="377">
      <c r="A377" s="52"/>
      <c r="B377" s="53"/>
      <c r="C377" s="53"/>
      <c r="D377" s="53"/>
      <c r="E377" s="53"/>
      <c r="F377" s="53"/>
      <c r="G377" s="52"/>
    </row>
    <row r="378">
      <c r="A378" s="52"/>
      <c r="B378" s="53"/>
      <c r="C378" s="53"/>
      <c r="D378" s="53"/>
      <c r="E378" s="53"/>
      <c r="F378" s="53"/>
      <c r="G378" s="52"/>
    </row>
    <row r="379">
      <c r="A379" s="52"/>
      <c r="B379" s="53"/>
      <c r="C379" s="53"/>
      <c r="D379" s="53"/>
      <c r="E379" s="53"/>
      <c r="F379" s="53"/>
      <c r="G379" s="52"/>
    </row>
    <row r="380">
      <c r="A380" s="52"/>
      <c r="B380" s="53"/>
      <c r="C380" s="53"/>
      <c r="D380" s="53"/>
      <c r="E380" s="53"/>
      <c r="F380" s="53"/>
      <c r="G380" s="52"/>
    </row>
    <row r="381">
      <c r="A381" s="52"/>
      <c r="B381" s="53"/>
      <c r="C381" s="53"/>
      <c r="D381" s="53"/>
      <c r="E381" s="53"/>
      <c r="F381" s="53"/>
      <c r="G381" s="52"/>
    </row>
    <row r="382">
      <c r="A382" s="52"/>
      <c r="B382" s="53"/>
      <c r="C382" s="53"/>
      <c r="D382" s="53"/>
      <c r="E382" s="53"/>
      <c r="F382" s="53"/>
      <c r="G382" s="52"/>
    </row>
    <row r="383">
      <c r="A383" s="52"/>
      <c r="B383" s="53"/>
      <c r="C383" s="53"/>
      <c r="D383" s="53"/>
      <c r="E383" s="53"/>
      <c r="F383" s="53"/>
      <c r="G383" s="52"/>
    </row>
    <row r="384">
      <c r="A384" s="52"/>
      <c r="B384" s="53"/>
      <c r="C384" s="53"/>
      <c r="D384" s="53"/>
      <c r="E384" s="53"/>
      <c r="F384" s="53"/>
      <c r="G384" s="52"/>
    </row>
    <row r="385">
      <c r="A385" s="52"/>
      <c r="B385" s="53"/>
      <c r="C385" s="53"/>
      <c r="D385" s="53"/>
      <c r="E385" s="53"/>
      <c r="F385" s="53"/>
      <c r="G385" s="52"/>
    </row>
    <row r="386">
      <c r="A386" s="52"/>
      <c r="B386" s="53"/>
      <c r="C386" s="53"/>
      <c r="D386" s="53"/>
      <c r="E386" s="53"/>
      <c r="F386" s="53"/>
      <c r="G386" s="52"/>
    </row>
    <row r="387">
      <c r="A387" s="52"/>
      <c r="B387" s="53"/>
      <c r="C387" s="53"/>
      <c r="D387" s="53"/>
      <c r="E387" s="53"/>
      <c r="F387" s="53"/>
      <c r="G387" s="52"/>
    </row>
    <row r="388">
      <c r="A388" s="52"/>
      <c r="B388" s="53"/>
      <c r="C388" s="53"/>
      <c r="D388" s="53"/>
      <c r="E388" s="53"/>
      <c r="F388" s="53"/>
      <c r="G388" s="52"/>
    </row>
    <row r="389">
      <c r="A389" s="52"/>
      <c r="B389" s="53"/>
      <c r="C389" s="53"/>
      <c r="D389" s="53"/>
      <c r="E389" s="53"/>
      <c r="F389" s="53"/>
      <c r="G389" s="52"/>
    </row>
    <row r="390">
      <c r="A390" s="52"/>
      <c r="B390" s="53"/>
      <c r="C390" s="53"/>
      <c r="D390" s="53"/>
      <c r="E390" s="53"/>
      <c r="F390" s="53"/>
      <c r="G390" s="52"/>
    </row>
    <row r="391">
      <c r="A391" s="52"/>
      <c r="B391" s="53"/>
      <c r="C391" s="53"/>
      <c r="D391" s="53"/>
      <c r="E391" s="53"/>
      <c r="F391" s="53"/>
      <c r="G391" s="52"/>
    </row>
    <row r="392">
      <c r="A392" s="52"/>
      <c r="B392" s="53"/>
      <c r="C392" s="53"/>
      <c r="D392" s="53"/>
      <c r="E392" s="53"/>
      <c r="F392" s="53"/>
      <c r="G392" s="52"/>
    </row>
    <row r="393">
      <c r="A393" s="52"/>
      <c r="B393" s="53"/>
      <c r="C393" s="53"/>
      <c r="D393" s="53"/>
      <c r="E393" s="53"/>
      <c r="F393" s="53"/>
      <c r="G393" s="52"/>
    </row>
    <row r="394">
      <c r="A394" s="52"/>
      <c r="B394" s="53"/>
      <c r="C394" s="53"/>
      <c r="D394" s="53"/>
      <c r="E394" s="53"/>
      <c r="F394" s="53"/>
      <c r="G394" s="52"/>
    </row>
    <row r="395">
      <c r="A395" s="52"/>
      <c r="B395" s="53"/>
      <c r="C395" s="53"/>
      <c r="D395" s="53"/>
      <c r="E395" s="53"/>
      <c r="F395" s="53"/>
      <c r="G395" s="52"/>
    </row>
    <row r="396">
      <c r="A396" s="52"/>
      <c r="B396" s="53"/>
      <c r="C396" s="53"/>
      <c r="D396" s="53"/>
      <c r="E396" s="53"/>
      <c r="F396" s="53"/>
      <c r="G396" s="52"/>
    </row>
    <row r="397">
      <c r="A397" s="52"/>
      <c r="B397" s="53"/>
      <c r="C397" s="53"/>
      <c r="D397" s="53"/>
      <c r="E397" s="53"/>
      <c r="F397" s="53"/>
      <c r="G397" s="52"/>
    </row>
    <row r="398">
      <c r="A398" s="52"/>
      <c r="B398" s="53"/>
      <c r="C398" s="53"/>
      <c r="D398" s="53"/>
      <c r="E398" s="53"/>
      <c r="F398" s="53"/>
      <c r="G398" s="52"/>
    </row>
    <row r="399">
      <c r="A399" s="52"/>
      <c r="B399" s="53"/>
      <c r="C399" s="53"/>
      <c r="D399" s="53"/>
      <c r="E399" s="53"/>
      <c r="F399" s="53"/>
      <c r="G399" s="52"/>
    </row>
    <row r="400">
      <c r="A400" s="52"/>
      <c r="B400" s="53"/>
      <c r="C400" s="53"/>
      <c r="D400" s="53"/>
      <c r="E400" s="53"/>
      <c r="F400" s="53"/>
      <c r="G400" s="52"/>
    </row>
    <row r="401">
      <c r="A401" s="52"/>
      <c r="B401" s="53"/>
      <c r="C401" s="53"/>
      <c r="D401" s="53"/>
      <c r="E401" s="53"/>
      <c r="F401" s="53"/>
      <c r="G401" s="52"/>
    </row>
    <row r="402">
      <c r="A402" s="52"/>
      <c r="B402" s="53"/>
      <c r="C402" s="53"/>
      <c r="D402" s="53"/>
      <c r="E402" s="53"/>
      <c r="F402" s="53"/>
      <c r="G402" s="52"/>
    </row>
    <row r="403">
      <c r="A403" s="52"/>
      <c r="B403" s="53"/>
      <c r="C403" s="53"/>
      <c r="D403" s="53"/>
      <c r="E403" s="53"/>
      <c r="F403" s="53"/>
      <c r="G403" s="52"/>
    </row>
    <row r="404">
      <c r="A404" s="52"/>
      <c r="B404" s="53"/>
      <c r="C404" s="53"/>
      <c r="D404" s="53"/>
      <c r="E404" s="53"/>
      <c r="F404" s="53"/>
      <c r="G404" s="52"/>
    </row>
    <row r="405">
      <c r="A405" s="52"/>
      <c r="B405" s="53"/>
      <c r="C405" s="53"/>
      <c r="D405" s="53"/>
      <c r="E405" s="53"/>
      <c r="F405" s="53"/>
      <c r="G405" s="52"/>
    </row>
    <row r="406">
      <c r="A406" s="52"/>
      <c r="B406" s="53"/>
      <c r="C406" s="53"/>
      <c r="D406" s="53"/>
      <c r="E406" s="53"/>
      <c r="F406" s="53"/>
      <c r="G406" s="52"/>
    </row>
    <row r="407">
      <c r="A407" s="52"/>
      <c r="B407" s="53"/>
      <c r="C407" s="53"/>
      <c r="D407" s="53"/>
      <c r="E407" s="53"/>
      <c r="F407" s="53"/>
      <c r="G407" s="52"/>
    </row>
    <row r="408">
      <c r="A408" s="52"/>
      <c r="B408" s="53"/>
      <c r="C408" s="53"/>
      <c r="D408" s="53"/>
      <c r="E408" s="53"/>
      <c r="F408" s="53"/>
      <c r="G408" s="52"/>
    </row>
    <row r="409">
      <c r="A409" s="52"/>
      <c r="B409" s="53"/>
      <c r="C409" s="53"/>
      <c r="D409" s="53"/>
      <c r="E409" s="53"/>
      <c r="F409" s="53"/>
      <c r="G409" s="52"/>
    </row>
    <row r="410">
      <c r="A410" s="52"/>
      <c r="B410" s="53"/>
      <c r="C410" s="53"/>
      <c r="D410" s="53"/>
      <c r="E410" s="53"/>
      <c r="F410" s="53"/>
      <c r="G410" s="52"/>
    </row>
    <row r="411">
      <c r="A411" s="52"/>
      <c r="B411" s="53"/>
      <c r="C411" s="53"/>
      <c r="D411" s="53"/>
      <c r="E411" s="53"/>
      <c r="F411" s="53"/>
      <c r="G411" s="52"/>
    </row>
    <row r="412">
      <c r="A412" s="52"/>
      <c r="B412" s="53"/>
      <c r="C412" s="53"/>
      <c r="D412" s="53"/>
      <c r="E412" s="53"/>
      <c r="F412" s="53"/>
      <c r="G412" s="52"/>
    </row>
    <row r="413">
      <c r="A413" s="52"/>
      <c r="B413" s="53"/>
      <c r="C413" s="53"/>
      <c r="D413" s="53"/>
      <c r="E413" s="53"/>
      <c r="F413" s="53"/>
      <c r="G413" s="52"/>
    </row>
    <row r="414">
      <c r="A414" s="52"/>
      <c r="B414" s="53"/>
      <c r="C414" s="53"/>
      <c r="D414" s="53"/>
      <c r="E414" s="53"/>
      <c r="F414" s="53"/>
      <c r="G414" s="52"/>
    </row>
    <row r="415">
      <c r="A415" s="52"/>
      <c r="B415" s="53"/>
      <c r="C415" s="53"/>
      <c r="D415" s="53"/>
      <c r="E415" s="53"/>
      <c r="F415" s="53"/>
      <c r="G415" s="52"/>
    </row>
    <row r="416">
      <c r="A416" s="52"/>
      <c r="B416" s="53"/>
      <c r="C416" s="53"/>
      <c r="D416" s="53"/>
      <c r="E416" s="53"/>
      <c r="F416" s="53"/>
      <c r="G416" s="52"/>
    </row>
    <row r="417">
      <c r="A417" s="52"/>
      <c r="B417" s="53"/>
      <c r="C417" s="53"/>
      <c r="D417" s="53"/>
      <c r="E417" s="53"/>
      <c r="F417" s="53"/>
      <c r="G417" s="52"/>
    </row>
    <row r="418">
      <c r="A418" s="52"/>
      <c r="B418" s="53"/>
      <c r="C418" s="53"/>
      <c r="D418" s="53"/>
      <c r="E418" s="53"/>
      <c r="F418" s="53"/>
      <c r="G418" s="52"/>
    </row>
    <row r="419">
      <c r="A419" s="52"/>
      <c r="B419" s="53"/>
      <c r="C419" s="53"/>
      <c r="D419" s="53"/>
      <c r="E419" s="53"/>
      <c r="F419" s="53"/>
      <c r="G419" s="52"/>
    </row>
    <row r="420">
      <c r="A420" s="52"/>
      <c r="B420" s="53"/>
      <c r="C420" s="53"/>
      <c r="D420" s="53"/>
      <c r="E420" s="53"/>
      <c r="F420" s="53"/>
      <c r="G420" s="52"/>
    </row>
    <row r="421">
      <c r="A421" s="52"/>
      <c r="B421" s="53"/>
      <c r="C421" s="53"/>
      <c r="D421" s="53"/>
      <c r="E421" s="53"/>
      <c r="F421" s="53"/>
      <c r="G421" s="52"/>
    </row>
    <row r="422">
      <c r="A422" s="52"/>
      <c r="B422" s="53"/>
      <c r="C422" s="53"/>
      <c r="D422" s="53"/>
      <c r="E422" s="53"/>
      <c r="F422" s="53"/>
      <c r="G422" s="52"/>
    </row>
    <row r="423">
      <c r="A423" s="52"/>
      <c r="B423" s="53"/>
      <c r="C423" s="53"/>
      <c r="D423" s="53"/>
      <c r="E423" s="53"/>
      <c r="F423" s="53"/>
      <c r="G423" s="52"/>
    </row>
    <row r="424">
      <c r="A424" s="52"/>
      <c r="B424" s="53"/>
      <c r="C424" s="53"/>
      <c r="D424" s="53"/>
      <c r="E424" s="53"/>
      <c r="F424" s="53"/>
      <c r="G424" s="52"/>
    </row>
    <row r="425">
      <c r="A425" s="52"/>
      <c r="B425" s="53"/>
      <c r="C425" s="53"/>
      <c r="D425" s="53"/>
      <c r="E425" s="53"/>
      <c r="F425" s="53"/>
      <c r="G425" s="52"/>
    </row>
    <row r="426">
      <c r="A426" s="52"/>
      <c r="B426" s="53"/>
      <c r="C426" s="53"/>
      <c r="D426" s="53"/>
      <c r="E426" s="53"/>
      <c r="F426" s="53"/>
      <c r="G426" s="52"/>
    </row>
    <row r="427">
      <c r="A427" s="52"/>
      <c r="B427" s="53"/>
      <c r="C427" s="53"/>
      <c r="D427" s="53"/>
      <c r="E427" s="53"/>
      <c r="F427" s="53"/>
      <c r="G427" s="52"/>
    </row>
    <row r="428">
      <c r="A428" s="52"/>
      <c r="B428" s="53"/>
      <c r="C428" s="53"/>
      <c r="D428" s="53"/>
      <c r="E428" s="53"/>
      <c r="F428" s="53"/>
      <c r="G428" s="52"/>
    </row>
    <row r="429">
      <c r="A429" s="52"/>
      <c r="B429" s="53"/>
      <c r="C429" s="53"/>
      <c r="D429" s="53"/>
      <c r="E429" s="53"/>
      <c r="F429" s="53"/>
      <c r="G429" s="52"/>
    </row>
    <row r="430">
      <c r="A430" s="52"/>
      <c r="B430" s="53"/>
      <c r="C430" s="53"/>
      <c r="D430" s="53"/>
      <c r="E430" s="53"/>
      <c r="F430" s="53"/>
      <c r="G430" s="52"/>
    </row>
    <row r="431">
      <c r="A431" s="52"/>
      <c r="B431" s="53"/>
      <c r="C431" s="53"/>
      <c r="D431" s="53"/>
      <c r="E431" s="53"/>
      <c r="F431" s="53"/>
      <c r="G431" s="52"/>
    </row>
    <row r="432">
      <c r="A432" s="52"/>
      <c r="B432" s="53"/>
      <c r="C432" s="53"/>
      <c r="D432" s="53"/>
      <c r="E432" s="53"/>
      <c r="F432" s="53"/>
      <c r="G432" s="52"/>
    </row>
    <row r="433">
      <c r="A433" s="52"/>
      <c r="B433" s="53"/>
      <c r="C433" s="53"/>
      <c r="D433" s="53"/>
      <c r="E433" s="53"/>
      <c r="F433" s="53"/>
      <c r="G433" s="52"/>
    </row>
    <row r="434">
      <c r="A434" s="52"/>
      <c r="B434" s="53"/>
      <c r="C434" s="53"/>
      <c r="D434" s="53"/>
      <c r="E434" s="53"/>
      <c r="F434" s="53"/>
      <c r="G434" s="52"/>
    </row>
    <row r="435">
      <c r="A435" s="52"/>
      <c r="B435" s="53"/>
      <c r="C435" s="53"/>
      <c r="D435" s="53"/>
      <c r="E435" s="53"/>
      <c r="F435" s="53"/>
      <c r="G435" s="52"/>
    </row>
    <row r="436">
      <c r="A436" s="52"/>
      <c r="B436" s="53"/>
      <c r="C436" s="53"/>
      <c r="D436" s="53"/>
      <c r="E436" s="53"/>
      <c r="F436" s="53"/>
      <c r="G436" s="52"/>
    </row>
    <row r="437">
      <c r="A437" s="52"/>
      <c r="B437" s="53"/>
      <c r="C437" s="53"/>
      <c r="D437" s="53"/>
      <c r="E437" s="53"/>
      <c r="F437" s="53"/>
      <c r="G437" s="52"/>
    </row>
    <row r="438">
      <c r="A438" s="52"/>
      <c r="B438" s="53"/>
      <c r="C438" s="53"/>
      <c r="D438" s="53"/>
      <c r="E438" s="53"/>
      <c r="F438" s="53"/>
      <c r="G438" s="52"/>
    </row>
    <row r="439">
      <c r="A439" s="52"/>
      <c r="B439" s="53"/>
      <c r="C439" s="53"/>
      <c r="D439" s="53"/>
      <c r="E439" s="53"/>
      <c r="F439" s="53"/>
      <c r="G439" s="52"/>
    </row>
    <row r="440">
      <c r="A440" s="52"/>
      <c r="B440" s="53"/>
      <c r="C440" s="53"/>
      <c r="D440" s="53"/>
      <c r="E440" s="53"/>
      <c r="F440" s="53"/>
      <c r="G440" s="52"/>
    </row>
    <row r="441">
      <c r="A441" s="52"/>
      <c r="B441" s="53"/>
      <c r="C441" s="53"/>
      <c r="D441" s="53"/>
      <c r="E441" s="53"/>
      <c r="F441" s="53"/>
      <c r="G441" s="52"/>
    </row>
    <row r="442">
      <c r="A442" s="52"/>
      <c r="B442" s="53"/>
      <c r="C442" s="53"/>
      <c r="D442" s="53"/>
      <c r="E442" s="53"/>
      <c r="F442" s="53"/>
      <c r="G442" s="52"/>
    </row>
    <row r="443">
      <c r="A443" s="52"/>
      <c r="B443" s="53"/>
      <c r="C443" s="53"/>
      <c r="D443" s="53"/>
      <c r="E443" s="53"/>
      <c r="F443" s="53"/>
      <c r="G443" s="52"/>
    </row>
    <row r="444">
      <c r="A444" s="52"/>
      <c r="B444" s="53"/>
      <c r="C444" s="53"/>
      <c r="D444" s="53"/>
      <c r="E444" s="53"/>
      <c r="F444" s="53"/>
      <c r="G444" s="52"/>
    </row>
    <row r="445">
      <c r="A445" s="52"/>
      <c r="B445" s="53"/>
      <c r="C445" s="53"/>
      <c r="D445" s="53"/>
      <c r="E445" s="53"/>
      <c r="F445" s="53"/>
      <c r="G445" s="52"/>
    </row>
    <row r="446">
      <c r="A446" s="52"/>
      <c r="B446" s="53"/>
      <c r="C446" s="53"/>
      <c r="D446" s="53"/>
      <c r="E446" s="53"/>
      <c r="F446" s="53"/>
      <c r="G446" s="52"/>
    </row>
    <row r="447">
      <c r="A447" s="52"/>
      <c r="B447" s="53"/>
      <c r="C447" s="53"/>
      <c r="D447" s="53"/>
      <c r="E447" s="53"/>
      <c r="F447" s="53"/>
      <c r="G447" s="52"/>
    </row>
    <row r="448">
      <c r="A448" s="52"/>
      <c r="B448" s="53"/>
      <c r="C448" s="53"/>
      <c r="D448" s="53"/>
      <c r="E448" s="53"/>
      <c r="F448" s="53"/>
      <c r="G448" s="52"/>
    </row>
    <row r="449">
      <c r="A449" s="52"/>
      <c r="B449" s="53"/>
      <c r="C449" s="53"/>
      <c r="D449" s="53"/>
      <c r="E449" s="53"/>
      <c r="F449" s="53"/>
      <c r="G449" s="52"/>
    </row>
    <row r="450">
      <c r="A450" s="52"/>
      <c r="B450" s="53"/>
      <c r="C450" s="53"/>
      <c r="D450" s="53"/>
      <c r="E450" s="53"/>
      <c r="F450" s="53"/>
      <c r="G450" s="52"/>
    </row>
    <row r="451">
      <c r="A451" s="52"/>
      <c r="B451" s="53"/>
      <c r="C451" s="53"/>
      <c r="D451" s="53"/>
      <c r="E451" s="53"/>
      <c r="F451" s="53"/>
      <c r="G451" s="52"/>
    </row>
    <row r="452">
      <c r="A452" s="52"/>
      <c r="B452" s="53"/>
      <c r="C452" s="53"/>
      <c r="D452" s="53"/>
      <c r="E452" s="53"/>
      <c r="F452" s="53"/>
      <c r="G452" s="52"/>
    </row>
    <row r="453">
      <c r="A453" s="52"/>
      <c r="B453" s="53"/>
      <c r="C453" s="53"/>
      <c r="D453" s="53"/>
      <c r="E453" s="53"/>
      <c r="F453" s="53"/>
      <c r="G453" s="52"/>
    </row>
    <row r="454">
      <c r="A454" s="52"/>
      <c r="B454" s="53"/>
      <c r="C454" s="53"/>
      <c r="D454" s="53"/>
      <c r="E454" s="53"/>
      <c r="F454" s="53"/>
      <c r="G454" s="52"/>
    </row>
    <row r="455">
      <c r="A455" s="52"/>
      <c r="B455" s="53"/>
      <c r="C455" s="53"/>
      <c r="D455" s="53"/>
      <c r="E455" s="53"/>
      <c r="F455" s="53"/>
      <c r="G455" s="52"/>
    </row>
    <row r="456">
      <c r="A456" s="52"/>
      <c r="B456" s="53"/>
      <c r="C456" s="53"/>
      <c r="D456" s="53"/>
      <c r="E456" s="53"/>
      <c r="F456" s="53"/>
      <c r="G456" s="52"/>
    </row>
    <row r="457">
      <c r="A457" s="52"/>
      <c r="B457" s="53"/>
      <c r="C457" s="53"/>
      <c r="D457" s="53"/>
      <c r="E457" s="53"/>
      <c r="F457" s="53"/>
      <c r="G457" s="52"/>
    </row>
    <row r="458">
      <c r="A458" s="52"/>
      <c r="B458" s="53"/>
      <c r="C458" s="53"/>
      <c r="D458" s="53"/>
      <c r="E458" s="53"/>
      <c r="F458" s="53"/>
      <c r="G458" s="52"/>
    </row>
    <row r="459">
      <c r="A459" s="52"/>
      <c r="B459" s="53"/>
      <c r="C459" s="53"/>
      <c r="D459" s="53"/>
      <c r="E459" s="53"/>
      <c r="F459" s="53"/>
      <c r="G459" s="52"/>
    </row>
    <row r="460">
      <c r="A460" s="52"/>
      <c r="B460" s="53"/>
      <c r="C460" s="53"/>
      <c r="D460" s="53"/>
      <c r="E460" s="53"/>
      <c r="F460" s="53"/>
      <c r="G460" s="52"/>
    </row>
    <row r="461">
      <c r="A461" s="52"/>
      <c r="B461" s="53"/>
      <c r="C461" s="53"/>
      <c r="D461" s="53"/>
      <c r="E461" s="53"/>
      <c r="F461" s="53"/>
      <c r="G461" s="52"/>
    </row>
    <row r="462">
      <c r="A462" s="52"/>
      <c r="B462" s="53"/>
      <c r="C462" s="53"/>
      <c r="D462" s="53"/>
      <c r="E462" s="53"/>
      <c r="F462" s="53"/>
      <c r="G462" s="52"/>
    </row>
    <row r="463">
      <c r="A463" s="52"/>
      <c r="B463" s="53"/>
      <c r="C463" s="53"/>
      <c r="D463" s="53"/>
      <c r="E463" s="53"/>
      <c r="F463" s="53"/>
      <c r="G463" s="52"/>
    </row>
    <row r="464">
      <c r="A464" s="52"/>
      <c r="B464" s="53"/>
      <c r="C464" s="53"/>
      <c r="D464" s="53"/>
      <c r="E464" s="53"/>
      <c r="F464" s="53"/>
      <c r="G464" s="52"/>
    </row>
    <row r="465">
      <c r="A465" s="52"/>
      <c r="B465" s="53"/>
      <c r="C465" s="53"/>
      <c r="D465" s="53"/>
      <c r="E465" s="53"/>
      <c r="F465" s="53"/>
      <c r="G465" s="52"/>
    </row>
    <row r="466">
      <c r="A466" s="52"/>
      <c r="B466" s="53"/>
      <c r="C466" s="53"/>
      <c r="D466" s="53"/>
      <c r="E466" s="53"/>
      <c r="F466" s="53"/>
      <c r="G466" s="52"/>
    </row>
    <row r="467">
      <c r="A467" s="52"/>
      <c r="B467" s="53"/>
      <c r="C467" s="53"/>
      <c r="D467" s="53"/>
      <c r="E467" s="53"/>
      <c r="F467" s="53"/>
      <c r="G467" s="52"/>
    </row>
    <row r="468">
      <c r="A468" s="52"/>
      <c r="B468" s="53"/>
      <c r="C468" s="53"/>
      <c r="D468" s="53"/>
      <c r="E468" s="53"/>
      <c r="F468" s="53"/>
      <c r="G468" s="52"/>
    </row>
    <row r="469">
      <c r="A469" s="52"/>
      <c r="B469" s="53"/>
      <c r="C469" s="53"/>
      <c r="D469" s="53"/>
      <c r="E469" s="53"/>
      <c r="F469" s="53"/>
      <c r="G469" s="52"/>
    </row>
    <row r="470">
      <c r="A470" s="52"/>
      <c r="B470" s="53"/>
      <c r="C470" s="53"/>
      <c r="D470" s="53"/>
      <c r="E470" s="53"/>
      <c r="F470" s="53"/>
      <c r="G470" s="52"/>
    </row>
    <row r="471">
      <c r="A471" s="52"/>
      <c r="B471" s="53"/>
      <c r="C471" s="53"/>
      <c r="D471" s="53"/>
      <c r="E471" s="53"/>
      <c r="F471" s="53"/>
      <c r="G471" s="52"/>
    </row>
    <row r="472">
      <c r="A472" s="52"/>
      <c r="B472" s="53"/>
      <c r="C472" s="53"/>
      <c r="D472" s="53"/>
      <c r="E472" s="53"/>
      <c r="F472" s="53"/>
      <c r="G472" s="52"/>
    </row>
    <row r="473">
      <c r="A473" s="52"/>
      <c r="B473" s="53"/>
      <c r="C473" s="53"/>
      <c r="D473" s="53"/>
      <c r="E473" s="53"/>
      <c r="F473" s="53"/>
      <c r="G473" s="52"/>
    </row>
    <row r="474">
      <c r="A474" s="52"/>
      <c r="B474" s="53"/>
      <c r="C474" s="53"/>
      <c r="D474" s="53"/>
      <c r="E474" s="53"/>
      <c r="F474" s="53"/>
      <c r="G474" s="52"/>
    </row>
    <row r="475">
      <c r="A475" s="52"/>
      <c r="B475" s="53"/>
      <c r="C475" s="53"/>
      <c r="D475" s="53"/>
      <c r="E475" s="53"/>
      <c r="F475" s="53"/>
      <c r="G475" s="52"/>
    </row>
    <row r="476">
      <c r="A476" s="52"/>
      <c r="B476" s="53"/>
      <c r="C476" s="53"/>
      <c r="D476" s="53"/>
      <c r="E476" s="53"/>
      <c r="F476" s="53"/>
      <c r="G476" s="52"/>
    </row>
    <row r="477">
      <c r="A477" s="52"/>
      <c r="B477" s="53"/>
      <c r="C477" s="53"/>
      <c r="D477" s="53"/>
      <c r="E477" s="53"/>
      <c r="F477" s="53"/>
      <c r="G477" s="52"/>
    </row>
    <row r="478">
      <c r="A478" s="52"/>
      <c r="B478" s="53"/>
      <c r="C478" s="53"/>
      <c r="D478" s="53"/>
      <c r="E478" s="53"/>
      <c r="F478" s="53"/>
      <c r="G478" s="52"/>
    </row>
    <row r="479">
      <c r="A479" s="52"/>
      <c r="B479" s="53"/>
      <c r="C479" s="53"/>
      <c r="D479" s="53"/>
      <c r="E479" s="53"/>
      <c r="F479" s="53"/>
      <c r="G479" s="52"/>
    </row>
    <row r="480">
      <c r="A480" s="52"/>
      <c r="B480" s="53"/>
      <c r="C480" s="53"/>
      <c r="D480" s="53"/>
      <c r="E480" s="53"/>
      <c r="F480" s="53"/>
      <c r="G480" s="52"/>
    </row>
    <row r="481">
      <c r="A481" s="52"/>
      <c r="B481" s="53"/>
      <c r="C481" s="53"/>
      <c r="D481" s="53"/>
      <c r="E481" s="53"/>
      <c r="F481" s="53"/>
      <c r="G481" s="52"/>
    </row>
    <row r="482">
      <c r="A482" s="52"/>
      <c r="B482" s="53"/>
      <c r="C482" s="53"/>
      <c r="D482" s="53"/>
      <c r="E482" s="53"/>
      <c r="F482" s="53"/>
      <c r="G482" s="52"/>
    </row>
    <row r="483">
      <c r="A483" s="52"/>
      <c r="B483" s="53"/>
      <c r="C483" s="53"/>
      <c r="D483" s="53"/>
      <c r="E483" s="53"/>
      <c r="F483" s="53"/>
      <c r="G483" s="52"/>
    </row>
    <row r="484">
      <c r="A484" s="52"/>
      <c r="B484" s="53"/>
      <c r="C484" s="53"/>
      <c r="D484" s="53"/>
      <c r="E484" s="53"/>
      <c r="F484" s="53"/>
      <c r="G484" s="52"/>
    </row>
    <row r="485">
      <c r="A485" s="52"/>
      <c r="B485" s="53"/>
      <c r="C485" s="53"/>
      <c r="D485" s="53"/>
      <c r="E485" s="53"/>
      <c r="F485" s="53"/>
      <c r="G485" s="52"/>
    </row>
    <row r="486">
      <c r="A486" s="52"/>
      <c r="B486" s="53"/>
      <c r="C486" s="53"/>
      <c r="D486" s="53"/>
      <c r="E486" s="53"/>
      <c r="F486" s="53"/>
      <c r="G486" s="52"/>
    </row>
    <row r="487">
      <c r="A487" s="52"/>
      <c r="B487" s="53"/>
      <c r="C487" s="53"/>
      <c r="D487" s="53"/>
      <c r="E487" s="53"/>
      <c r="F487" s="53"/>
      <c r="G487" s="52"/>
    </row>
    <row r="488">
      <c r="A488" s="52"/>
      <c r="B488" s="53"/>
      <c r="C488" s="53"/>
      <c r="D488" s="53"/>
      <c r="E488" s="53"/>
      <c r="F488" s="53"/>
      <c r="G488" s="52"/>
    </row>
    <row r="489">
      <c r="A489" s="52"/>
      <c r="B489" s="53"/>
      <c r="C489" s="53"/>
      <c r="D489" s="53"/>
      <c r="E489" s="53"/>
      <c r="F489" s="53"/>
      <c r="G489" s="52"/>
    </row>
    <row r="490">
      <c r="A490" s="52"/>
      <c r="B490" s="53"/>
      <c r="C490" s="53"/>
      <c r="D490" s="53"/>
      <c r="E490" s="53"/>
      <c r="F490" s="53"/>
      <c r="G490" s="52"/>
    </row>
    <row r="491">
      <c r="A491" s="52"/>
      <c r="B491" s="53"/>
      <c r="C491" s="53"/>
      <c r="D491" s="53"/>
      <c r="E491" s="53"/>
      <c r="F491" s="53"/>
      <c r="G491" s="52"/>
    </row>
    <row r="492">
      <c r="A492" s="52"/>
      <c r="B492" s="53"/>
      <c r="C492" s="53"/>
      <c r="D492" s="53"/>
      <c r="E492" s="53"/>
      <c r="F492" s="53"/>
      <c r="G492" s="52"/>
    </row>
    <row r="493">
      <c r="A493" s="52"/>
      <c r="B493" s="53"/>
      <c r="C493" s="53"/>
      <c r="D493" s="53"/>
      <c r="E493" s="53"/>
      <c r="F493" s="53"/>
      <c r="G493" s="52"/>
    </row>
    <row r="494">
      <c r="A494" s="52"/>
      <c r="B494" s="53"/>
      <c r="C494" s="53"/>
      <c r="D494" s="53"/>
      <c r="E494" s="53"/>
      <c r="F494" s="53"/>
      <c r="G494" s="52"/>
    </row>
    <row r="495">
      <c r="A495" s="52"/>
      <c r="B495" s="53"/>
      <c r="C495" s="53"/>
      <c r="D495" s="53"/>
      <c r="E495" s="53"/>
      <c r="F495" s="53"/>
      <c r="G495" s="52"/>
    </row>
    <row r="496">
      <c r="A496" s="52"/>
      <c r="B496" s="53"/>
      <c r="C496" s="53"/>
      <c r="D496" s="53"/>
      <c r="E496" s="53"/>
      <c r="F496" s="53"/>
      <c r="G496" s="52"/>
    </row>
    <row r="497">
      <c r="A497" s="52"/>
      <c r="B497" s="53"/>
      <c r="C497" s="53"/>
      <c r="D497" s="53"/>
      <c r="E497" s="53"/>
      <c r="F497" s="53"/>
      <c r="G497" s="52"/>
    </row>
    <row r="498">
      <c r="A498" s="52"/>
      <c r="B498" s="53"/>
      <c r="C498" s="53"/>
      <c r="D498" s="53"/>
      <c r="E498" s="53"/>
      <c r="F498" s="53"/>
      <c r="G498" s="52"/>
    </row>
    <row r="499">
      <c r="A499" s="52"/>
      <c r="B499" s="53"/>
      <c r="C499" s="53"/>
      <c r="D499" s="53"/>
      <c r="E499" s="53"/>
      <c r="F499" s="53"/>
      <c r="G499" s="52"/>
    </row>
    <row r="500">
      <c r="A500" s="52"/>
      <c r="B500" s="53"/>
      <c r="C500" s="53"/>
      <c r="D500" s="53"/>
      <c r="E500" s="53"/>
      <c r="F500" s="53"/>
      <c r="G500" s="52"/>
    </row>
    <row r="501">
      <c r="A501" s="52"/>
      <c r="B501" s="53"/>
      <c r="C501" s="53"/>
      <c r="D501" s="53"/>
      <c r="E501" s="53"/>
      <c r="F501" s="53"/>
      <c r="G501" s="52"/>
    </row>
    <row r="502">
      <c r="A502" s="52"/>
      <c r="B502" s="53"/>
      <c r="C502" s="53"/>
      <c r="D502" s="53"/>
      <c r="E502" s="53"/>
      <c r="F502" s="53"/>
      <c r="G502" s="52"/>
    </row>
    <row r="503">
      <c r="A503" s="52"/>
      <c r="B503" s="53"/>
      <c r="C503" s="53"/>
      <c r="D503" s="53"/>
      <c r="E503" s="53"/>
      <c r="F503" s="53"/>
      <c r="G503" s="52"/>
    </row>
    <row r="504">
      <c r="A504" s="52"/>
      <c r="B504" s="53"/>
      <c r="C504" s="53"/>
      <c r="D504" s="53"/>
      <c r="E504" s="53"/>
      <c r="F504" s="53"/>
      <c r="G504" s="52"/>
    </row>
    <row r="505">
      <c r="A505" s="52"/>
      <c r="B505" s="53"/>
      <c r="C505" s="53"/>
      <c r="D505" s="53"/>
      <c r="E505" s="53"/>
      <c r="F505" s="53"/>
      <c r="G505" s="52"/>
    </row>
    <row r="506">
      <c r="A506" s="52"/>
      <c r="B506" s="53"/>
      <c r="C506" s="53"/>
      <c r="D506" s="53"/>
      <c r="E506" s="53"/>
      <c r="F506" s="53"/>
      <c r="G506" s="52"/>
    </row>
    <row r="507">
      <c r="A507" s="52"/>
      <c r="B507" s="53"/>
      <c r="C507" s="53"/>
      <c r="D507" s="53"/>
      <c r="E507" s="53"/>
      <c r="F507" s="53"/>
      <c r="G507" s="52"/>
    </row>
    <row r="508">
      <c r="A508" s="52"/>
      <c r="B508" s="53"/>
      <c r="C508" s="53"/>
      <c r="D508" s="53"/>
      <c r="E508" s="53"/>
      <c r="F508" s="53"/>
      <c r="G508" s="52"/>
    </row>
    <row r="509">
      <c r="A509" s="52"/>
      <c r="B509" s="53"/>
      <c r="C509" s="53"/>
      <c r="D509" s="53"/>
      <c r="E509" s="53"/>
      <c r="F509" s="53"/>
      <c r="G509" s="52"/>
    </row>
    <row r="510">
      <c r="A510" s="52"/>
      <c r="B510" s="53"/>
      <c r="C510" s="53"/>
      <c r="D510" s="53"/>
      <c r="E510" s="53"/>
      <c r="F510" s="53"/>
      <c r="G510" s="52"/>
    </row>
    <row r="511">
      <c r="A511" s="52"/>
      <c r="B511" s="53"/>
      <c r="C511" s="53"/>
      <c r="D511" s="53"/>
      <c r="E511" s="53"/>
      <c r="F511" s="53"/>
      <c r="G511" s="52"/>
    </row>
    <row r="512">
      <c r="A512" s="52"/>
      <c r="B512" s="53"/>
      <c r="C512" s="53"/>
      <c r="D512" s="53"/>
      <c r="E512" s="53"/>
      <c r="F512" s="53"/>
      <c r="G512" s="52"/>
    </row>
    <row r="513">
      <c r="A513" s="52"/>
      <c r="B513" s="53"/>
      <c r="C513" s="53"/>
      <c r="D513" s="53"/>
      <c r="E513" s="53"/>
      <c r="F513" s="53"/>
      <c r="G513" s="52"/>
    </row>
    <row r="514">
      <c r="A514" s="52"/>
      <c r="B514" s="53"/>
      <c r="C514" s="53"/>
      <c r="D514" s="53"/>
      <c r="E514" s="53"/>
      <c r="F514" s="53"/>
      <c r="G514" s="52"/>
    </row>
    <row r="515">
      <c r="A515" s="52"/>
      <c r="B515" s="53"/>
      <c r="C515" s="53"/>
      <c r="D515" s="53"/>
      <c r="E515" s="53"/>
      <c r="F515" s="53"/>
      <c r="G515" s="52"/>
    </row>
    <row r="516">
      <c r="A516" s="52"/>
      <c r="B516" s="53"/>
      <c r="C516" s="53"/>
      <c r="D516" s="53"/>
      <c r="E516" s="53"/>
      <c r="F516" s="53"/>
      <c r="G516" s="52"/>
    </row>
    <row r="517">
      <c r="A517" s="52"/>
      <c r="B517" s="53"/>
      <c r="C517" s="53"/>
      <c r="D517" s="53"/>
      <c r="E517" s="53"/>
      <c r="F517" s="53"/>
      <c r="G517" s="52"/>
    </row>
    <row r="518">
      <c r="A518" s="52"/>
      <c r="B518" s="53"/>
      <c r="C518" s="53"/>
      <c r="D518" s="53"/>
      <c r="E518" s="53"/>
      <c r="F518" s="53"/>
      <c r="G518" s="52"/>
    </row>
    <row r="519">
      <c r="A519" s="52"/>
      <c r="B519" s="53"/>
      <c r="C519" s="53"/>
      <c r="D519" s="53"/>
      <c r="E519" s="53"/>
      <c r="F519" s="53"/>
      <c r="G519" s="52"/>
    </row>
    <row r="520">
      <c r="A520" s="52"/>
      <c r="B520" s="53"/>
      <c r="C520" s="53"/>
      <c r="D520" s="53"/>
      <c r="E520" s="53"/>
      <c r="F520" s="53"/>
      <c r="G520" s="52"/>
    </row>
    <row r="521">
      <c r="A521" s="52"/>
      <c r="B521" s="53"/>
      <c r="C521" s="53"/>
      <c r="D521" s="53"/>
      <c r="E521" s="53"/>
      <c r="F521" s="53"/>
      <c r="G521" s="52"/>
    </row>
    <row r="522">
      <c r="A522" s="52"/>
      <c r="B522" s="53"/>
      <c r="C522" s="53"/>
      <c r="D522" s="53"/>
      <c r="E522" s="53"/>
      <c r="F522" s="53"/>
      <c r="G522" s="52"/>
    </row>
    <row r="523">
      <c r="A523" s="52"/>
      <c r="B523" s="53"/>
      <c r="C523" s="53"/>
      <c r="D523" s="53"/>
      <c r="E523" s="53"/>
      <c r="F523" s="53"/>
      <c r="G523" s="52"/>
    </row>
    <row r="524">
      <c r="A524" s="52"/>
      <c r="B524" s="53"/>
      <c r="C524" s="53"/>
      <c r="D524" s="53"/>
      <c r="E524" s="53"/>
      <c r="F524" s="53"/>
      <c r="G524" s="52"/>
    </row>
    <row r="525">
      <c r="A525" s="52"/>
      <c r="B525" s="53"/>
      <c r="C525" s="53"/>
      <c r="D525" s="53"/>
      <c r="E525" s="53"/>
      <c r="F525" s="53"/>
      <c r="G525" s="52"/>
    </row>
    <row r="526">
      <c r="A526" s="52"/>
      <c r="B526" s="53"/>
      <c r="C526" s="53"/>
      <c r="D526" s="53"/>
      <c r="E526" s="53"/>
      <c r="F526" s="53"/>
      <c r="G526" s="52"/>
    </row>
    <row r="527">
      <c r="A527" s="52"/>
      <c r="B527" s="53"/>
      <c r="C527" s="53"/>
      <c r="D527" s="53"/>
      <c r="E527" s="53"/>
      <c r="F527" s="53"/>
      <c r="G527" s="52"/>
    </row>
    <row r="528">
      <c r="A528" s="52"/>
      <c r="B528" s="53"/>
      <c r="C528" s="53"/>
      <c r="D528" s="53"/>
      <c r="E528" s="53"/>
      <c r="F528" s="53"/>
      <c r="G528" s="52"/>
    </row>
    <row r="529">
      <c r="A529" s="52"/>
      <c r="B529" s="53"/>
      <c r="C529" s="53"/>
      <c r="D529" s="53"/>
      <c r="E529" s="53"/>
      <c r="F529" s="53"/>
      <c r="G529" s="52"/>
    </row>
    <row r="530">
      <c r="A530" s="52"/>
      <c r="B530" s="53"/>
      <c r="C530" s="53"/>
      <c r="D530" s="53"/>
      <c r="E530" s="53"/>
      <c r="F530" s="53"/>
      <c r="G530" s="52"/>
    </row>
    <row r="531">
      <c r="A531" s="52"/>
      <c r="B531" s="53"/>
      <c r="C531" s="53"/>
      <c r="D531" s="53"/>
      <c r="E531" s="53"/>
      <c r="F531" s="53"/>
      <c r="G531" s="52"/>
    </row>
    <row r="532">
      <c r="A532" s="52"/>
      <c r="B532" s="53"/>
      <c r="C532" s="53"/>
      <c r="D532" s="53"/>
      <c r="E532" s="53"/>
      <c r="F532" s="53"/>
      <c r="G532" s="52"/>
    </row>
    <row r="533">
      <c r="A533" s="52"/>
      <c r="B533" s="53"/>
      <c r="C533" s="53"/>
      <c r="D533" s="53"/>
      <c r="E533" s="53"/>
      <c r="F533" s="53"/>
      <c r="G533" s="52"/>
    </row>
    <row r="534">
      <c r="A534" s="52"/>
      <c r="B534" s="53"/>
      <c r="C534" s="53"/>
      <c r="D534" s="53"/>
      <c r="E534" s="53"/>
      <c r="F534" s="53"/>
      <c r="G534" s="52"/>
    </row>
    <row r="535">
      <c r="A535" s="52"/>
      <c r="B535" s="53"/>
      <c r="C535" s="53"/>
      <c r="D535" s="53"/>
      <c r="E535" s="53"/>
      <c r="F535" s="53"/>
      <c r="G535" s="52"/>
    </row>
    <row r="536">
      <c r="A536" s="52"/>
      <c r="B536" s="53"/>
      <c r="C536" s="53"/>
      <c r="D536" s="53"/>
      <c r="E536" s="53"/>
      <c r="F536" s="53"/>
      <c r="G536" s="52"/>
    </row>
    <row r="537">
      <c r="A537" s="52"/>
      <c r="B537" s="53"/>
      <c r="C537" s="53"/>
      <c r="D537" s="53"/>
      <c r="E537" s="53"/>
      <c r="F537" s="53"/>
      <c r="G537" s="52"/>
    </row>
    <row r="538">
      <c r="A538" s="52"/>
      <c r="B538" s="53"/>
      <c r="C538" s="53"/>
      <c r="D538" s="53"/>
      <c r="E538" s="53"/>
      <c r="F538" s="53"/>
      <c r="G538" s="52"/>
    </row>
    <row r="539">
      <c r="A539" s="52"/>
      <c r="B539" s="53"/>
      <c r="C539" s="53"/>
      <c r="D539" s="53"/>
      <c r="E539" s="53"/>
      <c r="F539" s="53"/>
      <c r="G539" s="52"/>
    </row>
    <row r="540">
      <c r="A540" s="52"/>
      <c r="B540" s="53"/>
      <c r="C540" s="53"/>
      <c r="D540" s="53"/>
      <c r="E540" s="53"/>
      <c r="F540" s="53"/>
      <c r="G540" s="52"/>
    </row>
    <row r="541">
      <c r="A541" s="52"/>
      <c r="B541" s="53"/>
      <c r="C541" s="53"/>
      <c r="D541" s="53"/>
      <c r="E541" s="53"/>
      <c r="F541" s="53"/>
      <c r="G541" s="52"/>
    </row>
    <row r="542">
      <c r="A542" s="52"/>
      <c r="B542" s="53"/>
      <c r="C542" s="53"/>
      <c r="D542" s="53"/>
      <c r="E542" s="53"/>
      <c r="F542" s="53"/>
      <c r="G542" s="52"/>
    </row>
    <row r="543">
      <c r="A543" s="52"/>
      <c r="B543" s="53"/>
      <c r="C543" s="53"/>
      <c r="D543" s="53"/>
      <c r="E543" s="53"/>
      <c r="F543" s="53"/>
      <c r="G543" s="52"/>
    </row>
    <row r="544">
      <c r="A544" s="52"/>
      <c r="B544" s="53"/>
      <c r="C544" s="53"/>
      <c r="D544" s="53"/>
      <c r="E544" s="53"/>
      <c r="F544" s="53"/>
      <c r="G544" s="52"/>
    </row>
    <row r="545">
      <c r="A545" s="52"/>
      <c r="B545" s="53"/>
      <c r="C545" s="53"/>
      <c r="D545" s="53"/>
      <c r="E545" s="53"/>
      <c r="F545" s="53"/>
      <c r="G545" s="52"/>
    </row>
    <row r="546">
      <c r="A546" s="52"/>
      <c r="B546" s="53"/>
      <c r="C546" s="53"/>
      <c r="D546" s="53"/>
      <c r="E546" s="53"/>
      <c r="F546" s="53"/>
      <c r="G546" s="52"/>
    </row>
    <row r="547">
      <c r="A547" s="52"/>
      <c r="B547" s="53"/>
      <c r="C547" s="53"/>
      <c r="D547" s="53"/>
      <c r="E547" s="53"/>
      <c r="F547" s="53"/>
      <c r="G547" s="52"/>
    </row>
    <row r="548">
      <c r="A548" s="52"/>
      <c r="B548" s="53"/>
      <c r="C548" s="53"/>
      <c r="D548" s="53"/>
      <c r="E548" s="53"/>
      <c r="F548" s="53"/>
      <c r="G548" s="52"/>
    </row>
    <row r="549">
      <c r="A549" s="52"/>
      <c r="B549" s="53"/>
      <c r="C549" s="53"/>
      <c r="D549" s="53"/>
      <c r="E549" s="53"/>
      <c r="F549" s="53"/>
      <c r="G549" s="52"/>
    </row>
    <row r="550">
      <c r="A550" s="52"/>
      <c r="B550" s="53"/>
      <c r="C550" s="53"/>
      <c r="D550" s="53"/>
      <c r="E550" s="53"/>
      <c r="F550" s="53"/>
      <c r="G550" s="52"/>
    </row>
    <row r="551">
      <c r="A551" s="52"/>
      <c r="B551" s="53"/>
      <c r="C551" s="53"/>
      <c r="D551" s="53"/>
      <c r="E551" s="53"/>
      <c r="F551" s="53"/>
      <c r="G551" s="52"/>
    </row>
    <row r="552">
      <c r="A552" s="52"/>
      <c r="B552" s="53"/>
      <c r="C552" s="53"/>
      <c r="D552" s="53"/>
      <c r="E552" s="53"/>
      <c r="F552" s="53"/>
      <c r="G552" s="52"/>
    </row>
    <row r="553">
      <c r="A553" s="52"/>
      <c r="B553" s="53"/>
      <c r="C553" s="53"/>
      <c r="D553" s="53"/>
      <c r="E553" s="53"/>
      <c r="F553" s="53"/>
      <c r="G553" s="52"/>
    </row>
    <row r="554">
      <c r="A554" s="52"/>
      <c r="B554" s="53"/>
      <c r="C554" s="53"/>
      <c r="D554" s="53"/>
      <c r="E554" s="53"/>
      <c r="F554" s="53"/>
      <c r="G554" s="52"/>
    </row>
    <row r="555">
      <c r="A555" s="52"/>
      <c r="B555" s="53"/>
      <c r="C555" s="53"/>
      <c r="D555" s="53"/>
      <c r="E555" s="53"/>
      <c r="F555" s="53"/>
      <c r="G555" s="52"/>
    </row>
    <row r="556">
      <c r="A556" s="52"/>
      <c r="B556" s="53"/>
      <c r="C556" s="53"/>
      <c r="D556" s="53"/>
      <c r="E556" s="53"/>
      <c r="F556" s="53"/>
      <c r="G556" s="52"/>
    </row>
    <row r="557">
      <c r="A557" s="52"/>
      <c r="B557" s="53"/>
      <c r="C557" s="53"/>
      <c r="D557" s="53"/>
      <c r="E557" s="53"/>
      <c r="F557" s="53"/>
      <c r="G557" s="52"/>
    </row>
    <row r="558">
      <c r="A558" s="52"/>
      <c r="B558" s="53"/>
      <c r="C558" s="53"/>
      <c r="D558" s="53"/>
      <c r="E558" s="53"/>
      <c r="F558" s="53"/>
      <c r="G558" s="52"/>
    </row>
    <row r="559">
      <c r="A559" s="52"/>
      <c r="B559" s="53"/>
      <c r="C559" s="53"/>
      <c r="D559" s="53"/>
      <c r="E559" s="53"/>
      <c r="F559" s="53"/>
      <c r="G559" s="52"/>
    </row>
    <row r="560">
      <c r="A560" s="52"/>
      <c r="B560" s="53"/>
      <c r="C560" s="53"/>
      <c r="D560" s="53"/>
      <c r="E560" s="53"/>
      <c r="F560" s="53"/>
      <c r="G560" s="52"/>
    </row>
    <row r="561">
      <c r="A561" s="52"/>
      <c r="B561" s="53"/>
      <c r="C561" s="53"/>
      <c r="D561" s="53"/>
      <c r="E561" s="53"/>
      <c r="F561" s="53"/>
      <c r="G561" s="52"/>
    </row>
    <row r="562">
      <c r="A562" s="52"/>
      <c r="B562" s="53"/>
      <c r="C562" s="53"/>
      <c r="D562" s="53"/>
      <c r="E562" s="53"/>
      <c r="F562" s="53"/>
      <c r="G562" s="52"/>
    </row>
    <row r="563">
      <c r="A563" s="52"/>
      <c r="B563" s="53"/>
      <c r="C563" s="53"/>
      <c r="D563" s="53"/>
      <c r="E563" s="53"/>
      <c r="F563" s="53"/>
      <c r="G563" s="52"/>
    </row>
    <row r="564">
      <c r="A564" s="52"/>
      <c r="B564" s="53"/>
      <c r="C564" s="53"/>
      <c r="D564" s="53"/>
      <c r="E564" s="53"/>
      <c r="F564" s="53"/>
      <c r="G564" s="52"/>
    </row>
    <row r="565">
      <c r="A565" s="52"/>
      <c r="B565" s="53"/>
      <c r="C565" s="53"/>
      <c r="D565" s="53"/>
      <c r="E565" s="53"/>
      <c r="F565" s="53"/>
      <c r="G565" s="52"/>
    </row>
    <row r="566">
      <c r="A566" s="52"/>
      <c r="B566" s="53"/>
      <c r="C566" s="53"/>
      <c r="D566" s="53"/>
      <c r="E566" s="53"/>
      <c r="F566" s="53"/>
      <c r="G566" s="52"/>
    </row>
    <row r="567">
      <c r="A567" s="52"/>
      <c r="B567" s="53"/>
      <c r="C567" s="53"/>
      <c r="D567" s="53"/>
      <c r="E567" s="53"/>
      <c r="F567" s="53"/>
      <c r="G567" s="52"/>
    </row>
    <row r="568">
      <c r="A568" s="52"/>
      <c r="B568" s="53"/>
      <c r="C568" s="53"/>
      <c r="D568" s="53"/>
      <c r="E568" s="53"/>
      <c r="F568" s="53"/>
      <c r="G568" s="52"/>
    </row>
    <row r="569">
      <c r="A569" s="52"/>
      <c r="B569" s="53"/>
      <c r="C569" s="53"/>
      <c r="D569" s="53"/>
      <c r="E569" s="53"/>
      <c r="F569" s="53"/>
      <c r="G569" s="52"/>
    </row>
    <row r="570">
      <c r="A570" s="52"/>
      <c r="B570" s="53"/>
      <c r="C570" s="53"/>
      <c r="D570" s="53"/>
      <c r="E570" s="53"/>
      <c r="F570" s="53"/>
      <c r="G570" s="52"/>
    </row>
    <row r="571">
      <c r="A571" s="52"/>
      <c r="B571" s="53"/>
      <c r="C571" s="53"/>
      <c r="D571" s="53"/>
      <c r="E571" s="53"/>
      <c r="F571" s="53"/>
      <c r="G571" s="52"/>
    </row>
    <row r="572">
      <c r="A572" s="52"/>
      <c r="B572" s="53"/>
      <c r="C572" s="53"/>
      <c r="D572" s="53"/>
      <c r="E572" s="53"/>
      <c r="F572" s="53"/>
      <c r="G572" s="52"/>
    </row>
    <row r="573">
      <c r="A573" s="52"/>
      <c r="B573" s="53"/>
      <c r="C573" s="53"/>
      <c r="D573" s="53"/>
      <c r="E573" s="53"/>
      <c r="F573" s="53"/>
      <c r="G573" s="52"/>
    </row>
    <row r="574">
      <c r="A574" s="52"/>
      <c r="B574" s="53"/>
      <c r="C574" s="53"/>
      <c r="D574" s="53"/>
      <c r="E574" s="53"/>
      <c r="F574" s="53"/>
      <c r="G574" s="52"/>
    </row>
    <row r="575">
      <c r="A575" s="52"/>
      <c r="B575" s="53"/>
      <c r="C575" s="53"/>
      <c r="D575" s="53"/>
      <c r="E575" s="53"/>
      <c r="F575" s="53"/>
      <c r="G575" s="52"/>
    </row>
    <row r="576">
      <c r="A576" s="52"/>
      <c r="B576" s="53"/>
      <c r="C576" s="53"/>
      <c r="D576" s="53"/>
      <c r="E576" s="53"/>
      <c r="F576" s="53"/>
      <c r="G576" s="52"/>
    </row>
    <row r="577">
      <c r="A577" s="52"/>
      <c r="B577" s="53"/>
      <c r="C577" s="53"/>
      <c r="D577" s="53"/>
      <c r="E577" s="53"/>
      <c r="F577" s="53"/>
      <c r="G577" s="52"/>
    </row>
    <row r="578">
      <c r="A578" s="52"/>
      <c r="B578" s="53"/>
      <c r="C578" s="53"/>
      <c r="D578" s="53"/>
      <c r="E578" s="53"/>
      <c r="F578" s="53"/>
      <c r="G578" s="52"/>
    </row>
    <row r="579">
      <c r="A579" s="52"/>
      <c r="B579" s="53"/>
      <c r="C579" s="53"/>
      <c r="D579" s="53"/>
      <c r="E579" s="53"/>
      <c r="F579" s="53"/>
      <c r="G579" s="52"/>
    </row>
    <row r="580">
      <c r="A580" s="52"/>
      <c r="B580" s="53"/>
      <c r="C580" s="53"/>
      <c r="D580" s="53"/>
      <c r="E580" s="53"/>
      <c r="F580" s="53"/>
      <c r="G580" s="52"/>
    </row>
    <row r="581">
      <c r="A581" s="52"/>
      <c r="B581" s="53"/>
      <c r="C581" s="53"/>
      <c r="D581" s="53"/>
      <c r="E581" s="53"/>
      <c r="F581" s="53"/>
      <c r="G581" s="52"/>
    </row>
    <row r="582">
      <c r="A582" s="52"/>
      <c r="B582" s="53"/>
      <c r="C582" s="53"/>
      <c r="D582" s="53"/>
      <c r="E582" s="53"/>
      <c r="F582" s="53"/>
      <c r="G582" s="52"/>
    </row>
    <row r="583">
      <c r="A583" s="52"/>
      <c r="B583" s="53"/>
      <c r="C583" s="53"/>
      <c r="D583" s="53"/>
      <c r="E583" s="53"/>
      <c r="F583" s="53"/>
      <c r="G583" s="52"/>
    </row>
    <row r="584">
      <c r="A584" s="52"/>
      <c r="B584" s="53"/>
      <c r="C584" s="53"/>
      <c r="D584" s="53"/>
      <c r="E584" s="53"/>
      <c r="F584" s="53"/>
      <c r="G584" s="52"/>
    </row>
    <row r="585">
      <c r="A585" s="52"/>
      <c r="B585" s="53"/>
      <c r="C585" s="53"/>
      <c r="D585" s="53"/>
      <c r="E585" s="53"/>
      <c r="F585" s="53"/>
      <c r="G585" s="52"/>
    </row>
    <row r="586">
      <c r="A586" s="52"/>
      <c r="B586" s="53"/>
      <c r="C586" s="53"/>
      <c r="D586" s="53"/>
      <c r="E586" s="53"/>
      <c r="F586" s="53"/>
      <c r="G586" s="52"/>
    </row>
    <row r="587">
      <c r="A587" s="52"/>
      <c r="B587" s="53"/>
      <c r="C587" s="53"/>
      <c r="D587" s="53"/>
      <c r="E587" s="53"/>
      <c r="F587" s="53"/>
      <c r="G587" s="52"/>
    </row>
    <row r="588">
      <c r="A588" s="52"/>
      <c r="B588" s="53"/>
      <c r="C588" s="53"/>
      <c r="D588" s="53"/>
      <c r="E588" s="53"/>
      <c r="F588" s="53"/>
      <c r="G588" s="52"/>
    </row>
    <row r="589">
      <c r="A589" s="52"/>
      <c r="B589" s="53"/>
      <c r="C589" s="53"/>
      <c r="D589" s="53"/>
      <c r="E589" s="53"/>
      <c r="F589" s="53"/>
      <c r="G589" s="52"/>
    </row>
    <row r="590">
      <c r="A590" s="52"/>
      <c r="B590" s="53"/>
      <c r="C590" s="53"/>
      <c r="D590" s="53"/>
      <c r="E590" s="53"/>
      <c r="F590" s="53"/>
      <c r="G590" s="52"/>
    </row>
    <row r="591">
      <c r="A591" s="52"/>
      <c r="B591" s="53"/>
      <c r="C591" s="53"/>
      <c r="D591" s="53"/>
      <c r="E591" s="53"/>
      <c r="F591" s="53"/>
      <c r="G591" s="52"/>
    </row>
    <row r="592">
      <c r="A592" s="52"/>
      <c r="B592" s="53"/>
      <c r="C592" s="53"/>
      <c r="D592" s="53"/>
      <c r="E592" s="53"/>
      <c r="F592" s="53"/>
      <c r="G592" s="52"/>
    </row>
    <row r="593">
      <c r="A593" s="52"/>
      <c r="B593" s="53"/>
      <c r="C593" s="53"/>
      <c r="D593" s="53"/>
      <c r="E593" s="53"/>
      <c r="F593" s="53"/>
      <c r="G593" s="52"/>
    </row>
    <row r="594">
      <c r="A594" s="52"/>
      <c r="B594" s="53"/>
      <c r="C594" s="53"/>
      <c r="D594" s="53"/>
      <c r="E594" s="53"/>
      <c r="F594" s="53"/>
      <c r="G594" s="52"/>
    </row>
    <row r="595">
      <c r="A595" s="52"/>
      <c r="B595" s="53"/>
      <c r="C595" s="53"/>
      <c r="D595" s="53"/>
      <c r="E595" s="53"/>
      <c r="F595" s="53"/>
      <c r="G595" s="52"/>
    </row>
    <row r="596">
      <c r="A596" s="52"/>
      <c r="B596" s="53"/>
      <c r="C596" s="53"/>
      <c r="D596" s="53"/>
      <c r="E596" s="53"/>
      <c r="F596" s="53"/>
      <c r="G596" s="52"/>
    </row>
    <row r="597">
      <c r="A597" s="52"/>
      <c r="B597" s="53"/>
      <c r="C597" s="53"/>
      <c r="D597" s="53"/>
      <c r="E597" s="53"/>
      <c r="F597" s="53"/>
      <c r="G597" s="52"/>
    </row>
    <row r="598">
      <c r="A598" s="52"/>
      <c r="B598" s="53"/>
      <c r="C598" s="53"/>
      <c r="D598" s="53"/>
      <c r="E598" s="53"/>
      <c r="F598" s="53"/>
      <c r="G598" s="52"/>
    </row>
    <row r="599">
      <c r="A599" s="52"/>
      <c r="B599" s="53"/>
      <c r="C599" s="53"/>
      <c r="D599" s="53"/>
      <c r="E599" s="53"/>
      <c r="F599" s="53"/>
      <c r="G599" s="52"/>
    </row>
    <row r="600">
      <c r="A600" s="52"/>
      <c r="B600" s="53"/>
      <c r="C600" s="53"/>
      <c r="D600" s="53"/>
      <c r="E600" s="53"/>
      <c r="F600" s="53"/>
      <c r="G600" s="52"/>
    </row>
    <row r="601">
      <c r="A601" s="52"/>
      <c r="B601" s="53"/>
      <c r="C601" s="53"/>
      <c r="D601" s="53"/>
      <c r="E601" s="53"/>
      <c r="F601" s="53"/>
      <c r="G601" s="52"/>
    </row>
    <row r="602">
      <c r="A602" s="52"/>
      <c r="B602" s="53"/>
      <c r="C602" s="53"/>
      <c r="D602" s="53"/>
      <c r="E602" s="53"/>
      <c r="F602" s="53"/>
      <c r="G602" s="52"/>
    </row>
    <row r="603">
      <c r="A603" s="52"/>
      <c r="B603" s="53"/>
      <c r="C603" s="53"/>
      <c r="D603" s="53"/>
      <c r="E603" s="53"/>
      <c r="F603" s="53"/>
      <c r="G603" s="52"/>
    </row>
    <row r="604">
      <c r="A604" s="52"/>
      <c r="B604" s="53"/>
      <c r="C604" s="53"/>
      <c r="D604" s="53"/>
      <c r="E604" s="53"/>
      <c r="F604" s="53"/>
      <c r="G604" s="52"/>
    </row>
    <row r="605">
      <c r="A605" s="52"/>
      <c r="B605" s="53"/>
      <c r="C605" s="53"/>
      <c r="D605" s="53"/>
      <c r="E605" s="53"/>
      <c r="F605" s="53"/>
      <c r="G605" s="52"/>
    </row>
    <row r="606">
      <c r="A606" s="52"/>
      <c r="B606" s="53"/>
      <c r="C606" s="53"/>
      <c r="D606" s="53"/>
      <c r="E606" s="53"/>
      <c r="F606" s="53"/>
      <c r="G606" s="52"/>
    </row>
    <row r="607">
      <c r="A607" s="52"/>
      <c r="B607" s="53"/>
      <c r="C607" s="53"/>
      <c r="D607" s="53"/>
      <c r="E607" s="53"/>
      <c r="F607" s="53"/>
      <c r="G607" s="52"/>
    </row>
    <row r="608">
      <c r="A608" s="52"/>
      <c r="B608" s="53"/>
      <c r="C608" s="53"/>
      <c r="D608" s="53"/>
      <c r="E608" s="53"/>
      <c r="F608" s="53"/>
      <c r="G608" s="52"/>
    </row>
    <row r="609">
      <c r="A609" s="52"/>
      <c r="B609" s="53"/>
      <c r="C609" s="53"/>
      <c r="D609" s="53"/>
      <c r="E609" s="53"/>
      <c r="F609" s="53"/>
      <c r="G609" s="52"/>
    </row>
    <row r="610">
      <c r="A610" s="52"/>
      <c r="B610" s="53"/>
      <c r="C610" s="53"/>
      <c r="D610" s="53"/>
      <c r="E610" s="53"/>
      <c r="F610" s="53"/>
      <c r="G610" s="52"/>
    </row>
    <row r="611">
      <c r="A611" s="52"/>
      <c r="B611" s="53"/>
      <c r="C611" s="53"/>
      <c r="D611" s="53"/>
      <c r="E611" s="53"/>
      <c r="F611" s="53"/>
      <c r="G611" s="52"/>
    </row>
    <row r="612">
      <c r="A612" s="52"/>
      <c r="B612" s="53"/>
      <c r="C612" s="53"/>
      <c r="D612" s="53"/>
      <c r="E612" s="53"/>
      <c r="F612" s="53"/>
      <c r="G612" s="52"/>
    </row>
    <row r="613">
      <c r="A613" s="52"/>
      <c r="B613" s="53"/>
      <c r="C613" s="53"/>
      <c r="D613" s="53"/>
      <c r="E613" s="53"/>
      <c r="F613" s="53"/>
      <c r="G613" s="52"/>
    </row>
    <row r="614">
      <c r="A614" s="52"/>
      <c r="B614" s="53"/>
      <c r="C614" s="53"/>
      <c r="D614" s="53"/>
      <c r="E614" s="53"/>
      <c r="F614" s="53"/>
      <c r="G614" s="52"/>
    </row>
    <row r="615">
      <c r="A615" s="52"/>
      <c r="B615" s="53"/>
      <c r="C615" s="53"/>
      <c r="D615" s="53"/>
      <c r="E615" s="53"/>
      <c r="F615" s="53"/>
      <c r="G615" s="52"/>
    </row>
    <row r="616">
      <c r="A616" s="52"/>
      <c r="B616" s="53"/>
      <c r="C616" s="53"/>
      <c r="D616" s="53"/>
      <c r="E616" s="53"/>
      <c r="F616" s="53"/>
      <c r="G616" s="52"/>
    </row>
    <row r="617">
      <c r="A617" s="52"/>
      <c r="B617" s="53"/>
      <c r="C617" s="53"/>
      <c r="D617" s="53"/>
      <c r="E617" s="53"/>
      <c r="F617" s="53"/>
      <c r="G617" s="52"/>
    </row>
    <row r="618">
      <c r="A618" s="52"/>
      <c r="B618" s="53"/>
      <c r="C618" s="53"/>
      <c r="D618" s="53"/>
      <c r="E618" s="53"/>
      <c r="F618" s="53"/>
      <c r="G618" s="52"/>
    </row>
    <row r="619">
      <c r="A619" s="52"/>
      <c r="B619" s="53"/>
      <c r="C619" s="53"/>
      <c r="D619" s="53"/>
      <c r="E619" s="53"/>
      <c r="F619" s="53"/>
      <c r="G619" s="52"/>
    </row>
    <row r="620">
      <c r="A620" s="52"/>
      <c r="B620" s="53"/>
      <c r="C620" s="53"/>
      <c r="D620" s="53"/>
      <c r="E620" s="53"/>
      <c r="F620" s="53"/>
      <c r="G620" s="52"/>
    </row>
    <row r="621">
      <c r="A621" s="52"/>
      <c r="B621" s="53"/>
      <c r="C621" s="53"/>
      <c r="D621" s="53"/>
      <c r="E621" s="53"/>
      <c r="F621" s="53"/>
      <c r="G621" s="52"/>
    </row>
    <row r="622">
      <c r="A622" s="52"/>
      <c r="B622" s="53"/>
      <c r="C622" s="53"/>
      <c r="D622" s="53"/>
      <c r="E622" s="53"/>
      <c r="F622" s="53"/>
      <c r="G622" s="52"/>
    </row>
    <row r="623">
      <c r="A623" s="52"/>
      <c r="B623" s="53"/>
      <c r="C623" s="53"/>
      <c r="D623" s="53"/>
      <c r="E623" s="53"/>
      <c r="F623" s="53"/>
      <c r="G623" s="52"/>
    </row>
    <row r="624">
      <c r="A624" s="52"/>
      <c r="B624" s="53"/>
      <c r="C624" s="53"/>
      <c r="D624" s="53"/>
      <c r="E624" s="53"/>
      <c r="F624" s="53"/>
      <c r="G624" s="52"/>
    </row>
    <row r="625">
      <c r="A625" s="52"/>
      <c r="B625" s="53"/>
      <c r="C625" s="53"/>
      <c r="D625" s="53"/>
      <c r="E625" s="53"/>
      <c r="F625" s="53"/>
      <c r="G625" s="52"/>
    </row>
    <row r="626">
      <c r="A626" s="52"/>
      <c r="B626" s="53"/>
      <c r="C626" s="53"/>
      <c r="D626" s="53"/>
      <c r="E626" s="53"/>
      <c r="F626" s="53"/>
      <c r="G626" s="52"/>
    </row>
    <row r="627">
      <c r="A627" s="52"/>
      <c r="B627" s="53"/>
      <c r="C627" s="53"/>
      <c r="D627" s="53"/>
      <c r="E627" s="53"/>
      <c r="F627" s="53"/>
      <c r="G627" s="52"/>
    </row>
    <row r="628">
      <c r="A628" s="52"/>
      <c r="B628" s="53"/>
      <c r="C628" s="53"/>
      <c r="D628" s="53"/>
      <c r="E628" s="53"/>
      <c r="F628" s="53"/>
      <c r="G628" s="52"/>
    </row>
    <row r="629">
      <c r="A629" s="52"/>
      <c r="B629" s="53"/>
      <c r="C629" s="53"/>
      <c r="D629" s="53"/>
      <c r="E629" s="53"/>
      <c r="F629" s="53"/>
      <c r="G629" s="52"/>
    </row>
    <row r="630">
      <c r="A630" s="52"/>
      <c r="B630" s="53"/>
      <c r="C630" s="53"/>
      <c r="D630" s="53"/>
      <c r="E630" s="53"/>
      <c r="F630" s="53"/>
      <c r="G630" s="52"/>
    </row>
    <row r="631">
      <c r="A631" s="52"/>
      <c r="B631" s="53"/>
      <c r="C631" s="53"/>
      <c r="D631" s="53"/>
      <c r="E631" s="53"/>
      <c r="F631" s="53"/>
      <c r="G631" s="52"/>
    </row>
    <row r="632">
      <c r="A632" s="52"/>
      <c r="B632" s="53"/>
      <c r="C632" s="53"/>
      <c r="D632" s="53"/>
      <c r="E632" s="53"/>
      <c r="F632" s="53"/>
      <c r="G632" s="52"/>
    </row>
    <row r="633">
      <c r="A633" s="52"/>
      <c r="B633" s="53"/>
      <c r="C633" s="53"/>
      <c r="D633" s="53"/>
      <c r="E633" s="53"/>
      <c r="F633" s="53"/>
      <c r="G633" s="52"/>
    </row>
    <row r="634">
      <c r="A634" s="52"/>
      <c r="B634" s="53"/>
      <c r="C634" s="53"/>
      <c r="D634" s="53"/>
      <c r="E634" s="53"/>
      <c r="F634" s="53"/>
      <c r="G634" s="52"/>
    </row>
    <row r="635">
      <c r="A635" s="52"/>
      <c r="B635" s="53"/>
      <c r="C635" s="53"/>
      <c r="D635" s="53"/>
      <c r="E635" s="53"/>
      <c r="F635" s="53"/>
      <c r="G635" s="52"/>
    </row>
    <row r="636">
      <c r="A636" s="52"/>
      <c r="B636" s="53"/>
      <c r="C636" s="53"/>
      <c r="D636" s="53"/>
      <c r="E636" s="53"/>
      <c r="F636" s="53"/>
      <c r="G636" s="52"/>
    </row>
    <row r="637">
      <c r="A637" s="52"/>
      <c r="B637" s="53"/>
      <c r="C637" s="53"/>
      <c r="D637" s="53"/>
      <c r="E637" s="53"/>
      <c r="F637" s="53"/>
      <c r="G637" s="52"/>
    </row>
    <row r="638">
      <c r="A638" s="52"/>
      <c r="B638" s="53"/>
      <c r="C638" s="53"/>
      <c r="D638" s="53"/>
      <c r="E638" s="53"/>
      <c r="F638" s="53"/>
      <c r="G638" s="52"/>
    </row>
    <row r="639">
      <c r="A639" s="52"/>
      <c r="B639" s="53"/>
      <c r="C639" s="53"/>
      <c r="D639" s="53"/>
      <c r="E639" s="53"/>
      <c r="F639" s="53"/>
      <c r="G639" s="52"/>
    </row>
    <row r="640">
      <c r="A640" s="52"/>
      <c r="B640" s="53"/>
      <c r="C640" s="53"/>
      <c r="D640" s="53"/>
      <c r="E640" s="53"/>
      <c r="F640" s="53"/>
      <c r="G640" s="52"/>
    </row>
    <row r="641">
      <c r="A641" s="52"/>
      <c r="B641" s="53"/>
      <c r="C641" s="53"/>
      <c r="D641" s="53"/>
      <c r="E641" s="53"/>
      <c r="F641" s="53"/>
      <c r="G641" s="52"/>
    </row>
    <row r="642">
      <c r="A642" s="52"/>
      <c r="B642" s="53"/>
      <c r="C642" s="53"/>
      <c r="D642" s="53"/>
      <c r="E642" s="53"/>
      <c r="F642" s="53"/>
      <c r="G642" s="52"/>
    </row>
    <row r="643">
      <c r="A643" s="52"/>
      <c r="B643" s="53"/>
      <c r="C643" s="53"/>
      <c r="D643" s="53"/>
      <c r="E643" s="53"/>
      <c r="F643" s="53"/>
      <c r="G643" s="52"/>
    </row>
    <row r="644">
      <c r="A644" s="52"/>
      <c r="B644" s="53"/>
      <c r="C644" s="53"/>
      <c r="D644" s="53"/>
      <c r="E644" s="53"/>
      <c r="F644" s="53"/>
      <c r="G644" s="52"/>
    </row>
    <row r="645">
      <c r="A645" s="52"/>
      <c r="B645" s="53"/>
      <c r="C645" s="53"/>
      <c r="D645" s="53"/>
      <c r="E645" s="53"/>
      <c r="F645" s="53"/>
      <c r="G645" s="52"/>
    </row>
    <row r="646">
      <c r="A646" s="52"/>
      <c r="B646" s="53"/>
      <c r="C646" s="53"/>
      <c r="D646" s="53"/>
      <c r="E646" s="53"/>
      <c r="F646" s="53"/>
      <c r="G646" s="52"/>
    </row>
    <row r="647">
      <c r="A647" s="52"/>
      <c r="B647" s="53"/>
      <c r="C647" s="53"/>
      <c r="D647" s="53"/>
      <c r="E647" s="53"/>
      <c r="F647" s="53"/>
      <c r="G647" s="52"/>
    </row>
    <row r="648">
      <c r="A648" s="52"/>
      <c r="B648" s="53"/>
      <c r="C648" s="53"/>
      <c r="D648" s="53"/>
      <c r="E648" s="53"/>
      <c r="F648" s="53"/>
      <c r="G648" s="52"/>
    </row>
    <row r="649">
      <c r="A649" s="52"/>
      <c r="B649" s="53"/>
      <c r="C649" s="53"/>
      <c r="D649" s="53"/>
      <c r="E649" s="53"/>
      <c r="F649" s="53"/>
      <c r="G649" s="52"/>
    </row>
    <row r="650">
      <c r="A650" s="52"/>
      <c r="B650" s="53"/>
      <c r="C650" s="53"/>
      <c r="D650" s="53"/>
      <c r="E650" s="53"/>
      <c r="F650" s="53"/>
      <c r="G650" s="52"/>
    </row>
    <row r="651">
      <c r="A651" s="52"/>
      <c r="B651" s="53"/>
      <c r="C651" s="53"/>
      <c r="D651" s="53"/>
      <c r="E651" s="53"/>
      <c r="F651" s="53"/>
      <c r="G651" s="52"/>
    </row>
    <row r="652">
      <c r="A652" s="52"/>
      <c r="B652" s="53"/>
      <c r="C652" s="53"/>
      <c r="D652" s="53"/>
      <c r="E652" s="53"/>
      <c r="F652" s="53"/>
      <c r="G652" s="52"/>
    </row>
    <row r="653">
      <c r="A653" s="52"/>
      <c r="B653" s="53"/>
      <c r="C653" s="53"/>
      <c r="D653" s="53"/>
      <c r="E653" s="53"/>
      <c r="F653" s="53"/>
      <c r="G653" s="52"/>
    </row>
    <row r="654">
      <c r="A654" s="52"/>
      <c r="B654" s="53"/>
      <c r="C654" s="53"/>
      <c r="D654" s="53"/>
      <c r="E654" s="53"/>
      <c r="F654" s="53"/>
      <c r="G654" s="52"/>
    </row>
    <row r="655">
      <c r="A655" s="52"/>
      <c r="B655" s="53"/>
      <c r="C655" s="53"/>
      <c r="D655" s="53"/>
      <c r="E655" s="53"/>
      <c r="F655" s="53"/>
      <c r="G655" s="52"/>
    </row>
    <row r="656">
      <c r="A656" s="52"/>
      <c r="B656" s="53"/>
      <c r="C656" s="53"/>
      <c r="D656" s="53"/>
      <c r="E656" s="53"/>
      <c r="F656" s="53"/>
      <c r="G656" s="52"/>
    </row>
    <row r="657">
      <c r="A657" s="52"/>
      <c r="B657" s="53"/>
      <c r="C657" s="53"/>
      <c r="D657" s="53"/>
      <c r="E657" s="53"/>
      <c r="F657" s="53"/>
      <c r="G657" s="52"/>
    </row>
    <row r="658">
      <c r="A658" s="52"/>
      <c r="B658" s="53"/>
      <c r="C658" s="53"/>
      <c r="D658" s="53"/>
      <c r="E658" s="53"/>
      <c r="F658" s="53"/>
      <c r="G658" s="52"/>
    </row>
    <row r="659">
      <c r="A659" s="52"/>
      <c r="B659" s="53"/>
      <c r="C659" s="53"/>
      <c r="D659" s="53"/>
      <c r="E659" s="53"/>
      <c r="F659" s="53"/>
      <c r="G659" s="52"/>
    </row>
    <row r="660">
      <c r="A660" s="52"/>
      <c r="B660" s="53"/>
      <c r="C660" s="53"/>
      <c r="D660" s="53"/>
      <c r="E660" s="53"/>
      <c r="F660" s="53"/>
      <c r="G660" s="52"/>
    </row>
    <row r="661">
      <c r="A661" s="52"/>
      <c r="B661" s="53"/>
      <c r="C661" s="53"/>
      <c r="D661" s="53"/>
      <c r="E661" s="53"/>
      <c r="F661" s="53"/>
      <c r="G661" s="52"/>
    </row>
    <row r="662">
      <c r="A662" s="52"/>
      <c r="B662" s="53"/>
      <c r="C662" s="53"/>
      <c r="D662" s="53"/>
      <c r="E662" s="53"/>
      <c r="F662" s="53"/>
      <c r="G662" s="52"/>
    </row>
    <row r="663">
      <c r="A663" s="52"/>
      <c r="B663" s="53"/>
      <c r="C663" s="53"/>
      <c r="D663" s="53"/>
      <c r="E663" s="53"/>
      <c r="F663" s="53"/>
      <c r="G663" s="52"/>
    </row>
    <row r="664">
      <c r="A664" s="52"/>
      <c r="B664" s="53"/>
      <c r="C664" s="53"/>
      <c r="D664" s="53"/>
      <c r="E664" s="53"/>
      <c r="F664" s="53"/>
      <c r="G664" s="52"/>
    </row>
    <row r="665">
      <c r="A665" s="52"/>
      <c r="B665" s="53"/>
      <c r="C665" s="53"/>
      <c r="D665" s="53"/>
      <c r="E665" s="53"/>
      <c r="F665" s="53"/>
      <c r="G665" s="52"/>
    </row>
    <row r="666">
      <c r="A666" s="52"/>
      <c r="B666" s="53"/>
      <c r="C666" s="53"/>
      <c r="D666" s="53"/>
      <c r="E666" s="53"/>
      <c r="F666" s="53"/>
      <c r="G666" s="52"/>
    </row>
    <row r="667">
      <c r="A667" s="52"/>
      <c r="B667" s="53"/>
      <c r="C667" s="53"/>
      <c r="D667" s="53"/>
      <c r="E667" s="53"/>
      <c r="F667" s="53"/>
      <c r="G667" s="52"/>
    </row>
    <row r="668">
      <c r="A668" s="52"/>
      <c r="B668" s="53"/>
      <c r="C668" s="53"/>
      <c r="D668" s="53"/>
      <c r="E668" s="53"/>
      <c r="F668" s="53"/>
      <c r="G668" s="52"/>
    </row>
    <row r="669">
      <c r="A669" s="52"/>
      <c r="B669" s="53"/>
      <c r="C669" s="53"/>
      <c r="D669" s="53"/>
      <c r="E669" s="53"/>
      <c r="F669" s="53"/>
      <c r="G669" s="52"/>
    </row>
    <row r="670">
      <c r="A670" s="52"/>
      <c r="B670" s="53"/>
      <c r="C670" s="53"/>
      <c r="D670" s="53"/>
      <c r="E670" s="53"/>
      <c r="F670" s="53"/>
      <c r="G670" s="52"/>
    </row>
    <row r="671">
      <c r="A671" s="52"/>
      <c r="B671" s="53"/>
      <c r="C671" s="53"/>
      <c r="D671" s="53"/>
      <c r="E671" s="53"/>
      <c r="F671" s="53"/>
      <c r="G671" s="52"/>
    </row>
    <row r="672">
      <c r="A672" s="52"/>
      <c r="B672" s="53"/>
      <c r="C672" s="53"/>
      <c r="D672" s="53"/>
      <c r="E672" s="53"/>
      <c r="F672" s="53"/>
      <c r="G672" s="52"/>
    </row>
    <row r="673">
      <c r="A673" s="52"/>
      <c r="B673" s="53"/>
      <c r="C673" s="53"/>
      <c r="D673" s="53"/>
      <c r="E673" s="53"/>
      <c r="F673" s="53"/>
      <c r="G673" s="52"/>
    </row>
    <row r="674">
      <c r="A674" s="52"/>
      <c r="B674" s="53"/>
      <c r="C674" s="53"/>
      <c r="D674" s="53"/>
      <c r="E674" s="53"/>
      <c r="F674" s="53"/>
      <c r="G674" s="52"/>
    </row>
    <row r="675">
      <c r="A675" s="52"/>
      <c r="B675" s="53"/>
      <c r="C675" s="53"/>
      <c r="D675" s="53"/>
      <c r="E675" s="53"/>
      <c r="F675" s="53"/>
      <c r="G675" s="52"/>
    </row>
    <row r="676">
      <c r="A676" s="52"/>
      <c r="B676" s="53"/>
      <c r="C676" s="53"/>
      <c r="D676" s="53"/>
      <c r="E676" s="53"/>
      <c r="F676" s="53"/>
      <c r="G676" s="52"/>
    </row>
    <row r="677">
      <c r="A677" s="52"/>
      <c r="B677" s="53"/>
      <c r="C677" s="53"/>
      <c r="D677" s="53"/>
      <c r="E677" s="53"/>
      <c r="F677" s="53"/>
      <c r="G677" s="52"/>
    </row>
    <row r="678">
      <c r="A678" s="52"/>
      <c r="B678" s="53"/>
      <c r="C678" s="53"/>
      <c r="D678" s="53"/>
      <c r="E678" s="53"/>
      <c r="F678" s="53"/>
      <c r="G678" s="52"/>
    </row>
    <row r="679">
      <c r="A679" s="52"/>
      <c r="B679" s="53"/>
      <c r="C679" s="53"/>
      <c r="D679" s="53"/>
      <c r="E679" s="53"/>
      <c r="F679" s="53"/>
      <c r="G679" s="52"/>
    </row>
    <row r="680">
      <c r="A680" s="52"/>
      <c r="B680" s="53"/>
      <c r="C680" s="53"/>
      <c r="D680" s="53"/>
      <c r="E680" s="53"/>
      <c r="F680" s="53"/>
      <c r="G680" s="52"/>
    </row>
    <row r="681">
      <c r="A681" s="52"/>
      <c r="B681" s="53"/>
      <c r="C681" s="53"/>
      <c r="D681" s="53"/>
      <c r="E681" s="53"/>
      <c r="F681" s="53"/>
      <c r="G681" s="52"/>
    </row>
    <row r="682">
      <c r="A682" s="52"/>
      <c r="B682" s="53"/>
      <c r="C682" s="53"/>
      <c r="D682" s="53"/>
      <c r="E682" s="53"/>
      <c r="F682" s="53"/>
      <c r="G682" s="52"/>
    </row>
    <row r="683">
      <c r="A683" s="52"/>
      <c r="B683" s="53"/>
      <c r="C683" s="53"/>
      <c r="D683" s="53"/>
      <c r="E683" s="53"/>
      <c r="F683" s="53"/>
      <c r="G683" s="52"/>
    </row>
    <row r="684">
      <c r="A684" s="52"/>
      <c r="B684" s="53"/>
      <c r="C684" s="53"/>
      <c r="D684" s="53"/>
      <c r="E684" s="53"/>
      <c r="F684" s="53"/>
      <c r="G684" s="52"/>
    </row>
    <row r="685">
      <c r="A685" s="52"/>
      <c r="B685" s="53"/>
      <c r="C685" s="53"/>
      <c r="D685" s="53"/>
      <c r="E685" s="53"/>
      <c r="F685" s="53"/>
      <c r="G685" s="52"/>
    </row>
    <row r="686">
      <c r="A686" s="52"/>
      <c r="B686" s="53"/>
      <c r="C686" s="53"/>
      <c r="D686" s="53"/>
      <c r="E686" s="53"/>
      <c r="F686" s="53"/>
      <c r="G686" s="52"/>
    </row>
    <row r="687">
      <c r="A687" s="52"/>
      <c r="B687" s="53"/>
      <c r="C687" s="53"/>
      <c r="D687" s="53"/>
      <c r="E687" s="53"/>
      <c r="F687" s="53"/>
      <c r="G687" s="52"/>
    </row>
    <row r="688">
      <c r="A688" s="52"/>
      <c r="B688" s="53"/>
      <c r="C688" s="53"/>
      <c r="D688" s="53"/>
      <c r="E688" s="53"/>
      <c r="F688" s="53"/>
      <c r="G688" s="52"/>
    </row>
    <row r="689">
      <c r="A689" s="52"/>
      <c r="B689" s="53"/>
      <c r="C689" s="53"/>
      <c r="D689" s="53"/>
      <c r="E689" s="53"/>
      <c r="F689" s="53"/>
      <c r="G689" s="52"/>
    </row>
    <row r="690">
      <c r="A690" s="52"/>
      <c r="B690" s="53"/>
      <c r="C690" s="53"/>
      <c r="D690" s="53"/>
      <c r="E690" s="53"/>
      <c r="F690" s="53"/>
      <c r="G690" s="52"/>
    </row>
    <row r="691">
      <c r="A691" s="52"/>
      <c r="B691" s="53"/>
      <c r="C691" s="53"/>
      <c r="D691" s="53"/>
      <c r="E691" s="53"/>
      <c r="F691" s="53"/>
      <c r="G691" s="52"/>
    </row>
    <row r="692">
      <c r="A692" s="52"/>
      <c r="B692" s="53"/>
      <c r="C692" s="53"/>
      <c r="D692" s="53"/>
      <c r="E692" s="53"/>
      <c r="F692" s="53"/>
      <c r="G692" s="52"/>
    </row>
    <row r="693">
      <c r="A693" s="52"/>
      <c r="B693" s="53"/>
      <c r="C693" s="53"/>
      <c r="D693" s="53"/>
      <c r="E693" s="53"/>
      <c r="F693" s="53"/>
      <c r="G693" s="52"/>
    </row>
    <row r="694">
      <c r="A694" s="52"/>
      <c r="B694" s="53"/>
      <c r="C694" s="53"/>
      <c r="D694" s="53"/>
      <c r="E694" s="53"/>
      <c r="F694" s="53"/>
      <c r="G694" s="52"/>
    </row>
    <row r="695">
      <c r="A695" s="52"/>
      <c r="B695" s="53"/>
      <c r="C695" s="53"/>
      <c r="D695" s="53"/>
      <c r="E695" s="53"/>
      <c r="F695" s="53"/>
      <c r="G695" s="52"/>
    </row>
    <row r="696">
      <c r="A696" s="52"/>
      <c r="B696" s="53"/>
      <c r="C696" s="53"/>
      <c r="D696" s="53"/>
      <c r="E696" s="53"/>
      <c r="F696" s="53"/>
      <c r="G696" s="52"/>
    </row>
    <row r="697">
      <c r="A697" s="52"/>
      <c r="B697" s="53"/>
      <c r="C697" s="53"/>
      <c r="D697" s="53"/>
      <c r="E697" s="53"/>
      <c r="F697" s="53"/>
      <c r="G697" s="52"/>
    </row>
    <row r="698">
      <c r="A698" s="52"/>
      <c r="B698" s="53"/>
      <c r="C698" s="53"/>
      <c r="D698" s="53"/>
      <c r="E698" s="53"/>
      <c r="F698" s="53"/>
      <c r="G698" s="52"/>
    </row>
    <row r="699">
      <c r="A699" s="52"/>
      <c r="B699" s="53"/>
      <c r="C699" s="53"/>
      <c r="D699" s="53"/>
      <c r="E699" s="53"/>
      <c r="F699" s="53"/>
      <c r="G699" s="52"/>
    </row>
    <row r="700">
      <c r="A700" s="52"/>
      <c r="B700" s="53"/>
      <c r="C700" s="53"/>
      <c r="D700" s="53"/>
      <c r="E700" s="53"/>
      <c r="F700" s="53"/>
      <c r="G700" s="52"/>
    </row>
    <row r="701">
      <c r="A701" s="52"/>
      <c r="B701" s="53"/>
      <c r="C701" s="53"/>
      <c r="D701" s="53"/>
      <c r="E701" s="53"/>
      <c r="F701" s="53"/>
      <c r="G701" s="52"/>
    </row>
    <row r="702">
      <c r="A702" s="52"/>
      <c r="B702" s="53"/>
      <c r="C702" s="53"/>
      <c r="D702" s="53"/>
      <c r="E702" s="53"/>
      <c r="F702" s="53"/>
      <c r="G702" s="52"/>
    </row>
    <row r="703">
      <c r="A703" s="52"/>
      <c r="B703" s="53"/>
      <c r="C703" s="53"/>
      <c r="D703" s="53"/>
      <c r="E703" s="53"/>
      <c r="F703" s="53"/>
      <c r="G703" s="52"/>
    </row>
    <row r="704">
      <c r="A704" s="52"/>
      <c r="B704" s="53"/>
      <c r="C704" s="53"/>
      <c r="D704" s="53"/>
      <c r="E704" s="53"/>
      <c r="F704" s="53"/>
      <c r="G704" s="52"/>
    </row>
    <row r="705">
      <c r="A705" s="52"/>
      <c r="B705" s="53"/>
      <c r="C705" s="53"/>
      <c r="D705" s="53"/>
      <c r="E705" s="53"/>
      <c r="F705" s="53"/>
      <c r="G705" s="52"/>
    </row>
    <row r="706">
      <c r="A706" s="52"/>
      <c r="B706" s="53"/>
      <c r="C706" s="53"/>
      <c r="D706" s="53"/>
      <c r="E706" s="53"/>
      <c r="F706" s="53"/>
      <c r="G706" s="52"/>
    </row>
    <row r="707">
      <c r="A707" s="52"/>
      <c r="B707" s="53"/>
      <c r="C707" s="53"/>
      <c r="D707" s="53"/>
      <c r="E707" s="53"/>
      <c r="F707" s="53"/>
      <c r="G707" s="52"/>
    </row>
    <row r="708">
      <c r="A708" s="52"/>
      <c r="B708" s="53"/>
      <c r="C708" s="53"/>
      <c r="D708" s="53"/>
      <c r="E708" s="53"/>
      <c r="F708" s="53"/>
      <c r="G708" s="52"/>
    </row>
    <row r="709">
      <c r="A709" s="52"/>
      <c r="B709" s="53"/>
      <c r="C709" s="53"/>
      <c r="D709" s="53"/>
      <c r="E709" s="53"/>
      <c r="F709" s="53"/>
      <c r="G709" s="52"/>
    </row>
    <row r="710">
      <c r="A710" s="52"/>
      <c r="B710" s="53"/>
      <c r="C710" s="53"/>
      <c r="D710" s="53"/>
      <c r="E710" s="53"/>
      <c r="F710" s="53"/>
      <c r="G710" s="52"/>
    </row>
    <row r="711">
      <c r="A711" s="52"/>
      <c r="B711" s="53"/>
      <c r="C711" s="53"/>
      <c r="D711" s="53"/>
      <c r="E711" s="53"/>
      <c r="F711" s="53"/>
      <c r="G711" s="52"/>
    </row>
    <row r="712">
      <c r="A712" s="52"/>
      <c r="B712" s="53"/>
      <c r="C712" s="53"/>
      <c r="D712" s="53"/>
      <c r="E712" s="53"/>
      <c r="F712" s="53"/>
      <c r="G712" s="52"/>
    </row>
    <row r="713">
      <c r="A713" s="52"/>
      <c r="B713" s="53"/>
      <c r="C713" s="53"/>
      <c r="D713" s="53"/>
      <c r="E713" s="53"/>
      <c r="F713" s="53"/>
      <c r="G713" s="52"/>
    </row>
    <row r="714">
      <c r="A714" s="52"/>
      <c r="B714" s="53"/>
      <c r="C714" s="53"/>
      <c r="D714" s="53"/>
      <c r="E714" s="53"/>
      <c r="F714" s="53"/>
      <c r="G714" s="52"/>
    </row>
    <row r="715">
      <c r="A715" s="52"/>
      <c r="B715" s="53"/>
      <c r="C715" s="53"/>
      <c r="D715" s="53"/>
      <c r="E715" s="53"/>
      <c r="F715" s="53"/>
      <c r="G715" s="52"/>
    </row>
    <row r="716">
      <c r="A716" s="52"/>
      <c r="B716" s="53"/>
      <c r="C716" s="53"/>
      <c r="D716" s="53"/>
      <c r="E716" s="53"/>
      <c r="F716" s="53"/>
      <c r="G716" s="52"/>
    </row>
    <row r="717">
      <c r="A717" s="52"/>
      <c r="B717" s="53"/>
      <c r="C717" s="53"/>
      <c r="D717" s="53"/>
      <c r="E717" s="53"/>
      <c r="F717" s="53"/>
      <c r="G717" s="52"/>
    </row>
    <row r="718">
      <c r="A718" s="52"/>
      <c r="B718" s="53"/>
      <c r="C718" s="53"/>
      <c r="D718" s="53"/>
      <c r="E718" s="53"/>
      <c r="F718" s="53"/>
      <c r="G718" s="52"/>
    </row>
    <row r="719">
      <c r="A719" s="52"/>
      <c r="B719" s="53"/>
      <c r="C719" s="53"/>
      <c r="D719" s="53"/>
      <c r="E719" s="53"/>
      <c r="F719" s="53"/>
      <c r="G719" s="52"/>
    </row>
    <row r="720">
      <c r="A720" s="52"/>
      <c r="B720" s="53"/>
      <c r="C720" s="53"/>
      <c r="D720" s="53"/>
      <c r="E720" s="53"/>
      <c r="F720" s="53"/>
      <c r="G720" s="52"/>
    </row>
    <row r="721">
      <c r="A721" s="52"/>
      <c r="B721" s="53"/>
      <c r="C721" s="53"/>
      <c r="D721" s="53"/>
      <c r="E721" s="53"/>
      <c r="F721" s="53"/>
      <c r="G721" s="52"/>
    </row>
    <row r="722">
      <c r="A722" s="52"/>
      <c r="B722" s="53"/>
      <c r="C722" s="53"/>
      <c r="D722" s="53"/>
      <c r="E722" s="53"/>
      <c r="F722" s="53"/>
      <c r="G722" s="52"/>
    </row>
    <row r="723">
      <c r="A723" s="52"/>
      <c r="B723" s="53"/>
      <c r="C723" s="53"/>
      <c r="D723" s="53"/>
      <c r="E723" s="53"/>
      <c r="F723" s="53"/>
      <c r="G723" s="52"/>
    </row>
    <row r="724">
      <c r="A724" s="52"/>
      <c r="B724" s="53"/>
      <c r="C724" s="53"/>
      <c r="D724" s="53"/>
      <c r="E724" s="53"/>
      <c r="F724" s="53"/>
      <c r="G724" s="52"/>
    </row>
    <row r="725">
      <c r="A725" s="52"/>
      <c r="B725" s="53"/>
      <c r="C725" s="53"/>
      <c r="D725" s="53"/>
      <c r="E725" s="53"/>
      <c r="F725" s="53"/>
      <c r="G725" s="52"/>
    </row>
    <row r="726">
      <c r="A726" s="52"/>
      <c r="B726" s="53"/>
      <c r="C726" s="53"/>
      <c r="D726" s="53"/>
      <c r="E726" s="53"/>
      <c r="F726" s="53"/>
      <c r="G726" s="52"/>
    </row>
    <row r="727">
      <c r="A727" s="52"/>
      <c r="B727" s="53"/>
      <c r="C727" s="53"/>
      <c r="D727" s="53"/>
      <c r="E727" s="53"/>
      <c r="F727" s="53"/>
      <c r="G727" s="52"/>
    </row>
    <row r="728">
      <c r="A728" s="52"/>
      <c r="B728" s="53"/>
      <c r="C728" s="53"/>
      <c r="D728" s="53"/>
      <c r="E728" s="53"/>
      <c r="F728" s="53"/>
      <c r="G728" s="52"/>
    </row>
    <row r="729">
      <c r="A729" s="52"/>
      <c r="B729" s="53"/>
      <c r="C729" s="53"/>
      <c r="D729" s="53"/>
      <c r="E729" s="53"/>
      <c r="F729" s="53"/>
      <c r="G729" s="52"/>
    </row>
    <row r="730">
      <c r="A730" s="52"/>
      <c r="B730" s="53"/>
      <c r="C730" s="53"/>
      <c r="D730" s="53"/>
      <c r="E730" s="53"/>
      <c r="F730" s="53"/>
      <c r="G730" s="52"/>
    </row>
    <row r="731">
      <c r="A731" s="52"/>
      <c r="B731" s="53"/>
      <c r="C731" s="53"/>
      <c r="D731" s="53"/>
      <c r="E731" s="53"/>
      <c r="F731" s="53"/>
      <c r="G731" s="52"/>
    </row>
    <row r="732">
      <c r="A732" s="52"/>
      <c r="B732" s="53"/>
      <c r="C732" s="53"/>
      <c r="D732" s="53"/>
      <c r="E732" s="53"/>
      <c r="F732" s="53"/>
      <c r="G732" s="52"/>
    </row>
    <row r="733">
      <c r="A733" s="52"/>
      <c r="B733" s="53"/>
      <c r="C733" s="53"/>
      <c r="D733" s="53"/>
      <c r="E733" s="53"/>
      <c r="F733" s="53"/>
      <c r="G733" s="52"/>
    </row>
    <row r="734">
      <c r="A734" s="52"/>
      <c r="B734" s="53"/>
      <c r="C734" s="53"/>
      <c r="D734" s="53"/>
      <c r="E734" s="53"/>
      <c r="F734" s="53"/>
      <c r="G734" s="52"/>
    </row>
    <row r="735">
      <c r="A735" s="52"/>
      <c r="B735" s="53"/>
      <c r="C735" s="53"/>
      <c r="D735" s="53"/>
      <c r="E735" s="53"/>
      <c r="F735" s="53"/>
      <c r="G735" s="52"/>
    </row>
    <row r="736">
      <c r="A736" s="52"/>
      <c r="B736" s="53"/>
      <c r="C736" s="53"/>
      <c r="D736" s="53"/>
      <c r="E736" s="53"/>
      <c r="F736" s="53"/>
      <c r="G736" s="52"/>
    </row>
    <row r="737">
      <c r="A737" s="52"/>
      <c r="B737" s="53"/>
      <c r="C737" s="53"/>
      <c r="D737" s="53"/>
      <c r="E737" s="53"/>
      <c r="F737" s="53"/>
      <c r="G737" s="52"/>
    </row>
    <row r="738">
      <c r="A738" s="52"/>
      <c r="B738" s="53"/>
      <c r="C738" s="53"/>
      <c r="D738" s="53"/>
      <c r="E738" s="53"/>
      <c r="F738" s="53"/>
      <c r="G738" s="52"/>
    </row>
    <row r="739">
      <c r="A739" s="52"/>
      <c r="B739" s="53"/>
      <c r="C739" s="53"/>
      <c r="D739" s="53"/>
      <c r="E739" s="53"/>
      <c r="F739" s="53"/>
      <c r="G739" s="52"/>
    </row>
    <row r="740">
      <c r="A740" s="52"/>
      <c r="B740" s="53"/>
      <c r="C740" s="53"/>
      <c r="D740" s="53"/>
      <c r="E740" s="53"/>
      <c r="F740" s="53"/>
      <c r="G740" s="52"/>
    </row>
    <row r="741">
      <c r="A741" s="52"/>
      <c r="B741" s="53"/>
      <c r="C741" s="53"/>
      <c r="D741" s="53"/>
      <c r="E741" s="53"/>
      <c r="F741" s="53"/>
      <c r="G741" s="52"/>
    </row>
    <row r="742">
      <c r="A742" s="52"/>
      <c r="B742" s="53"/>
      <c r="C742" s="53"/>
      <c r="D742" s="53"/>
      <c r="E742" s="53"/>
      <c r="F742" s="53"/>
      <c r="G742" s="52"/>
    </row>
    <row r="743">
      <c r="A743" s="52"/>
      <c r="B743" s="53"/>
      <c r="C743" s="53"/>
      <c r="D743" s="53"/>
      <c r="E743" s="53"/>
      <c r="F743" s="53"/>
      <c r="G743" s="52"/>
    </row>
    <row r="744">
      <c r="A744" s="52"/>
      <c r="B744" s="53"/>
      <c r="C744" s="53"/>
      <c r="D744" s="53"/>
      <c r="E744" s="53"/>
      <c r="F744" s="53"/>
      <c r="G744" s="52"/>
    </row>
    <row r="745">
      <c r="A745" s="52"/>
      <c r="B745" s="53"/>
      <c r="C745" s="53"/>
      <c r="D745" s="53"/>
      <c r="E745" s="53"/>
      <c r="F745" s="53"/>
      <c r="G745" s="52"/>
    </row>
    <row r="746">
      <c r="A746" s="52"/>
      <c r="B746" s="53"/>
      <c r="C746" s="53"/>
      <c r="D746" s="53"/>
      <c r="E746" s="53"/>
      <c r="F746" s="53"/>
      <c r="G746" s="52"/>
    </row>
    <row r="747">
      <c r="A747" s="52"/>
      <c r="B747" s="53"/>
      <c r="C747" s="53"/>
      <c r="D747" s="53"/>
      <c r="E747" s="53"/>
      <c r="F747" s="53"/>
      <c r="G747" s="52"/>
    </row>
    <row r="748">
      <c r="A748" s="52"/>
      <c r="B748" s="53"/>
      <c r="C748" s="53"/>
      <c r="D748" s="53"/>
      <c r="E748" s="53"/>
      <c r="F748" s="53"/>
      <c r="G748" s="52"/>
    </row>
    <row r="749">
      <c r="A749" s="52"/>
      <c r="B749" s="53"/>
      <c r="C749" s="53"/>
      <c r="D749" s="53"/>
      <c r="E749" s="53"/>
      <c r="F749" s="53"/>
      <c r="G749" s="52"/>
    </row>
    <row r="750">
      <c r="A750" s="52"/>
      <c r="B750" s="53"/>
      <c r="C750" s="53"/>
      <c r="D750" s="53"/>
      <c r="E750" s="53"/>
      <c r="F750" s="53"/>
      <c r="G750" s="52"/>
    </row>
    <row r="751">
      <c r="A751" s="52"/>
      <c r="B751" s="53"/>
      <c r="C751" s="53"/>
      <c r="D751" s="53"/>
      <c r="E751" s="53"/>
      <c r="F751" s="53"/>
      <c r="G751" s="52"/>
    </row>
    <row r="752">
      <c r="A752" s="52"/>
      <c r="B752" s="53"/>
      <c r="C752" s="53"/>
      <c r="D752" s="53"/>
      <c r="E752" s="53"/>
      <c r="F752" s="53"/>
      <c r="G752" s="52"/>
    </row>
    <row r="753">
      <c r="A753" s="52"/>
      <c r="B753" s="53"/>
      <c r="C753" s="53"/>
      <c r="D753" s="53"/>
      <c r="E753" s="53"/>
      <c r="F753" s="53"/>
      <c r="G753" s="52"/>
    </row>
    <row r="754">
      <c r="A754" s="52"/>
      <c r="B754" s="53"/>
      <c r="C754" s="53"/>
      <c r="D754" s="53"/>
      <c r="E754" s="53"/>
      <c r="F754" s="53"/>
      <c r="G754" s="52"/>
    </row>
    <row r="755">
      <c r="A755" s="52"/>
      <c r="B755" s="53"/>
      <c r="C755" s="53"/>
      <c r="D755" s="53"/>
      <c r="E755" s="53"/>
      <c r="F755" s="53"/>
      <c r="G755" s="52"/>
    </row>
    <row r="756">
      <c r="A756" s="52"/>
      <c r="B756" s="53"/>
      <c r="C756" s="53"/>
      <c r="D756" s="53"/>
      <c r="E756" s="53"/>
      <c r="F756" s="53"/>
      <c r="G756" s="52"/>
    </row>
    <row r="757">
      <c r="A757" s="52"/>
      <c r="B757" s="53"/>
      <c r="C757" s="53"/>
      <c r="D757" s="53"/>
      <c r="E757" s="53"/>
      <c r="F757" s="53"/>
      <c r="G757" s="52"/>
    </row>
    <row r="758">
      <c r="A758" s="52"/>
      <c r="B758" s="53"/>
      <c r="C758" s="53"/>
      <c r="D758" s="53"/>
      <c r="E758" s="53"/>
      <c r="F758" s="53"/>
      <c r="G758" s="52"/>
    </row>
    <row r="759">
      <c r="A759" s="52"/>
      <c r="B759" s="53"/>
      <c r="C759" s="53"/>
      <c r="D759" s="53"/>
      <c r="E759" s="53"/>
      <c r="F759" s="53"/>
      <c r="G759" s="52"/>
    </row>
    <row r="760">
      <c r="A760" s="52"/>
      <c r="B760" s="53"/>
      <c r="C760" s="53"/>
      <c r="D760" s="53"/>
      <c r="E760" s="53"/>
      <c r="F760" s="53"/>
      <c r="G760" s="52"/>
    </row>
    <row r="761">
      <c r="A761" s="52"/>
      <c r="B761" s="53"/>
      <c r="C761" s="53"/>
      <c r="D761" s="53"/>
      <c r="E761" s="53"/>
      <c r="F761" s="53"/>
      <c r="G761" s="52"/>
    </row>
    <row r="762">
      <c r="A762" s="52"/>
      <c r="B762" s="53"/>
      <c r="C762" s="53"/>
      <c r="D762" s="53"/>
      <c r="E762" s="53"/>
      <c r="F762" s="53"/>
      <c r="G762" s="52"/>
    </row>
    <row r="763">
      <c r="A763" s="52"/>
      <c r="B763" s="53"/>
      <c r="C763" s="53"/>
      <c r="D763" s="53"/>
      <c r="E763" s="53"/>
      <c r="F763" s="53"/>
      <c r="G763" s="52"/>
    </row>
    <row r="764">
      <c r="A764" s="52"/>
      <c r="B764" s="53"/>
      <c r="C764" s="53"/>
      <c r="D764" s="53"/>
      <c r="E764" s="53"/>
      <c r="F764" s="53"/>
      <c r="G764" s="52"/>
    </row>
    <row r="765">
      <c r="A765" s="52"/>
      <c r="B765" s="53"/>
      <c r="C765" s="53"/>
      <c r="D765" s="53"/>
      <c r="E765" s="53"/>
      <c r="F765" s="53"/>
      <c r="G765" s="52"/>
    </row>
    <row r="766">
      <c r="A766" s="52"/>
      <c r="B766" s="53"/>
      <c r="C766" s="53"/>
      <c r="D766" s="53"/>
      <c r="E766" s="53"/>
      <c r="F766" s="53"/>
      <c r="G766" s="52"/>
    </row>
    <row r="767">
      <c r="A767" s="52"/>
      <c r="B767" s="53"/>
      <c r="C767" s="53"/>
      <c r="D767" s="53"/>
      <c r="E767" s="53"/>
      <c r="F767" s="53"/>
      <c r="G767" s="52"/>
    </row>
    <row r="768">
      <c r="A768" s="52"/>
      <c r="B768" s="53"/>
      <c r="C768" s="53"/>
      <c r="D768" s="53"/>
      <c r="E768" s="53"/>
      <c r="F768" s="53"/>
      <c r="G768" s="52"/>
    </row>
    <row r="769">
      <c r="A769" s="52"/>
      <c r="B769" s="53"/>
      <c r="C769" s="53"/>
      <c r="D769" s="53"/>
      <c r="E769" s="53"/>
      <c r="F769" s="53"/>
      <c r="G769" s="52"/>
    </row>
    <row r="770">
      <c r="A770" s="52"/>
      <c r="B770" s="53"/>
      <c r="C770" s="53"/>
      <c r="D770" s="53"/>
      <c r="E770" s="53"/>
      <c r="F770" s="53"/>
      <c r="G770" s="52"/>
    </row>
    <row r="771">
      <c r="A771" s="52"/>
      <c r="B771" s="53"/>
      <c r="C771" s="53"/>
      <c r="D771" s="53"/>
      <c r="E771" s="53"/>
      <c r="F771" s="53"/>
      <c r="G771" s="52"/>
    </row>
    <row r="772">
      <c r="A772" s="52"/>
      <c r="B772" s="53"/>
      <c r="C772" s="53"/>
      <c r="D772" s="53"/>
      <c r="E772" s="53"/>
      <c r="F772" s="53"/>
      <c r="G772" s="52"/>
    </row>
    <row r="773">
      <c r="A773" s="52"/>
      <c r="B773" s="53"/>
      <c r="C773" s="53"/>
      <c r="D773" s="53"/>
      <c r="E773" s="53"/>
      <c r="F773" s="53"/>
      <c r="G773" s="52"/>
    </row>
    <row r="774">
      <c r="A774" s="52"/>
      <c r="B774" s="53"/>
      <c r="C774" s="53"/>
      <c r="D774" s="53"/>
      <c r="E774" s="53"/>
      <c r="F774" s="53"/>
      <c r="G774" s="52"/>
    </row>
    <row r="775">
      <c r="A775" s="52"/>
      <c r="B775" s="53"/>
      <c r="C775" s="53"/>
      <c r="D775" s="53"/>
      <c r="E775" s="53"/>
      <c r="F775" s="53"/>
      <c r="G775" s="52"/>
    </row>
    <row r="776">
      <c r="A776" s="52"/>
      <c r="B776" s="53"/>
      <c r="C776" s="53"/>
      <c r="D776" s="53"/>
      <c r="E776" s="53"/>
      <c r="F776" s="53"/>
      <c r="G776" s="52"/>
    </row>
    <row r="777">
      <c r="A777" s="52"/>
      <c r="B777" s="53"/>
      <c r="C777" s="53"/>
      <c r="D777" s="53"/>
      <c r="E777" s="53"/>
      <c r="F777" s="53"/>
      <c r="G777" s="52"/>
    </row>
    <row r="778">
      <c r="A778" s="52"/>
      <c r="B778" s="53"/>
      <c r="C778" s="53"/>
      <c r="D778" s="53"/>
      <c r="E778" s="53"/>
      <c r="F778" s="53"/>
      <c r="G778" s="52"/>
    </row>
    <row r="779">
      <c r="A779" s="52"/>
      <c r="B779" s="53"/>
      <c r="C779" s="53"/>
      <c r="D779" s="53"/>
      <c r="E779" s="53"/>
      <c r="F779" s="53"/>
      <c r="G779" s="52"/>
    </row>
    <row r="780">
      <c r="A780" s="52"/>
      <c r="B780" s="53"/>
      <c r="C780" s="53"/>
      <c r="D780" s="53"/>
      <c r="E780" s="53"/>
      <c r="F780" s="53"/>
      <c r="G780" s="52"/>
    </row>
    <row r="781">
      <c r="A781" s="52"/>
      <c r="B781" s="53"/>
      <c r="C781" s="53"/>
      <c r="D781" s="53"/>
      <c r="E781" s="53"/>
      <c r="F781" s="53"/>
      <c r="G781" s="52"/>
    </row>
    <row r="782">
      <c r="A782" s="52"/>
      <c r="B782" s="53"/>
      <c r="C782" s="53"/>
      <c r="D782" s="53"/>
      <c r="E782" s="53"/>
      <c r="F782" s="53"/>
      <c r="G782" s="52"/>
    </row>
    <row r="783">
      <c r="A783" s="52"/>
      <c r="B783" s="53"/>
      <c r="C783" s="53"/>
      <c r="D783" s="53"/>
      <c r="E783" s="53"/>
      <c r="F783" s="53"/>
      <c r="G783" s="52"/>
    </row>
    <row r="784">
      <c r="A784" s="52"/>
      <c r="B784" s="53"/>
      <c r="C784" s="53"/>
      <c r="D784" s="53"/>
      <c r="E784" s="53"/>
      <c r="F784" s="53"/>
      <c r="G784" s="52"/>
    </row>
    <row r="785">
      <c r="A785" s="52"/>
      <c r="B785" s="53"/>
      <c r="C785" s="53"/>
      <c r="D785" s="53"/>
      <c r="E785" s="53"/>
      <c r="F785" s="53"/>
      <c r="G785" s="52"/>
    </row>
    <row r="786">
      <c r="A786" s="52"/>
      <c r="B786" s="53"/>
      <c r="C786" s="53"/>
      <c r="D786" s="53"/>
      <c r="E786" s="53"/>
      <c r="F786" s="53"/>
      <c r="G786" s="52"/>
    </row>
    <row r="787">
      <c r="A787" s="52"/>
      <c r="B787" s="53"/>
      <c r="C787" s="53"/>
      <c r="D787" s="53"/>
      <c r="E787" s="53"/>
      <c r="F787" s="53"/>
      <c r="G787" s="52"/>
    </row>
    <row r="788">
      <c r="A788" s="52"/>
      <c r="B788" s="53"/>
      <c r="C788" s="53"/>
      <c r="D788" s="53"/>
      <c r="E788" s="53"/>
      <c r="F788" s="53"/>
      <c r="G788" s="52"/>
    </row>
    <row r="789">
      <c r="A789" s="52"/>
      <c r="B789" s="53"/>
      <c r="C789" s="53"/>
      <c r="D789" s="53"/>
      <c r="E789" s="53"/>
      <c r="F789" s="53"/>
      <c r="G789" s="52"/>
    </row>
    <row r="790">
      <c r="A790" s="52"/>
      <c r="B790" s="53"/>
      <c r="C790" s="53"/>
      <c r="D790" s="53"/>
      <c r="E790" s="53"/>
      <c r="F790" s="53"/>
      <c r="G790" s="52"/>
    </row>
    <row r="791">
      <c r="A791" s="52"/>
      <c r="B791" s="53"/>
      <c r="C791" s="53"/>
      <c r="D791" s="53"/>
      <c r="E791" s="53"/>
      <c r="F791" s="53"/>
      <c r="G791" s="52"/>
    </row>
    <row r="792">
      <c r="A792" s="52"/>
      <c r="B792" s="53"/>
      <c r="C792" s="53"/>
      <c r="D792" s="53"/>
      <c r="E792" s="53"/>
      <c r="F792" s="53"/>
      <c r="G792" s="52"/>
    </row>
    <row r="793">
      <c r="A793" s="52"/>
      <c r="B793" s="53"/>
      <c r="C793" s="53"/>
      <c r="D793" s="53"/>
      <c r="E793" s="53"/>
      <c r="F793" s="53"/>
      <c r="G793" s="52"/>
    </row>
    <row r="794">
      <c r="A794" s="52"/>
      <c r="B794" s="53"/>
      <c r="C794" s="53"/>
      <c r="D794" s="53"/>
      <c r="E794" s="53"/>
      <c r="F794" s="53"/>
      <c r="G794" s="52"/>
    </row>
    <row r="795">
      <c r="A795" s="52"/>
      <c r="B795" s="53"/>
      <c r="C795" s="53"/>
      <c r="D795" s="53"/>
      <c r="E795" s="53"/>
      <c r="F795" s="53"/>
      <c r="G795" s="52"/>
    </row>
    <row r="796">
      <c r="A796" s="52"/>
      <c r="B796" s="53"/>
      <c r="C796" s="53"/>
      <c r="D796" s="53"/>
      <c r="E796" s="53"/>
      <c r="F796" s="53"/>
      <c r="G796" s="52"/>
    </row>
    <row r="797">
      <c r="A797" s="52"/>
      <c r="B797" s="53"/>
      <c r="C797" s="53"/>
      <c r="D797" s="53"/>
      <c r="E797" s="53"/>
      <c r="F797" s="53"/>
      <c r="G797" s="52"/>
    </row>
    <row r="798">
      <c r="A798" s="52"/>
      <c r="B798" s="53"/>
      <c r="C798" s="53"/>
      <c r="D798" s="53"/>
      <c r="E798" s="53"/>
      <c r="F798" s="53"/>
      <c r="G798" s="52"/>
    </row>
    <row r="799">
      <c r="A799" s="52"/>
      <c r="B799" s="53"/>
      <c r="C799" s="53"/>
      <c r="D799" s="53"/>
      <c r="E799" s="53"/>
      <c r="F799" s="53"/>
      <c r="G799" s="52"/>
    </row>
    <row r="800">
      <c r="A800" s="52"/>
      <c r="B800" s="53"/>
      <c r="C800" s="53"/>
      <c r="D800" s="53"/>
      <c r="E800" s="53"/>
      <c r="F800" s="53"/>
      <c r="G800" s="52"/>
    </row>
    <row r="801">
      <c r="A801" s="52"/>
      <c r="B801" s="53"/>
      <c r="C801" s="53"/>
      <c r="D801" s="53"/>
      <c r="E801" s="53"/>
      <c r="F801" s="53"/>
      <c r="G801" s="52"/>
    </row>
    <row r="802">
      <c r="A802" s="52"/>
      <c r="B802" s="53"/>
      <c r="C802" s="53"/>
      <c r="D802" s="53"/>
      <c r="E802" s="53"/>
      <c r="F802" s="53"/>
      <c r="G802" s="52"/>
    </row>
    <row r="803">
      <c r="A803" s="52"/>
      <c r="B803" s="53"/>
      <c r="C803" s="53"/>
      <c r="D803" s="53"/>
      <c r="E803" s="53"/>
      <c r="F803" s="53"/>
      <c r="G803" s="52"/>
    </row>
    <row r="804">
      <c r="A804" s="52"/>
      <c r="B804" s="53"/>
      <c r="C804" s="53"/>
      <c r="D804" s="53"/>
      <c r="E804" s="53"/>
      <c r="F804" s="53"/>
      <c r="G804" s="52"/>
    </row>
    <row r="805">
      <c r="A805" s="52"/>
      <c r="B805" s="53"/>
      <c r="C805" s="53"/>
      <c r="D805" s="53"/>
      <c r="E805" s="53"/>
      <c r="F805" s="53"/>
      <c r="G805" s="52"/>
    </row>
    <row r="806">
      <c r="A806" s="52"/>
      <c r="B806" s="53"/>
      <c r="C806" s="53"/>
      <c r="D806" s="53"/>
      <c r="E806" s="53"/>
      <c r="F806" s="53"/>
      <c r="G806" s="52"/>
    </row>
    <row r="807">
      <c r="A807" s="52"/>
      <c r="B807" s="53"/>
      <c r="C807" s="53"/>
      <c r="D807" s="53"/>
      <c r="E807" s="53"/>
      <c r="F807" s="53"/>
      <c r="G807" s="52"/>
    </row>
    <row r="808">
      <c r="A808" s="52"/>
      <c r="B808" s="53"/>
      <c r="C808" s="53"/>
      <c r="D808" s="53"/>
      <c r="E808" s="53"/>
      <c r="F808" s="53"/>
      <c r="G808" s="52"/>
    </row>
    <row r="809">
      <c r="A809" s="52"/>
      <c r="B809" s="53"/>
      <c r="C809" s="53"/>
      <c r="D809" s="53"/>
      <c r="E809" s="53"/>
      <c r="F809" s="53"/>
      <c r="G809" s="52"/>
    </row>
    <row r="810">
      <c r="A810" s="52"/>
      <c r="B810" s="53"/>
      <c r="C810" s="53"/>
      <c r="D810" s="53"/>
      <c r="E810" s="53"/>
      <c r="F810" s="53"/>
      <c r="G810" s="52"/>
    </row>
    <row r="811">
      <c r="A811" s="52"/>
      <c r="B811" s="53"/>
      <c r="C811" s="53"/>
      <c r="D811" s="53"/>
      <c r="E811" s="53"/>
      <c r="F811" s="53"/>
      <c r="G811" s="52"/>
    </row>
    <row r="812">
      <c r="A812" s="52"/>
      <c r="B812" s="53"/>
      <c r="C812" s="53"/>
      <c r="D812" s="53"/>
      <c r="E812" s="53"/>
      <c r="F812" s="53"/>
      <c r="G812" s="52"/>
    </row>
    <row r="813">
      <c r="A813" s="52"/>
      <c r="B813" s="53"/>
      <c r="C813" s="53"/>
      <c r="D813" s="53"/>
      <c r="E813" s="53"/>
      <c r="F813" s="53"/>
      <c r="G813" s="52"/>
    </row>
    <row r="814">
      <c r="A814" s="52"/>
      <c r="B814" s="53"/>
      <c r="C814" s="53"/>
      <c r="D814" s="53"/>
      <c r="E814" s="53"/>
      <c r="F814" s="53"/>
      <c r="G814" s="52"/>
    </row>
    <row r="815">
      <c r="A815" s="52"/>
      <c r="B815" s="53"/>
      <c r="C815" s="53"/>
      <c r="D815" s="53"/>
      <c r="E815" s="53"/>
      <c r="F815" s="53"/>
      <c r="G815" s="52"/>
    </row>
    <row r="816">
      <c r="A816" s="52"/>
      <c r="B816" s="53"/>
      <c r="C816" s="53"/>
      <c r="D816" s="53"/>
      <c r="E816" s="53"/>
      <c r="F816" s="53"/>
      <c r="G816" s="52"/>
    </row>
    <row r="817">
      <c r="A817" s="52"/>
      <c r="B817" s="53"/>
      <c r="C817" s="53"/>
      <c r="D817" s="53"/>
      <c r="E817" s="53"/>
      <c r="F817" s="53"/>
      <c r="G817" s="52"/>
    </row>
    <row r="818">
      <c r="A818" s="52"/>
      <c r="B818" s="53"/>
      <c r="C818" s="53"/>
      <c r="D818" s="53"/>
      <c r="E818" s="53"/>
      <c r="F818" s="53"/>
      <c r="G818" s="52"/>
    </row>
    <row r="819">
      <c r="A819" s="52"/>
      <c r="B819" s="53"/>
      <c r="C819" s="53"/>
      <c r="D819" s="53"/>
      <c r="E819" s="53"/>
      <c r="F819" s="53"/>
      <c r="G819" s="52"/>
    </row>
    <row r="820">
      <c r="A820" s="52"/>
      <c r="B820" s="53"/>
      <c r="C820" s="53"/>
      <c r="D820" s="53"/>
      <c r="E820" s="53"/>
      <c r="F820" s="53"/>
      <c r="G820" s="52"/>
    </row>
    <row r="821">
      <c r="A821" s="52"/>
      <c r="B821" s="53"/>
      <c r="C821" s="53"/>
      <c r="D821" s="53"/>
      <c r="E821" s="53"/>
      <c r="F821" s="53"/>
      <c r="G821" s="52"/>
    </row>
    <row r="822">
      <c r="A822" s="52"/>
      <c r="B822" s="53"/>
      <c r="C822" s="53"/>
      <c r="D822" s="53"/>
      <c r="E822" s="53"/>
      <c r="F822" s="53"/>
      <c r="G822" s="52"/>
    </row>
    <row r="823">
      <c r="A823" s="52"/>
      <c r="B823" s="53"/>
      <c r="C823" s="53"/>
      <c r="D823" s="53"/>
      <c r="E823" s="53"/>
      <c r="F823" s="53"/>
      <c r="G823" s="52"/>
    </row>
    <row r="824">
      <c r="A824" s="52"/>
      <c r="B824" s="53"/>
      <c r="C824" s="53"/>
      <c r="D824" s="53"/>
      <c r="E824" s="53"/>
      <c r="F824" s="53"/>
      <c r="G824" s="52"/>
    </row>
    <row r="825">
      <c r="A825" s="52"/>
      <c r="B825" s="53"/>
      <c r="C825" s="53"/>
      <c r="D825" s="53"/>
      <c r="E825" s="53"/>
      <c r="F825" s="53"/>
      <c r="G825" s="52"/>
    </row>
    <row r="826">
      <c r="A826" s="52"/>
      <c r="B826" s="53"/>
      <c r="C826" s="53"/>
      <c r="D826" s="53"/>
      <c r="E826" s="53"/>
      <c r="F826" s="53"/>
      <c r="G826" s="52"/>
    </row>
    <row r="827">
      <c r="A827" s="52"/>
      <c r="B827" s="53"/>
      <c r="C827" s="53"/>
      <c r="D827" s="53"/>
      <c r="E827" s="53"/>
      <c r="F827" s="53"/>
      <c r="G827" s="52"/>
    </row>
    <row r="828">
      <c r="A828" s="52"/>
      <c r="B828" s="53"/>
      <c r="C828" s="53"/>
      <c r="D828" s="53"/>
      <c r="E828" s="53"/>
      <c r="F828" s="53"/>
      <c r="G828" s="52"/>
    </row>
    <row r="829">
      <c r="A829" s="52"/>
      <c r="B829" s="53"/>
      <c r="C829" s="53"/>
      <c r="D829" s="53"/>
      <c r="E829" s="53"/>
      <c r="F829" s="53"/>
      <c r="G829" s="52"/>
    </row>
    <row r="830">
      <c r="A830" s="52"/>
      <c r="B830" s="53"/>
      <c r="C830" s="53"/>
      <c r="D830" s="53"/>
      <c r="E830" s="53"/>
      <c r="F830" s="53"/>
      <c r="G830" s="52"/>
    </row>
    <row r="831">
      <c r="A831" s="52"/>
      <c r="B831" s="53"/>
      <c r="C831" s="53"/>
      <c r="D831" s="53"/>
      <c r="E831" s="53"/>
      <c r="F831" s="53"/>
      <c r="G831" s="52"/>
    </row>
    <row r="832">
      <c r="A832" s="52"/>
      <c r="B832" s="53"/>
      <c r="C832" s="53"/>
      <c r="D832" s="53"/>
      <c r="E832" s="53"/>
      <c r="F832" s="53"/>
      <c r="G832" s="52"/>
    </row>
    <row r="833">
      <c r="A833" s="52"/>
      <c r="B833" s="53"/>
      <c r="C833" s="53"/>
      <c r="D833" s="53"/>
      <c r="E833" s="53"/>
      <c r="F833" s="53"/>
      <c r="G833" s="52"/>
    </row>
    <row r="834">
      <c r="A834" s="52"/>
      <c r="B834" s="53"/>
      <c r="C834" s="53"/>
      <c r="D834" s="53"/>
      <c r="E834" s="53"/>
      <c r="F834" s="53"/>
      <c r="G834" s="52"/>
    </row>
    <row r="835">
      <c r="A835" s="52"/>
      <c r="B835" s="53"/>
      <c r="C835" s="53"/>
      <c r="D835" s="53"/>
      <c r="E835" s="53"/>
      <c r="F835" s="53"/>
      <c r="G835" s="52"/>
    </row>
    <row r="836">
      <c r="A836" s="52"/>
      <c r="B836" s="53"/>
      <c r="C836" s="53"/>
      <c r="D836" s="53"/>
      <c r="E836" s="53"/>
      <c r="F836" s="53"/>
      <c r="G836" s="52"/>
    </row>
    <row r="837">
      <c r="A837" s="52"/>
      <c r="B837" s="53"/>
      <c r="C837" s="53"/>
      <c r="D837" s="53"/>
      <c r="E837" s="53"/>
      <c r="F837" s="53"/>
      <c r="G837" s="52"/>
    </row>
    <row r="838">
      <c r="A838" s="52"/>
      <c r="B838" s="53"/>
      <c r="C838" s="53"/>
      <c r="D838" s="53"/>
      <c r="E838" s="53"/>
      <c r="F838" s="53"/>
      <c r="G838" s="52"/>
    </row>
    <row r="839">
      <c r="A839" s="52"/>
      <c r="B839" s="53"/>
      <c r="C839" s="53"/>
      <c r="D839" s="53"/>
      <c r="E839" s="53"/>
      <c r="F839" s="53"/>
      <c r="G839" s="52"/>
    </row>
    <row r="840">
      <c r="A840" s="52"/>
      <c r="B840" s="53"/>
      <c r="C840" s="53"/>
      <c r="D840" s="53"/>
      <c r="E840" s="53"/>
      <c r="F840" s="53"/>
      <c r="G840" s="52"/>
    </row>
    <row r="841">
      <c r="A841" s="52"/>
      <c r="B841" s="53"/>
      <c r="C841" s="53"/>
      <c r="D841" s="53"/>
      <c r="E841" s="53"/>
      <c r="F841" s="53"/>
      <c r="G841" s="52"/>
    </row>
    <row r="842">
      <c r="A842" s="52"/>
      <c r="B842" s="53"/>
      <c r="C842" s="53"/>
      <c r="D842" s="53"/>
      <c r="E842" s="53"/>
      <c r="F842" s="53"/>
      <c r="G842" s="52"/>
    </row>
    <row r="843">
      <c r="A843" s="52"/>
      <c r="B843" s="53"/>
      <c r="C843" s="53"/>
      <c r="D843" s="53"/>
      <c r="E843" s="53"/>
      <c r="F843" s="53"/>
      <c r="G843" s="52"/>
    </row>
    <row r="844">
      <c r="A844" s="52"/>
      <c r="B844" s="53"/>
      <c r="C844" s="53"/>
      <c r="D844" s="53"/>
      <c r="E844" s="53"/>
      <c r="F844" s="53"/>
      <c r="G844" s="52"/>
    </row>
    <row r="845">
      <c r="A845" s="52"/>
      <c r="B845" s="53"/>
      <c r="C845" s="53"/>
      <c r="D845" s="53"/>
      <c r="E845" s="53"/>
      <c r="F845" s="53"/>
      <c r="G845" s="52"/>
    </row>
    <row r="846">
      <c r="A846" s="52"/>
      <c r="B846" s="53"/>
      <c r="C846" s="53"/>
      <c r="D846" s="53"/>
      <c r="E846" s="53"/>
      <c r="F846" s="53"/>
      <c r="G846" s="52"/>
    </row>
    <row r="847">
      <c r="A847" s="52"/>
      <c r="B847" s="53"/>
      <c r="C847" s="53"/>
      <c r="D847" s="53"/>
      <c r="E847" s="53"/>
      <c r="F847" s="53"/>
      <c r="G847" s="52"/>
    </row>
    <row r="848">
      <c r="A848" s="52"/>
      <c r="B848" s="53"/>
      <c r="C848" s="53"/>
      <c r="D848" s="53"/>
      <c r="E848" s="53"/>
      <c r="F848" s="53"/>
      <c r="G848" s="52"/>
    </row>
    <row r="849">
      <c r="A849" s="52"/>
      <c r="B849" s="53"/>
      <c r="C849" s="53"/>
      <c r="D849" s="53"/>
      <c r="E849" s="53"/>
      <c r="F849" s="53"/>
      <c r="G849" s="52"/>
    </row>
    <row r="850">
      <c r="A850" s="52"/>
      <c r="B850" s="53"/>
      <c r="C850" s="53"/>
      <c r="D850" s="53"/>
      <c r="E850" s="53"/>
      <c r="F850" s="53"/>
      <c r="G850" s="52"/>
    </row>
    <row r="851">
      <c r="A851" s="52"/>
      <c r="B851" s="53"/>
      <c r="C851" s="53"/>
      <c r="D851" s="53"/>
      <c r="E851" s="53"/>
      <c r="F851" s="53"/>
      <c r="G851" s="52"/>
    </row>
    <row r="852">
      <c r="A852" s="52"/>
      <c r="B852" s="53"/>
      <c r="C852" s="53"/>
      <c r="D852" s="53"/>
      <c r="E852" s="53"/>
      <c r="F852" s="53"/>
      <c r="G852" s="52"/>
    </row>
    <row r="853">
      <c r="A853" s="52"/>
      <c r="B853" s="53"/>
      <c r="C853" s="53"/>
      <c r="D853" s="53"/>
      <c r="E853" s="53"/>
      <c r="F853" s="53"/>
      <c r="G853" s="52"/>
    </row>
    <row r="854">
      <c r="A854" s="52"/>
      <c r="B854" s="53"/>
      <c r="C854" s="53"/>
      <c r="D854" s="53"/>
      <c r="E854" s="53"/>
      <c r="F854" s="53"/>
      <c r="G854" s="52"/>
    </row>
    <row r="855">
      <c r="A855" s="52"/>
      <c r="B855" s="53"/>
      <c r="C855" s="53"/>
      <c r="D855" s="53"/>
      <c r="E855" s="53"/>
      <c r="F855" s="53"/>
      <c r="G855" s="52"/>
    </row>
    <row r="856">
      <c r="A856" s="52"/>
      <c r="B856" s="53"/>
      <c r="C856" s="53"/>
      <c r="D856" s="53"/>
      <c r="E856" s="53"/>
      <c r="F856" s="53"/>
      <c r="G856" s="52"/>
    </row>
    <row r="857">
      <c r="A857" s="52"/>
      <c r="B857" s="53"/>
      <c r="C857" s="53"/>
      <c r="D857" s="53"/>
      <c r="E857" s="53"/>
      <c r="F857" s="53"/>
      <c r="G857" s="52"/>
    </row>
    <row r="858">
      <c r="A858" s="52"/>
      <c r="B858" s="53"/>
      <c r="C858" s="53"/>
      <c r="D858" s="53"/>
      <c r="E858" s="53"/>
      <c r="F858" s="53"/>
      <c r="G858" s="52"/>
    </row>
    <row r="859">
      <c r="A859" s="52"/>
      <c r="B859" s="53"/>
      <c r="C859" s="53"/>
      <c r="D859" s="53"/>
      <c r="E859" s="53"/>
      <c r="F859" s="53"/>
      <c r="G859" s="52"/>
    </row>
    <row r="860">
      <c r="A860" s="52"/>
      <c r="B860" s="53"/>
      <c r="C860" s="53"/>
      <c r="D860" s="53"/>
      <c r="E860" s="53"/>
      <c r="F860" s="53"/>
      <c r="G860" s="52"/>
    </row>
    <row r="861">
      <c r="A861" s="52"/>
      <c r="B861" s="53"/>
      <c r="C861" s="53"/>
      <c r="D861" s="53"/>
      <c r="E861" s="53"/>
      <c r="F861" s="53"/>
      <c r="G861" s="52"/>
    </row>
    <row r="862">
      <c r="A862" s="52"/>
      <c r="B862" s="53"/>
      <c r="C862" s="53"/>
      <c r="D862" s="53"/>
      <c r="E862" s="53"/>
      <c r="F862" s="53"/>
      <c r="G862" s="52"/>
    </row>
    <row r="863">
      <c r="A863" s="52"/>
      <c r="B863" s="53"/>
      <c r="C863" s="53"/>
      <c r="D863" s="53"/>
      <c r="E863" s="53"/>
      <c r="F863" s="53"/>
      <c r="G863" s="52"/>
    </row>
    <row r="864">
      <c r="A864" s="52"/>
      <c r="B864" s="53"/>
      <c r="C864" s="53"/>
      <c r="D864" s="53"/>
      <c r="E864" s="53"/>
      <c r="F864" s="53"/>
      <c r="G864" s="52"/>
    </row>
    <row r="865">
      <c r="A865" s="52"/>
      <c r="B865" s="53"/>
      <c r="C865" s="53"/>
      <c r="D865" s="53"/>
      <c r="E865" s="53"/>
      <c r="F865" s="53"/>
      <c r="G865" s="52"/>
    </row>
    <row r="866">
      <c r="A866" s="52"/>
      <c r="B866" s="53"/>
      <c r="C866" s="53"/>
      <c r="D866" s="53"/>
      <c r="E866" s="53"/>
      <c r="F866" s="53"/>
      <c r="G866" s="52"/>
    </row>
    <row r="867">
      <c r="A867" s="52"/>
      <c r="B867" s="53"/>
      <c r="C867" s="53"/>
      <c r="D867" s="53"/>
      <c r="E867" s="53"/>
      <c r="F867" s="53"/>
      <c r="G867" s="52"/>
    </row>
    <row r="868">
      <c r="A868" s="52"/>
      <c r="B868" s="53"/>
      <c r="C868" s="53"/>
      <c r="D868" s="53"/>
      <c r="E868" s="53"/>
      <c r="F868" s="53"/>
      <c r="G868" s="52"/>
    </row>
    <row r="869">
      <c r="A869" s="52"/>
      <c r="B869" s="53"/>
      <c r="C869" s="53"/>
      <c r="D869" s="53"/>
      <c r="E869" s="53"/>
      <c r="F869" s="53"/>
      <c r="G869" s="52"/>
    </row>
    <row r="870">
      <c r="A870" s="52"/>
      <c r="B870" s="53"/>
      <c r="C870" s="53"/>
      <c r="D870" s="53"/>
      <c r="E870" s="53"/>
      <c r="F870" s="53"/>
      <c r="G870" s="52"/>
    </row>
    <row r="871">
      <c r="A871" s="52"/>
      <c r="B871" s="53"/>
      <c r="C871" s="53"/>
      <c r="D871" s="53"/>
      <c r="E871" s="53"/>
      <c r="F871" s="53"/>
      <c r="G871" s="52"/>
    </row>
    <row r="872">
      <c r="A872" s="52"/>
      <c r="B872" s="53"/>
      <c r="C872" s="53"/>
      <c r="D872" s="53"/>
      <c r="E872" s="53"/>
      <c r="F872" s="53"/>
      <c r="G872" s="52"/>
    </row>
    <row r="873">
      <c r="A873" s="52"/>
      <c r="B873" s="53"/>
      <c r="C873" s="53"/>
      <c r="D873" s="53"/>
      <c r="E873" s="53"/>
      <c r="F873" s="53"/>
      <c r="G873" s="52"/>
    </row>
    <row r="874">
      <c r="A874" s="52"/>
      <c r="B874" s="53"/>
      <c r="C874" s="53"/>
      <c r="D874" s="53"/>
      <c r="E874" s="53"/>
      <c r="F874" s="53"/>
      <c r="G874" s="52"/>
    </row>
    <row r="875">
      <c r="A875" s="52"/>
      <c r="B875" s="53"/>
      <c r="C875" s="53"/>
      <c r="D875" s="53"/>
      <c r="E875" s="53"/>
      <c r="F875" s="53"/>
      <c r="G875" s="52"/>
    </row>
    <row r="876">
      <c r="A876" s="52"/>
      <c r="B876" s="53"/>
      <c r="C876" s="53"/>
      <c r="D876" s="53"/>
      <c r="E876" s="53"/>
      <c r="F876" s="53"/>
      <c r="G876" s="52"/>
    </row>
    <row r="877">
      <c r="A877" s="52"/>
      <c r="B877" s="53"/>
      <c r="C877" s="53"/>
      <c r="D877" s="53"/>
      <c r="E877" s="53"/>
      <c r="F877" s="53"/>
      <c r="G877" s="52"/>
    </row>
    <row r="878">
      <c r="A878" s="52"/>
      <c r="B878" s="53"/>
      <c r="C878" s="53"/>
      <c r="D878" s="53"/>
      <c r="E878" s="53"/>
      <c r="F878" s="53"/>
      <c r="G878" s="52"/>
    </row>
    <row r="879">
      <c r="A879" s="52"/>
      <c r="B879" s="53"/>
      <c r="C879" s="53"/>
      <c r="D879" s="53"/>
      <c r="E879" s="53"/>
      <c r="F879" s="53"/>
      <c r="G879" s="52"/>
    </row>
    <row r="880">
      <c r="A880" s="52"/>
      <c r="B880" s="53"/>
      <c r="C880" s="53"/>
      <c r="D880" s="53"/>
      <c r="E880" s="53"/>
      <c r="F880" s="53"/>
      <c r="G880" s="52"/>
    </row>
    <row r="881">
      <c r="A881" s="52"/>
      <c r="B881" s="53"/>
      <c r="C881" s="53"/>
      <c r="D881" s="53"/>
      <c r="E881" s="53"/>
      <c r="F881" s="53"/>
      <c r="G881" s="52"/>
    </row>
    <row r="882">
      <c r="A882" s="52"/>
      <c r="B882" s="53"/>
      <c r="C882" s="53"/>
      <c r="D882" s="53"/>
      <c r="E882" s="53"/>
      <c r="F882" s="53"/>
      <c r="G882" s="52"/>
    </row>
    <row r="883">
      <c r="A883" s="52"/>
      <c r="B883" s="53"/>
      <c r="C883" s="53"/>
      <c r="D883" s="53"/>
      <c r="E883" s="53"/>
      <c r="F883" s="53"/>
      <c r="G883" s="52"/>
    </row>
    <row r="884">
      <c r="A884" s="52"/>
      <c r="B884" s="53"/>
      <c r="C884" s="53"/>
      <c r="D884" s="53"/>
      <c r="E884" s="53"/>
      <c r="F884" s="53"/>
      <c r="G884" s="52"/>
    </row>
    <row r="885">
      <c r="A885" s="52"/>
      <c r="B885" s="53"/>
      <c r="C885" s="53"/>
      <c r="D885" s="53"/>
      <c r="E885" s="53"/>
      <c r="F885" s="53"/>
      <c r="G885" s="52"/>
    </row>
    <row r="886">
      <c r="A886" s="52"/>
      <c r="B886" s="53"/>
      <c r="C886" s="53"/>
      <c r="D886" s="53"/>
      <c r="E886" s="53"/>
      <c r="F886" s="53"/>
      <c r="G886" s="52"/>
    </row>
    <row r="887">
      <c r="A887" s="52"/>
      <c r="B887" s="53"/>
      <c r="C887" s="53"/>
      <c r="D887" s="53"/>
      <c r="E887" s="53"/>
      <c r="F887" s="53"/>
      <c r="G887" s="52"/>
    </row>
    <row r="888">
      <c r="A888" s="52"/>
      <c r="B888" s="53"/>
      <c r="C888" s="53"/>
      <c r="D888" s="53"/>
      <c r="E888" s="53"/>
      <c r="F888" s="53"/>
      <c r="G888" s="52"/>
    </row>
    <row r="889">
      <c r="A889" s="52"/>
      <c r="B889" s="53"/>
      <c r="C889" s="53"/>
      <c r="D889" s="53"/>
      <c r="E889" s="53"/>
      <c r="F889" s="53"/>
      <c r="G889" s="52"/>
    </row>
    <row r="890">
      <c r="A890" s="52"/>
      <c r="B890" s="53"/>
      <c r="C890" s="53"/>
      <c r="D890" s="53"/>
      <c r="E890" s="53"/>
      <c r="F890" s="53"/>
      <c r="G890" s="52"/>
    </row>
    <row r="891">
      <c r="A891" s="52"/>
      <c r="B891" s="53"/>
      <c r="C891" s="53"/>
      <c r="D891" s="53"/>
      <c r="E891" s="53"/>
      <c r="F891" s="53"/>
      <c r="G891" s="52"/>
    </row>
    <row r="892">
      <c r="A892" s="52"/>
      <c r="B892" s="53"/>
      <c r="C892" s="53"/>
      <c r="D892" s="53"/>
      <c r="E892" s="53"/>
      <c r="F892" s="53"/>
      <c r="G892" s="52"/>
    </row>
    <row r="893">
      <c r="A893" s="52"/>
      <c r="B893" s="53"/>
      <c r="C893" s="53"/>
      <c r="D893" s="53"/>
      <c r="E893" s="53"/>
      <c r="F893" s="53"/>
      <c r="G893" s="52"/>
    </row>
    <row r="894">
      <c r="A894" s="52"/>
      <c r="B894" s="53"/>
      <c r="C894" s="53"/>
      <c r="D894" s="53"/>
      <c r="E894" s="53"/>
      <c r="F894" s="53"/>
      <c r="G894" s="52"/>
    </row>
    <row r="895">
      <c r="A895" s="52"/>
      <c r="B895" s="53"/>
      <c r="C895" s="53"/>
      <c r="D895" s="53"/>
      <c r="E895" s="53"/>
      <c r="F895" s="53"/>
      <c r="G895" s="52"/>
    </row>
    <row r="896">
      <c r="A896" s="52"/>
      <c r="B896" s="53"/>
      <c r="C896" s="53"/>
      <c r="D896" s="53"/>
      <c r="E896" s="53"/>
      <c r="F896" s="53"/>
      <c r="G896" s="52"/>
    </row>
    <row r="897">
      <c r="A897" s="52"/>
      <c r="B897" s="53"/>
      <c r="C897" s="53"/>
      <c r="D897" s="53"/>
      <c r="E897" s="53"/>
      <c r="F897" s="53"/>
      <c r="G897" s="52"/>
    </row>
    <row r="898">
      <c r="A898" s="52"/>
      <c r="B898" s="53"/>
      <c r="C898" s="53"/>
      <c r="D898" s="53"/>
      <c r="E898" s="53"/>
      <c r="F898" s="53"/>
      <c r="G898" s="52"/>
    </row>
    <row r="899">
      <c r="A899" s="52"/>
      <c r="B899" s="53"/>
      <c r="C899" s="53"/>
      <c r="D899" s="53"/>
      <c r="E899" s="53"/>
      <c r="F899" s="53"/>
      <c r="G899" s="52"/>
    </row>
    <row r="900">
      <c r="A900" s="52"/>
      <c r="B900" s="53"/>
      <c r="C900" s="53"/>
      <c r="D900" s="53"/>
      <c r="E900" s="53"/>
      <c r="F900" s="53"/>
      <c r="G900" s="52"/>
    </row>
    <row r="901">
      <c r="A901" s="52"/>
      <c r="B901" s="53"/>
      <c r="C901" s="53"/>
      <c r="D901" s="53"/>
      <c r="E901" s="53"/>
      <c r="F901" s="53"/>
      <c r="G901" s="52"/>
    </row>
    <row r="902">
      <c r="A902" s="52"/>
      <c r="B902" s="53"/>
      <c r="C902" s="53"/>
      <c r="D902" s="53"/>
      <c r="E902" s="53"/>
      <c r="F902" s="53"/>
      <c r="G902" s="52"/>
    </row>
    <row r="903">
      <c r="A903" s="52"/>
      <c r="B903" s="53"/>
      <c r="C903" s="53"/>
      <c r="D903" s="53"/>
      <c r="E903" s="53"/>
      <c r="F903" s="53"/>
      <c r="G903" s="52"/>
    </row>
    <row r="904">
      <c r="A904" s="52"/>
      <c r="B904" s="53"/>
      <c r="C904" s="53"/>
      <c r="D904" s="53"/>
      <c r="E904" s="53"/>
      <c r="F904" s="53"/>
      <c r="G904" s="52"/>
    </row>
    <row r="905">
      <c r="A905" s="52"/>
      <c r="B905" s="53"/>
      <c r="C905" s="53"/>
      <c r="D905" s="53"/>
      <c r="E905" s="53"/>
      <c r="F905" s="53"/>
      <c r="G905" s="52"/>
    </row>
    <row r="906">
      <c r="A906" s="52"/>
      <c r="B906" s="53"/>
      <c r="C906" s="53"/>
      <c r="D906" s="53"/>
      <c r="E906" s="53"/>
      <c r="F906" s="53"/>
      <c r="G906" s="52"/>
    </row>
    <row r="907">
      <c r="A907" s="52"/>
      <c r="B907" s="53"/>
      <c r="C907" s="53"/>
      <c r="D907" s="53"/>
      <c r="E907" s="53"/>
      <c r="F907" s="53"/>
      <c r="G907" s="52"/>
    </row>
    <row r="908">
      <c r="A908" s="52"/>
      <c r="B908" s="53"/>
      <c r="C908" s="53"/>
      <c r="D908" s="53"/>
      <c r="E908" s="53"/>
      <c r="F908" s="53"/>
      <c r="G908" s="52"/>
    </row>
    <row r="909">
      <c r="A909" s="52"/>
      <c r="B909" s="53"/>
      <c r="C909" s="53"/>
      <c r="D909" s="53"/>
      <c r="E909" s="53"/>
      <c r="F909" s="53"/>
      <c r="G909" s="52"/>
    </row>
    <row r="910">
      <c r="A910" s="52"/>
      <c r="B910" s="53"/>
      <c r="C910" s="53"/>
      <c r="D910" s="53"/>
      <c r="E910" s="53"/>
      <c r="F910" s="53"/>
      <c r="G910" s="52"/>
    </row>
    <row r="911">
      <c r="A911" s="52"/>
      <c r="B911" s="53"/>
      <c r="C911" s="53"/>
      <c r="D911" s="53"/>
      <c r="E911" s="53"/>
      <c r="F911" s="53"/>
      <c r="G911" s="52"/>
    </row>
    <row r="912">
      <c r="A912" s="52"/>
      <c r="B912" s="53"/>
      <c r="C912" s="53"/>
      <c r="D912" s="53"/>
      <c r="E912" s="53"/>
      <c r="F912" s="53"/>
      <c r="G912" s="52"/>
    </row>
    <row r="913">
      <c r="A913" s="52"/>
      <c r="B913" s="53"/>
      <c r="C913" s="53"/>
      <c r="D913" s="53"/>
      <c r="E913" s="53"/>
      <c r="F913" s="53"/>
      <c r="G913" s="52"/>
    </row>
    <row r="914">
      <c r="A914" s="52"/>
      <c r="B914" s="53"/>
      <c r="C914" s="53"/>
      <c r="D914" s="53"/>
      <c r="E914" s="53"/>
      <c r="F914" s="53"/>
      <c r="G914" s="52"/>
    </row>
    <row r="915">
      <c r="A915" s="52"/>
      <c r="B915" s="53"/>
      <c r="C915" s="53"/>
      <c r="D915" s="53"/>
      <c r="E915" s="53"/>
      <c r="F915" s="53"/>
      <c r="G915" s="52"/>
    </row>
    <row r="916">
      <c r="A916" s="52"/>
      <c r="B916" s="53"/>
      <c r="C916" s="53"/>
      <c r="D916" s="53"/>
      <c r="E916" s="53"/>
      <c r="F916" s="53"/>
      <c r="G916" s="52"/>
    </row>
    <row r="917">
      <c r="A917" s="52"/>
      <c r="B917" s="53"/>
      <c r="C917" s="53"/>
      <c r="D917" s="53"/>
      <c r="E917" s="53"/>
      <c r="F917" s="53"/>
      <c r="G917" s="52"/>
    </row>
    <row r="918">
      <c r="A918" s="52"/>
      <c r="B918" s="53"/>
      <c r="C918" s="53"/>
      <c r="D918" s="53"/>
      <c r="E918" s="53"/>
      <c r="F918" s="53"/>
      <c r="G918" s="52"/>
    </row>
    <row r="919">
      <c r="A919" s="52"/>
      <c r="B919" s="53"/>
      <c r="C919" s="53"/>
      <c r="D919" s="53"/>
      <c r="E919" s="53"/>
      <c r="F919" s="53"/>
      <c r="G919" s="52"/>
    </row>
    <row r="920">
      <c r="A920" s="52"/>
      <c r="B920" s="53"/>
      <c r="C920" s="53"/>
      <c r="D920" s="53"/>
      <c r="E920" s="53"/>
      <c r="F920" s="53"/>
      <c r="G920" s="52"/>
    </row>
    <row r="921">
      <c r="A921" s="52"/>
      <c r="B921" s="53"/>
      <c r="C921" s="53"/>
      <c r="D921" s="53"/>
      <c r="E921" s="53"/>
      <c r="F921" s="53"/>
      <c r="G921" s="52"/>
    </row>
    <row r="922">
      <c r="A922" s="52"/>
      <c r="B922" s="53"/>
      <c r="C922" s="53"/>
      <c r="D922" s="53"/>
      <c r="E922" s="53"/>
      <c r="F922" s="53"/>
      <c r="G922" s="52"/>
    </row>
    <row r="923">
      <c r="A923" s="52"/>
      <c r="B923" s="53"/>
      <c r="C923" s="53"/>
      <c r="D923" s="53"/>
      <c r="E923" s="53"/>
      <c r="F923" s="53"/>
      <c r="G923" s="52"/>
    </row>
    <row r="924">
      <c r="A924" s="52"/>
      <c r="B924" s="53"/>
      <c r="C924" s="53"/>
      <c r="D924" s="53"/>
      <c r="E924" s="53"/>
      <c r="F924" s="53"/>
      <c r="G924" s="52"/>
    </row>
    <row r="925">
      <c r="A925" s="52"/>
      <c r="B925" s="53"/>
      <c r="C925" s="53"/>
      <c r="D925" s="53"/>
      <c r="E925" s="53"/>
      <c r="F925" s="53"/>
      <c r="G925" s="52"/>
    </row>
    <row r="926">
      <c r="A926" s="52"/>
      <c r="B926" s="53"/>
      <c r="C926" s="53"/>
      <c r="D926" s="53"/>
      <c r="E926" s="53"/>
      <c r="F926" s="53"/>
      <c r="G926" s="52"/>
    </row>
    <row r="927">
      <c r="A927" s="52"/>
      <c r="B927" s="53"/>
      <c r="C927" s="53"/>
      <c r="D927" s="53"/>
      <c r="E927" s="53"/>
      <c r="F927" s="53"/>
      <c r="G927" s="52"/>
    </row>
    <row r="928">
      <c r="A928" s="52"/>
      <c r="B928" s="53"/>
      <c r="C928" s="53"/>
      <c r="D928" s="53"/>
      <c r="E928" s="53"/>
      <c r="F928" s="53"/>
      <c r="G928" s="52"/>
    </row>
    <row r="929">
      <c r="A929" s="52"/>
      <c r="B929" s="53"/>
      <c r="C929" s="53"/>
      <c r="D929" s="53"/>
      <c r="E929" s="53"/>
      <c r="F929" s="53"/>
      <c r="G929" s="52"/>
    </row>
    <row r="930">
      <c r="A930" s="52"/>
      <c r="B930" s="53"/>
      <c r="C930" s="53"/>
      <c r="D930" s="53"/>
      <c r="E930" s="53"/>
      <c r="F930" s="53"/>
      <c r="G930" s="52"/>
    </row>
    <row r="931">
      <c r="A931" s="52"/>
      <c r="B931" s="53"/>
      <c r="C931" s="53"/>
      <c r="D931" s="53"/>
      <c r="E931" s="53"/>
      <c r="F931" s="53"/>
      <c r="G931" s="52"/>
    </row>
    <row r="932">
      <c r="A932" s="52"/>
      <c r="B932" s="53"/>
      <c r="C932" s="53"/>
      <c r="D932" s="53"/>
      <c r="E932" s="53"/>
      <c r="F932" s="53"/>
      <c r="G932" s="52"/>
    </row>
    <row r="933">
      <c r="A933" s="52"/>
      <c r="B933" s="53"/>
      <c r="C933" s="53"/>
      <c r="D933" s="53"/>
      <c r="E933" s="53"/>
      <c r="F933" s="53"/>
      <c r="G933" s="52"/>
    </row>
    <row r="934">
      <c r="A934" s="52"/>
      <c r="B934" s="53"/>
      <c r="C934" s="53"/>
      <c r="D934" s="53"/>
      <c r="E934" s="53"/>
      <c r="F934" s="53"/>
      <c r="G934" s="52"/>
    </row>
    <row r="935">
      <c r="A935" s="52"/>
      <c r="B935" s="53"/>
      <c r="C935" s="53"/>
      <c r="D935" s="53"/>
      <c r="E935" s="53"/>
      <c r="F935" s="53"/>
      <c r="G935" s="52"/>
    </row>
    <row r="936">
      <c r="A936" s="52"/>
      <c r="B936" s="53"/>
      <c r="C936" s="53"/>
      <c r="D936" s="53"/>
      <c r="E936" s="53"/>
      <c r="F936" s="53"/>
      <c r="G936" s="52"/>
    </row>
    <row r="937">
      <c r="A937" s="52"/>
      <c r="B937" s="53"/>
      <c r="C937" s="53"/>
      <c r="D937" s="53"/>
      <c r="E937" s="53"/>
      <c r="F937" s="53"/>
      <c r="G937" s="52"/>
    </row>
    <row r="938">
      <c r="A938" s="52"/>
      <c r="B938" s="53"/>
      <c r="C938" s="53"/>
      <c r="D938" s="53"/>
      <c r="E938" s="53"/>
      <c r="F938" s="53"/>
      <c r="G938" s="52"/>
    </row>
    <row r="939">
      <c r="A939" s="52"/>
      <c r="B939" s="53"/>
      <c r="C939" s="53"/>
      <c r="D939" s="53"/>
      <c r="E939" s="53"/>
      <c r="F939" s="53"/>
      <c r="G939" s="52"/>
    </row>
    <row r="940">
      <c r="A940" s="52"/>
      <c r="B940" s="53"/>
      <c r="C940" s="53"/>
      <c r="D940" s="53"/>
      <c r="E940" s="53"/>
      <c r="F940" s="53"/>
      <c r="G940" s="52"/>
    </row>
    <row r="941">
      <c r="A941" s="52"/>
      <c r="B941" s="53"/>
      <c r="C941" s="53"/>
      <c r="D941" s="53"/>
      <c r="E941" s="53"/>
      <c r="F941" s="53"/>
      <c r="G941" s="52"/>
    </row>
    <row r="942">
      <c r="A942" s="52"/>
      <c r="B942" s="53"/>
      <c r="C942" s="53"/>
      <c r="D942" s="53"/>
      <c r="E942" s="53"/>
      <c r="F942" s="53"/>
      <c r="G942" s="52"/>
    </row>
    <row r="943">
      <c r="A943" s="52"/>
      <c r="B943" s="53"/>
      <c r="C943" s="53"/>
      <c r="D943" s="53"/>
      <c r="E943" s="53"/>
      <c r="F943" s="53"/>
      <c r="G943" s="52"/>
    </row>
    <row r="944">
      <c r="A944" s="52"/>
      <c r="B944" s="53"/>
      <c r="C944" s="53"/>
      <c r="D944" s="53"/>
      <c r="E944" s="53"/>
      <c r="F944" s="53"/>
      <c r="G944" s="52"/>
    </row>
    <row r="945">
      <c r="A945" s="52"/>
      <c r="B945" s="53"/>
      <c r="C945" s="53"/>
      <c r="D945" s="53"/>
      <c r="E945" s="53"/>
      <c r="F945" s="53"/>
      <c r="G945" s="52"/>
    </row>
    <row r="946">
      <c r="A946" s="52"/>
      <c r="B946" s="53"/>
      <c r="C946" s="53"/>
      <c r="D946" s="53"/>
      <c r="E946" s="53"/>
      <c r="F946" s="53"/>
      <c r="G946" s="52"/>
    </row>
    <row r="947">
      <c r="A947" s="52"/>
      <c r="B947" s="53"/>
      <c r="C947" s="53"/>
      <c r="D947" s="53"/>
      <c r="E947" s="53"/>
      <c r="F947" s="53"/>
      <c r="G947" s="52"/>
    </row>
    <row r="948">
      <c r="A948" s="52"/>
      <c r="B948" s="53"/>
      <c r="C948" s="53"/>
      <c r="D948" s="53"/>
      <c r="E948" s="53"/>
      <c r="F948" s="53"/>
      <c r="G948" s="52"/>
    </row>
    <row r="949">
      <c r="A949" s="52"/>
      <c r="B949" s="53"/>
      <c r="C949" s="53"/>
      <c r="D949" s="53"/>
      <c r="E949" s="53"/>
      <c r="F949" s="53"/>
      <c r="G949" s="52"/>
    </row>
    <row r="950">
      <c r="A950" s="52"/>
      <c r="B950" s="53"/>
      <c r="C950" s="53"/>
      <c r="D950" s="53"/>
      <c r="E950" s="53"/>
      <c r="F950" s="53"/>
      <c r="G950" s="52"/>
    </row>
    <row r="951">
      <c r="A951" s="52"/>
      <c r="B951" s="53"/>
      <c r="C951" s="53"/>
      <c r="D951" s="53"/>
      <c r="E951" s="53"/>
      <c r="F951" s="53"/>
      <c r="G951" s="52"/>
    </row>
    <row r="952">
      <c r="A952" s="52"/>
      <c r="B952" s="53"/>
      <c r="C952" s="53"/>
      <c r="D952" s="53"/>
      <c r="E952" s="53"/>
      <c r="F952" s="53"/>
      <c r="G952" s="52"/>
    </row>
    <row r="953">
      <c r="A953" s="52"/>
      <c r="B953" s="53"/>
      <c r="C953" s="53"/>
      <c r="D953" s="53"/>
      <c r="E953" s="53"/>
      <c r="F953" s="53"/>
      <c r="G953" s="52"/>
    </row>
    <row r="954">
      <c r="A954" s="52"/>
      <c r="B954" s="53"/>
      <c r="C954" s="53"/>
      <c r="D954" s="53"/>
      <c r="E954" s="53"/>
      <c r="F954" s="53"/>
      <c r="G954" s="52"/>
    </row>
    <row r="955">
      <c r="A955" s="52"/>
      <c r="B955" s="53"/>
      <c r="C955" s="53"/>
      <c r="D955" s="53"/>
      <c r="E955" s="53"/>
      <c r="F955" s="53"/>
      <c r="G955" s="52"/>
    </row>
    <row r="956">
      <c r="A956" s="52"/>
      <c r="B956" s="53"/>
      <c r="C956" s="53"/>
      <c r="D956" s="53"/>
      <c r="E956" s="53"/>
      <c r="F956" s="53"/>
      <c r="G956" s="52"/>
    </row>
    <row r="957">
      <c r="A957" s="52"/>
      <c r="B957" s="53"/>
      <c r="C957" s="53"/>
      <c r="D957" s="53"/>
      <c r="E957" s="53"/>
      <c r="F957" s="53"/>
      <c r="G957" s="52"/>
    </row>
    <row r="958">
      <c r="A958" s="52"/>
      <c r="B958" s="53"/>
      <c r="C958" s="53"/>
      <c r="D958" s="53"/>
      <c r="E958" s="53"/>
      <c r="F958" s="53"/>
      <c r="G958" s="52"/>
    </row>
    <row r="959">
      <c r="A959" s="52"/>
      <c r="B959" s="53"/>
      <c r="C959" s="53"/>
      <c r="D959" s="53"/>
      <c r="E959" s="53"/>
      <c r="F959" s="53"/>
      <c r="G959" s="52"/>
    </row>
    <row r="960">
      <c r="A960" s="52"/>
      <c r="B960" s="53"/>
      <c r="C960" s="53"/>
      <c r="D960" s="53"/>
      <c r="E960" s="53"/>
      <c r="F960" s="53"/>
      <c r="G960" s="52"/>
    </row>
    <row r="961">
      <c r="A961" s="52"/>
      <c r="B961" s="53"/>
      <c r="C961" s="53"/>
      <c r="D961" s="53"/>
      <c r="E961" s="53"/>
      <c r="F961" s="53"/>
      <c r="G961" s="52"/>
    </row>
    <row r="962">
      <c r="A962" s="52"/>
      <c r="B962" s="53"/>
      <c r="C962" s="53"/>
      <c r="D962" s="53"/>
      <c r="E962" s="53"/>
      <c r="F962" s="53"/>
      <c r="G962" s="52"/>
    </row>
    <row r="963">
      <c r="A963" s="52"/>
      <c r="B963" s="53"/>
      <c r="C963" s="53"/>
      <c r="D963" s="53"/>
      <c r="E963" s="53"/>
      <c r="F963" s="53"/>
      <c r="G963" s="52"/>
    </row>
    <row r="964">
      <c r="A964" s="52"/>
      <c r="B964" s="53"/>
      <c r="C964" s="53"/>
      <c r="D964" s="53"/>
      <c r="E964" s="53"/>
      <c r="F964" s="53"/>
      <c r="G964" s="52"/>
    </row>
    <row r="965">
      <c r="A965" s="52"/>
      <c r="B965" s="53"/>
      <c r="C965" s="53"/>
      <c r="D965" s="53"/>
      <c r="E965" s="53"/>
      <c r="F965" s="53"/>
      <c r="G965" s="52"/>
    </row>
    <row r="966">
      <c r="A966" s="52"/>
      <c r="B966" s="53"/>
      <c r="C966" s="53"/>
      <c r="D966" s="53"/>
      <c r="E966" s="53"/>
      <c r="F966" s="53"/>
      <c r="G966" s="52"/>
    </row>
    <row r="967">
      <c r="A967" s="52"/>
      <c r="B967" s="53"/>
      <c r="C967" s="53"/>
      <c r="D967" s="53"/>
      <c r="E967" s="53"/>
      <c r="F967" s="53"/>
      <c r="G967" s="52"/>
    </row>
    <row r="968">
      <c r="A968" s="52"/>
      <c r="B968" s="53"/>
      <c r="C968" s="53"/>
      <c r="D968" s="53"/>
      <c r="E968" s="53"/>
      <c r="F968" s="53"/>
      <c r="G968" s="52"/>
    </row>
    <row r="969">
      <c r="A969" s="52"/>
      <c r="B969" s="53"/>
      <c r="C969" s="53"/>
      <c r="D969" s="53"/>
      <c r="E969" s="53"/>
      <c r="F969" s="53"/>
      <c r="G969" s="52"/>
    </row>
    <row r="970">
      <c r="A970" s="52"/>
      <c r="B970" s="53"/>
      <c r="C970" s="53"/>
      <c r="D970" s="53"/>
      <c r="E970" s="53"/>
      <c r="F970" s="53"/>
      <c r="G970" s="52"/>
    </row>
    <row r="971">
      <c r="A971" s="52"/>
      <c r="B971" s="53"/>
      <c r="C971" s="53"/>
      <c r="D971" s="53"/>
      <c r="E971" s="53"/>
      <c r="F971" s="53"/>
      <c r="G971" s="52"/>
    </row>
    <row r="972">
      <c r="A972" s="52"/>
      <c r="B972" s="53"/>
      <c r="C972" s="53"/>
      <c r="D972" s="53"/>
      <c r="E972" s="53"/>
      <c r="F972" s="53"/>
      <c r="G972" s="52"/>
    </row>
    <row r="973">
      <c r="A973" s="52"/>
      <c r="B973" s="53"/>
      <c r="C973" s="53"/>
      <c r="D973" s="53"/>
      <c r="E973" s="53"/>
      <c r="F973" s="53"/>
      <c r="G973" s="52"/>
    </row>
    <row r="974">
      <c r="A974" s="52"/>
      <c r="B974" s="53"/>
      <c r="C974" s="53"/>
      <c r="D974" s="53"/>
      <c r="E974" s="53"/>
      <c r="F974" s="53"/>
      <c r="G974" s="52"/>
    </row>
    <row r="975">
      <c r="A975" s="52"/>
      <c r="B975" s="53"/>
      <c r="C975" s="53"/>
      <c r="D975" s="53"/>
      <c r="E975" s="53"/>
      <c r="F975" s="53"/>
      <c r="G975" s="52"/>
    </row>
    <row r="976">
      <c r="A976" s="52"/>
      <c r="B976" s="53"/>
      <c r="C976" s="53"/>
      <c r="D976" s="53"/>
      <c r="E976" s="53"/>
      <c r="F976" s="53"/>
      <c r="G976" s="52"/>
    </row>
    <row r="977">
      <c r="A977" s="52"/>
      <c r="B977" s="53"/>
      <c r="C977" s="53"/>
      <c r="D977" s="53"/>
      <c r="E977" s="53"/>
      <c r="F977" s="53"/>
      <c r="G977" s="52"/>
    </row>
    <row r="978">
      <c r="A978" s="52"/>
      <c r="B978" s="53"/>
      <c r="C978" s="53"/>
      <c r="D978" s="53"/>
      <c r="E978" s="53"/>
      <c r="F978" s="53"/>
      <c r="G978" s="52"/>
    </row>
    <row r="979">
      <c r="A979" s="52"/>
      <c r="B979" s="53"/>
      <c r="C979" s="53"/>
      <c r="D979" s="53"/>
      <c r="E979" s="53"/>
      <c r="F979" s="53"/>
      <c r="G979" s="52"/>
    </row>
    <row r="980">
      <c r="A980" s="52"/>
      <c r="B980" s="53"/>
      <c r="C980" s="53"/>
      <c r="D980" s="53"/>
      <c r="E980" s="53"/>
      <c r="F980" s="53"/>
      <c r="G980" s="52"/>
    </row>
    <row r="981">
      <c r="A981" s="52"/>
      <c r="B981" s="53"/>
      <c r="C981" s="53"/>
      <c r="D981" s="53"/>
      <c r="E981" s="53"/>
      <c r="F981" s="53"/>
      <c r="G981" s="52"/>
    </row>
    <row r="982">
      <c r="A982" s="52"/>
      <c r="B982" s="53"/>
      <c r="C982" s="53"/>
      <c r="D982" s="53"/>
      <c r="E982" s="53"/>
      <c r="F982" s="53"/>
      <c r="G982" s="52"/>
    </row>
    <row r="983">
      <c r="A983" s="52"/>
      <c r="B983" s="53"/>
      <c r="C983" s="53"/>
      <c r="D983" s="53"/>
      <c r="E983" s="53"/>
      <c r="F983" s="53"/>
      <c r="G983" s="52"/>
    </row>
    <row r="984">
      <c r="A984" s="52"/>
      <c r="B984" s="53"/>
      <c r="C984" s="53"/>
      <c r="D984" s="53"/>
      <c r="E984" s="53"/>
      <c r="F984" s="53"/>
      <c r="G984" s="52"/>
    </row>
    <row r="985">
      <c r="A985" s="52"/>
      <c r="B985" s="53"/>
      <c r="C985" s="53"/>
      <c r="D985" s="53"/>
      <c r="E985" s="53"/>
      <c r="F985" s="53"/>
      <c r="G985" s="52"/>
    </row>
    <row r="986">
      <c r="A986" s="52"/>
      <c r="B986" s="53"/>
      <c r="C986" s="53"/>
      <c r="D986" s="53"/>
      <c r="E986" s="53"/>
      <c r="F986" s="53"/>
      <c r="G986" s="52"/>
    </row>
    <row r="987">
      <c r="A987" s="52"/>
      <c r="B987" s="53"/>
      <c r="C987" s="53"/>
      <c r="D987" s="53"/>
      <c r="E987" s="53"/>
      <c r="F987" s="53"/>
      <c r="G987" s="52"/>
    </row>
    <row r="988">
      <c r="A988" s="52"/>
      <c r="B988" s="53"/>
      <c r="C988" s="53"/>
      <c r="D988" s="53"/>
      <c r="E988" s="53"/>
      <c r="F988" s="53"/>
      <c r="G988" s="52"/>
    </row>
    <row r="989">
      <c r="A989" s="52"/>
      <c r="B989" s="53"/>
      <c r="C989" s="53"/>
      <c r="D989" s="53"/>
      <c r="E989" s="53"/>
      <c r="F989" s="53"/>
      <c r="G989" s="52"/>
    </row>
    <row r="990">
      <c r="A990" s="52"/>
      <c r="B990" s="53"/>
      <c r="C990" s="53"/>
      <c r="D990" s="53"/>
      <c r="E990" s="53"/>
      <c r="F990" s="53"/>
      <c r="G990" s="52"/>
    </row>
    <row r="991">
      <c r="A991" s="52"/>
      <c r="B991" s="53"/>
      <c r="C991" s="53"/>
      <c r="D991" s="53"/>
      <c r="E991" s="53"/>
      <c r="F991" s="53"/>
      <c r="G991" s="52"/>
    </row>
    <row r="992">
      <c r="A992" s="52"/>
      <c r="B992" s="53"/>
      <c r="C992" s="53"/>
      <c r="D992" s="53"/>
      <c r="E992" s="53"/>
      <c r="F992" s="53"/>
      <c r="G992" s="52"/>
    </row>
    <row r="993">
      <c r="A993" s="52"/>
      <c r="B993" s="53"/>
      <c r="C993" s="53"/>
      <c r="D993" s="53"/>
      <c r="E993" s="53"/>
      <c r="F993" s="53"/>
      <c r="G993" s="52"/>
    </row>
    <row r="994">
      <c r="A994" s="52"/>
      <c r="B994" s="53"/>
      <c r="C994" s="53"/>
      <c r="D994" s="53"/>
      <c r="E994" s="53"/>
      <c r="F994" s="53"/>
      <c r="G994" s="52"/>
    </row>
    <row r="995">
      <c r="A995" s="52"/>
      <c r="B995" s="53"/>
      <c r="C995" s="53"/>
      <c r="D995" s="53"/>
      <c r="E995" s="53"/>
      <c r="F995" s="53"/>
      <c r="G995" s="52"/>
    </row>
    <row r="996">
      <c r="A996" s="52"/>
      <c r="B996" s="53"/>
      <c r="C996" s="53"/>
      <c r="D996" s="53"/>
      <c r="E996" s="53"/>
      <c r="F996" s="53"/>
      <c r="G996" s="52"/>
    </row>
    <row r="997">
      <c r="A997" s="52"/>
      <c r="B997" s="53"/>
      <c r="C997" s="53"/>
      <c r="D997" s="53"/>
      <c r="E997" s="53"/>
      <c r="F997" s="53"/>
      <c r="G997" s="52"/>
    </row>
    <row r="998">
      <c r="A998" s="52"/>
      <c r="B998" s="53"/>
      <c r="C998" s="53"/>
      <c r="D998" s="53"/>
      <c r="E998" s="53"/>
      <c r="F998" s="53"/>
      <c r="G998" s="52"/>
    </row>
    <row r="999">
      <c r="A999" s="52"/>
      <c r="B999" s="53"/>
      <c r="C999" s="53"/>
      <c r="D999" s="53"/>
      <c r="E999" s="53"/>
      <c r="F999" s="53"/>
      <c r="G999" s="52"/>
    </row>
    <row r="1000">
      <c r="A1000" s="52"/>
      <c r="B1000" s="53"/>
      <c r="C1000" s="53"/>
      <c r="D1000" s="53"/>
      <c r="E1000" s="53"/>
      <c r="F1000" s="53"/>
      <c r="G1000" s="52"/>
    </row>
  </sheetData>
  <drawing r:id="rId1"/>
</worksheet>
</file>