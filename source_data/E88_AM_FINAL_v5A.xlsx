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hidden" name="Unit Econ" sheetId="2" r:id="rId6"/>
    <sheet state="hidden" name="MC Drivers (NRD)" sheetId="3" r:id="rId7"/>
    <sheet state="visible" name="Energy Drivers (RideBox)" sheetId="4" r:id="rId8"/>
    <sheet state="hidden" name="NRD MC P&amp;L" sheetId="5" r:id="rId9"/>
    <sheet state="hidden" name="RideBox Energy P&amp;L" sheetId="6" r:id="rId10"/>
    <sheet state="hidden" name="NRD MC Balance Sheet" sheetId="7" r:id="rId11"/>
    <sheet state="hidden" name="RideBox Energy Balance Sheet" sheetId="8" r:id="rId12"/>
    <sheet state="hidden" name="NRD MC Cash Flow" sheetId="9" r:id="rId13"/>
    <sheet state="hidden" name="RideBox Energy Cash Flow" sheetId="10" r:id="rId14"/>
    <sheet state="visible" name="Conso P&amp;L" sheetId="11" r:id="rId15"/>
    <sheet state="visible" name="Conso Cash Flow" sheetId="12" r:id="rId16"/>
    <sheet state="hidden" name="Conso Balance Sheet" sheetId="13" r:id="rId17"/>
    <sheet state="visible" name="Valuation" sheetId="14" r:id="rId18"/>
    <sheet state="hidden" name="Scenarios" sheetId="15" r:id="rId19"/>
    <sheet state="visible" name="Operating KPIs" sheetId="16" r:id="rId20"/>
    <sheet state="visible" name="Station Economics" sheetId="17" r:id="rId21"/>
    <sheet state="visible" name="Battery Lifecycle" sheetId="18" r:id="rId22"/>
    <sheet state="visible" name="Pipeline &amp; Cap Table" sheetId="19" r:id="rId23"/>
    <sheet state="visible" name="Actuals to Gather" sheetId="20" r:id="rId2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tc={465ac59f-8d4f-41e3-8e01-4f49a7a06eea}</author>
    <author>tc={62e2c1fd-7f6f-4c03-9b42-46f91c816799}</author>
  </authors>
  <commentList>
    <comment authorId="0" xr:uid="{465ac59f-8d4f-41e3-8e01-4f49a7a06e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@francis@nrdev.ph @anthonymatthewnco@gmail.com @e.amistoso@mondenissin.com
</t>
      </text>
    </comment>
    <comment authorId="1" xr:uid="{62e2c1fd-7f6f-4c03-9b42-46f91c81679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@mmungcal@nrdev.ph this one does not seem to connect
Reply:
	Checking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@francis@nrdev.ph @anthonymatthewnco@gmail.com @e.amistoso@mondenissin.com
</t>
      </text>
    </comment>
    <comment authorId="0" ref="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@mmungcal@nrdev.ph this one does not seem to connect
Reply:
	Checking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tc={28cfea9f-1f26-4964-baf3-c3e5dde31a0a}</author>
  </authors>
  <commentList>
    <comment authorId="0" xr:uid="{28cfea9f-1f26-4964-baf3-c3e5dde31a0a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@francis@nrdev.ph for review ane comment
</t>
      </text>
    </comment>
  </commentList>
</comments>
</file>

<file path=xl/sharedStrings.xml><?xml version="1.0" encoding="utf-8"?>
<sst xmlns="http://schemas.openxmlformats.org/spreadsheetml/2006/main" count="1525" uniqueCount="885">
  <si>
    <t>FINANCIAL MODEL</t>
  </si>
  <si>
    <t>UNIT ECONOMICS 2026</t>
  </si>
  <si>
    <t>R280 MC</t>
  </si>
  <si>
    <t>D400 MC</t>
  </si>
  <si>
    <t>1 Swap Station (Energy)</t>
  </si>
  <si>
    <t>STATION COMPOSITION</t>
  </si>
  <si>
    <t>Motorcycles served / station</t>
  </si>
  <si>
    <t>Batteries / station (2 per MC)</t>
  </si>
  <si>
    <t>DAILY REVENUE</t>
  </si>
  <si>
    <t>Lease revenue / day (net of battery)</t>
  </si>
  <si>
    <t>Battery subscription / day</t>
  </si>
  <si>
    <t>Total Daily Revenue</t>
  </si>
  <si>
    <t>DAILY COST</t>
  </si>
  <si>
    <t>Asset depreciation / day</t>
  </si>
  <si>
    <t>Insurance / day</t>
  </si>
  <si>
    <t>Registration / day</t>
  </si>
  <si>
    <t>Site rent / day</t>
  </si>
  <si>
    <t>Connectivity / day</t>
  </si>
  <si>
    <t>Maintenance / day</t>
  </si>
  <si>
    <t>Electricity / day</t>
  </si>
  <si>
    <t>Payment gateway / day</t>
  </si>
  <si>
    <t>Total Daily Cost</t>
  </si>
  <si>
    <t>DAILY PROFITABILITY</t>
  </si>
  <si>
    <t>Daily Gross Profit</t>
  </si>
  <si>
    <t>Daily Gross Margin</t>
  </si>
  <si>
    <t>Daily Cash Profit (pre-dep)</t>
  </si>
  <si>
    <t>ANNUALIZED P&amp;L (per unit)  NIAT</t>
  </si>
  <si>
    <t>Annual Revenue</t>
  </si>
  <si>
    <t>Annual Cash Operating Cost</t>
  </si>
  <si>
    <t>EBITDA</t>
  </si>
  <si>
    <t>Depreciation</t>
  </si>
  <si>
    <t>EBIT (Operating Profit)</t>
  </si>
  <si>
    <t>Tax @ 25%</t>
  </si>
  <si>
    <t>NIAT (Net Income After Tax)</t>
  </si>
  <si>
    <t>Net Margin (NIAT / Revenue)</t>
  </si>
  <si>
    <t>PAYBACK &amp; RETURNS</t>
  </si>
  <si>
    <t>Asset base (capex)</t>
  </si>
  <si>
    <t>Payback (years, on cash profit)</t>
  </si>
  <si>
    <t>10-yr Asset IRR</t>
  </si>
  <si>
    <t>NRD MOTORCYCLE - DRIVERS &amp; INPUTS</t>
  </si>
  <si>
    <t>PHP (unless noted)</t>
  </si>
  <si>
    <t>Note / rate</t>
  </si>
  <si>
    <t>OPERATING METRICS</t>
  </si>
  <si>
    <t>Growth Assumptions</t>
  </si>
  <si>
    <t>New Units Leased</t>
  </si>
  <si>
    <t>Units Sold Outright</t>
  </si>
  <si>
    <t>Lease-to-Own units</t>
  </si>
  <si>
    <t>Lease Churn %</t>
  </si>
  <si>
    <t>p.a.</t>
  </si>
  <si>
    <t>Beginning Leased Fleet</t>
  </si>
  <si>
    <t>units</t>
  </si>
  <si>
    <t>(+) New Units Leased</t>
  </si>
  <si>
    <t>(-) Lease Churn</t>
  </si>
  <si>
    <t>Ending Leased Fleet (stock)</t>
  </si>
  <si>
    <t>Avg Leased Fleet</t>
  </si>
  <si>
    <t>(+) Units Sold Outright</t>
  </si>
  <si>
    <t>Cumulative Sold Units (owner base)</t>
  </si>
  <si>
    <t>Lease-to-Own (L2O)</t>
  </si>
  <si>
    <t>L2O Term</t>
  </si>
  <si>
    <t>months</t>
  </si>
  <si>
    <t>L2O R280 Mix %</t>
  </si>
  <si>
    <t>%</t>
  </si>
  <si>
    <t>L2O-R280 Monthly Installment</t>
  </si>
  <si>
    <t>6500/1.12</t>
  </si>
  <si>
    <t>L2O-D400 Monthly Installment</t>
  </si>
  <si>
    <t>9000/1.12</t>
  </si>
  <si>
    <t>(+) New L2O Units  [growth-driven]</t>
  </si>
  <si>
    <t>Cumulative L2O Units placed</t>
  </si>
  <si>
    <t>Active L2O Contracts (within term)</t>
  </si>
  <si>
    <t>Lease Rates (D400 &amp; R280)</t>
  </si>
  <si>
    <t>R280 - Daily Lease Rate (VAT-ex)</t>
  </si>
  <si>
    <t>200/1.12</t>
  </si>
  <si>
    <t>D400 - Daily Lease Rate (VAT-ex)</t>
  </si>
  <si>
    <t>250/1.12</t>
  </si>
  <si>
    <t>R280 - Lease Mix</t>
  </si>
  <si>
    <t>D400 - Lease Mix</t>
  </si>
  <si>
    <t>1-R280</t>
  </si>
  <si>
    <t>LSE Monthly Lease Rate - R280 (net of battery)</t>
  </si>
  <si>
    <t>LSE Monthly Lease Rate - D400 (net of battery)</t>
  </si>
  <si>
    <t>wtd*30 - Energy batt</t>
  </si>
  <si>
    <t>PRICING &amp; UNIT ECONOMICS  (feeds Revenue &amp; COGS)</t>
  </si>
  <si>
    <t>Landed Cost - Motorcycle Units</t>
  </si>
  <si>
    <t>R280 - FOB Unit Price (USD)</t>
  </si>
  <si>
    <t>USD</t>
  </si>
  <si>
    <t>R280 - Unit Cost (PHP) = USD x forex</t>
  </si>
  <si>
    <t>R280 - Freight &amp; Shipping</t>
  </si>
  <si>
    <t>PHP</t>
  </si>
  <si>
    <t>R280 - Customs / Brokerage / Duty</t>
  </si>
  <si>
    <t>R280 - Labor / Handling / PDI</t>
  </si>
  <si>
    <t>R280 - Spareparts &amp; Accessories</t>
  </si>
  <si>
    <t>30% unit cost</t>
  </si>
  <si>
    <t>R280 - Landed Cost (sum)</t>
  </si>
  <si>
    <t>D400 - FOB Unit Price (USD)</t>
  </si>
  <si>
    <t>D400 - Unit Cost (PHP) = USD x forex</t>
  </si>
  <si>
    <t>D400 - Freight &amp; Shipping</t>
  </si>
  <si>
    <t>D400 - Customs / Brokerage / Duty</t>
  </si>
  <si>
    <t>D400 - Labor / Handling / PDI</t>
  </si>
  <si>
    <t>D400 - Spareparts &amp; Accessories</t>
  </si>
  <si>
    <t>D400 - Landed Cost (sum)</t>
  </si>
  <si>
    <t>R280 - Sale Mix</t>
  </si>
  <si>
    <t>D400 - Sale Mix</t>
  </si>
  <si>
    <t>Battery - Landed Cost</t>
  </si>
  <si>
    <t>Batteries per Motorcycle</t>
  </si>
  <si>
    <t>Battery - FOB Price (USD)</t>
  </si>
  <si>
    <t>Battery - Unit Cost (PHP)</t>
  </si>
  <si>
    <t>Battery - Freight &amp; Shipping</t>
  </si>
  <si>
    <t>Battery - Customs / Brokerage</t>
  </si>
  <si>
    <t>Battery - Labor / Handling</t>
  </si>
  <si>
    <t>Battery Landed Cost (sum)</t>
  </si>
  <si>
    <t>Battery Insurance % of cum value</t>
  </si>
  <si>
    <t>SRP &amp; Selling Price</t>
  </si>
  <si>
    <t>R280 - Unit + 2 Batteries Landed</t>
  </si>
  <si>
    <t>D400 - Unit + 2 Batteries Landed</t>
  </si>
  <si>
    <t>R280 - Markup %</t>
  </si>
  <si>
    <t>on landed</t>
  </si>
  <si>
    <t>D400 - Markup %</t>
  </si>
  <si>
    <t>R280 - SRP  = basis x (1+markup)</t>
  </si>
  <si>
    <t>D400 - SRP  = basis x (1+markup)</t>
  </si>
  <si>
    <t>Dealer Discount</t>
  </si>
  <si>
    <t>Other Revenue / Cost Rates</t>
  </si>
  <si>
    <t>Aftersales Rev % of Sales</t>
  </si>
  <si>
    <t>Aftersales COGS % of Aftersales Rev</t>
  </si>
  <si>
    <t>MC Insurance per unit / mo (wtd)</t>
  </si>
  <si>
    <t>PHP/mo</t>
  </si>
  <si>
    <t>MC Registration per unit</t>
  </si>
  <si>
    <t>Lease Payment Gateway % of lease rev</t>
  </si>
  <si>
    <t>Sales Commission % of MC sales</t>
  </si>
  <si>
    <t>Marketing % of total revenue</t>
  </si>
  <si>
    <t>OPERATING EXPENSES (OPEX)</t>
  </si>
  <si>
    <t>Cost Escalation</t>
  </si>
  <si>
    <t>Headcount &amp; Salaries</t>
  </si>
  <si>
    <t>Headcount growth % p.a. (applied to each dept)</t>
  </si>
  <si>
    <t>Salary Escalation</t>
  </si>
  <si>
    <t>• Sales &amp; Marketing</t>
  </si>
  <si>
    <t>HC</t>
  </si>
  <si>
    <t>• AfterSales Center</t>
  </si>
  <si>
    <t>• Supply Chain</t>
  </si>
  <si>
    <t>• Customer Support</t>
  </si>
  <si>
    <t>• CS Field Maintenance</t>
  </si>
  <si>
    <t>• Network Rollout</t>
  </si>
  <si>
    <t>• Service Center</t>
  </si>
  <si>
    <t>• Billing &amp; Admin</t>
  </si>
  <si>
    <t>• Technology - Build</t>
  </si>
  <si>
    <t>• Technology - Ops</t>
  </si>
  <si>
    <t>• Technology - IT Ops</t>
  </si>
  <si>
    <t>• Compliance</t>
  </si>
  <si>
    <t>• Admin</t>
  </si>
  <si>
    <t>• HR</t>
  </si>
  <si>
    <t>• Finance and Accounting</t>
  </si>
  <si>
    <t>Total NRD Salaries</t>
  </si>
  <si>
    <t>Employee Benefits</t>
  </si>
  <si>
    <t>Total NRD Headcount</t>
  </si>
  <si>
    <t>Rent - Office / Warehouse / Showroom</t>
  </si>
  <si>
    <t># Head Office</t>
  </si>
  <si>
    <t>count</t>
  </si>
  <si>
    <t>Head Office Rent</t>
  </si>
  <si>
    <t># Warehouse</t>
  </si>
  <si>
    <t>Warehouse Rent</t>
  </si>
  <si>
    <t xml:space="preserve"># Showroom </t>
  </si>
  <si>
    <t>Showroom Rent</t>
  </si>
  <si>
    <t>Showroom Rent / yr</t>
  </si>
  <si>
    <t>Total Rent</t>
  </si>
  <si>
    <t>Utilities</t>
  </si>
  <si>
    <t xml:space="preserve">Head Office - Electricity </t>
  </si>
  <si>
    <t xml:space="preserve">Head Office - Water </t>
  </si>
  <si>
    <t xml:space="preserve">Head Office - Internet &amp; Comms </t>
  </si>
  <si>
    <t xml:space="preserve">Warehouse - Electricity </t>
  </si>
  <si>
    <t xml:space="preserve">Warehouse - Water </t>
  </si>
  <si>
    <t xml:space="preserve">Warehouse - Internet &amp; Comms </t>
  </si>
  <si>
    <t xml:space="preserve">Showroom / Store Room - Electricity </t>
  </si>
  <si>
    <t xml:space="preserve">Showroom / Store Room - Water </t>
  </si>
  <si>
    <t xml:space="preserve">Showroom / Store Room - Internet &amp; Comms </t>
  </si>
  <si>
    <t>Total Utilities</t>
  </si>
  <si>
    <t>Legal, Permits &amp; Other Admin</t>
  </si>
  <si>
    <t>Business Permits</t>
  </si>
  <si>
    <t>+10%/yr</t>
  </si>
  <si>
    <t>DENR / Agency Compliance</t>
  </si>
  <si>
    <t>DTI Product Certification</t>
  </si>
  <si>
    <t>EEC Type Approval / NTC</t>
  </si>
  <si>
    <t>Legal Insurance / Retainers</t>
  </si>
  <si>
    <t>Total Legal &amp; Permits</t>
  </si>
  <si>
    <t>Dues &amp; Subscriptions</t>
  </si>
  <si>
    <t>Repairs &amp; Maintenance</t>
  </si>
  <si>
    <t>Office Expense per HC</t>
  </si>
  <si>
    <t>CAPEX &amp; DEPRECIATION</t>
  </si>
  <si>
    <t>MC Fleet - CAPEX &amp; Depreciation</t>
  </si>
  <si>
    <t>MC Depreciation Life</t>
  </si>
  <si>
    <t>yrs</t>
  </si>
  <si>
    <t>MC Fleet CAPEX - by model, no weighted average</t>
  </si>
  <si>
    <t>MC Fleet - Depreciation</t>
  </si>
  <si>
    <t xml:space="preserve">   '2026</t>
  </si>
  <si>
    <t xml:space="preserve">   '2027</t>
  </si>
  <si>
    <t xml:space="preserve">   '2028</t>
  </si>
  <si>
    <t xml:space="preserve">   '2029</t>
  </si>
  <si>
    <t xml:space="preserve">   '2030</t>
  </si>
  <si>
    <t xml:space="preserve">   '2031</t>
  </si>
  <si>
    <t xml:space="preserve">   '2032</t>
  </si>
  <si>
    <t xml:space="preserve">   '2033</t>
  </si>
  <si>
    <t xml:space="preserve">   '2034</t>
  </si>
  <si>
    <t xml:space="preserve">   '2035</t>
  </si>
  <si>
    <t xml:space="preserve">   '2036</t>
  </si>
  <si>
    <t xml:space="preserve">  Annual Depreciation (total)</t>
  </si>
  <si>
    <t>Depreciation - MC Fleet</t>
  </si>
  <si>
    <t>Net PP&amp;E - MC Fleet</t>
  </si>
  <si>
    <t>Batteries (2 per leased user) - CAPEX &amp; Depreciation</t>
  </si>
  <si>
    <t>Required Batteries - leased fleet by model</t>
  </si>
  <si>
    <t>New Batteries Added - leased fleet by model</t>
  </si>
  <si>
    <t>Battery CAPEX - leased fleet by model</t>
  </si>
  <si>
    <t xml:space="preserve">Batteries - Depreciation </t>
  </si>
  <si>
    <t>Depreciation - Batteries (to NRD COGS)</t>
  </si>
  <si>
    <t>Battery Insurance (to NRD COGS)</t>
  </si>
  <si>
    <t>Net PP&amp;E - Batteries</t>
  </si>
  <si>
    <t>Lease-to-Own - CAPEX &amp; Depreciation</t>
  </si>
  <si>
    <t>L2O CAPEX - by model, no weighted average</t>
  </si>
  <si>
    <t xml:space="preserve">L2O - Depreciation </t>
  </si>
  <si>
    <t>Depreciation - L2O</t>
  </si>
  <si>
    <t>Net PP&amp;E - L2O</t>
  </si>
  <si>
    <t>Other Assets (Software / Equipment / Fit-out) - CAPEX &amp; Depreciation</t>
  </si>
  <si>
    <t>Asset Depreciation Life</t>
  </si>
  <si>
    <t>Software / IT CAPEX</t>
  </si>
  <si>
    <t>Equipment CAPEX</t>
  </si>
  <si>
    <t>Leasehold Improvements CAPEX</t>
  </si>
  <si>
    <t>Furniture &amp; Fixtures CAPEX</t>
  </si>
  <si>
    <t xml:space="preserve">Software / IT - Depreciation </t>
  </si>
  <si>
    <t>Depreciation - Software / IT</t>
  </si>
  <si>
    <t xml:space="preserve">Equipment - Depreciation </t>
  </si>
  <si>
    <t>Depreciation - Equipment</t>
  </si>
  <si>
    <t xml:space="preserve">Leasehold Improvements - Depreciation </t>
  </si>
  <si>
    <t xml:space="preserve">  Annual Depreciation</t>
  </si>
  <si>
    <t>Depreciation - Leasehold Improvements</t>
  </si>
  <si>
    <t xml:space="preserve">Furniture &amp; Fixtures - Depreciation </t>
  </si>
  <si>
    <t>Depreciation - Furniture &amp; Fixtures</t>
  </si>
  <si>
    <t>Total Depreciation</t>
  </si>
  <si>
    <t>Total CAPEX</t>
  </si>
  <si>
    <t>Net PP&amp;E - Opex assets</t>
  </si>
  <si>
    <t>WORKING CAPITAL &amp; BALANCE SHEET ASSUMPTIONS</t>
  </si>
  <si>
    <t>Receivable Days</t>
  </si>
  <si>
    <t>Payable Days</t>
  </si>
  <si>
    <t>Inventory Days (on MC sale COGS)</t>
  </si>
  <si>
    <t>Minimum Cash Balance</t>
  </si>
  <si>
    <t>FINANCING &amp; TAX</t>
  </si>
  <si>
    <t>Income Tax Rate</t>
  </si>
  <si>
    <t>CIT</t>
  </si>
  <si>
    <t>Forex (PHP / USD)</t>
  </si>
  <si>
    <t>rate</t>
  </si>
  <si>
    <t>Equity Injection (input any year)</t>
  </si>
  <si>
    <t>Debt Drawdown (input any year)</t>
  </si>
  <si>
    <t>Debt Repayment (input any year, +ve)</t>
  </si>
  <si>
    <t>Debt Interest Rate</t>
  </si>
  <si>
    <t>Debt - Opening</t>
  </si>
  <si>
    <t>Debt - Closing</t>
  </si>
  <si>
    <t>Interest Expense (avg balance x rate)</t>
  </si>
  <si>
    <t>A. Model-Specific Growth Assumptions</t>
  </si>
  <si>
    <t>R280 - New Lease Growth %</t>
  </si>
  <si>
    <t>D400 - New Lease Growth %</t>
  </si>
  <si>
    <t>R280 - Outright Sale Growth %</t>
  </si>
  <si>
    <t>D400 - Outright Sale Growth %</t>
  </si>
  <si>
    <t>R280 - L2O Growth %</t>
  </si>
  <si>
    <t>D400 - L2O Growth %</t>
  </si>
  <si>
    <t>R280 - Subscription Growth %</t>
  </si>
  <si>
    <t>D400 - Subscription Growth %</t>
  </si>
  <si>
    <t>B. 2026 Base Unit Inputs by Model</t>
  </si>
  <si>
    <t>R280 - 2026 New Units Leased</t>
  </si>
  <si>
    <t>D400 - 2026 New Units Leased</t>
  </si>
  <si>
    <t>R280 - 2026 Units Sold Outright</t>
  </si>
  <si>
    <t>D400 - 2026 Units Sold Outright</t>
  </si>
  <si>
    <t>R280 - 2026 New L2O Units</t>
  </si>
  <si>
    <t>D400 - 2026 New L2O Units</t>
  </si>
  <si>
    <t>R280 - 2026 Subscription Units</t>
  </si>
  <si>
    <t>D400 - 2026 Subscription Units</t>
  </si>
  <si>
    <t>C. Fleet / Sales / L2O / Subscription Movement by Model</t>
  </si>
  <si>
    <t>R280 - Beginning Leased Fleet</t>
  </si>
  <si>
    <t>D400 - Beginning Leased Fleet</t>
  </si>
  <si>
    <t>R280 - New Units Leased</t>
  </si>
  <si>
    <t>D400 - New Units Leased</t>
  </si>
  <si>
    <t>R280 - Lease Churn</t>
  </si>
  <si>
    <t>D400 - Lease Churn</t>
  </si>
  <si>
    <t>R280 - Ending Leased Fleet</t>
  </si>
  <si>
    <t>D400 - Ending Leased Fleet</t>
  </si>
  <si>
    <t>R280 - Average Leased Fleet</t>
  </si>
  <si>
    <t>D400 - Average Leased Fleet</t>
  </si>
  <si>
    <t>R280 - Units Sold Outright</t>
  </si>
  <si>
    <t>D400 - Units Sold Outright</t>
  </si>
  <si>
    <t>R280 - Cumulative Sold Units</t>
  </si>
  <si>
    <t>D400 - Cumulative Sold Units</t>
  </si>
  <si>
    <t>R280 - New L2O Units</t>
  </si>
  <si>
    <t>D400 - New L2O Units</t>
  </si>
  <si>
    <t>R280 - Cumulative L2O Units</t>
  </si>
  <si>
    <t>D400 - Cumulative L2O Units</t>
  </si>
  <si>
    <t>R280 - Active L2O Contracts</t>
  </si>
  <si>
    <t>D400 - Active L2O Contracts</t>
  </si>
  <si>
    <t>R280 - Subscription Units</t>
  </si>
  <si>
    <t>D400 - Subscription Units</t>
  </si>
  <si>
    <t>R280 - Total Active MC Base</t>
  </si>
  <si>
    <t>D400 - Total Active MC Base</t>
  </si>
  <si>
    <t>Total Active MC Base</t>
  </si>
  <si>
    <t>R280 - Total New Units</t>
  </si>
  <si>
    <t>D400 - Total New Units</t>
  </si>
  <si>
    <t>Total New Units</t>
  </si>
  <si>
    <t>D. Pricing / Unit Economics by Model</t>
  </si>
  <si>
    <t>R280 - Daily Lease Rate VAT-ex</t>
  </si>
  <si>
    <t>from row 30</t>
  </si>
  <si>
    <t>D400 - Daily Lease Rate VAT-ex</t>
  </si>
  <si>
    <t>from row 31</t>
  </si>
  <si>
    <t>R280 - Monthly Lease Rate, net of energy</t>
  </si>
  <si>
    <t>daily x 30 less R280 battery subscription</t>
  </si>
  <si>
    <t>D400 - Monthly Lease Rate, net of energy</t>
  </si>
  <si>
    <t>daily x 30 less D400 battery subscription</t>
  </si>
  <si>
    <t>R280 - L2O Monthly Installment VAT-ex</t>
  </si>
  <si>
    <t>from row 23</t>
  </si>
  <si>
    <t>D400 - L2O Monthly Installment VAT-ex</t>
  </si>
  <si>
    <t>from row 24</t>
  </si>
  <si>
    <t>R280 - MC Subscription Revenue / mo</t>
  </si>
  <si>
    <t>input; set after subscription commercial plan is approved</t>
  </si>
  <si>
    <t>D400 - MC Subscription Revenue / mo</t>
  </si>
  <si>
    <t>R280 - SRP</t>
  </si>
  <si>
    <t>from row 71</t>
  </si>
  <si>
    <t>D400 - SRP</t>
  </si>
  <si>
    <t>from row 72</t>
  </si>
  <si>
    <t>R280 - Net Sales Price after Dealer Discount</t>
  </si>
  <si>
    <t>SRP less row 73</t>
  </si>
  <si>
    <t>D400 - Net Sales Price after Dealer Discount</t>
  </si>
  <si>
    <t>R280 - Motorcycle Landed Cost</t>
  </si>
  <si>
    <t>from row 45</t>
  </si>
  <si>
    <t>D400 - Motorcycle Landed Cost</t>
  </si>
  <si>
    <t>from row 52</t>
  </si>
  <si>
    <t>from row 63</t>
  </si>
  <si>
    <t>Batteries per R280</t>
  </si>
  <si>
    <t>default from row 57; can be changed by model</t>
  </si>
  <si>
    <t>Batteries per D400</t>
  </si>
  <si>
    <t>R280 - Unit + Batteries Landed</t>
  </si>
  <si>
    <t>unit-specific</t>
  </si>
  <si>
    <t>D400 - Unit + Batteries Landed</t>
  </si>
  <si>
    <t>E. CAPEX / COGS by Model</t>
  </si>
  <si>
    <t>R280 - MC Fleet CAPEX</t>
  </si>
  <si>
    <t>leased fleet only; batteries separate</t>
  </si>
  <si>
    <t>D400 - MC Fleet CAPEX</t>
  </si>
  <si>
    <t>Total MC Fleet CAPEX</t>
  </si>
  <si>
    <t>sum of R280 and D400</t>
  </si>
  <si>
    <t>R280 - Sales COGS</t>
  </si>
  <si>
    <t>sold outright units x unit+batteries landed</t>
  </si>
  <si>
    <t>D400 - Sales COGS</t>
  </si>
  <si>
    <t>Total Sales COGS</t>
  </si>
  <si>
    <t>R280 - L2O CAPEX</t>
  </si>
  <si>
    <t>new L2O units x unit+batteries landed</t>
  </si>
  <si>
    <t>D400 - L2O CAPEX</t>
  </si>
  <si>
    <t>Total L2O CAPEX</t>
  </si>
  <si>
    <t>R280 - Required Batteries for Leased Fleet</t>
  </si>
  <si>
    <t>leased fleet only</t>
  </si>
  <si>
    <t>D400 - Required Batteries for Leased Fleet</t>
  </si>
  <si>
    <t>Total Required Batteries for Leased Fleet</t>
  </si>
  <si>
    <t>sum R280 and D400</t>
  </si>
  <si>
    <t>New Batteries Added for Leased Fleet</t>
  </si>
  <si>
    <t>incremental batteries only</t>
  </si>
  <si>
    <t>Battery CAPEX for Leased Fleet</t>
  </si>
  <si>
    <t>new batteries x battery landed cost</t>
  </si>
  <si>
    <t>RIDEBOX ENERGY - DRIVERS &amp; INPUTS</t>
  </si>
  <si>
    <t>Network Build - Lockers</t>
  </si>
  <si>
    <t>Lockers Deployed - by D400/R280 active base</t>
  </si>
  <si>
    <t>Cumulative Lockers - by D400/R280 active base</t>
  </si>
  <si>
    <t>ENERGY RATES &amp; ARPU  (feeds Revenue)</t>
  </si>
  <si>
    <t>Battery Subscription per leased MC / mo</t>
  </si>
  <si>
    <t>Load / Prepaid per sold+L2O MC / mo</t>
  </si>
  <si>
    <t>Battery Payment Gateway %</t>
  </si>
  <si>
    <t>Battery Connectivity per battery / mo</t>
  </si>
  <si>
    <t>OPERATING COST RATES</t>
  </si>
  <si>
    <t>Locker Electricity</t>
  </si>
  <si>
    <t>kWh per battery</t>
  </si>
  <si>
    <t>73.6*26/1000</t>
  </si>
  <si>
    <t>Cost per kWh</t>
  </si>
  <si>
    <t>Operating hours / day</t>
  </si>
  <si>
    <t>hrs</t>
  </si>
  <si>
    <t>Avg remaining charge of depleted batt</t>
  </si>
  <si>
    <t>2/6</t>
  </si>
  <si>
    <t>Assumed full charge time</t>
  </si>
  <si>
    <t>Recharge time / battery</t>
  </si>
  <si>
    <t>(1-rem)*time</t>
  </si>
  <si>
    <t>Max swaps / battery / day</t>
  </si>
  <si>
    <t>Projected swaps / locker / day</t>
  </si>
  <si>
    <t>4*max*0.5</t>
  </si>
  <si>
    <t>kWh generated / locker / day</t>
  </si>
  <si>
    <t>Locker OPEX Rates</t>
  </si>
  <si>
    <t>Locker Rent / site / mo</t>
  </si>
  <si>
    <t>Locker Connectivity / site / mo</t>
  </si>
  <si>
    <t>Locker Maintenance / site / mo</t>
  </si>
  <si>
    <t>Metrohub Rent / site / mo</t>
  </si>
  <si>
    <t>Metrohub Connectivity / site / mo</t>
  </si>
  <si>
    <t>Metrohub Maintenance / site / mo</t>
  </si>
  <si>
    <t>Metrohub Electricity / site / mo</t>
  </si>
  <si>
    <t>Site Coverage per Manager</t>
  </si>
  <si>
    <t>lockers</t>
  </si>
  <si>
    <t>Lockers per Field Tech</t>
  </si>
  <si>
    <t>Salary growth follows MC Salary Escalation (shared assumption)</t>
  </si>
  <si>
    <t>Total Energy Salaries</t>
  </si>
  <si>
    <t>Total Energy Headcount</t>
  </si>
  <si>
    <t>Locker - Landed Cost</t>
  </si>
  <si>
    <t>Locker - FOB Price (USD)</t>
  </si>
  <si>
    <t>Locker - Unit Cost (PHP) = USD x forex</t>
  </si>
  <si>
    <t>Locker - Freight &amp; Shipping</t>
  </si>
  <si>
    <t>Locker - Installation / Labor</t>
  </si>
  <si>
    <t>Locker - Customs / Brokerage</t>
  </si>
  <si>
    <t>Locker - Site Prep / Misc</t>
  </si>
  <si>
    <t>Locker Landed Cost (sum)</t>
  </si>
  <si>
    <t>Energy Assets - CAPEX &amp; Depreciation</t>
  </si>
  <si>
    <t>Locker Depr Life</t>
  </si>
  <si>
    <t>Locker Insurance %</t>
  </si>
  <si>
    <t>Locker CAPEX - by D400/R280 required lockers</t>
  </si>
  <si>
    <t>Total Energy CAPEX - by D400/R280 required lockers</t>
  </si>
  <si>
    <t xml:space="preserve">Lockers - Depreciation </t>
  </si>
  <si>
    <t xml:space="preserve">  '2026</t>
  </si>
  <si>
    <t xml:space="preserve">  '2027</t>
  </si>
  <si>
    <t xml:space="preserve">  '2028</t>
  </si>
  <si>
    <t xml:space="preserve">  '2029</t>
  </si>
  <si>
    <t xml:space="preserve">  '2030</t>
  </si>
  <si>
    <t xml:space="preserve">  '2031</t>
  </si>
  <si>
    <t xml:space="preserve">  '2032</t>
  </si>
  <si>
    <t xml:space="preserve">  '2033</t>
  </si>
  <si>
    <t xml:space="preserve">  '2034</t>
  </si>
  <si>
    <t xml:space="preserve">  '2035</t>
  </si>
  <si>
    <t xml:space="preserve">  '2036</t>
  </si>
  <si>
    <t>Depreciation - Lockers</t>
  </si>
  <si>
    <t>Total Energy Depreciation</t>
  </si>
  <si>
    <t>Net PP&amp;E - Energy assets</t>
  </si>
  <si>
    <t>Locker Insurance</t>
  </si>
  <si>
    <t>A. Energy Users / ARPU by Model</t>
  </si>
  <si>
    <t>R280 - Leased Battery Subscription Users</t>
  </si>
  <si>
    <t>R280 average leased fleet</t>
  </si>
  <si>
    <t>D400 - Leased Battery Subscription Users</t>
  </si>
  <si>
    <t>D400 average leased fleet</t>
  </si>
  <si>
    <t>R280 - Sold + L2O + MC Subscription Energy Users</t>
  </si>
  <si>
    <t>R280 active non-lease base</t>
  </si>
  <si>
    <t>D400 - Sold + L2O + MC Subscription Energy Users</t>
  </si>
  <si>
    <t>D400 active non-lease base</t>
  </si>
  <si>
    <t>R280 - Battery Subscription per Leased MC / mo</t>
  </si>
  <si>
    <t>can differ by model; default row 11</t>
  </si>
  <si>
    <t>D400 - Battery Subscription per Leased MC / mo</t>
  </si>
  <si>
    <t>R280 - Load / Prepaid per Sold+L2O MC / mo</t>
  </si>
  <si>
    <t>can differ by model; default row 12</t>
  </si>
  <si>
    <t>D400 - Load / Prepaid per Sold+L2O MC / mo</t>
  </si>
  <si>
    <t>R280 - Battery Subscription Revenue</t>
  </si>
  <si>
    <t>leased users x ARPU x 12</t>
  </si>
  <si>
    <t>D400 - Battery Subscription Revenue</t>
  </si>
  <si>
    <t>R280 - Load / Prepaid Revenue</t>
  </si>
  <si>
    <t>non-lease energy users x ARPU x 12</t>
  </si>
  <si>
    <t>D400 - Load / Prepaid Revenue</t>
  </si>
  <si>
    <t>Total Energy Usage Revenue</t>
  </si>
  <si>
    <t>model-specific revenue total</t>
  </si>
  <si>
    <t>B. Network Capacity / Battery Demand by Model</t>
  </si>
  <si>
    <t>R280 - Required Batteries in Active Base</t>
  </si>
  <si>
    <t>all active R280 base x batteries per R280</t>
  </si>
  <si>
    <t>D400 - Required Batteries in Active Base</t>
  </si>
  <si>
    <t>all active D400 base x batteries per D400</t>
  </si>
  <si>
    <t>Total Required Batteries in Active Base</t>
  </si>
  <si>
    <t>R280 + D400</t>
  </si>
  <si>
    <t>R280 - Swaps per MC / day</t>
  </si>
  <si>
    <t>input; validate with actual telemetry</t>
  </si>
  <si>
    <t>D400 - Swaps per MC / day</t>
  </si>
  <si>
    <t>R280 - Projected Swaps / day</t>
  </si>
  <si>
    <t>active R280 base x swaps per MC</t>
  </si>
  <si>
    <t>D400 - Projected Swaps / day</t>
  </si>
  <si>
    <t>active D400 base x swaps per MC</t>
  </si>
  <si>
    <t>Total Projected Swaps / day</t>
  </si>
  <si>
    <t>R280 - Lockers Required</t>
  </si>
  <si>
    <t>current capacity assumption: 10 MC per locker</t>
  </si>
  <si>
    <t>D400 - Lockers Required</t>
  </si>
  <si>
    <t>Total Lockers Required</t>
  </si>
  <si>
    <t>Lockers Deployed</t>
  </si>
  <si>
    <t>incremental lockers needed to support active base</t>
  </si>
  <si>
    <t>Cumulative Lockers</t>
  </si>
  <si>
    <t>cumulative deployed lockers</t>
  </si>
  <si>
    <t>C. Energy Cost / Platform Cost by Model</t>
  </si>
  <si>
    <t>R280 - kWh per Swap</t>
  </si>
  <si>
    <t>kWh per battery x top-up %</t>
  </si>
  <si>
    <t>D400 - kWh per Swap</t>
  </si>
  <si>
    <t>kWh per battery x top-up %; change if D400 battery profile differs</t>
  </si>
  <si>
    <t>Total kWh / day</t>
  </si>
  <si>
    <t>R280 + D400 swap demand</t>
  </si>
  <si>
    <t>Annual Electricity Cost</t>
  </si>
  <si>
    <t>kWh/day x 365 x cost/kWh</t>
  </si>
  <si>
    <t>Battery Payment Gateway Fees</t>
  </si>
  <si>
    <t>total energy usage revenue x gateway %</t>
  </si>
  <si>
    <t>Battery Connectivity Cost</t>
  </si>
  <si>
    <t>active batteries x monthly connectivity x 12</t>
  </si>
  <si>
    <t>NRD MOTORCYCLE - PROFIT &amp; LOSS</t>
  </si>
  <si>
    <t>All figures in PHP Millions (unless noted)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</si>
  <si>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</si>
  <si>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</si>
  <si>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</si>
  <si>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</si>
  <si>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</si>
  <si>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</si>
  <si>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</si>
  <si>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</si>
  <si>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</si>
  <si>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</si>
  <si>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</si>
  <si>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REVENUE</t>
  </si>
  <si>
    <t>Lease Revenue (LSE, net of battery)</t>
  </si>
  <si>
    <t>Outright Sale Revenue</t>
  </si>
  <si>
    <t>Lease-to-Own Revenue</t>
  </si>
  <si>
    <t>Aftersales Service Revenue</t>
  </si>
  <si>
    <t>Total Revenue</t>
  </si>
  <si>
    <t>COST OF SALES</t>
  </si>
  <si>
    <t>MC Insurance</t>
  </si>
  <si>
    <t>Battery Insurance</t>
  </si>
  <si>
    <t>MC Registration</t>
  </si>
  <si>
    <t>Cost of Motorcycle Sales</t>
  </si>
  <si>
    <t>Aftersales COGS</t>
  </si>
  <si>
    <t>Lease Payment Gateway</t>
  </si>
  <si>
    <t>Total Cost of Sales</t>
  </si>
  <si>
    <t>GROSS PROFIT</t>
  </si>
  <si>
    <t xml:space="preserve">  GP margin</t>
  </si>
  <si>
    <t>OPERATING EXPENSES</t>
  </si>
  <si>
    <t>Salaries</t>
  </si>
  <si>
    <t>Sales Commission</t>
  </si>
  <si>
    <t>Rent - Head Office</t>
  </si>
  <si>
    <t>Rent - Warehouse</t>
  </si>
  <si>
    <t>Rent - Showroom / Store Room</t>
  </si>
  <si>
    <t>Utilities (all locations)</t>
  </si>
  <si>
    <t>Marketing</t>
  </si>
  <si>
    <t>Legal &amp; Permits</t>
  </si>
  <si>
    <t>Office Expenses</t>
  </si>
  <si>
    <t>Total Operating Expenses</t>
  </si>
  <si>
    <t>Depreciation &amp; Amortization</t>
  </si>
  <si>
    <t>OPERATING INCOME (EBIT)</t>
  </si>
  <si>
    <t xml:space="preserve">  EBITDA margin</t>
  </si>
  <si>
    <t>Interest Expense</t>
  </si>
  <si>
    <t>EBT (Pre-tax Income)</t>
  </si>
  <si>
    <t>Income Tax (no tax if EBT&lt;0)</t>
  </si>
  <si>
    <t>NET INCOME (NIAT)</t>
  </si>
  <si>
    <t xml:space="preserve">  Net margin</t>
  </si>
  <si>
    <t>memo: Cash COGS+Opex (excl D&amp;A)</t>
  </si>
  <si>
    <t>RIDEBOX ENERGY - PROFIT &amp; LOSS</t>
  </si>
  <si>
    <t>Battery Subscription (leased users)</t>
  </si>
  <si>
    <t>Load / Prepaid (owner + L2O users)</t>
  </si>
  <si>
    <t>COST OF SALES  (battery depr &amp; insurance are in NRD)</t>
  </si>
  <si>
    <t>Locker Connectivity</t>
  </si>
  <si>
    <t>Locker Maintenance</t>
  </si>
  <si>
    <t>Locker Electricity (kWh-based)</t>
  </si>
  <si>
    <t>Battery Connectivity</t>
  </si>
  <si>
    <t>Battery Payment Gateway</t>
  </si>
  <si>
    <t>Locker Rent</t>
  </si>
  <si>
    <t>EBITDA margin</t>
  </si>
  <si>
    <t>NRD MOTORCYCLE - BALANCE SHEET</t>
  </si>
  <si>
    <t>ASSETS</t>
  </si>
  <si>
    <t>Accounts Receivable</t>
  </si>
  <si>
    <t>Inventory (MC sale COGS basis)</t>
  </si>
  <si>
    <t>Net PP&amp;E (MC + batteries + L2O + opex)</t>
  </si>
  <si>
    <t>Total Assets</t>
  </si>
  <si>
    <t>LIABILITIES &amp; EQUITY</t>
  </si>
  <si>
    <t>Accounts Payable</t>
  </si>
  <si>
    <t>Retained Earnings</t>
  </si>
  <si>
    <t>Net Capital Employed (group funding)</t>
  </si>
  <si>
    <t>Total Liabilities &amp; Equity</t>
  </si>
  <si>
    <t>memo: Net Working Capital</t>
  </si>
  <si>
    <t>RIDEBOX ENERGY - BALANCE SHEET</t>
  </si>
  <si>
    <t>Net PP&amp;E (lockers + chargers + metrohubs)</t>
  </si>
  <si>
    <t>Balance Check (=0)</t>
  </si>
  <si>
    <t>NRD MOTORCYCLE - CASH FLOW</t>
  </si>
  <si>
    <t>OPERATING</t>
  </si>
  <si>
    <t>Income Tax</t>
  </si>
  <si>
    <t>(Increase)/Decrease in NWC</t>
  </si>
  <si>
    <t>Operating Cash Flow</t>
  </si>
  <si>
    <t>INVESTING</t>
  </si>
  <si>
    <t>Capital Expenditure (incl. L2O)</t>
  </si>
  <si>
    <t>Free Cash Flow (pre-financing)</t>
  </si>
  <si>
    <t>Cumulative FCF</t>
  </si>
  <si>
    <t>RIDEBOX ENERGY - CASH FLOW</t>
  </si>
  <si>
    <t>Capital Expenditure</t>
  </si>
  <si>
    <t>CONSOLIDATED - PROFIT &amp; LOSS</t>
  </si>
  <si>
    <t>NRD / Motorcycle Revenue</t>
  </si>
  <si>
    <t>RideBox / Energy Revenue</t>
  </si>
  <si>
    <t>Gross Profit</t>
  </si>
  <si>
    <t xml:space="preserve">  Gross margin</t>
  </si>
  <si>
    <t>Operating Expenses</t>
  </si>
  <si>
    <t xml:space="preserve">   Depreciation - Motorcycles</t>
  </si>
  <si>
    <t xml:space="preserve">   Depreciation - Batteries (2 per user)</t>
  </si>
  <si>
    <t xml:space="preserve">   Depreciation - Lease-to-Own Units</t>
  </si>
  <si>
    <t xml:space="preserve">   Depreciation - Lockers</t>
  </si>
  <si>
    <t xml:space="preserve">   Depreciation - Office &amp; Other Assets</t>
  </si>
  <si>
    <t>Total Depreciation &amp; Amortization</t>
  </si>
  <si>
    <t>EBIT</t>
  </si>
  <si>
    <t>SEGMENT EBITDA</t>
  </si>
  <si>
    <t>NRD / Motorcycle EBITDA</t>
  </si>
  <si>
    <t>RideBox / Energy EBITDA</t>
  </si>
  <si>
    <t>CONSOLIDATED - CASH FLOW</t>
  </si>
  <si>
    <t>Cash from Operations</t>
  </si>
  <si>
    <t>Total Capital Expenditure (incl. L2O)</t>
  </si>
  <si>
    <t>Cash from Investing</t>
  </si>
  <si>
    <t>FINANCING</t>
  </si>
  <si>
    <t>Equity Injection</t>
  </si>
  <si>
    <t>Debt Drawdown</t>
  </si>
  <si>
    <t>Debt Repayment</t>
  </si>
  <si>
    <t>Interest Paid</t>
  </si>
  <si>
    <t>Cash from Financing</t>
  </si>
  <si>
    <t>NET CHANGE IN CASH</t>
  </si>
  <si>
    <t>Cash, Beginning</t>
  </si>
  <si>
    <t>Cash, Ending</t>
  </si>
  <si>
    <t>CONSOLIDATED - BALANCE SHEET</t>
  </si>
  <si>
    <t>Cash &amp; Equivalents</t>
  </si>
  <si>
    <t>Inventory</t>
  </si>
  <si>
    <t>Net PP&amp;E</t>
  </si>
  <si>
    <t>LIABILITIES</t>
  </si>
  <si>
    <t>Interest-bearing Debt</t>
  </si>
  <si>
    <t>Total Liabilities</t>
  </si>
  <si>
    <t>EQUITY</t>
  </si>
  <si>
    <t>Share Capital (cum. injections)</t>
  </si>
  <si>
    <t>Retained Earnings (cum. NIAT)</t>
  </si>
  <si>
    <t>Total Equity</t>
  </si>
  <si>
    <t>VALUATION (DCF)</t>
  </si>
  <si>
    <t>UNLEVERED FREE CASH FLOW</t>
  </si>
  <si>
    <t>Period (t)</t>
  </si>
  <si>
    <t>Free Cash Flow (firm)</t>
  </si>
  <si>
    <t>Discount Factor</t>
  </si>
  <si>
    <t>PV of FCF</t>
  </si>
  <si>
    <t>ENTERPRISE &amp; EQUITY VALUE</t>
  </si>
  <si>
    <t>PV of explicit FCF</t>
  </si>
  <si>
    <t>Terminal Value (Exit multiple)</t>
  </si>
  <si>
    <t>PV of TV (Exit multiple)</t>
  </si>
  <si>
    <t>Enterprise Value (Exit mult.)</t>
  </si>
  <si>
    <t>(+) Cash at exit</t>
  </si>
  <si>
    <t>(-) Debt at exit</t>
  </si>
  <si>
    <t>Equity Value (Exit mult.)</t>
  </si>
  <si>
    <t>INVESTOR RETURNS</t>
  </si>
  <si>
    <t>Investor Stake</t>
  </si>
  <si>
    <t>Investment (2026)</t>
  </si>
  <si>
    <t>Investor Proceeds at exit</t>
  </si>
  <si>
    <t>Investor IRR (10 yr hold)</t>
  </si>
  <si>
    <t>VALUATION INPUTS</t>
  </si>
  <si>
    <t>Discount Rate / WACC</t>
  </si>
  <si>
    <t>Exit EV/EBITDA Multiple</t>
  </si>
  <si>
    <t>Investor Equity Stake</t>
  </si>
  <si>
    <t>Investor Investment (2026)</t>
  </si>
  <si>
    <t>INVESTOR RETURNS - BOTH METHODS (20% stake · 7× exit)</t>
  </si>
  <si>
    <t>MOIC</t>
  </si>
  <si>
    <t>IRR</t>
  </si>
  <si>
    <t>10-year · Nominal exit</t>
  </si>
  <si>
    <t>10-year · DCF (present value)</t>
  </si>
  <si>
    <t>5-year · Nominal exit</t>
  </si>
  <si>
    <t>5-year · DCF (present value)</t>
  </si>
  <si>
    <t>SCENARIOS &amp; SUMMARY</t>
  </si>
  <si>
    <t>NRD</t>
  </si>
  <si>
    <t>Energy</t>
  </si>
  <si>
    <t>Conso</t>
  </si>
  <si>
    <t>YEAR 2036 SNAPSHOT</t>
  </si>
  <si>
    <t>Revenue</t>
  </si>
  <si>
    <t>Net Income (NIAT)</t>
  </si>
  <si>
    <t>CUMULATIVE 2026-2036</t>
  </si>
  <si>
    <t>Cumulative Revenue</t>
  </si>
  <si>
    <t>Cumulative EBITDA</t>
  </si>
  <si>
    <t>Cumulative Net Income</t>
  </si>
  <si>
    <t>SENSITIVITY: Equity Value (PHP) - WACC vs Exit Multiple</t>
  </si>
  <si>
    <t>Exit \ WACC</t>
  </si>
  <si>
    <t>OPERATING KPIs - NETWORK UTILIZATION &amp; PERFORMANCE</t>
  </si>
  <si>
    <t>Modeled by year (links to model) · see Plan vs Actual block to drop in Sta. Rosa figures</t>
  </si>
  <si>
    <t>Metric</t>
  </si>
  <si>
    <t>Unit / basis</t>
  </si>
  <si>
    <t>NETWORK SCALE</t>
  </si>
  <si>
    <t>Ending leased fleet (active riders)</t>
  </si>
  <si>
    <t>bikes</t>
  </si>
  <si>
    <t>Cumulative owner base (outright sold)</t>
  </si>
  <si>
    <t>Active lease-to-own contracts</t>
  </si>
  <si>
    <t>Total active riders</t>
  </si>
  <si>
    <t>riders</t>
  </si>
  <si>
    <t>Cumulative swap stations (lockers)</t>
  </si>
  <si>
    <t>stations</t>
  </si>
  <si>
    <t>Riders per station</t>
  </si>
  <si>
    <t>x</t>
  </si>
  <si>
    <t>UTILIZATION &amp; THROUGHPUT</t>
  </si>
  <si>
    <t>Swaps / station / day</t>
  </si>
  <si>
    <t>swaps</t>
  </si>
  <si>
    <t>kWh dispensed / station / day</t>
  </si>
  <si>
    <t>kWh</t>
  </si>
  <si>
    <t>Battery subscription / leased rider / mo</t>
  </si>
  <si>
    <t>Load / prepaid / owner rider / mo</t>
  </si>
  <si>
    <t>REVENUE INTENSITY</t>
  </si>
  <si>
    <t>Energy revenue / station / yr</t>
  </si>
  <si>
    <t>Energy revenue / rider / mo</t>
  </si>
  <si>
    <t>MC revenue / rider / yr</t>
  </si>
  <si>
    <t>Total revenue / rider / yr</t>
  </si>
  <si>
    <t>PLAN vs ACTUAL - Sta. Rosa deployment</t>
  </si>
  <si>
    <t>Unit</t>
  </si>
  <si>
    <t>Plan (2026)</t>
  </si>
  <si>
    <t>Actual to-date</t>
  </si>
  <si>
    <t>Variance</t>
  </si>
  <si>
    <t>Avg km travelled / bike / day</t>
  </si>
  <si>
    <t>km</t>
  </si>
  <si>
    <t>Swaps / bike / day</t>
  </si>
  <si>
    <t>Riders / station</t>
  </si>
  <si>
    <t>Energy revenue / station / mo</t>
  </si>
  <si>
    <t>kWh / station / day</t>
  </si>
  <si>
    <t>Battery ARPU / leased rider / mo</t>
  </si>
  <si>
    <t>Network utilization vs design (swaps)</t>
  </si>
  <si>
    <t>Yellow = actual operating figures to be entered from deployment data.</t>
  </si>
  <si>
    <t>STATION UNIT ECONOMICS - ALL-IN (per swap station, yr-1 basis)</t>
  </si>
  <si>
    <t>Single 10-bike swap station. Links to Unit Econ (col E) · all-in incl. allocated overhead</t>
  </si>
  <si>
    <t>Item</t>
  </si>
  <si>
    <t>Per station / yr</t>
  </si>
  <si>
    <t>Notes</t>
  </si>
  <si>
    <t>STATION CONFIGURATION</t>
  </si>
  <si>
    <t>Unit Econ</t>
  </si>
  <si>
    <t>Swap lockers / station</t>
  </si>
  <si>
    <t>1 locker = 1 station</t>
  </si>
  <si>
    <t>ANNUAL REVENUE</t>
  </si>
  <si>
    <t>Lease revenue (net of battery)</t>
  </si>
  <si>
    <t>Battery subscription revenue</t>
  </si>
  <si>
    <t>Total revenue / station / yr</t>
  </si>
  <si>
    <t>ANNUAL CASH OPERATING COST</t>
  </si>
  <si>
    <t>Site rent</t>
  </si>
  <si>
    <t>Electricity</t>
  </si>
  <si>
    <t>Connectivity</t>
  </si>
  <si>
    <t>Maintenance</t>
  </si>
  <si>
    <t>Insurance</t>
  </si>
  <si>
    <t>Payment gateway</t>
  </si>
  <si>
    <t>Allocated support &amp; overhead</t>
  </si>
  <si>
    <t>Assump: 6% of rev (staff/CS/admin allocation)</t>
  </si>
  <si>
    <t>Total cash operating cost</t>
  </si>
  <si>
    <t>PROFITABILITY (all-in)</t>
  </si>
  <si>
    <t>EBITDA (all-in)</t>
  </si>
  <si>
    <t>NIAT (all-in)</t>
  </si>
  <si>
    <t>Net margin</t>
  </si>
  <si>
    <t>CAPITAL &amp; RETURNS</t>
  </si>
  <si>
    <t>Capex / station (lockers+batteries)</t>
  </si>
  <si>
    <t>Payback (yrs, on cash profit)</t>
  </si>
  <si>
    <t>all-in cash profit basis</t>
  </si>
  <si>
    <t>Asset payback per model (pre-overhead)</t>
  </si>
  <si>
    <t>10-yr asset IRR (model basis)</t>
  </si>
  <si>
    <t>Reconciliation: model "1 Swap Station" economics, adjusted to an all-in view by</t>
  </si>
  <si>
    <t>adding an allocated share of company overhead (CS, admin, tech) not charged at unit level.</t>
  </si>
  <si>
    <t>BATTERY LIFECYCLE - DEGRADATION &amp; REPLACEMENT</t>
  </si>
  <si>
    <t>Foundation asset economics. Yellow = assumptions / Sta. Rosa actuals to confirm.</t>
  </si>
  <si>
    <t>INPUTS</t>
  </si>
  <si>
    <t>Battery landed cost (PHP)</t>
  </si>
  <si>
    <t>MC Drivers</t>
  </si>
  <si>
    <t>Batteries per motorcycle</t>
  </si>
  <si>
    <t>Modeled depreciation life (yrs)</t>
  </si>
  <si>
    <t>current model basis</t>
  </si>
  <si>
    <t>Rated cycle life (cycles)</t>
  </si>
  <si>
    <t>LFP typical 2,000-3,000</t>
  </si>
  <si>
    <t>Usable cycle life to 80% SoH (cycles)</t>
  </si>
  <si>
    <t>Cycles (swaps) / battery / day</t>
  </si>
  <si>
    <t>Cycles / year</t>
  </si>
  <si>
    <t>Implied usable life (yrs)</t>
  </si>
  <si>
    <t>usable cycles / cycles per yr</t>
  </si>
  <si>
    <t>Annual capacity degradation</t>
  </si>
  <si>
    <t>STA. ROSA - OBSERVED (to confirm)</t>
  </si>
  <si>
    <t>Months in operation</t>
  </si>
  <si>
    <t>Observed cycles / battery / day</t>
  </si>
  <si>
    <t>Observed SoH at latest reading</t>
  </si>
  <si>
    <t>Observed defect / failure rate</t>
  </si>
  <si>
    <t>DEGRADATION CURVE (State of Health by year)</t>
  </si>
  <si>
    <t>Year of life</t>
  </si>
  <si>
    <t>State of Health (SoH)</t>
  </si>
  <si>
    <t>Below 80% EoL threshold?</t>
  </si>
  <si>
    <t>FLEET REPLACEMENT SCHEDULE</t>
  </si>
  <si>
    <t>Year</t>
  </si>
  <si>
    <t>Fleet batteries in service (cum)</t>
  </si>
  <si>
    <t>Annual replacement reserve (PHP)</t>
  </si>
  <si>
    <t>Replacement reserve / total energy rev</t>
  </si>
  <si>
    <t>Key point: modeled depreciation life (10 yrs) vs usable cycle life implied by swaps/day.</t>
  </si>
  <si>
    <t>Replacement reserve quantifies the recurring battery refresh cost against energy revenue.</t>
  </si>
  <si>
    <t>PIPELINE · CAPITALIZATION · USE OF PROCEEDS</t>
  </si>
  <si>
    <t>Yellow = inputs to confirm from CRM / term sheet. Weighted value = value x bucket probability.</t>
  </si>
  <si>
    <t>1 · COMMERCIAL PIPELINE (by bucket)</t>
  </si>
  <si>
    <t>Account / Segment</t>
  </si>
  <si>
    <t>Bucket</t>
  </si>
  <si>
    <t>Prob.</t>
  </si>
  <si>
    <t>Units/stations</t>
  </si>
  <si>
    <t>Est. value (PHP)</t>
  </si>
  <si>
    <t>Weighted (PHP)</t>
  </si>
  <si>
    <t>Expected deployment</t>
  </si>
  <si>
    <t>BetterEdge</t>
  </si>
  <si>
    <t>Signed</t>
  </si>
  <si>
    <t>H1 2026</t>
  </si>
  <si>
    <t>Motorcycle-taxi fleet A</t>
  </si>
  <si>
    <t>Pilot</t>
  </si>
  <si>
    <t>H2 2026</t>
  </si>
  <si>
    <t>Large logistics fleet B</t>
  </si>
  <si>
    <t>LOI</t>
  </si>
  <si>
    <t>Ride-hailing platform</t>
  </si>
  <si>
    <t>Active disc.</t>
  </si>
  <si>
    <t>Delivery aggregator</t>
  </si>
  <si>
    <t>EOI</t>
  </si>
  <si>
    <t>2027+</t>
  </si>
  <si>
    <t>Other / unallocated</t>
  </si>
  <si>
    <t>TOTAL PIPELINE</t>
  </si>
  <si>
    <t>2 · CAPITALIZATION &amp; CONVERTIBLE CONVERSION</t>
  </si>
  <si>
    <t>New money raise (PHP)</t>
  </si>
  <si>
    <t>from Valuation</t>
  </si>
  <si>
    <t>New investor equity stake</t>
  </si>
  <si>
    <t>Implied post-money valuation (PHP)</t>
  </si>
  <si>
    <t>Implied pre-money valuation (PHP)</t>
  </si>
  <si>
    <t>Convertible note principal (PHP)</t>
  </si>
  <si>
    <t>confirm from note</t>
  </si>
  <si>
    <t>Conversion discount</t>
  </si>
  <si>
    <t>Convertible converts to equity (PHP value)</t>
  </si>
  <si>
    <t>principal / (1-discount)</t>
  </si>
  <si>
    <t>Holder</t>
  </si>
  <si>
    <t>PHP value</t>
  </si>
  <si>
    <t>% ownership</t>
  </si>
  <si>
    <t>Founders &amp; team</t>
  </si>
  <si>
    <t>Existing shareholders</t>
  </si>
  <si>
    <t>Convertible note holders</t>
  </si>
  <si>
    <t>New investor</t>
  </si>
  <si>
    <t>Total</t>
  </si>
  <si>
    <t>3 · USE OF PROCEEDS &amp; MILESTONES (PHP 650M)</t>
  </si>
  <si>
    <t>Allocation</t>
  </si>
  <si>
    <t>% of raise</t>
  </si>
  <si>
    <t>What it proves / risk removed</t>
  </si>
  <si>
    <t>Battery &amp; locker network buildout</t>
  </si>
  <si>
    <t>Validate network economics at scale; density</t>
  </si>
  <si>
    <t>Motorcycle fleet expansion</t>
  </si>
  <si>
    <t>Rider adoption &amp; ecosystem lock-in</t>
  </si>
  <si>
    <t>Technology &amp; platform</t>
  </si>
  <si>
    <t>Swap reliability, billing, telemetry at scale</t>
  </si>
  <si>
    <t>Working capital &amp; inventory</t>
  </si>
  <si>
    <t>Supply chain resilience / buffer</t>
  </si>
  <si>
    <t>Team &amp; market expansion</t>
  </si>
  <si>
    <t>Establish market leadership beyond Sta. Rosa</t>
  </si>
  <si>
    <t>Contingency</t>
  </si>
  <si>
    <t>De-risk execution</t>
  </si>
  <si>
    <t>TOTAL</t>
  </si>
  <si>
    <t>Allocations to be filled to total PHP 650M. Each line states the milestone / uncertainty it eliminates.</t>
  </si>
  <si>
    <t>ACTUALS TO GATHER - operating data for investor diligence</t>
  </si>
  <si>
    <t>Checklist of the real-world figures Simon asked for. Fill the yellow Value column; feed into the linked tabs.</t>
  </si>
  <si>
    <t>NETWORK UTILIZATION (→ Operating KPIs tab)</t>
  </si>
  <si>
    <t>Metric / data point</t>
  </si>
  <si>
    <t>Source / system</t>
  </si>
  <si>
    <t>Owner</t>
  </si>
  <si>
    <t>Target date</t>
  </si>
  <si>
    <t>Value (fill)</t>
  </si>
  <si>
    <t>Swap network telemetry</t>
  </si>
  <si>
    <t>Ops / RideBox</t>
  </si>
  <si>
    <t>Jul 2026</t>
  </si>
  <si>
    <t>Swaps / station / day (actual)</t>
  </si>
  <si>
    <t>Active riders to date</t>
  </si>
  <si>
    <t>Stations live to date</t>
  </si>
  <si>
    <t>Utilization vs design (%)</t>
  </si>
  <si>
    <t>REVENUE INTENSITY (→ Operating KPIs tab)</t>
  </si>
  <si>
    <t>Revenue / rider / month (actual)</t>
  </si>
  <si>
    <t>Billing system</t>
  </si>
  <si>
    <t>Finance</t>
  </si>
  <si>
    <t>Revenue / station / month (actual)</t>
  </si>
  <si>
    <t>STATION ECONOMICS (→ Station Economics tab)</t>
  </si>
  <si>
    <t>Actual electricity cost / station / mo</t>
  </si>
  <si>
    <t>Station P&amp;L + utility bills</t>
  </si>
  <si>
    <t>Ops / Finance</t>
  </si>
  <si>
    <t>Actual site rent / station / mo</t>
  </si>
  <si>
    <t>Actual maintenance / station / mo</t>
  </si>
  <si>
    <t>Actual support/overhead allocation</t>
  </si>
  <si>
    <t>Actual station EBITDA margin</t>
  </si>
  <si>
    <t>BATTERY LIFECYCLE (→ Battery Lifecycle tab)</t>
  </si>
  <si>
    <t>BMS / battery telemetry</t>
  </si>
  <si>
    <t>Engineering</t>
  </si>
  <si>
    <t>Aug 2026</t>
  </si>
  <si>
    <t>Observed SoH at latest reading (%)</t>
  </si>
  <si>
    <t>Observed defect / failure rate (%)</t>
  </si>
  <si>
    <t>Months in operation (Sta. Rosa)</t>
  </si>
  <si>
    <t>Actual replacements to date</t>
  </si>
  <si>
    <t>COMMERCIAL PIPELINE (→ Pipeline &amp; Cap Table tab)</t>
  </si>
  <si>
    <t>BetterEdge - units &amp; status</t>
  </si>
  <si>
    <t>CRM / signed contracts</t>
  </si>
  <si>
    <t>Commercial / BD</t>
  </si>
  <si>
    <t>Ongoing</t>
  </si>
  <si>
    <t>300 units, signed</t>
  </si>
  <si>
    <t>Motorcycle-taxi fleet - units &amp; status</t>
  </si>
  <si>
    <t>150 units, pilot</t>
  </si>
  <si>
    <t>Each LOI/pilot - value &amp; stage</t>
  </si>
  <si>
    <t>PHP 40M, LOI stage</t>
  </si>
  <si>
    <t>Signed contract values</t>
  </si>
  <si>
    <t>PHP 120M</t>
  </si>
  <si>
    <t>Expected deployment dates</t>
  </si>
  <si>
    <t>H1-H2 2026</t>
  </si>
  <si>
    <t>CAPITALIZATION (→ Pipeline &amp; Cap Table tab)</t>
  </si>
  <si>
    <t>Convertible note principal</t>
  </si>
  <si>
    <t>Term sheet / cap table</t>
  </si>
  <si>
    <t>Finance / Legal</t>
  </si>
  <si>
    <t>At close</t>
  </si>
  <si>
    <t>Conversion discount / cap</t>
  </si>
  <si>
    <t>Existing shareholder split</t>
  </si>
  <si>
    <t>Founders 60% / Angels 20%</t>
  </si>
  <si>
    <t>Founder ownership %</t>
  </si>
  <si>
    <t>Future debt facility terms</t>
  </si>
  <si>
    <t>PHP 300M @ 6.6% p.a.</t>
  </si>
  <si>
    <t>Light cells = context (source/owner/date). Yellow = the figure to enter.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</si>
</sst>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,##0;\(#,##0\);\-"/>
    <numFmt numFmtId="165" formatCode="#,##0.00;\(#,##0.00\);\-"/>
    <numFmt numFmtId="166" formatCode="0.0%"/>
    <numFmt numFmtId="167" formatCode="0.0"/>
    <numFmt numFmtId="168" formatCode="#,##0.0"/>
    <numFmt numFmtId="169" formatCode="#,##0;[RED]\(#,##0\);\-"/>
    <numFmt numFmtId="170" formatCode="#,##0.0,,;\(#,##0.0,,\);\-"/>
    <numFmt numFmtId="171" formatCode="0.000"/>
    <numFmt numFmtId="172" formatCode="0.0\x"/>
    <numFmt numFmtId="173" formatCode="#,##0.00,,"/>
    <numFmt numFmtId="174" formatCode="#,##0\x"/>
  </numFmts>
  <fonts count="39">
    <font>
      <sz val="11.0"/>
      <color theme="1"/>
      <name val="Calibri"/>
      <scheme val="minor"/>
    </font>
    <font>
      <sz val="10.0"/>
      <color rgb="FF000000"/>
      <name val="Calibri"/>
    </font>
    <font>
      <b/>
      <sz val="45.0"/>
      <color rgb="FF000000"/>
      <name val="Arial"/>
    </font>
    <font>
      <sz val="11.0"/>
      <color theme="1"/>
      <name val="Calibri"/>
    </font>
    <font>
      <b/>
      <sz val="14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8000"/>
      <name val="Arial"/>
    </font>
    <font>
      <sz val="11.0"/>
      <color rgb="FF000000"/>
      <name val="Calibri"/>
    </font>
    <font>
      <b/>
      <sz val="12.0"/>
      <color theme="1"/>
      <name val="Arial"/>
    </font>
    <font>
      <i/>
      <sz val="9.0"/>
      <color theme="1"/>
      <name val="Arial"/>
    </font>
    <font>
      <b/>
      <sz val="9.0"/>
      <color rgb="FF808080"/>
      <name val="Arial"/>
    </font>
    <font>
      <sz val="9.0"/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sz val="9.0"/>
      <color rgb="FF808080"/>
      <name val="Arial"/>
    </font>
    <font>
      <sz val="11.0"/>
      <color theme="1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10.0"/>
      <color rgb="FFFFFFFF"/>
      <name val="Arial"/>
    </font>
    <font>
      <sz val="8.0"/>
      <color theme="1"/>
      <name val="Calibri"/>
    </font>
    <font>
      <b/>
      <sz val="8.0"/>
      <color theme="1"/>
      <name val="Arial"/>
    </font>
    <font>
      <sz val="8.0"/>
      <color rgb="FF808080"/>
      <name val="Arial"/>
    </font>
    <font>
      <sz val="8.0"/>
      <color theme="1"/>
      <name val="Arial"/>
    </font>
    <font>
      <sz val="11.0"/>
      <color rgb="FF0000FF"/>
      <name val="Arial"/>
    </font>
    <font>
      <sz val="8.0"/>
      <color rgb="FF0000FF"/>
      <name val="Arial"/>
    </font>
    <font>
      <i/>
      <sz val="9.0"/>
      <color rgb="FF808080"/>
      <name val="Arial"/>
    </font>
    <font>
      <b/>
      <sz val="8.0"/>
      <color rgb="FFFFFFFF"/>
      <name val="Arial"/>
    </font>
    <font>
      <b/>
      <sz val="11.0"/>
      <color theme="1"/>
      <name val="Arial"/>
    </font>
    <font>
      <i/>
      <sz val="11.0"/>
      <color theme="1"/>
      <name val="Calibri"/>
    </font>
    <font>
      <i/>
      <sz val="10.0"/>
      <color rgb="FF000000"/>
      <name val="Arial"/>
    </font>
    <font>
      <b/>
      <sz val="10.0"/>
      <color rgb="FF008000"/>
      <name val="Arial"/>
    </font>
    <font>
      <b/>
      <sz val="11.0"/>
      <color theme="1"/>
      <name val="Calibri"/>
    </font>
    <font>
      <sz val="11.0"/>
      <color rgb="FF008000"/>
      <name val="Arial"/>
    </font>
    <font>
      <b/>
      <sz val="10.0"/>
      <color rgb="FF0000FF"/>
      <name val="Arial"/>
    </font>
    <font>
      <b/>
      <sz val="14.0"/>
      <color rgb="FFFFFFFF"/>
      <name val="Arial"/>
    </font>
    <font/>
    <font>
      <b/>
      <sz val="11.0"/>
      <color rgb="FF1F3864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EDFFBF"/>
        <bgColor rgb="FFEDFFBF"/>
      </patternFill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</fills>
  <borders count="6">
    <border/>
    <border>
      <bottom style="double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0" fillId="0" fontId="8" numFmtId="165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7" numFmtId="166" xfId="0" applyAlignment="1" applyFont="1" applyNumberForma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7" numFmtId="167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15" numFmtId="166" xfId="0" applyAlignment="1" applyFont="1" applyNumberFormat="1">
      <alignment shrinkToFit="0" vertical="bottom" wrapText="0"/>
    </xf>
    <xf borderId="0" fillId="0" fontId="14" numFmtId="166" xfId="0" applyAlignment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14" numFmtId="164" xfId="0" applyAlignment="1" applyFont="1" applyNumberFormat="1">
      <alignment horizontal="left" shrinkToFit="0" vertical="bottom" wrapText="0"/>
    </xf>
    <xf borderId="0" fillId="0" fontId="15" numFmtId="9" xfId="0" applyAlignment="1" applyFont="1" applyNumberFormat="1">
      <alignment shrinkToFit="0" vertical="bottom" wrapText="0"/>
    </xf>
    <xf borderId="0" fillId="0" fontId="15" numFmtId="165" xfId="0" applyAlignment="1" applyFont="1" applyNumberFormat="1">
      <alignment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7" numFmtId="165" xfId="0" applyAlignment="1" applyFont="1" applyNumberFormat="1">
      <alignment horizontal="right"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14" numFmtId="9" xfId="0" applyAlignment="1" applyFont="1" applyNumberFormat="1">
      <alignment horizontal="left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6" numFmtId="0" xfId="0" applyAlignment="1" applyFont="1">
      <alignment horizontal="left" shrinkToFit="0" vertical="bottom" wrapText="0"/>
    </xf>
    <xf borderId="0" fillId="0" fontId="15" numFmtId="166" xfId="0" applyAlignment="1" applyFont="1" applyNumberFormat="1">
      <alignment horizontal="center" shrinkToFit="0" vertical="bottom" wrapText="0"/>
    </xf>
    <xf borderId="0" fillId="0" fontId="14" numFmtId="168" xfId="0" applyAlignment="1" applyFont="1" applyNumberFormat="1">
      <alignment shrinkToFit="0" vertical="bottom" wrapText="0"/>
    </xf>
    <xf borderId="0" fillId="0" fontId="15" numFmtId="3" xfId="0" applyAlignment="1" applyFont="1" applyNumberForma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2" fillId="2" fontId="20" numFmtId="0" xfId="0" applyAlignment="1" applyBorder="1" applyFill="1" applyFont="1">
      <alignment horizontal="left" shrinkToFit="0" vertical="center" wrapText="1"/>
    </xf>
    <xf borderId="2" fillId="2" fontId="20" numFmtId="169" xfId="0" applyAlignment="1" applyBorder="1" applyFont="1" applyNumberFormat="1">
      <alignment horizontal="right" shrinkToFit="0" vertical="center" wrapText="1"/>
    </xf>
    <xf borderId="0" fillId="0" fontId="5" numFmtId="0" xfId="0" applyAlignment="1" applyFont="1">
      <alignment horizontal="left" shrinkToFit="0" vertical="bottom" wrapText="1"/>
    </xf>
    <xf borderId="0" fillId="0" fontId="14" numFmtId="0" xfId="0" applyAlignment="1" applyFont="1">
      <alignment horizontal="left" shrinkToFit="0" vertical="bottom" wrapText="1"/>
    </xf>
    <xf borderId="0" fillId="0" fontId="14" numFmtId="9" xfId="0" applyAlignment="1" applyFont="1" applyNumberFormat="1">
      <alignment horizontal="right" shrinkToFit="0" vertical="bottom" wrapText="1"/>
    </xf>
    <xf borderId="0" fillId="0" fontId="14" numFmtId="169" xfId="0" applyAlignment="1" applyFont="1" applyNumberFormat="1">
      <alignment horizontal="right" shrinkToFit="0" vertical="bottom" wrapText="1"/>
    </xf>
    <xf borderId="0" fillId="0" fontId="21" numFmtId="0" xfId="0" applyAlignment="1" applyFon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0" fontId="22" numFmtId="0" xfId="0" applyAlignment="1" applyBorder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25" numFmtId="164" xfId="0" applyAlignment="1" applyFont="1" applyNumberFormat="1">
      <alignment horizontal="right" shrinkToFit="0" vertical="bottom" wrapText="0"/>
    </xf>
    <xf borderId="0" fillId="0" fontId="26" numFmtId="166" xfId="0" applyAlignment="1" applyFont="1" applyNumberFormat="1">
      <alignment horizontal="center" shrinkToFit="0" vertical="bottom" wrapText="0"/>
    </xf>
    <xf borderId="0" fillId="0" fontId="27" numFmtId="0" xfId="0" applyAlignment="1" applyFont="1">
      <alignment horizontal="left" shrinkToFit="0" vertical="bottom" wrapText="0"/>
    </xf>
    <xf borderId="0" fillId="0" fontId="26" numFmtId="0" xfId="0" applyAlignment="1" applyFont="1">
      <alignment shrinkToFit="0" vertical="bottom" wrapText="0"/>
    </xf>
    <xf borderId="0" fillId="0" fontId="26" numFmtId="9" xfId="0" applyAlignment="1" applyFont="1" applyNumberFormat="1">
      <alignment shrinkToFit="0" vertical="bottom" wrapText="0"/>
    </xf>
    <xf borderId="0" fillId="0" fontId="24" numFmtId="0" xfId="0" applyAlignment="1" applyFont="1">
      <alignment horizontal="left" shrinkToFit="0" vertical="bottom" wrapText="0"/>
    </xf>
    <xf borderId="2" fillId="2" fontId="28" numFmtId="0" xfId="0" applyAlignment="1" applyBorder="1" applyFont="1">
      <alignment horizontal="left" shrinkToFit="0" vertical="center" wrapText="1"/>
    </xf>
    <xf borderId="0" fillId="0" fontId="24" numFmtId="0" xfId="0" applyAlignment="1" applyFont="1">
      <alignment horizontal="left" shrinkToFit="0" vertical="bottom" wrapText="1"/>
    </xf>
    <xf borderId="0" fillId="0" fontId="27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8" numFmtId="170" xfId="0" applyAlignment="1" applyFont="1" applyNumberFormat="1">
      <alignment shrinkToFit="0" vertical="bottom" wrapText="0"/>
    </xf>
    <xf borderId="0" fillId="0" fontId="7" numFmtId="170" xfId="0" applyAlignment="1" applyFont="1" applyNumberFormat="1">
      <alignment shrinkToFit="0" vertical="bottom" wrapText="0"/>
    </xf>
    <xf borderId="0" fillId="0" fontId="6" numFmtId="170" xfId="0" applyAlignment="1" applyFont="1" applyNumberFormat="1">
      <alignment shrinkToFit="0" vertical="bottom" wrapText="0"/>
    </xf>
    <xf borderId="0" fillId="0" fontId="29" numFmtId="170" xfId="0" applyAlignment="1" applyFont="1" applyNumberFormat="1">
      <alignment horizontal="right" shrinkToFit="0" vertical="bottom" wrapText="0"/>
    </xf>
    <xf borderId="0" fillId="0" fontId="30" numFmtId="0" xfId="0" applyAlignment="1" applyFont="1">
      <alignment shrinkToFit="0" vertical="bottom" wrapText="0"/>
    </xf>
    <xf borderId="0" fillId="0" fontId="31" numFmtId="0" xfId="0" applyAlignment="1" applyFont="1">
      <alignment shrinkToFit="0" vertical="bottom" wrapText="0"/>
    </xf>
    <xf borderId="0" fillId="0" fontId="31" numFmtId="170" xfId="0" applyAlignment="1" applyFont="1" applyNumberFormat="1">
      <alignment shrinkToFit="0" vertical="bottom" wrapText="0"/>
    </xf>
    <xf borderId="0" fillId="0" fontId="3" numFmtId="170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32" numFmtId="170" xfId="0" applyAlignment="1" applyFont="1" applyNumberFormat="1">
      <alignment shrinkToFit="0" vertical="bottom" wrapText="0"/>
    </xf>
    <xf borderId="0" fillId="0" fontId="3" numFmtId="10" xfId="0" applyAlignment="1" applyFont="1" applyNumberFormat="1">
      <alignment shrinkToFit="0" vertical="bottom" wrapText="0"/>
    </xf>
    <xf borderId="0" fillId="0" fontId="33" numFmtId="0" xfId="0" applyAlignment="1" applyFont="1">
      <alignment shrinkToFit="0" vertical="bottom" wrapText="0"/>
    </xf>
    <xf borderId="0" fillId="0" fontId="34" numFmtId="170" xfId="0" applyAlignment="1" applyFont="1" applyNumberFormat="1">
      <alignment horizontal="right" shrinkToFit="0" vertical="bottom" wrapText="0"/>
    </xf>
    <xf borderId="0" fillId="0" fontId="7" numFmtId="171" xfId="0" applyAlignment="1" applyFont="1" applyNumberFormat="1">
      <alignment shrinkToFit="0" vertical="bottom" wrapText="0"/>
    </xf>
    <xf borderId="0" fillId="0" fontId="33" numFmtId="10" xfId="0" applyAlignment="1" applyFont="1" applyNumberFormat="1">
      <alignment shrinkToFit="0" vertical="bottom" wrapText="0"/>
    </xf>
    <xf borderId="0" fillId="0" fontId="8" numFmtId="166" xfId="0" applyAlignment="1" applyFont="1" applyNumberFormat="1">
      <alignment shrinkToFit="0" vertical="bottom" wrapText="0"/>
    </xf>
    <xf borderId="0" fillId="0" fontId="3" numFmtId="167" xfId="0" applyAlignment="1" applyFont="1" applyNumberFormat="1">
      <alignment shrinkToFit="0" vertical="bottom" wrapText="0"/>
    </xf>
    <xf borderId="0" fillId="0" fontId="7" numFmtId="172" xfId="0" applyAlignment="1" applyFont="1" applyNumberFormat="1">
      <alignment shrinkToFit="0" vertical="bottom" wrapText="0"/>
    </xf>
    <xf borderId="0" fillId="0" fontId="15" numFmtId="172" xfId="0" applyAlignment="1" applyFont="1" applyNumberFormat="1">
      <alignment shrinkToFit="0" vertical="bottom" wrapText="0"/>
    </xf>
    <xf borderId="2" fillId="3" fontId="15" numFmtId="166" xfId="0" applyAlignment="1" applyBorder="1" applyFill="1" applyFont="1" applyNumberFormat="1">
      <alignment shrinkToFit="0" vertical="bottom" wrapText="0"/>
    </xf>
    <xf borderId="0" fillId="0" fontId="15" numFmtId="170" xfId="0" applyAlignment="1" applyFont="1" applyNumberFormat="1">
      <alignment shrinkToFit="0" vertical="bottom" wrapText="0"/>
    </xf>
    <xf borderId="0" fillId="0" fontId="3" numFmtId="172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7" numFmtId="10" xfId="0" applyAlignment="1" applyFont="1" applyNumberFormat="1">
      <alignment shrinkToFit="0" vertical="bottom" wrapText="0"/>
    </xf>
    <xf borderId="0" fillId="0" fontId="3" numFmtId="172" xfId="0" applyAlignment="1" applyFont="1" applyNumberFormat="1">
      <alignment shrinkToFit="0" vertical="bottom" wrapText="0"/>
    </xf>
    <xf borderId="2" fillId="4" fontId="6" numFmtId="0" xfId="0" applyAlignment="1" applyBorder="1" applyFill="1" applyFont="1">
      <alignment shrinkToFit="0" vertical="bottom" wrapText="0"/>
    </xf>
    <xf borderId="2" fillId="4" fontId="3" numFmtId="0" xfId="0" applyAlignment="1" applyBorder="1" applyFont="1">
      <alignment shrinkToFit="0" vertical="bottom" wrapText="0"/>
    </xf>
    <xf borderId="0" fillId="0" fontId="8" numFmtId="173" xfId="0" applyAlignment="1" applyFont="1" applyNumberFormat="1">
      <alignment shrinkToFit="0" vertical="bottom" wrapText="0"/>
    </xf>
    <xf borderId="2" fillId="5" fontId="35" numFmtId="166" xfId="0" applyAlignment="1" applyBorder="1" applyFill="1" applyFont="1" applyNumberFormat="1">
      <alignment shrinkToFit="0" vertical="bottom" wrapText="0"/>
    </xf>
    <xf borderId="2" fillId="5" fontId="35" numFmtId="174" xfId="0" applyAlignment="1" applyBorder="1" applyFont="1" applyNumberFormat="1">
      <alignment shrinkToFit="0" vertical="bottom" wrapText="0"/>
    </xf>
    <xf borderId="0" fillId="0" fontId="7" numFmtId="173" xfId="0" applyAlignment="1" applyFont="1" applyNumberFormat="1">
      <alignment shrinkToFit="0" vertical="bottom" wrapText="0"/>
    </xf>
    <xf borderId="3" fillId="6" fontId="36" numFmtId="0" xfId="0" applyAlignment="1" applyBorder="1" applyFill="1" applyFont="1">
      <alignment shrinkToFit="0" vertical="center" wrapText="0"/>
    </xf>
    <xf borderId="4" fillId="0" fontId="37" numFmtId="0" xfId="0" applyBorder="1" applyFont="1"/>
    <xf borderId="5" fillId="0" fontId="37" numFmtId="0" xfId="0" applyBorder="1" applyFont="1"/>
    <xf borderId="2" fillId="7" fontId="20" numFmtId="0" xfId="0" applyAlignment="1" applyBorder="1" applyFill="1" applyFont="1">
      <alignment shrinkToFit="0" vertical="bottom" wrapText="0"/>
    </xf>
    <xf borderId="2" fillId="7" fontId="20" numFmtId="0" xfId="0" applyAlignment="1" applyBorder="1" applyFont="1">
      <alignment horizontal="center" shrinkToFit="0" vertical="bottom" wrapText="0"/>
    </xf>
    <xf borderId="2" fillId="8" fontId="38" numFmtId="0" xfId="0" applyAlignment="1" applyBorder="1" applyFill="1" applyFont="1">
      <alignment shrinkToFit="0" vertical="bottom" wrapText="0"/>
    </xf>
    <xf borderId="2" fillId="8" fontId="3" numFmtId="0" xfId="0" applyAlignment="1" applyBorder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2" fillId="7" fontId="20" numFmtId="0" xfId="0" applyAlignment="1" applyBorder="1" applyFont="1">
      <alignment horizontal="left" shrinkToFit="0" vertical="bottom" wrapText="0"/>
    </xf>
    <xf borderId="2" fillId="3" fontId="15" numFmtId="167" xfId="0" applyAlignment="1" applyBorder="1" applyFont="1" applyNumberFormat="1">
      <alignment shrinkToFit="0" vertical="bottom" wrapText="0"/>
    </xf>
    <xf borderId="2" fillId="3" fontId="15" numFmtId="167" xfId="0" applyAlignment="1" applyBorder="1" applyFont="1" applyNumberFormat="1">
      <alignment readingOrder="0" shrinkToFit="0" vertical="bottom" wrapText="0"/>
    </xf>
    <xf borderId="2" fillId="3" fontId="15" numFmtId="164" xfId="0" applyAlignment="1" applyBorder="1" applyFont="1" applyNumberFormat="1">
      <alignment shrinkToFit="0" vertical="bottom" wrapText="0"/>
    </xf>
    <xf borderId="0" fillId="0" fontId="8" numFmtId="1" xfId="0" applyAlignment="1" applyFont="1" applyNumberFormat="1">
      <alignment shrinkToFit="0" vertical="bottom" wrapText="0"/>
    </xf>
    <xf borderId="2" fillId="3" fontId="15" numFmtId="1" xfId="0" applyAlignment="1" applyBorder="1" applyFont="1" applyNumberFormat="1">
      <alignment shrinkToFit="0" vertical="bottom" wrapText="0"/>
    </xf>
    <xf borderId="0" fillId="0" fontId="7" numFmtId="2" xfId="0" applyAlignment="1" applyFont="1" applyNumberFormat="1">
      <alignment shrinkToFit="0" vertical="bottom" wrapText="0"/>
    </xf>
    <xf borderId="0" fillId="0" fontId="8" numFmtId="2" xfId="0" applyAlignment="1" applyFont="1" applyNumberFormat="1">
      <alignment shrinkToFit="0" vertical="bottom" wrapText="0"/>
    </xf>
    <xf borderId="2" fillId="3" fontId="15" numFmtId="3" xfId="0" applyAlignment="1" applyBorder="1" applyFont="1" applyNumberFormat="1">
      <alignment shrinkToFit="0" vertical="bottom" wrapText="0"/>
    </xf>
    <xf borderId="0" fillId="0" fontId="7" numFmtId="3" xfId="0" applyAlignment="1" applyFont="1" applyNumberForma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2" fillId="3" fontId="15" numFmtId="0" xfId="0" applyAlignment="1" applyBorder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2" fillId="9" fontId="14" numFmtId="0" xfId="0" applyAlignment="1" applyBorder="1" applyFill="1" applyFont="1">
      <alignment shrinkToFit="0" vertical="bottom" wrapText="0"/>
    </xf>
    <xf borderId="2" fillId="3" fontId="3" numFmtId="1" xfId="0" applyAlignment="1" applyBorder="1" applyFont="1" applyNumberFormat="1">
      <alignment shrinkToFit="0" vertical="bottom" wrapText="0"/>
    </xf>
    <xf borderId="2" fillId="3" fontId="3" numFmtId="167" xfId="0" applyAlignment="1" applyBorder="1" applyFont="1" applyNumberFormat="1">
      <alignment shrinkToFit="0" vertical="bottom" wrapText="0"/>
    </xf>
    <xf borderId="2" fillId="3" fontId="3" numFmtId="3" xfId="0" applyAlignment="1" applyBorder="1" applyFont="1" applyNumberFormat="1">
      <alignment shrinkToFit="0" vertical="bottom" wrapText="0"/>
    </xf>
    <xf borderId="2" fillId="3" fontId="3" numFmtId="166" xfId="0" applyAlignment="1" applyBorder="1" applyFont="1" applyNumberFormat="1">
      <alignment shrinkToFit="0" vertical="bottom" wrapText="0"/>
    </xf>
    <xf borderId="2" fillId="3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342900</xdr:colOff>
      <xdr:row>9</xdr:row>
      <xdr:rowOff>123825</xdr:rowOff>
    </xdr:from>
    <xdr:ext cx="1200150" cy="12477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447675</xdr:colOff>
      <xdr:row>8</xdr:row>
      <xdr:rowOff>95250</xdr:rowOff>
    </xdr:from>
    <xdr:ext cx="1095375" cy="4857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8</xdr:row>
      <xdr:rowOff>38100</xdr:rowOff>
    </xdr:from>
    <xdr:ext cx="3486150" cy="12096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k Alexis Mungcal" id="{0c16dfa0-1d6a-4a86-93c8-27842b6012b5}" providerId="google-sheets"/>
  <x18tc:person displayName="mmungcal@nrdev.ph" id="{e5c73f48-3a8f-40a9-ab46-818aa782acf2}" userId="mmungcal@nrdev.ph" providerId="google-sheets"/>
  <x18tc:person displayName="anthonymatthewnco@gmail.com" id="{6b2204e9-4a1e-4f24-98b3-ff978fd8ad73}" userId="anthonymatthewnco@gmail.com" providerId="google-sheets"/>
  <x18tc:person displayName="francis@nrdev.ph" id="{63d775c8-df9a-4dc1-a2d4-a601c80e06a9}" userId="francis@nrdev.ph" providerId="google-sheets"/>
  <x18tc:person displayName="tc={904580cb-1bb0-4bde-a593-f21bef76f936}" id="{81e5b0d1-8c75-4e78-969e-39bdc8a92f8f}" providerId="google-sheets"/>
  <x18tc:person displayName="tc={a7ade8ab-20b6-4e5b-9dbd-82be8a41db51}" id="{d7451774-a3a1-45df-930a-b819d1c94af8}" providerId="google-sheets"/>
  <x18tc:person displayName="e.amistoso@mondenissin.com" id="{c38e7e2d-ac30-49d4-9770-61b634d7dbc1}" userId="e.amistoso@mondenissin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24T21:30:59.00" personId="{d7451774-a3a1-45df-930a-b819d1c94af8}" id="{62e2c1fd-7f6f-4c03-9b42-46f91c816799}" done="1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@mmungcal@nrdev.ph this one does not seem to connect
Reply:
	Checking</x18tc:text>
    <x18tc:mentions>
      <x18tc:mention mentionpersonId="{e5c73f48-3a8f-40a9-ab46-818aa782acf2}" mentionId="{ce89700f-9559-4eb4-90ea-fc3887461d1b}" startIndex="246" length="18"/>
    </x18tc:mentions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A1" dT="2026-06-24T21:30:59.00" personId="{81e5b0d1-8c75-4e78-969e-39bdc8a92f8f}" id="{465ac59f-8d4f-41e3-8e01-4f49a7a06eea}" done="1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@francis@nrdev.ph @anthonymatthewnco@gmail.com @e.amistoso@mondenissin.com</x18tc:text>
    <x18tc:mentions>
      <x18tc:mention mentionpersonId="{63d775c8-df9a-4dc1-a2d4-a601c80e06a9}" mentionId="{82b56c60-d480-46d2-8de8-1236cdf7979a}" startIndex="246" length="17"/>
      <x18tc:mention mentionpersonId="{6b2204e9-4a1e-4f24-98b3-ff978fd8ad73}" mentionId="{60a777a8-493e-4dcd-8fd8-4fb28c483a73}" startIndex="264" length="28"/>
      <x18tc:mention mentionpersonId="{c38e7e2d-ac30-49d4-9770-61b634d7dbc1}" mentionId="{085d0678-cd79-4534-b522-1c0cefcbda4e}" startIndex="293" length="27"/>
    </x18tc:mentions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6-25T00:15:55.00" personId="{0c16dfa0-1d6a-4a86-93c8-27842b6012b5}" id="{28cfea9f-1f26-4964-baf3-c3e5dde31a0a}" done="0">
    <x18tc:text xml:space="preserve">@francis@nrdev.ph for review ane comment</x18tc:text>
    <x18tc:mentions>
      <x18tc:mention mentionpersonId="{63d775c8-df9a-4dc1-a2d4-a601c80e06a9}" mentionId="{9e61b29f-80e0-4e40-b46e-1910f8507d4f}" startIndex="0" length="1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6.xml"/><Relationship Id="rId5" Type="http://schemas.openxmlformats.org/officeDocument/2006/relationships/vmlDrawing" Target="../drawings/vmlDrawing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3.14"/>
    <col customWidth="1" min="3" max="6" width="8.71"/>
    <col customWidth="1" min="7" max="23" width="12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66.0" customHeight="1">
      <c r="A18" s="1"/>
      <c r="B18" s="1"/>
      <c r="C18" s="2" t="s">
        <v>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497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4.0"/>
    <col customWidth="1" min="3" max="4" width="20.0"/>
    <col customWidth="1" min="5" max="5" width="23.0"/>
    <col customWidth="1" min="6" max="6" width="8.71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3"/>
      <c r="B2" s="4" t="s">
        <v>1</v>
      </c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6" t="s">
        <v>2</v>
      </c>
      <c r="D4" s="6" t="s">
        <v>3</v>
      </c>
      <c r="E4" s="6" t="s">
        <v>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7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8" t="s">
        <v>6</v>
      </c>
      <c r="C6" s="3"/>
      <c r="D6" s="3"/>
      <c r="E6" s="9">
        <f>10</f>
        <v>10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8" t="s">
        <v>7</v>
      </c>
      <c r="C7" s="3"/>
      <c r="D7" s="3"/>
      <c r="E7" s="9">
        <f>E6*2</f>
        <v>20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8"/>
      <c r="C8" s="3"/>
      <c r="D8" s="3"/>
      <c r="E8" s="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7" t="s">
        <v>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8" t="s">
        <v>9</v>
      </c>
      <c r="C11" s="10">
        <f>('MC Drivers (NRD)'!D30*30-'Energy Drivers (RideBox)'!D11)*12/365</f>
        <v>113.0136986</v>
      </c>
      <c r="D11" s="10">
        <f>('MC Drivers (NRD)'!D31*30-'Energy Drivers (RideBox)'!D11)*12/365</f>
        <v>161.4481409</v>
      </c>
      <c r="E11" s="10">
        <f>E6*'MC Drivers (NRD)'!D35*12/365</f>
        <v>1614.481409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8" t="s">
        <v>10</v>
      </c>
      <c r="C12" s="10">
        <f>'Energy Drivers (RideBox)'!D11*12/365</f>
        <v>80.72407045</v>
      </c>
      <c r="D12" s="10">
        <f>'Energy Drivers (RideBox)'!D11*12/365</f>
        <v>80.72407045</v>
      </c>
      <c r="E12" s="10">
        <f>E7*'Energy Drivers (RideBox)'!D11*12/365</f>
        <v>1614.481409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7" t="s">
        <v>11</v>
      </c>
      <c r="C13" s="11">
        <f t="shared" ref="C13:E13" si="1">C11+C12</f>
        <v>193.7377691</v>
      </c>
      <c r="D13" s="11">
        <f t="shared" si="1"/>
        <v>242.1722114</v>
      </c>
      <c r="E13" s="11">
        <f t="shared" si="1"/>
        <v>3228.962818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7" t="s">
        <v>12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8" t="s">
        <v>13</v>
      </c>
      <c r="C16" s="10">
        <f>('MC Drivers (NRD)'!D45+2*'MC Drivers (NRD)'!D63)/'MC Drivers (NRD)'!D185/365</f>
        <v>25.99406575</v>
      </c>
      <c r="D16" s="10">
        <f>('MC Drivers (NRD)'!D52+2*'MC Drivers (NRD)'!D63)/'MC Drivers (NRD)'!D185/365</f>
        <v>36.30926575</v>
      </c>
      <c r="E16" s="10">
        <f>(E6*(('MC Drivers (NRD)'!D32*'MC Drivers (NRD)'!D45+'MC Drivers (NRD)'!D33*'MC Drivers (NRD)'!D52)+2*'MC Drivers (NRD)'!D63)/'MC Drivers (NRD)'!D185+'Energy Drivers (RideBox)'!D100/'Energy Drivers (RideBox)'!D103)/365</f>
        <v>373.491784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8" t="s">
        <v>14</v>
      </c>
      <c r="C17" s="10">
        <f>4500/365</f>
        <v>12.32876712</v>
      </c>
      <c r="D17" s="10">
        <f>6500/365</f>
        <v>17.80821918</v>
      </c>
      <c r="E17" s="10">
        <f>('Energy Drivers (RideBox)'!D100*'Energy Drivers (RideBox)'!D104+E7*'MC Drivers (NRD)'!D63*'MC Drivers (NRD)'!D64)/365</f>
        <v>33.26958748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8" t="s">
        <v>15</v>
      </c>
      <c r="C18" s="10">
        <f>'MC Drivers (NRD)'!D79/365</f>
        <v>0.799086758</v>
      </c>
      <c r="D18" s="10">
        <f>'MC Drivers (NRD)'!D79/365</f>
        <v>0.799086758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8" t="s">
        <v>16</v>
      </c>
      <c r="C19" s="3"/>
      <c r="D19" s="3"/>
      <c r="E19" s="10">
        <f>'Energy Drivers (RideBox)'!D29*12/365</f>
        <v>146.7710372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8" t="s">
        <v>17</v>
      </c>
      <c r="C20" s="3"/>
      <c r="D20" s="3"/>
      <c r="E20" s="10">
        <f>('Energy Drivers (RideBox)'!D30+E7*'Energy Drivers (RideBox)'!D14)*12/365</f>
        <v>61.64383562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8" t="s">
        <v>18</v>
      </c>
      <c r="C21" s="3"/>
      <c r="D21" s="3"/>
      <c r="E21" s="10">
        <f>'Energy Drivers (RideBox)'!D31*12/365</f>
        <v>5.870841487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8" t="s">
        <v>19</v>
      </c>
      <c r="C22" s="3"/>
      <c r="D22" s="3"/>
      <c r="E22" s="10">
        <f>'Energy Drivers (RideBox)'!D26*'Energy Drivers (RideBox)'!D19*1.1</f>
        <v>107.7288457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8" t="s">
        <v>20</v>
      </c>
      <c r="C23" s="10">
        <f>C11*'MC Drivers (NRD)'!D80</f>
        <v>3.390410959</v>
      </c>
      <c r="D23" s="10">
        <f>D11*'MC Drivers (NRD)'!D80</f>
        <v>4.843444227</v>
      </c>
      <c r="E23" s="10">
        <f>E12*'Energy Drivers (RideBox)'!D13</f>
        <v>48.43444227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7" t="s">
        <v>21</v>
      </c>
      <c r="C24" s="11">
        <f t="shared" ref="C24:E24" si="2">SUM(C16:C23)</f>
        <v>42.51233059</v>
      </c>
      <c r="D24" s="11">
        <f t="shared" si="2"/>
        <v>59.76001592</v>
      </c>
      <c r="E24" s="11">
        <f t="shared" si="2"/>
        <v>777.2103737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7" t="s">
        <v>22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7" t="s">
        <v>23</v>
      </c>
      <c r="C27" s="11">
        <f t="shared" ref="C27:E27" si="3">C13-C24</f>
        <v>151.2254385</v>
      </c>
      <c r="D27" s="11">
        <f t="shared" si="3"/>
        <v>182.4121954</v>
      </c>
      <c r="E27" s="11">
        <f t="shared" si="3"/>
        <v>2451.752444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8" t="s">
        <v>24</v>
      </c>
      <c r="C28" s="12">
        <f t="shared" ref="C28:E28" si="4">IFERROR(C27/C13,0)</f>
        <v>0.7805676673</v>
      </c>
      <c r="D28" s="12">
        <f t="shared" si="4"/>
        <v>0.7532333888</v>
      </c>
      <c r="E28" s="12">
        <f t="shared" si="4"/>
        <v>0.7593003024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8" t="s">
        <v>25</v>
      </c>
      <c r="C29" s="13">
        <f t="shared" ref="C29:E29" si="5">C27+C16</f>
        <v>177.2195042</v>
      </c>
      <c r="D29" s="13">
        <f t="shared" si="5"/>
        <v>218.7214612</v>
      </c>
      <c r="E29" s="13">
        <f t="shared" si="5"/>
        <v>2825.244228</v>
      </c>
      <c r="F29" s="1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7" t="s">
        <v>26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8" t="s">
        <v>27</v>
      </c>
      <c r="C32" s="13">
        <f t="shared" ref="C32:E32" si="6">C13*365</f>
        <v>70714.28571</v>
      </c>
      <c r="D32" s="13">
        <f t="shared" si="6"/>
        <v>88392.85714</v>
      </c>
      <c r="E32" s="13">
        <f t="shared" si="6"/>
        <v>1178571.429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8" t="s">
        <v>28</v>
      </c>
      <c r="C33" s="13">
        <f t="shared" ref="C33:E33" si="7">(C24-C16)*365</f>
        <v>6029.166667</v>
      </c>
      <c r="D33" s="13">
        <f t="shared" si="7"/>
        <v>8559.52381</v>
      </c>
      <c r="E33" s="13">
        <f t="shared" si="7"/>
        <v>147357.2853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7" t="s">
        <v>29</v>
      </c>
      <c r="C34" s="11">
        <f t="shared" ref="C34:E34" si="8">C32-C33</f>
        <v>64685.11905</v>
      </c>
      <c r="D34" s="11">
        <f t="shared" si="8"/>
        <v>79833.33333</v>
      </c>
      <c r="E34" s="11">
        <f t="shared" si="8"/>
        <v>1031214.143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8" t="s">
        <v>30</v>
      </c>
      <c r="C35" s="13">
        <f t="shared" ref="C35:E35" si="9">C16*365</f>
        <v>9487.834</v>
      </c>
      <c r="D35" s="13">
        <f t="shared" si="9"/>
        <v>13252.882</v>
      </c>
      <c r="E35" s="13">
        <f t="shared" si="9"/>
        <v>136324.5011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7" t="s">
        <v>31</v>
      </c>
      <c r="C36" s="11">
        <f t="shared" ref="C36:E36" si="10">C34-C35</f>
        <v>55197.28505</v>
      </c>
      <c r="D36" s="11">
        <f t="shared" si="10"/>
        <v>66580.45133</v>
      </c>
      <c r="E36" s="11">
        <f t="shared" si="10"/>
        <v>894889.6422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8" t="s">
        <v>32</v>
      </c>
      <c r="C37" s="13">
        <f>MAX(C36,0)*'MC Drivers (NRD)'!D315</f>
        <v>13799.32126</v>
      </c>
      <c r="D37" s="13">
        <f>MAX(D36,0)*'MC Drivers (NRD)'!D315</f>
        <v>16645.11283</v>
      </c>
      <c r="E37" s="13">
        <f>MAX(E36,0)*'MC Drivers (NRD)'!D315</f>
        <v>223722.4105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7" t="s">
        <v>33</v>
      </c>
      <c r="C38" s="11">
        <f t="shared" ref="C38:E38" si="11">C36-C37</f>
        <v>41397.96379</v>
      </c>
      <c r="D38" s="11">
        <f t="shared" si="11"/>
        <v>49935.3385</v>
      </c>
      <c r="E38" s="11">
        <f t="shared" si="11"/>
        <v>671167.2316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8" t="s">
        <v>34</v>
      </c>
      <c r="C39" s="12">
        <f t="shared" ref="C39:E39" si="12">IFERROR(C38/C32,0)</f>
        <v>0.5854257505</v>
      </c>
      <c r="D39" s="12">
        <f t="shared" si="12"/>
        <v>0.5649250416</v>
      </c>
      <c r="E39" s="12">
        <f t="shared" si="12"/>
        <v>0.5694752268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7" t="s">
        <v>35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8" t="s">
        <v>36</v>
      </c>
      <c r="C42" s="13">
        <f>'MC Drivers (NRD)'!D45+2*'MC Drivers (NRD)'!D63</f>
        <v>94878.34</v>
      </c>
      <c r="D42" s="13">
        <f>'MC Drivers (NRD)'!D52+2*'MC Drivers (NRD)'!D63</f>
        <v>132528.82</v>
      </c>
      <c r="E42" s="13">
        <f>'Energy Drivers (RideBox)'!D100+E6*(('MC Drivers (NRD)'!D32*'MC Drivers (NRD)'!D45+'MC Drivers (NRD)'!D33*'MC Drivers (NRD)'!D52)+2*'MC Drivers (NRD)'!D63)</f>
        <v>1363245.011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8" t="s">
        <v>37</v>
      </c>
      <c r="C43" s="15">
        <f t="shared" ref="C43:E43" si="13">IFERROR(C42/C29/365,0)</f>
        <v>1.466772287</v>
      </c>
      <c r="D43" s="15">
        <f t="shared" si="13"/>
        <v>1.660068727</v>
      </c>
      <c r="E43" s="15">
        <f t="shared" si="13"/>
        <v>1.321980522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8" t="s">
        <v>38</v>
      </c>
      <c r="C44" s="12">
        <f t="shared" ref="C44:E44" si="14">IFERROR(RATE(10,C32-C33-C37,-C42),0)</f>
        <v>0.5286282316</v>
      </c>
      <c r="D44" s="12">
        <f t="shared" si="14"/>
        <v>0.4664193552</v>
      </c>
      <c r="E44" s="12">
        <f t="shared" si="14"/>
        <v>0.5864657443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2.0"/>
    <col customWidth="1" min="2" max="2" width="38.0"/>
    <col customWidth="1" min="3" max="3" width="33.0"/>
    <col customWidth="1" min="4" max="14" width="13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3"/>
      <c r="B2" s="16" t="s">
        <v>39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18" t="s">
        <v>40</v>
      </c>
      <c r="C3" s="3"/>
      <c r="D3" s="1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5" t="s">
        <v>41</v>
      </c>
      <c r="D4" s="6">
        <v>2026.0</v>
      </c>
      <c r="E4" s="6">
        <v>2027.0</v>
      </c>
      <c r="F4" s="6">
        <v>2028.0</v>
      </c>
      <c r="G4" s="6">
        <v>2029.0</v>
      </c>
      <c r="H4" s="6">
        <v>2030.0</v>
      </c>
      <c r="I4" s="6">
        <v>2031.0</v>
      </c>
      <c r="J4" s="6">
        <v>2032.0</v>
      </c>
      <c r="K4" s="6">
        <v>2033.0</v>
      </c>
      <c r="L4" s="6">
        <v>2034.0</v>
      </c>
      <c r="M4" s="6">
        <v>2035.0</v>
      </c>
      <c r="N4" s="6">
        <v>2036.0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20" t="s">
        <v>42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20" t="s">
        <v>43</v>
      </c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24" t="s">
        <v>44</v>
      </c>
      <c r="C7" s="23"/>
      <c r="D7" s="23"/>
      <c r="E7" s="25">
        <v>0.5</v>
      </c>
      <c r="F7" s="25">
        <v>0.45</v>
      </c>
      <c r="G7" s="25">
        <v>0.31</v>
      </c>
      <c r="H7" s="25">
        <v>0.17</v>
      </c>
      <c r="I7" s="25">
        <v>0.18</v>
      </c>
      <c r="J7" s="25">
        <v>0.25</v>
      </c>
      <c r="K7" s="25">
        <v>0.182</v>
      </c>
      <c r="L7" s="25">
        <v>0.094</v>
      </c>
      <c r="M7" s="25">
        <v>0.086</v>
      </c>
      <c r="N7" s="25">
        <v>0.079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24" t="s">
        <v>45</v>
      </c>
      <c r="C8" s="23"/>
      <c r="D8" s="23"/>
      <c r="E8" s="25">
        <v>0.6</v>
      </c>
      <c r="F8" s="25">
        <v>0.6</v>
      </c>
      <c r="G8" s="25">
        <v>0.4</v>
      </c>
      <c r="H8" s="25">
        <v>0.25</v>
      </c>
      <c r="I8" s="25">
        <v>0.2</v>
      </c>
      <c r="J8" s="25">
        <v>0.25</v>
      </c>
      <c r="K8" s="25">
        <v>0.2</v>
      </c>
      <c r="L8" s="25">
        <v>0.111</v>
      </c>
      <c r="M8" s="25">
        <v>0.1</v>
      </c>
      <c r="N8" s="25">
        <v>0.0909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24" t="s">
        <v>46</v>
      </c>
      <c r="C9" s="23"/>
      <c r="D9" s="23"/>
      <c r="E9" s="25">
        <v>0.4</v>
      </c>
      <c r="F9" s="25">
        <v>0.3</v>
      </c>
      <c r="G9" s="25">
        <v>0.3</v>
      </c>
      <c r="H9" s="25">
        <v>0.3</v>
      </c>
      <c r="I9" s="25">
        <v>0.3</v>
      </c>
      <c r="J9" s="25">
        <v>0.3</v>
      </c>
      <c r="K9" s="25">
        <v>0.3</v>
      </c>
      <c r="L9" s="25">
        <v>0.3</v>
      </c>
      <c r="M9" s="25">
        <v>0.3</v>
      </c>
      <c r="N9" s="25">
        <v>0.3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24" t="s">
        <v>47</v>
      </c>
      <c r="C10" s="23" t="s">
        <v>48</v>
      </c>
      <c r="D10" s="25">
        <v>0.0</v>
      </c>
      <c r="E10" s="25">
        <f>0.03</f>
        <v>0.03</v>
      </c>
      <c r="F10" s="26">
        <f t="shared" ref="F10:N10" si="1">E10</f>
        <v>0.03</v>
      </c>
      <c r="G10" s="26">
        <f t="shared" si="1"/>
        <v>0.03</v>
      </c>
      <c r="H10" s="26">
        <f t="shared" si="1"/>
        <v>0.03</v>
      </c>
      <c r="I10" s="26">
        <f t="shared" si="1"/>
        <v>0.03</v>
      </c>
      <c r="J10" s="26">
        <f t="shared" si="1"/>
        <v>0.03</v>
      </c>
      <c r="K10" s="26">
        <f t="shared" si="1"/>
        <v>0.03</v>
      </c>
      <c r="L10" s="26">
        <f t="shared" si="1"/>
        <v>0.03</v>
      </c>
      <c r="M10" s="26">
        <f t="shared" si="1"/>
        <v>0.03</v>
      </c>
      <c r="N10" s="26">
        <f t="shared" si="1"/>
        <v>0.03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8"/>
      <c r="C11" s="27"/>
      <c r="D11" s="28"/>
      <c r="E11" s="8"/>
      <c r="F11" s="8"/>
      <c r="G11" s="8"/>
      <c r="H11" s="8"/>
      <c r="I11" s="8"/>
      <c r="J11" s="8"/>
      <c r="K11" s="8"/>
      <c r="L11" s="8"/>
      <c r="M11" s="8"/>
      <c r="N11" s="8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24" t="s">
        <v>49</v>
      </c>
      <c r="C12" s="23" t="s">
        <v>50</v>
      </c>
      <c r="D12" s="29">
        <f t="shared" ref="D12:N12" si="2">D349+D350</f>
        <v>0</v>
      </c>
      <c r="E12" s="30">
        <f t="shared" si="2"/>
        <v>2216</v>
      </c>
      <c r="F12" s="30">
        <f t="shared" si="2"/>
        <v>5374</v>
      </c>
      <c r="G12" s="30">
        <f t="shared" si="2"/>
        <v>9888</v>
      </c>
      <c r="H12" s="30">
        <f t="shared" si="2"/>
        <v>15717</v>
      </c>
      <c r="I12" s="30">
        <f t="shared" si="2"/>
        <v>22412</v>
      </c>
      <c r="J12" s="30">
        <f t="shared" si="2"/>
        <v>30197</v>
      </c>
      <c r="K12" s="30">
        <f t="shared" si="2"/>
        <v>39863</v>
      </c>
      <c r="L12" s="30">
        <f t="shared" si="2"/>
        <v>51163</v>
      </c>
      <c r="M12" s="30">
        <f t="shared" si="2"/>
        <v>63299</v>
      </c>
      <c r="N12" s="30">
        <f t="shared" si="2"/>
        <v>76246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24" t="s">
        <v>51</v>
      </c>
      <c r="C13" s="23" t="s">
        <v>50</v>
      </c>
      <c r="D13" s="29">
        <f t="shared" ref="D13:N13" si="3">D351+D352</f>
        <v>2216</v>
      </c>
      <c r="E13" s="30">
        <f t="shared" si="3"/>
        <v>3325</v>
      </c>
      <c r="F13" s="30">
        <f t="shared" si="3"/>
        <v>4821</v>
      </c>
      <c r="G13" s="30">
        <f t="shared" si="3"/>
        <v>6316</v>
      </c>
      <c r="H13" s="30">
        <f t="shared" si="3"/>
        <v>7390</v>
      </c>
      <c r="I13" s="30">
        <f t="shared" si="3"/>
        <v>8720</v>
      </c>
      <c r="J13" s="30">
        <f t="shared" si="3"/>
        <v>10900</v>
      </c>
      <c r="K13" s="30">
        <f t="shared" si="3"/>
        <v>12883</v>
      </c>
      <c r="L13" s="30">
        <f t="shared" si="3"/>
        <v>14094</v>
      </c>
      <c r="M13" s="30">
        <f t="shared" si="3"/>
        <v>15306</v>
      </c>
      <c r="N13" s="30">
        <f t="shared" si="3"/>
        <v>16516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24" t="s">
        <v>52</v>
      </c>
      <c r="C14" s="23" t="s">
        <v>50</v>
      </c>
      <c r="D14" s="30">
        <f t="shared" ref="D14:N14" si="4">D353+D354</f>
        <v>0</v>
      </c>
      <c r="E14" s="30">
        <f t="shared" si="4"/>
        <v>-167</v>
      </c>
      <c r="F14" s="30">
        <f t="shared" si="4"/>
        <v>-307</v>
      </c>
      <c r="G14" s="30">
        <f t="shared" si="4"/>
        <v>-487</v>
      </c>
      <c r="H14" s="30">
        <f t="shared" si="4"/>
        <v>-695</v>
      </c>
      <c r="I14" s="30">
        <f t="shared" si="4"/>
        <v>-935</v>
      </c>
      <c r="J14" s="30">
        <f t="shared" si="4"/>
        <v>-1234</v>
      </c>
      <c r="K14" s="30">
        <f t="shared" si="4"/>
        <v>-1583</v>
      </c>
      <c r="L14" s="30">
        <f t="shared" si="4"/>
        <v>-1958</v>
      </c>
      <c r="M14" s="30">
        <f t="shared" si="4"/>
        <v>-2359</v>
      </c>
      <c r="N14" s="30">
        <f t="shared" si="4"/>
        <v>-2784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24" t="s">
        <v>53</v>
      </c>
      <c r="C15" s="23" t="s">
        <v>50</v>
      </c>
      <c r="D15" s="30">
        <f t="shared" ref="D15:N15" si="5">D355+D356</f>
        <v>2216</v>
      </c>
      <c r="E15" s="30">
        <f t="shared" si="5"/>
        <v>5374</v>
      </c>
      <c r="F15" s="30">
        <f t="shared" si="5"/>
        <v>9888</v>
      </c>
      <c r="G15" s="30">
        <f t="shared" si="5"/>
        <v>15717</v>
      </c>
      <c r="H15" s="30">
        <f t="shared" si="5"/>
        <v>22412</v>
      </c>
      <c r="I15" s="30">
        <f t="shared" si="5"/>
        <v>30197</v>
      </c>
      <c r="J15" s="30">
        <f t="shared" si="5"/>
        <v>39863</v>
      </c>
      <c r="K15" s="30">
        <f t="shared" si="5"/>
        <v>51163</v>
      </c>
      <c r="L15" s="30">
        <f t="shared" si="5"/>
        <v>63299</v>
      </c>
      <c r="M15" s="30">
        <f t="shared" si="5"/>
        <v>76246</v>
      </c>
      <c r="N15" s="30">
        <f t="shared" si="5"/>
        <v>89978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1"/>
      <c r="B16" s="32" t="s">
        <v>54</v>
      </c>
      <c r="C16" s="30" t="s">
        <v>50</v>
      </c>
      <c r="D16" s="30">
        <f t="shared" ref="D16:N16" si="6">D357+D358</f>
        <v>1108</v>
      </c>
      <c r="E16" s="30">
        <f t="shared" si="6"/>
        <v>3795</v>
      </c>
      <c r="F16" s="30">
        <f t="shared" si="6"/>
        <v>7631</v>
      </c>
      <c r="G16" s="30">
        <f t="shared" si="6"/>
        <v>12802.5</v>
      </c>
      <c r="H16" s="30">
        <f t="shared" si="6"/>
        <v>19064.5</v>
      </c>
      <c r="I16" s="30">
        <f t="shared" si="6"/>
        <v>26304.5</v>
      </c>
      <c r="J16" s="30">
        <f t="shared" si="6"/>
        <v>35030</v>
      </c>
      <c r="K16" s="30">
        <f t="shared" si="6"/>
        <v>45513</v>
      </c>
      <c r="L16" s="30">
        <f t="shared" si="6"/>
        <v>57231</v>
      </c>
      <c r="M16" s="30">
        <f t="shared" si="6"/>
        <v>69772.5</v>
      </c>
      <c r="N16" s="30">
        <f t="shared" si="6"/>
        <v>83112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0" customHeight="1">
      <c r="A17" s="31"/>
      <c r="B17" s="32" t="s">
        <v>55</v>
      </c>
      <c r="C17" s="30" t="s">
        <v>50</v>
      </c>
      <c r="D17" s="29">
        <f t="shared" ref="D17:N17" si="7">D359+D360</f>
        <v>1200</v>
      </c>
      <c r="E17" s="30">
        <f t="shared" si="7"/>
        <v>1920</v>
      </c>
      <c r="F17" s="30">
        <f t="shared" si="7"/>
        <v>3072</v>
      </c>
      <c r="G17" s="30">
        <f t="shared" si="7"/>
        <v>4301</v>
      </c>
      <c r="H17" s="30">
        <f t="shared" si="7"/>
        <v>5376</v>
      </c>
      <c r="I17" s="30">
        <f t="shared" si="7"/>
        <v>6451</v>
      </c>
      <c r="J17" s="30">
        <f t="shared" si="7"/>
        <v>8064</v>
      </c>
      <c r="K17" s="30">
        <f t="shared" si="7"/>
        <v>9677</v>
      </c>
      <c r="L17" s="30">
        <f t="shared" si="7"/>
        <v>10751</v>
      </c>
      <c r="M17" s="30">
        <f t="shared" si="7"/>
        <v>11826</v>
      </c>
      <c r="N17" s="30">
        <f t="shared" si="7"/>
        <v>12901</v>
      </c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0" customHeight="1">
      <c r="A18" s="3"/>
      <c r="B18" s="24" t="s">
        <v>56</v>
      </c>
      <c r="C18" s="23" t="s">
        <v>50</v>
      </c>
      <c r="D18" s="30">
        <f t="shared" ref="D18:N18" si="8">D361+D362</f>
        <v>1200</v>
      </c>
      <c r="E18" s="30">
        <f t="shared" si="8"/>
        <v>3120</v>
      </c>
      <c r="F18" s="30">
        <f t="shared" si="8"/>
        <v>6192</v>
      </c>
      <c r="G18" s="30">
        <f t="shared" si="8"/>
        <v>10493</v>
      </c>
      <c r="H18" s="30">
        <f t="shared" si="8"/>
        <v>15869</v>
      </c>
      <c r="I18" s="30">
        <f t="shared" si="8"/>
        <v>22320</v>
      </c>
      <c r="J18" s="30">
        <f t="shared" si="8"/>
        <v>30384</v>
      </c>
      <c r="K18" s="30">
        <f t="shared" si="8"/>
        <v>40061</v>
      </c>
      <c r="L18" s="30">
        <f t="shared" si="8"/>
        <v>50812</v>
      </c>
      <c r="M18" s="30">
        <f t="shared" si="8"/>
        <v>62638</v>
      </c>
      <c r="N18" s="30">
        <f t="shared" si="8"/>
        <v>75539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8"/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20" t="s">
        <v>57</v>
      </c>
      <c r="C20" s="27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/>
      <c r="B21" s="24" t="s">
        <v>58</v>
      </c>
      <c r="C21" s="23" t="s">
        <v>59</v>
      </c>
      <c r="D21" s="29">
        <v>36.0</v>
      </c>
      <c r="E21" s="30">
        <f t="shared" ref="E21:N21" si="9">D21</f>
        <v>36</v>
      </c>
      <c r="F21" s="30">
        <f t="shared" si="9"/>
        <v>36</v>
      </c>
      <c r="G21" s="30">
        <f t="shared" si="9"/>
        <v>36</v>
      </c>
      <c r="H21" s="30">
        <f t="shared" si="9"/>
        <v>36</v>
      </c>
      <c r="I21" s="30">
        <f t="shared" si="9"/>
        <v>36</v>
      </c>
      <c r="J21" s="30">
        <f t="shared" si="9"/>
        <v>36</v>
      </c>
      <c r="K21" s="30">
        <f t="shared" si="9"/>
        <v>36</v>
      </c>
      <c r="L21" s="30">
        <f t="shared" si="9"/>
        <v>36</v>
      </c>
      <c r="M21" s="30">
        <f t="shared" si="9"/>
        <v>36</v>
      </c>
      <c r="N21" s="30">
        <f t="shared" si="9"/>
        <v>36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3"/>
      <c r="B22" s="24" t="s">
        <v>60</v>
      </c>
      <c r="C22" s="23" t="s">
        <v>61</v>
      </c>
      <c r="D22" s="33">
        <v>0.2</v>
      </c>
      <c r="E22" s="33">
        <f>$D22</f>
        <v>0.2</v>
      </c>
      <c r="F22" s="33">
        <v>0.2</v>
      </c>
      <c r="G22" s="33">
        <v>0.2</v>
      </c>
      <c r="H22" s="33">
        <v>0.2</v>
      </c>
      <c r="I22" s="33">
        <v>0.2</v>
      </c>
      <c r="J22" s="33">
        <v>0.2</v>
      </c>
      <c r="K22" s="33">
        <v>0.2</v>
      </c>
      <c r="L22" s="33">
        <v>0.2</v>
      </c>
      <c r="M22" s="33">
        <v>0.2</v>
      </c>
      <c r="N22" s="33">
        <v>0.2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3"/>
      <c r="B23" s="24" t="s">
        <v>62</v>
      </c>
      <c r="C23" s="23" t="s">
        <v>63</v>
      </c>
      <c r="D23" s="29">
        <f>6500/1.12</f>
        <v>5803.571429</v>
      </c>
      <c r="E23" s="30">
        <f t="shared" ref="E23:N23" si="10">D23</f>
        <v>5803.571429</v>
      </c>
      <c r="F23" s="30">
        <f t="shared" si="10"/>
        <v>5803.571429</v>
      </c>
      <c r="G23" s="30">
        <f t="shared" si="10"/>
        <v>5803.571429</v>
      </c>
      <c r="H23" s="30">
        <f t="shared" si="10"/>
        <v>5803.571429</v>
      </c>
      <c r="I23" s="30">
        <f t="shared" si="10"/>
        <v>5803.571429</v>
      </c>
      <c r="J23" s="30">
        <f t="shared" si="10"/>
        <v>5803.571429</v>
      </c>
      <c r="K23" s="30">
        <f t="shared" si="10"/>
        <v>5803.571429</v>
      </c>
      <c r="L23" s="30">
        <f t="shared" si="10"/>
        <v>5803.571429</v>
      </c>
      <c r="M23" s="30">
        <f t="shared" si="10"/>
        <v>5803.571429</v>
      </c>
      <c r="N23" s="30">
        <f t="shared" si="10"/>
        <v>5803.571429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3"/>
      <c r="B24" s="24" t="s">
        <v>64</v>
      </c>
      <c r="C24" s="23" t="s">
        <v>65</v>
      </c>
      <c r="D24" s="29">
        <f>9000/1.12</f>
        <v>8035.714286</v>
      </c>
      <c r="E24" s="30">
        <f t="shared" ref="E24:N24" si="11">D24</f>
        <v>8035.714286</v>
      </c>
      <c r="F24" s="30">
        <f t="shared" si="11"/>
        <v>8035.714286</v>
      </c>
      <c r="G24" s="30">
        <f t="shared" si="11"/>
        <v>8035.714286</v>
      </c>
      <c r="H24" s="30">
        <f t="shared" si="11"/>
        <v>8035.714286</v>
      </c>
      <c r="I24" s="30">
        <f t="shared" si="11"/>
        <v>8035.714286</v>
      </c>
      <c r="J24" s="30">
        <f t="shared" si="11"/>
        <v>8035.714286</v>
      </c>
      <c r="K24" s="30">
        <f t="shared" si="11"/>
        <v>8035.714286</v>
      </c>
      <c r="L24" s="30">
        <f t="shared" si="11"/>
        <v>8035.714286</v>
      </c>
      <c r="M24" s="30">
        <f t="shared" si="11"/>
        <v>8035.714286</v>
      </c>
      <c r="N24" s="30">
        <f t="shared" si="11"/>
        <v>8035.714286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3"/>
      <c r="B25" s="24" t="s">
        <v>66</v>
      </c>
      <c r="C25" s="23" t="s">
        <v>50</v>
      </c>
      <c r="D25" s="29">
        <f t="shared" ref="D25:N25" si="12">D363+D364</f>
        <v>200</v>
      </c>
      <c r="E25" s="30">
        <f t="shared" si="12"/>
        <v>280</v>
      </c>
      <c r="F25" s="30">
        <f t="shared" si="12"/>
        <v>364</v>
      </c>
      <c r="G25" s="30">
        <f t="shared" si="12"/>
        <v>473</v>
      </c>
      <c r="H25" s="30">
        <f t="shared" si="12"/>
        <v>615</v>
      </c>
      <c r="I25" s="30">
        <f t="shared" si="12"/>
        <v>799</v>
      </c>
      <c r="J25" s="30">
        <f t="shared" si="12"/>
        <v>1038</v>
      </c>
      <c r="K25" s="30">
        <f t="shared" si="12"/>
        <v>1350</v>
      </c>
      <c r="L25" s="30">
        <f t="shared" si="12"/>
        <v>1755</v>
      </c>
      <c r="M25" s="30">
        <f t="shared" si="12"/>
        <v>2281</v>
      </c>
      <c r="N25" s="30">
        <f t="shared" si="12"/>
        <v>2965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3"/>
      <c r="B26" s="24" t="s">
        <v>67</v>
      </c>
      <c r="C26" s="23" t="s">
        <v>50</v>
      </c>
      <c r="D26" s="30">
        <f t="shared" ref="D26:N26" si="13">D365+D366</f>
        <v>200</v>
      </c>
      <c r="E26" s="30">
        <f t="shared" si="13"/>
        <v>480</v>
      </c>
      <c r="F26" s="30">
        <f t="shared" si="13"/>
        <v>844</v>
      </c>
      <c r="G26" s="30">
        <f t="shared" si="13"/>
        <v>1317</v>
      </c>
      <c r="H26" s="30">
        <f t="shared" si="13"/>
        <v>1932</v>
      </c>
      <c r="I26" s="30">
        <f t="shared" si="13"/>
        <v>2731</v>
      </c>
      <c r="J26" s="30">
        <f t="shared" si="13"/>
        <v>3769</v>
      </c>
      <c r="K26" s="30">
        <f t="shared" si="13"/>
        <v>5119</v>
      </c>
      <c r="L26" s="30">
        <f t="shared" si="13"/>
        <v>6874</v>
      </c>
      <c r="M26" s="30">
        <f t="shared" si="13"/>
        <v>9155</v>
      </c>
      <c r="N26" s="30">
        <f t="shared" si="13"/>
        <v>12120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4" t="s">
        <v>68</v>
      </c>
      <c r="C27" s="23" t="s">
        <v>50</v>
      </c>
      <c r="D27" s="30">
        <f t="shared" ref="D27:N27" si="14">D367+D368</f>
        <v>200</v>
      </c>
      <c r="E27" s="30">
        <f t="shared" si="14"/>
        <v>480</v>
      </c>
      <c r="F27" s="30">
        <f t="shared" si="14"/>
        <v>844</v>
      </c>
      <c r="G27" s="30">
        <f t="shared" si="14"/>
        <v>1117</v>
      </c>
      <c r="H27" s="30">
        <f t="shared" si="14"/>
        <v>1452</v>
      </c>
      <c r="I27" s="30">
        <f t="shared" si="14"/>
        <v>1887</v>
      </c>
      <c r="J27" s="30">
        <f t="shared" si="14"/>
        <v>2452</v>
      </c>
      <c r="K27" s="30">
        <f t="shared" si="14"/>
        <v>3187</v>
      </c>
      <c r="L27" s="30">
        <f t="shared" si="14"/>
        <v>4143</v>
      </c>
      <c r="M27" s="30">
        <f t="shared" si="14"/>
        <v>5386</v>
      </c>
      <c r="N27" s="30">
        <f t="shared" si="14"/>
        <v>7001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/>
      <c r="B28" s="8"/>
      <c r="C28" s="27"/>
      <c r="D28" s="3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3"/>
      <c r="B29" s="20" t="s">
        <v>69</v>
      </c>
      <c r="C29" s="27"/>
      <c r="D29" s="3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3"/>
      <c r="B30" s="24" t="s">
        <v>70</v>
      </c>
      <c r="C30" s="23" t="s">
        <v>71</v>
      </c>
      <c r="D30" s="34">
        <f t="shared" ref="D30:N30" si="15">220/1.12</f>
        <v>196.4285714</v>
      </c>
      <c r="E30" s="34">
        <f t="shared" si="15"/>
        <v>196.4285714</v>
      </c>
      <c r="F30" s="34">
        <f t="shared" si="15"/>
        <v>196.4285714</v>
      </c>
      <c r="G30" s="34">
        <f t="shared" si="15"/>
        <v>196.4285714</v>
      </c>
      <c r="H30" s="34">
        <f t="shared" si="15"/>
        <v>196.4285714</v>
      </c>
      <c r="I30" s="34">
        <f t="shared" si="15"/>
        <v>196.4285714</v>
      </c>
      <c r="J30" s="34">
        <f t="shared" si="15"/>
        <v>196.4285714</v>
      </c>
      <c r="K30" s="34">
        <f t="shared" si="15"/>
        <v>196.4285714</v>
      </c>
      <c r="L30" s="34">
        <f t="shared" si="15"/>
        <v>196.4285714</v>
      </c>
      <c r="M30" s="34">
        <f t="shared" si="15"/>
        <v>196.4285714</v>
      </c>
      <c r="N30" s="34">
        <f t="shared" si="15"/>
        <v>196.4285714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3"/>
      <c r="B31" s="24" t="s">
        <v>72</v>
      </c>
      <c r="C31" s="23" t="s">
        <v>73</v>
      </c>
      <c r="D31" s="34">
        <f t="shared" ref="D31:N31" si="16">275/1.12</f>
        <v>245.5357143</v>
      </c>
      <c r="E31" s="34">
        <f t="shared" si="16"/>
        <v>245.5357143</v>
      </c>
      <c r="F31" s="34">
        <f t="shared" si="16"/>
        <v>245.5357143</v>
      </c>
      <c r="G31" s="34">
        <f t="shared" si="16"/>
        <v>245.5357143</v>
      </c>
      <c r="H31" s="34">
        <f t="shared" si="16"/>
        <v>245.5357143</v>
      </c>
      <c r="I31" s="34">
        <f t="shared" si="16"/>
        <v>245.5357143</v>
      </c>
      <c r="J31" s="34">
        <f t="shared" si="16"/>
        <v>245.5357143</v>
      </c>
      <c r="K31" s="34">
        <f t="shared" si="16"/>
        <v>245.5357143</v>
      </c>
      <c r="L31" s="34">
        <f t="shared" si="16"/>
        <v>245.5357143</v>
      </c>
      <c r="M31" s="34">
        <f t="shared" si="16"/>
        <v>245.5357143</v>
      </c>
      <c r="N31" s="34">
        <f t="shared" si="16"/>
        <v>245.5357143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24" t="s">
        <v>74</v>
      </c>
      <c r="C32" s="23" t="s">
        <v>61</v>
      </c>
      <c r="D32" s="25">
        <v>0.2</v>
      </c>
      <c r="E32" s="26">
        <f t="shared" ref="E32:N32" si="17">D32</f>
        <v>0.2</v>
      </c>
      <c r="F32" s="26">
        <f t="shared" si="17"/>
        <v>0.2</v>
      </c>
      <c r="G32" s="26">
        <f t="shared" si="17"/>
        <v>0.2</v>
      </c>
      <c r="H32" s="26">
        <f t="shared" si="17"/>
        <v>0.2</v>
      </c>
      <c r="I32" s="26">
        <f t="shared" si="17"/>
        <v>0.2</v>
      </c>
      <c r="J32" s="26">
        <f t="shared" si="17"/>
        <v>0.2</v>
      </c>
      <c r="K32" s="26">
        <f t="shared" si="17"/>
        <v>0.2</v>
      </c>
      <c r="L32" s="26">
        <f t="shared" si="17"/>
        <v>0.2</v>
      </c>
      <c r="M32" s="26">
        <f t="shared" si="17"/>
        <v>0.2</v>
      </c>
      <c r="N32" s="26">
        <f t="shared" si="17"/>
        <v>0.2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24" t="s">
        <v>75</v>
      </c>
      <c r="C33" s="23" t="s">
        <v>76</v>
      </c>
      <c r="D33" s="26">
        <f t="shared" ref="D33:N33" si="18">1-D32</f>
        <v>0.8</v>
      </c>
      <c r="E33" s="26">
        <f t="shared" si="18"/>
        <v>0.8</v>
      </c>
      <c r="F33" s="26">
        <f t="shared" si="18"/>
        <v>0.8</v>
      </c>
      <c r="G33" s="26">
        <f t="shared" si="18"/>
        <v>0.8</v>
      </c>
      <c r="H33" s="26">
        <f t="shared" si="18"/>
        <v>0.8</v>
      </c>
      <c r="I33" s="26">
        <f t="shared" si="18"/>
        <v>0.8</v>
      </c>
      <c r="J33" s="26">
        <f t="shared" si="18"/>
        <v>0.8</v>
      </c>
      <c r="K33" s="26">
        <f t="shared" si="18"/>
        <v>0.8</v>
      </c>
      <c r="L33" s="26">
        <f t="shared" si="18"/>
        <v>0.8</v>
      </c>
      <c r="M33" s="26">
        <f t="shared" si="18"/>
        <v>0.8</v>
      </c>
      <c r="N33" s="26">
        <f t="shared" si="18"/>
        <v>0.8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/>
      <c r="B34" s="24" t="s">
        <v>77</v>
      </c>
      <c r="C34" s="23"/>
      <c r="D34" s="35">
        <f t="shared" ref="D34:N34" si="19">D381</f>
        <v>3437.5</v>
      </c>
      <c r="E34" s="36">
        <f t="shared" si="19"/>
        <v>3437.5</v>
      </c>
      <c r="F34" s="35">
        <f t="shared" si="19"/>
        <v>3437.5</v>
      </c>
      <c r="G34" s="35">
        <f t="shared" si="19"/>
        <v>3437.5</v>
      </c>
      <c r="H34" s="35">
        <f t="shared" si="19"/>
        <v>3437.5</v>
      </c>
      <c r="I34" s="35">
        <f t="shared" si="19"/>
        <v>3437.5</v>
      </c>
      <c r="J34" s="35">
        <f t="shared" si="19"/>
        <v>3437.5</v>
      </c>
      <c r="K34" s="35">
        <f t="shared" si="19"/>
        <v>3437.5</v>
      </c>
      <c r="L34" s="35">
        <f t="shared" si="19"/>
        <v>3437.5</v>
      </c>
      <c r="M34" s="35">
        <f t="shared" si="19"/>
        <v>3437.5</v>
      </c>
      <c r="N34" s="35">
        <f t="shared" si="19"/>
        <v>3437.5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/>
      <c r="B35" s="24" t="s">
        <v>78</v>
      </c>
      <c r="C35" s="23" t="s">
        <v>79</v>
      </c>
      <c r="D35" s="35">
        <f t="shared" ref="D35:N35" si="20">D382</f>
        <v>4910.714286</v>
      </c>
      <c r="E35" s="37">
        <f t="shared" si="20"/>
        <v>4910.714286</v>
      </c>
      <c r="F35" s="35">
        <f t="shared" si="20"/>
        <v>4910.714286</v>
      </c>
      <c r="G35" s="35">
        <f t="shared" si="20"/>
        <v>4910.714286</v>
      </c>
      <c r="H35" s="35">
        <f t="shared" si="20"/>
        <v>4910.714286</v>
      </c>
      <c r="I35" s="35">
        <f t="shared" si="20"/>
        <v>4910.714286</v>
      </c>
      <c r="J35" s="35">
        <f t="shared" si="20"/>
        <v>4910.714286</v>
      </c>
      <c r="K35" s="35">
        <f t="shared" si="20"/>
        <v>4910.714286</v>
      </c>
      <c r="L35" s="35">
        <f t="shared" si="20"/>
        <v>4910.714286</v>
      </c>
      <c r="M35" s="35">
        <f t="shared" si="20"/>
        <v>4910.714286</v>
      </c>
      <c r="N35" s="35">
        <f t="shared" si="20"/>
        <v>4910.714286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/>
      <c r="B36" s="8"/>
      <c r="C36" s="2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20" t="s">
        <v>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20" t="s">
        <v>81</v>
      </c>
      <c r="C38" s="2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24" t="s">
        <v>82</v>
      </c>
      <c r="C39" s="23" t="s">
        <v>83</v>
      </c>
      <c r="D39" s="29">
        <v>516.0</v>
      </c>
      <c r="E39" s="30">
        <f t="shared" ref="E39:N39" si="21">D39</f>
        <v>516</v>
      </c>
      <c r="F39" s="30">
        <f t="shared" si="21"/>
        <v>516</v>
      </c>
      <c r="G39" s="30">
        <f t="shared" si="21"/>
        <v>516</v>
      </c>
      <c r="H39" s="30">
        <f t="shared" si="21"/>
        <v>516</v>
      </c>
      <c r="I39" s="30">
        <f t="shared" si="21"/>
        <v>516</v>
      </c>
      <c r="J39" s="30">
        <f t="shared" si="21"/>
        <v>516</v>
      </c>
      <c r="K39" s="30">
        <f t="shared" si="21"/>
        <v>516</v>
      </c>
      <c r="L39" s="30">
        <f t="shared" si="21"/>
        <v>516</v>
      </c>
      <c r="M39" s="30">
        <f t="shared" si="21"/>
        <v>516</v>
      </c>
      <c r="N39" s="30">
        <f t="shared" si="21"/>
        <v>516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24" t="s">
        <v>84</v>
      </c>
      <c r="C40" s="23"/>
      <c r="D40" s="30">
        <f t="shared" ref="D40:N40" si="22">D39*D316</f>
        <v>31682.4</v>
      </c>
      <c r="E40" s="30">
        <f t="shared" si="22"/>
        <v>31682.4</v>
      </c>
      <c r="F40" s="30">
        <f t="shared" si="22"/>
        <v>31682.4</v>
      </c>
      <c r="G40" s="30">
        <f t="shared" si="22"/>
        <v>31682.4</v>
      </c>
      <c r="H40" s="30">
        <f t="shared" si="22"/>
        <v>31682.4</v>
      </c>
      <c r="I40" s="30">
        <f t="shared" si="22"/>
        <v>31682.4</v>
      </c>
      <c r="J40" s="30">
        <f t="shared" si="22"/>
        <v>31682.4</v>
      </c>
      <c r="K40" s="30">
        <f t="shared" si="22"/>
        <v>31682.4</v>
      </c>
      <c r="L40" s="30">
        <f t="shared" si="22"/>
        <v>31682.4</v>
      </c>
      <c r="M40" s="30">
        <f t="shared" si="22"/>
        <v>31682.4</v>
      </c>
      <c r="N40" s="30">
        <f t="shared" si="22"/>
        <v>31682.4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24" t="s">
        <v>85</v>
      </c>
      <c r="C41" s="23" t="s">
        <v>86</v>
      </c>
      <c r="D41" s="29">
        <v>1800.0</v>
      </c>
      <c r="E41" s="30">
        <f t="shared" ref="E41:N41" si="23">D41</f>
        <v>1800</v>
      </c>
      <c r="F41" s="30">
        <f t="shared" si="23"/>
        <v>1800</v>
      </c>
      <c r="G41" s="30">
        <f t="shared" si="23"/>
        <v>1800</v>
      </c>
      <c r="H41" s="30">
        <f t="shared" si="23"/>
        <v>1800</v>
      </c>
      <c r="I41" s="30">
        <f t="shared" si="23"/>
        <v>1800</v>
      </c>
      <c r="J41" s="30">
        <f t="shared" si="23"/>
        <v>1800</v>
      </c>
      <c r="K41" s="30">
        <f t="shared" si="23"/>
        <v>1800</v>
      </c>
      <c r="L41" s="30">
        <f t="shared" si="23"/>
        <v>1800</v>
      </c>
      <c r="M41" s="30">
        <f t="shared" si="23"/>
        <v>1800</v>
      </c>
      <c r="N41" s="30">
        <f t="shared" si="23"/>
        <v>1800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/>
      <c r="B42" s="24" t="s">
        <v>87</v>
      </c>
      <c r="C42" s="23" t="s">
        <v>86</v>
      </c>
      <c r="D42" s="29">
        <v>1500.0</v>
      </c>
      <c r="E42" s="30">
        <f t="shared" ref="E42:N42" si="24">D42</f>
        <v>1500</v>
      </c>
      <c r="F42" s="30">
        <f t="shared" si="24"/>
        <v>1500</v>
      </c>
      <c r="G42" s="30">
        <f t="shared" si="24"/>
        <v>1500</v>
      </c>
      <c r="H42" s="30">
        <f t="shared" si="24"/>
        <v>1500</v>
      </c>
      <c r="I42" s="30">
        <f t="shared" si="24"/>
        <v>1500</v>
      </c>
      <c r="J42" s="30">
        <f t="shared" si="24"/>
        <v>1500</v>
      </c>
      <c r="K42" s="30">
        <f t="shared" si="24"/>
        <v>1500</v>
      </c>
      <c r="L42" s="30">
        <f t="shared" si="24"/>
        <v>1500</v>
      </c>
      <c r="M42" s="30">
        <f t="shared" si="24"/>
        <v>1500</v>
      </c>
      <c r="N42" s="30">
        <f t="shared" si="24"/>
        <v>1500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/>
      <c r="B43" s="24" t="s">
        <v>88</v>
      </c>
      <c r="C43" s="23" t="s">
        <v>86</v>
      </c>
      <c r="D43" s="29">
        <v>1000.0</v>
      </c>
      <c r="E43" s="30">
        <f t="shared" ref="E43:N43" si="25">D43</f>
        <v>1000</v>
      </c>
      <c r="F43" s="30">
        <f t="shared" si="25"/>
        <v>1000</v>
      </c>
      <c r="G43" s="30">
        <f t="shared" si="25"/>
        <v>1000</v>
      </c>
      <c r="H43" s="30">
        <f t="shared" si="25"/>
        <v>1000</v>
      </c>
      <c r="I43" s="30">
        <f t="shared" si="25"/>
        <v>1000</v>
      </c>
      <c r="J43" s="30">
        <f t="shared" si="25"/>
        <v>1000</v>
      </c>
      <c r="K43" s="30">
        <f t="shared" si="25"/>
        <v>1000</v>
      </c>
      <c r="L43" s="30">
        <f t="shared" si="25"/>
        <v>1000</v>
      </c>
      <c r="M43" s="30">
        <f t="shared" si="25"/>
        <v>1000</v>
      </c>
      <c r="N43" s="30">
        <f t="shared" si="25"/>
        <v>1000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24" t="s">
        <v>89</v>
      </c>
      <c r="C44" s="23" t="s">
        <v>90</v>
      </c>
      <c r="D44" s="30">
        <f t="shared" ref="D44:N44" si="26">D40*30%</f>
        <v>9504.72</v>
      </c>
      <c r="E44" s="30">
        <f t="shared" si="26"/>
        <v>9504.72</v>
      </c>
      <c r="F44" s="30">
        <f t="shared" si="26"/>
        <v>9504.72</v>
      </c>
      <c r="G44" s="30">
        <f t="shared" si="26"/>
        <v>9504.72</v>
      </c>
      <c r="H44" s="30">
        <f t="shared" si="26"/>
        <v>9504.72</v>
      </c>
      <c r="I44" s="30">
        <f t="shared" si="26"/>
        <v>9504.72</v>
      </c>
      <c r="J44" s="30">
        <f t="shared" si="26"/>
        <v>9504.72</v>
      </c>
      <c r="K44" s="30">
        <f t="shared" si="26"/>
        <v>9504.72</v>
      </c>
      <c r="L44" s="30">
        <f t="shared" si="26"/>
        <v>9504.72</v>
      </c>
      <c r="M44" s="30">
        <f t="shared" si="26"/>
        <v>9504.72</v>
      </c>
      <c r="N44" s="30">
        <f t="shared" si="26"/>
        <v>9504.72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24" t="s">
        <v>91</v>
      </c>
      <c r="C45" s="23"/>
      <c r="D45" s="30">
        <f t="shared" ref="D45:N45" si="27">D40+D41+D42+D43+D44</f>
        <v>45487.12</v>
      </c>
      <c r="E45" s="30">
        <f t="shared" si="27"/>
        <v>45487.12</v>
      </c>
      <c r="F45" s="30">
        <f t="shared" si="27"/>
        <v>45487.12</v>
      </c>
      <c r="G45" s="30">
        <f t="shared" si="27"/>
        <v>45487.12</v>
      </c>
      <c r="H45" s="30">
        <f t="shared" si="27"/>
        <v>45487.12</v>
      </c>
      <c r="I45" s="30">
        <f t="shared" si="27"/>
        <v>45487.12</v>
      </c>
      <c r="J45" s="30">
        <f t="shared" si="27"/>
        <v>45487.12</v>
      </c>
      <c r="K45" s="30">
        <f t="shared" si="27"/>
        <v>45487.12</v>
      </c>
      <c r="L45" s="30">
        <f t="shared" si="27"/>
        <v>45487.12</v>
      </c>
      <c r="M45" s="30">
        <f t="shared" si="27"/>
        <v>45487.12</v>
      </c>
      <c r="N45" s="30">
        <f t="shared" si="27"/>
        <v>45487.12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/>
      <c r="B46" s="24" t="s">
        <v>92</v>
      </c>
      <c r="C46" s="23" t="s">
        <v>83</v>
      </c>
      <c r="D46" s="29">
        <v>1070.0</v>
      </c>
      <c r="E46" s="30">
        <f t="shared" ref="E46:N46" si="28">D46</f>
        <v>1070</v>
      </c>
      <c r="F46" s="30">
        <f t="shared" si="28"/>
        <v>1070</v>
      </c>
      <c r="G46" s="30">
        <f t="shared" si="28"/>
        <v>1070</v>
      </c>
      <c r="H46" s="30">
        <f t="shared" si="28"/>
        <v>1070</v>
      </c>
      <c r="I46" s="30">
        <f t="shared" si="28"/>
        <v>1070</v>
      </c>
      <c r="J46" s="30">
        <f t="shared" si="28"/>
        <v>1070</v>
      </c>
      <c r="K46" s="30">
        <f t="shared" si="28"/>
        <v>1070</v>
      </c>
      <c r="L46" s="30">
        <f t="shared" si="28"/>
        <v>1070</v>
      </c>
      <c r="M46" s="30">
        <f t="shared" si="28"/>
        <v>1070</v>
      </c>
      <c r="N46" s="30">
        <f t="shared" si="28"/>
        <v>1070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/>
      <c r="B47" s="24" t="s">
        <v>93</v>
      </c>
      <c r="C47" s="23"/>
      <c r="D47" s="30">
        <f t="shared" ref="D47:N47" si="29">D46*D316</f>
        <v>65698</v>
      </c>
      <c r="E47" s="30">
        <f t="shared" si="29"/>
        <v>65698</v>
      </c>
      <c r="F47" s="30">
        <f t="shared" si="29"/>
        <v>65698</v>
      </c>
      <c r="G47" s="30">
        <f t="shared" si="29"/>
        <v>65698</v>
      </c>
      <c r="H47" s="30">
        <f t="shared" si="29"/>
        <v>65698</v>
      </c>
      <c r="I47" s="30">
        <f t="shared" si="29"/>
        <v>65698</v>
      </c>
      <c r="J47" s="30">
        <f t="shared" si="29"/>
        <v>65698</v>
      </c>
      <c r="K47" s="30">
        <f t="shared" si="29"/>
        <v>65698</v>
      </c>
      <c r="L47" s="30">
        <f t="shared" si="29"/>
        <v>65698</v>
      </c>
      <c r="M47" s="30">
        <f t="shared" si="29"/>
        <v>65698</v>
      </c>
      <c r="N47" s="30">
        <f t="shared" si="29"/>
        <v>65698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/>
      <c r="B48" s="24" t="s">
        <v>94</v>
      </c>
      <c r="C48" s="23" t="s">
        <v>86</v>
      </c>
      <c r="D48" s="29">
        <v>1800.0</v>
      </c>
      <c r="E48" s="30">
        <f t="shared" ref="E48:N48" si="30">D48</f>
        <v>1800</v>
      </c>
      <c r="F48" s="30">
        <f t="shared" si="30"/>
        <v>1800</v>
      </c>
      <c r="G48" s="30">
        <f t="shared" si="30"/>
        <v>1800</v>
      </c>
      <c r="H48" s="30">
        <f t="shared" si="30"/>
        <v>1800</v>
      </c>
      <c r="I48" s="30">
        <f t="shared" si="30"/>
        <v>1800</v>
      </c>
      <c r="J48" s="30">
        <f t="shared" si="30"/>
        <v>1800</v>
      </c>
      <c r="K48" s="30">
        <f t="shared" si="30"/>
        <v>1800</v>
      </c>
      <c r="L48" s="30">
        <f t="shared" si="30"/>
        <v>1800</v>
      </c>
      <c r="M48" s="30">
        <f t="shared" si="30"/>
        <v>1800</v>
      </c>
      <c r="N48" s="30">
        <f t="shared" si="30"/>
        <v>1800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3"/>
      <c r="B49" s="24" t="s">
        <v>95</v>
      </c>
      <c r="C49" s="23" t="s">
        <v>86</v>
      </c>
      <c r="D49" s="29">
        <v>1500.0</v>
      </c>
      <c r="E49" s="30">
        <f t="shared" ref="E49:N49" si="31">D49</f>
        <v>1500</v>
      </c>
      <c r="F49" s="30">
        <f t="shared" si="31"/>
        <v>1500</v>
      </c>
      <c r="G49" s="30">
        <f t="shared" si="31"/>
        <v>1500</v>
      </c>
      <c r="H49" s="30">
        <f t="shared" si="31"/>
        <v>1500</v>
      </c>
      <c r="I49" s="30">
        <f t="shared" si="31"/>
        <v>1500</v>
      </c>
      <c r="J49" s="30">
        <f t="shared" si="31"/>
        <v>1500</v>
      </c>
      <c r="K49" s="30">
        <f t="shared" si="31"/>
        <v>1500</v>
      </c>
      <c r="L49" s="30">
        <f t="shared" si="31"/>
        <v>1500</v>
      </c>
      <c r="M49" s="30">
        <f t="shared" si="31"/>
        <v>1500</v>
      </c>
      <c r="N49" s="30">
        <f t="shared" si="31"/>
        <v>1500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24" t="s">
        <v>96</v>
      </c>
      <c r="C50" s="23" t="s">
        <v>86</v>
      </c>
      <c r="D50" s="29">
        <v>1000.0</v>
      </c>
      <c r="E50" s="30">
        <f t="shared" ref="E50:N50" si="32">D50</f>
        <v>1000</v>
      </c>
      <c r="F50" s="30">
        <f t="shared" si="32"/>
        <v>1000</v>
      </c>
      <c r="G50" s="30">
        <f t="shared" si="32"/>
        <v>1000</v>
      </c>
      <c r="H50" s="30">
        <f t="shared" si="32"/>
        <v>1000</v>
      </c>
      <c r="I50" s="30">
        <f t="shared" si="32"/>
        <v>1000</v>
      </c>
      <c r="J50" s="30">
        <f t="shared" si="32"/>
        <v>1000</v>
      </c>
      <c r="K50" s="30">
        <f t="shared" si="32"/>
        <v>1000</v>
      </c>
      <c r="L50" s="30">
        <f t="shared" si="32"/>
        <v>1000</v>
      </c>
      <c r="M50" s="30">
        <f t="shared" si="32"/>
        <v>1000</v>
      </c>
      <c r="N50" s="30">
        <f t="shared" si="32"/>
        <v>1000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3"/>
      <c r="B51" s="24" t="s">
        <v>97</v>
      </c>
      <c r="C51" s="38">
        <v>0.2</v>
      </c>
      <c r="D51" s="30">
        <f t="shared" ref="D51:N51" si="33">D47*$C$51</f>
        <v>13139.6</v>
      </c>
      <c r="E51" s="30">
        <f t="shared" si="33"/>
        <v>13139.6</v>
      </c>
      <c r="F51" s="30">
        <f t="shared" si="33"/>
        <v>13139.6</v>
      </c>
      <c r="G51" s="30">
        <f t="shared" si="33"/>
        <v>13139.6</v>
      </c>
      <c r="H51" s="30">
        <f t="shared" si="33"/>
        <v>13139.6</v>
      </c>
      <c r="I51" s="30">
        <f t="shared" si="33"/>
        <v>13139.6</v>
      </c>
      <c r="J51" s="30">
        <f t="shared" si="33"/>
        <v>13139.6</v>
      </c>
      <c r="K51" s="30">
        <f t="shared" si="33"/>
        <v>13139.6</v>
      </c>
      <c r="L51" s="30">
        <f t="shared" si="33"/>
        <v>13139.6</v>
      </c>
      <c r="M51" s="30">
        <f t="shared" si="33"/>
        <v>13139.6</v>
      </c>
      <c r="N51" s="30">
        <f t="shared" si="33"/>
        <v>13139.6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3"/>
      <c r="B52" s="24" t="s">
        <v>98</v>
      </c>
      <c r="C52" s="23"/>
      <c r="D52" s="30">
        <f t="shared" ref="D52:N52" si="34">D47+D48+D49+D50+D51</f>
        <v>83137.6</v>
      </c>
      <c r="E52" s="30">
        <f t="shared" si="34"/>
        <v>83137.6</v>
      </c>
      <c r="F52" s="30">
        <f t="shared" si="34"/>
        <v>83137.6</v>
      </c>
      <c r="G52" s="30">
        <f t="shared" si="34"/>
        <v>83137.6</v>
      </c>
      <c r="H52" s="30">
        <f t="shared" si="34"/>
        <v>83137.6</v>
      </c>
      <c r="I52" s="30">
        <f t="shared" si="34"/>
        <v>83137.6</v>
      </c>
      <c r="J52" s="30">
        <f t="shared" si="34"/>
        <v>83137.6</v>
      </c>
      <c r="K52" s="30">
        <f t="shared" si="34"/>
        <v>83137.6</v>
      </c>
      <c r="L52" s="30">
        <f t="shared" si="34"/>
        <v>83137.6</v>
      </c>
      <c r="M52" s="30">
        <f t="shared" si="34"/>
        <v>83137.6</v>
      </c>
      <c r="N52" s="30">
        <f t="shared" si="34"/>
        <v>83137.6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3"/>
      <c r="B53" s="24" t="s">
        <v>99</v>
      </c>
      <c r="C53" s="23" t="s">
        <v>61</v>
      </c>
      <c r="D53" s="25">
        <v>0.2</v>
      </c>
      <c r="E53" s="26">
        <f t="shared" ref="E53:N53" si="35">D53</f>
        <v>0.2</v>
      </c>
      <c r="F53" s="26">
        <f t="shared" si="35"/>
        <v>0.2</v>
      </c>
      <c r="G53" s="26">
        <f t="shared" si="35"/>
        <v>0.2</v>
      </c>
      <c r="H53" s="26">
        <f t="shared" si="35"/>
        <v>0.2</v>
      </c>
      <c r="I53" s="26">
        <f t="shared" si="35"/>
        <v>0.2</v>
      </c>
      <c r="J53" s="26">
        <f t="shared" si="35"/>
        <v>0.2</v>
      </c>
      <c r="K53" s="26">
        <f t="shared" si="35"/>
        <v>0.2</v>
      </c>
      <c r="L53" s="26">
        <f t="shared" si="35"/>
        <v>0.2</v>
      </c>
      <c r="M53" s="26">
        <f t="shared" si="35"/>
        <v>0.2</v>
      </c>
      <c r="N53" s="26">
        <f t="shared" si="35"/>
        <v>0.2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3"/>
      <c r="B54" s="24" t="s">
        <v>100</v>
      </c>
      <c r="C54" s="23" t="s">
        <v>76</v>
      </c>
      <c r="D54" s="26">
        <f t="shared" ref="D54:N54" si="36">1-D53</f>
        <v>0.8</v>
      </c>
      <c r="E54" s="26">
        <f t="shared" si="36"/>
        <v>0.8</v>
      </c>
      <c r="F54" s="26">
        <f t="shared" si="36"/>
        <v>0.8</v>
      </c>
      <c r="G54" s="26">
        <f t="shared" si="36"/>
        <v>0.8</v>
      </c>
      <c r="H54" s="26">
        <f t="shared" si="36"/>
        <v>0.8</v>
      </c>
      <c r="I54" s="26">
        <f t="shared" si="36"/>
        <v>0.8</v>
      </c>
      <c r="J54" s="26">
        <f t="shared" si="36"/>
        <v>0.8</v>
      </c>
      <c r="K54" s="26">
        <f t="shared" si="36"/>
        <v>0.8</v>
      </c>
      <c r="L54" s="26">
        <f t="shared" si="36"/>
        <v>0.8</v>
      </c>
      <c r="M54" s="26">
        <f t="shared" si="36"/>
        <v>0.8</v>
      </c>
      <c r="N54" s="26">
        <f t="shared" si="36"/>
        <v>0.8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3"/>
      <c r="B55" s="8"/>
      <c r="C55" s="2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3"/>
      <c r="B56" s="20" t="s">
        <v>101</v>
      </c>
      <c r="C56" s="3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3"/>
      <c r="B57" s="24" t="s">
        <v>102</v>
      </c>
      <c r="C57" s="23" t="s">
        <v>50</v>
      </c>
      <c r="D57" s="29">
        <v>2.0</v>
      </c>
      <c r="E57" s="30">
        <f t="shared" ref="E57:N57" si="37">D57</f>
        <v>2</v>
      </c>
      <c r="F57" s="30">
        <f t="shared" si="37"/>
        <v>2</v>
      </c>
      <c r="G57" s="30">
        <f t="shared" si="37"/>
        <v>2</v>
      </c>
      <c r="H57" s="30">
        <f t="shared" si="37"/>
        <v>2</v>
      </c>
      <c r="I57" s="30">
        <f t="shared" si="37"/>
        <v>2</v>
      </c>
      <c r="J57" s="30">
        <f t="shared" si="37"/>
        <v>2</v>
      </c>
      <c r="K57" s="30">
        <f t="shared" si="37"/>
        <v>2</v>
      </c>
      <c r="L57" s="30">
        <f t="shared" si="37"/>
        <v>2</v>
      </c>
      <c r="M57" s="30">
        <f t="shared" si="37"/>
        <v>2</v>
      </c>
      <c r="N57" s="30">
        <f t="shared" si="37"/>
        <v>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1"/>
      <c r="B58" s="32" t="s">
        <v>103</v>
      </c>
      <c r="C58" s="30" t="s">
        <v>83</v>
      </c>
      <c r="D58" s="29">
        <v>350.0</v>
      </c>
      <c r="E58" s="30">
        <f t="shared" ref="E58:N58" si="38">D58</f>
        <v>350</v>
      </c>
      <c r="F58" s="30">
        <f t="shared" si="38"/>
        <v>350</v>
      </c>
      <c r="G58" s="30">
        <f t="shared" si="38"/>
        <v>350</v>
      </c>
      <c r="H58" s="30">
        <f t="shared" si="38"/>
        <v>350</v>
      </c>
      <c r="I58" s="30">
        <f t="shared" si="38"/>
        <v>350</v>
      </c>
      <c r="J58" s="30">
        <f t="shared" si="38"/>
        <v>350</v>
      </c>
      <c r="K58" s="30">
        <f t="shared" si="38"/>
        <v>350</v>
      </c>
      <c r="L58" s="30">
        <f t="shared" si="38"/>
        <v>350</v>
      </c>
      <c r="M58" s="30">
        <f t="shared" si="38"/>
        <v>350</v>
      </c>
      <c r="N58" s="30">
        <f t="shared" si="38"/>
        <v>350</v>
      </c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0" customHeight="1">
      <c r="A59" s="3"/>
      <c r="B59" s="24" t="s">
        <v>104</v>
      </c>
      <c r="C59" s="23"/>
      <c r="D59" s="30">
        <f t="shared" ref="D59:N59" si="39">D58*D316</f>
        <v>21490</v>
      </c>
      <c r="E59" s="30">
        <f t="shared" si="39"/>
        <v>21490</v>
      </c>
      <c r="F59" s="30">
        <f t="shared" si="39"/>
        <v>21490</v>
      </c>
      <c r="G59" s="30">
        <f t="shared" si="39"/>
        <v>21490</v>
      </c>
      <c r="H59" s="30">
        <f t="shared" si="39"/>
        <v>21490</v>
      </c>
      <c r="I59" s="30">
        <f t="shared" si="39"/>
        <v>21490</v>
      </c>
      <c r="J59" s="30">
        <f t="shared" si="39"/>
        <v>21490</v>
      </c>
      <c r="K59" s="30">
        <f t="shared" si="39"/>
        <v>21490</v>
      </c>
      <c r="L59" s="30">
        <f t="shared" si="39"/>
        <v>21490</v>
      </c>
      <c r="M59" s="30">
        <f t="shared" si="39"/>
        <v>21490</v>
      </c>
      <c r="N59" s="30">
        <f t="shared" si="39"/>
        <v>21490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3"/>
      <c r="B60" s="24" t="s">
        <v>105</v>
      </c>
      <c r="C60" s="23" t="s">
        <v>86</v>
      </c>
      <c r="D60" s="29">
        <v>1800.0</v>
      </c>
      <c r="E60" s="30">
        <f t="shared" ref="E60:N60" si="40">D60</f>
        <v>1800</v>
      </c>
      <c r="F60" s="30">
        <f t="shared" si="40"/>
        <v>1800</v>
      </c>
      <c r="G60" s="30">
        <f t="shared" si="40"/>
        <v>1800</v>
      </c>
      <c r="H60" s="30">
        <f t="shared" si="40"/>
        <v>1800</v>
      </c>
      <c r="I60" s="30">
        <f t="shared" si="40"/>
        <v>1800</v>
      </c>
      <c r="J60" s="30">
        <f t="shared" si="40"/>
        <v>1800</v>
      </c>
      <c r="K60" s="30">
        <f t="shared" si="40"/>
        <v>1800</v>
      </c>
      <c r="L60" s="30">
        <f t="shared" si="40"/>
        <v>1800</v>
      </c>
      <c r="M60" s="30">
        <f t="shared" si="40"/>
        <v>1800</v>
      </c>
      <c r="N60" s="30">
        <f t="shared" si="40"/>
        <v>1800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3"/>
      <c r="B61" s="24" t="s">
        <v>106</v>
      </c>
      <c r="C61" s="23" t="s">
        <v>86</v>
      </c>
      <c r="D61" s="29">
        <v>600.0</v>
      </c>
      <c r="E61" s="30">
        <f t="shared" ref="E61:N61" si="41">D61</f>
        <v>600</v>
      </c>
      <c r="F61" s="30">
        <f t="shared" si="41"/>
        <v>600</v>
      </c>
      <c r="G61" s="30">
        <f t="shared" si="41"/>
        <v>600</v>
      </c>
      <c r="H61" s="30">
        <f t="shared" si="41"/>
        <v>600</v>
      </c>
      <c r="I61" s="30">
        <f t="shared" si="41"/>
        <v>600</v>
      </c>
      <c r="J61" s="30">
        <f t="shared" si="41"/>
        <v>600</v>
      </c>
      <c r="K61" s="30">
        <f t="shared" si="41"/>
        <v>600</v>
      </c>
      <c r="L61" s="30">
        <f t="shared" si="41"/>
        <v>600</v>
      </c>
      <c r="M61" s="30">
        <f t="shared" si="41"/>
        <v>600</v>
      </c>
      <c r="N61" s="30">
        <f t="shared" si="41"/>
        <v>600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3"/>
      <c r="B62" s="24" t="s">
        <v>107</v>
      </c>
      <c r="C62" s="23" t="s">
        <v>86</v>
      </c>
      <c r="D62" s="29">
        <v>805.61</v>
      </c>
      <c r="E62" s="30">
        <f t="shared" ref="E62:N62" si="42">D62</f>
        <v>805.61</v>
      </c>
      <c r="F62" s="30">
        <f t="shared" si="42"/>
        <v>805.61</v>
      </c>
      <c r="G62" s="30">
        <f t="shared" si="42"/>
        <v>805.61</v>
      </c>
      <c r="H62" s="30">
        <f t="shared" si="42"/>
        <v>805.61</v>
      </c>
      <c r="I62" s="30">
        <f t="shared" si="42"/>
        <v>805.61</v>
      </c>
      <c r="J62" s="30">
        <f t="shared" si="42"/>
        <v>805.61</v>
      </c>
      <c r="K62" s="30">
        <f t="shared" si="42"/>
        <v>805.61</v>
      </c>
      <c r="L62" s="30">
        <f t="shared" si="42"/>
        <v>805.61</v>
      </c>
      <c r="M62" s="30">
        <f t="shared" si="42"/>
        <v>805.61</v>
      </c>
      <c r="N62" s="30">
        <f t="shared" si="42"/>
        <v>805.61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3"/>
      <c r="B63" s="24" t="s">
        <v>108</v>
      </c>
      <c r="C63" s="23"/>
      <c r="D63" s="30">
        <f t="shared" ref="D63:N63" si="43">D59+D60+D61+D62</f>
        <v>24695.61</v>
      </c>
      <c r="E63" s="30">
        <f t="shared" si="43"/>
        <v>24695.61</v>
      </c>
      <c r="F63" s="30">
        <f t="shared" si="43"/>
        <v>24695.61</v>
      </c>
      <c r="G63" s="30">
        <f t="shared" si="43"/>
        <v>24695.61</v>
      </c>
      <c r="H63" s="30">
        <f t="shared" si="43"/>
        <v>24695.61</v>
      </c>
      <c r="I63" s="30">
        <f t="shared" si="43"/>
        <v>24695.61</v>
      </c>
      <c r="J63" s="30">
        <f t="shared" si="43"/>
        <v>24695.61</v>
      </c>
      <c r="K63" s="30">
        <f t="shared" si="43"/>
        <v>24695.61</v>
      </c>
      <c r="L63" s="30">
        <f t="shared" si="43"/>
        <v>24695.61</v>
      </c>
      <c r="M63" s="30">
        <f t="shared" si="43"/>
        <v>24695.61</v>
      </c>
      <c r="N63" s="30">
        <f t="shared" si="43"/>
        <v>24695.61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3"/>
      <c r="B64" s="24" t="s">
        <v>109</v>
      </c>
      <c r="C64" s="23" t="s">
        <v>61</v>
      </c>
      <c r="D64" s="25">
        <v>0.02</v>
      </c>
      <c r="E64" s="26">
        <f t="shared" ref="E64:N64" si="44">D64</f>
        <v>0.02</v>
      </c>
      <c r="F64" s="26">
        <f t="shared" si="44"/>
        <v>0.02</v>
      </c>
      <c r="G64" s="26">
        <f t="shared" si="44"/>
        <v>0.02</v>
      </c>
      <c r="H64" s="26">
        <f t="shared" si="44"/>
        <v>0.02</v>
      </c>
      <c r="I64" s="26">
        <f t="shared" si="44"/>
        <v>0.02</v>
      </c>
      <c r="J64" s="26">
        <f t="shared" si="44"/>
        <v>0.02</v>
      </c>
      <c r="K64" s="26">
        <f t="shared" si="44"/>
        <v>0.02</v>
      </c>
      <c r="L64" s="26">
        <f t="shared" si="44"/>
        <v>0.02</v>
      </c>
      <c r="M64" s="26">
        <f t="shared" si="44"/>
        <v>0.02</v>
      </c>
      <c r="N64" s="26">
        <f t="shared" si="44"/>
        <v>0.02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3"/>
      <c r="B65" s="7"/>
      <c r="C65" s="3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3"/>
      <c r="B66" s="20" t="s">
        <v>110</v>
      </c>
      <c r="C66" s="27"/>
      <c r="D66" s="28"/>
      <c r="E66" s="8"/>
      <c r="F66" s="8"/>
      <c r="G66" s="8"/>
      <c r="H66" s="8"/>
      <c r="I66" s="8"/>
      <c r="J66" s="8"/>
      <c r="K66" s="8"/>
      <c r="L66" s="8"/>
      <c r="M66" s="8"/>
      <c r="N66" s="8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3"/>
      <c r="B67" s="24" t="s">
        <v>111</v>
      </c>
      <c r="C67" s="39">
        <v>2.0</v>
      </c>
      <c r="D67" s="30">
        <f t="shared" ref="D67:N67" si="45">D45+$C$67*D63</f>
        <v>94878.34</v>
      </c>
      <c r="E67" s="30">
        <f t="shared" si="45"/>
        <v>94878.34</v>
      </c>
      <c r="F67" s="30">
        <f t="shared" si="45"/>
        <v>94878.34</v>
      </c>
      <c r="G67" s="30">
        <f t="shared" si="45"/>
        <v>94878.34</v>
      </c>
      <c r="H67" s="30">
        <f t="shared" si="45"/>
        <v>94878.34</v>
      </c>
      <c r="I67" s="30">
        <f t="shared" si="45"/>
        <v>94878.34</v>
      </c>
      <c r="J67" s="30">
        <f t="shared" si="45"/>
        <v>94878.34</v>
      </c>
      <c r="K67" s="30">
        <f t="shared" si="45"/>
        <v>94878.34</v>
      </c>
      <c r="L67" s="30">
        <f t="shared" si="45"/>
        <v>94878.34</v>
      </c>
      <c r="M67" s="30">
        <f t="shared" si="45"/>
        <v>94878.34</v>
      </c>
      <c r="N67" s="30">
        <f t="shared" si="45"/>
        <v>94878.34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3"/>
      <c r="B68" s="24" t="s">
        <v>112</v>
      </c>
      <c r="C68" s="39">
        <v>2.0</v>
      </c>
      <c r="D68" s="30">
        <f t="shared" ref="D68:N68" si="46">D52+$C$68*D63</f>
        <v>132528.82</v>
      </c>
      <c r="E68" s="30">
        <f t="shared" si="46"/>
        <v>132528.82</v>
      </c>
      <c r="F68" s="30">
        <f t="shared" si="46"/>
        <v>132528.82</v>
      </c>
      <c r="G68" s="30">
        <f t="shared" si="46"/>
        <v>132528.82</v>
      </c>
      <c r="H68" s="30">
        <f t="shared" si="46"/>
        <v>132528.82</v>
      </c>
      <c r="I68" s="30">
        <f t="shared" si="46"/>
        <v>132528.82</v>
      </c>
      <c r="J68" s="30">
        <f t="shared" si="46"/>
        <v>132528.82</v>
      </c>
      <c r="K68" s="30">
        <f t="shared" si="46"/>
        <v>132528.82</v>
      </c>
      <c r="L68" s="30">
        <f t="shared" si="46"/>
        <v>132528.82</v>
      </c>
      <c r="M68" s="30">
        <f t="shared" si="46"/>
        <v>132528.82</v>
      </c>
      <c r="N68" s="30">
        <f t="shared" si="46"/>
        <v>132528.82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3"/>
      <c r="B69" s="24" t="s">
        <v>113</v>
      </c>
      <c r="C69" s="23" t="s">
        <v>114</v>
      </c>
      <c r="D69" s="25">
        <v>0.4</v>
      </c>
      <c r="E69" s="26">
        <f t="shared" ref="E69:N69" si="47">D69</f>
        <v>0.4</v>
      </c>
      <c r="F69" s="26">
        <f t="shared" si="47"/>
        <v>0.4</v>
      </c>
      <c r="G69" s="26">
        <f t="shared" si="47"/>
        <v>0.4</v>
      </c>
      <c r="H69" s="26">
        <f t="shared" si="47"/>
        <v>0.4</v>
      </c>
      <c r="I69" s="26">
        <f t="shared" si="47"/>
        <v>0.4</v>
      </c>
      <c r="J69" s="26">
        <f t="shared" si="47"/>
        <v>0.4</v>
      </c>
      <c r="K69" s="26">
        <f t="shared" si="47"/>
        <v>0.4</v>
      </c>
      <c r="L69" s="26">
        <f t="shared" si="47"/>
        <v>0.4</v>
      </c>
      <c r="M69" s="26">
        <f t="shared" si="47"/>
        <v>0.4</v>
      </c>
      <c r="N69" s="26">
        <f t="shared" si="47"/>
        <v>0.4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0" customHeight="1">
      <c r="A70" s="3"/>
      <c r="B70" s="24" t="s">
        <v>115</v>
      </c>
      <c r="C70" s="23" t="s">
        <v>114</v>
      </c>
      <c r="D70" s="25">
        <v>0.4</v>
      </c>
      <c r="E70" s="26">
        <f t="shared" ref="E70:N70" si="48">D70</f>
        <v>0.4</v>
      </c>
      <c r="F70" s="26">
        <f t="shared" si="48"/>
        <v>0.4</v>
      </c>
      <c r="G70" s="26">
        <f t="shared" si="48"/>
        <v>0.4</v>
      </c>
      <c r="H70" s="26">
        <f t="shared" si="48"/>
        <v>0.4</v>
      </c>
      <c r="I70" s="26">
        <f t="shared" si="48"/>
        <v>0.4</v>
      </c>
      <c r="J70" s="26">
        <f t="shared" si="48"/>
        <v>0.4</v>
      </c>
      <c r="K70" s="26">
        <f t="shared" si="48"/>
        <v>0.4</v>
      </c>
      <c r="L70" s="26">
        <f t="shared" si="48"/>
        <v>0.4</v>
      </c>
      <c r="M70" s="26">
        <f t="shared" si="48"/>
        <v>0.4</v>
      </c>
      <c r="N70" s="26">
        <f t="shared" si="48"/>
        <v>0.4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3"/>
      <c r="B71" s="24" t="s">
        <v>116</v>
      </c>
      <c r="C71" s="23"/>
      <c r="D71" s="30">
        <f t="shared" ref="D71:N71" si="49">D67*(1+D69)</f>
        <v>132829.676</v>
      </c>
      <c r="E71" s="30">
        <f t="shared" si="49"/>
        <v>132829.676</v>
      </c>
      <c r="F71" s="30">
        <f t="shared" si="49"/>
        <v>132829.676</v>
      </c>
      <c r="G71" s="30">
        <f t="shared" si="49"/>
        <v>132829.676</v>
      </c>
      <c r="H71" s="30">
        <f t="shared" si="49"/>
        <v>132829.676</v>
      </c>
      <c r="I71" s="30">
        <f t="shared" si="49"/>
        <v>132829.676</v>
      </c>
      <c r="J71" s="30">
        <f t="shared" si="49"/>
        <v>132829.676</v>
      </c>
      <c r="K71" s="30">
        <f t="shared" si="49"/>
        <v>132829.676</v>
      </c>
      <c r="L71" s="30">
        <f t="shared" si="49"/>
        <v>132829.676</v>
      </c>
      <c r="M71" s="30">
        <f t="shared" si="49"/>
        <v>132829.676</v>
      </c>
      <c r="N71" s="30">
        <f t="shared" si="49"/>
        <v>132829.676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0" customHeight="1">
      <c r="A72" s="3"/>
      <c r="B72" s="24" t="s">
        <v>117</v>
      </c>
      <c r="C72" s="23"/>
      <c r="D72" s="30">
        <f t="shared" ref="D72:N72" si="50">D68*(1+D70)</f>
        <v>185540.348</v>
      </c>
      <c r="E72" s="30">
        <f t="shared" si="50"/>
        <v>185540.348</v>
      </c>
      <c r="F72" s="30">
        <f t="shared" si="50"/>
        <v>185540.348</v>
      </c>
      <c r="G72" s="30">
        <f t="shared" si="50"/>
        <v>185540.348</v>
      </c>
      <c r="H72" s="30">
        <f t="shared" si="50"/>
        <v>185540.348</v>
      </c>
      <c r="I72" s="30">
        <f t="shared" si="50"/>
        <v>185540.348</v>
      </c>
      <c r="J72" s="30">
        <f t="shared" si="50"/>
        <v>185540.348</v>
      </c>
      <c r="K72" s="30">
        <f t="shared" si="50"/>
        <v>185540.348</v>
      </c>
      <c r="L72" s="30">
        <f t="shared" si="50"/>
        <v>185540.348</v>
      </c>
      <c r="M72" s="30">
        <f t="shared" si="50"/>
        <v>185540.348</v>
      </c>
      <c r="N72" s="30">
        <f t="shared" si="50"/>
        <v>185540.348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0" customHeight="1">
      <c r="A73" s="3"/>
      <c r="B73" s="24" t="s">
        <v>118</v>
      </c>
      <c r="C73" s="23" t="s">
        <v>61</v>
      </c>
      <c r="D73" s="25">
        <v>0.1</v>
      </c>
      <c r="E73" s="26">
        <f t="shared" ref="E73:N73" si="51">D73</f>
        <v>0.1</v>
      </c>
      <c r="F73" s="26">
        <f t="shared" si="51"/>
        <v>0.1</v>
      </c>
      <c r="G73" s="26">
        <f t="shared" si="51"/>
        <v>0.1</v>
      </c>
      <c r="H73" s="26">
        <f t="shared" si="51"/>
        <v>0.1</v>
      </c>
      <c r="I73" s="26">
        <f t="shared" si="51"/>
        <v>0.1</v>
      </c>
      <c r="J73" s="26">
        <f t="shared" si="51"/>
        <v>0.1</v>
      </c>
      <c r="K73" s="26">
        <f t="shared" si="51"/>
        <v>0.1</v>
      </c>
      <c r="L73" s="26">
        <f t="shared" si="51"/>
        <v>0.1</v>
      </c>
      <c r="M73" s="26">
        <f t="shared" si="51"/>
        <v>0.1</v>
      </c>
      <c r="N73" s="26">
        <f t="shared" si="51"/>
        <v>0.1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0" customHeight="1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0" customHeight="1">
      <c r="A75" s="3"/>
      <c r="B75" s="20" t="s">
        <v>119</v>
      </c>
      <c r="C75" s="27"/>
      <c r="D75" s="28"/>
      <c r="E75" s="8"/>
      <c r="F75" s="8"/>
      <c r="G75" s="8"/>
      <c r="H75" s="8"/>
      <c r="I75" s="8"/>
      <c r="J75" s="8"/>
      <c r="K75" s="8"/>
      <c r="L75" s="8"/>
      <c r="M75" s="8"/>
      <c r="N75" s="8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0" customHeight="1">
      <c r="A76" s="3"/>
      <c r="B76" s="24" t="s">
        <v>120</v>
      </c>
      <c r="C76" s="23" t="s">
        <v>61</v>
      </c>
      <c r="D76" s="25">
        <v>0.1</v>
      </c>
      <c r="E76" s="26">
        <f t="shared" ref="E76:N76" si="52">D76</f>
        <v>0.1</v>
      </c>
      <c r="F76" s="26">
        <f t="shared" si="52"/>
        <v>0.1</v>
      </c>
      <c r="G76" s="26">
        <f t="shared" si="52"/>
        <v>0.1</v>
      </c>
      <c r="H76" s="26">
        <f t="shared" si="52"/>
        <v>0.1</v>
      </c>
      <c r="I76" s="26">
        <f t="shared" si="52"/>
        <v>0.1</v>
      </c>
      <c r="J76" s="26">
        <f t="shared" si="52"/>
        <v>0.1</v>
      </c>
      <c r="K76" s="26">
        <f t="shared" si="52"/>
        <v>0.1</v>
      </c>
      <c r="L76" s="26">
        <f t="shared" si="52"/>
        <v>0.1</v>
      </c>
      <c r="M76" s="26">
        <f t="shared" si="52"/>
        <v>0.1</v>
      </c>
      <c r="N76" s="26">
        <f t="shared" si="52"/>
        <v>0.1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0" customHeight="1">
      <c r="A77" s="3"/>
      <c r="B77" s="24" t="s">
        <v>121</v>
      </c>
      <c r="C77" s="23" t="s">
        <v>61</v>
      </c>
      <c r="D77" s="25">
        <v>0.4</v>
      </c>
      <c r="E77" s="26">
        <f t="shared" ref="E77:N77" si="53">D77</f>
        <v>0.4</v>
      </c>
      <c r="F77" s="26">
        <f t="shared" si="53"/>
        <v>0.4</v>
      </c>
      <c r="G77" s="26">
        <f t="shared" si="53"/>
        <v>0.4</v>
      </c>
      <c r="H77" s="26">
        <f t="shared" si="53"/>
        <v>0.4</v>
      </c>
      <c r="I77" s="26">
        <f t="shared" si="53"/>
        <v>0.4</v>
      </c>
      <c r="J77" s="26">
        <f t="shared" si="53"/>
        <v>0.4</v>
      </c>
      <c r="K77" s="26">
        <f t="shared" si="53"/>
        <v>0.4</v>
      </c>
      <c r="L77" s="26">
        <f t="shared" si="53"/>
        <v>0.4</v>
      </c>
      <c r="M77" s="26">
        <f t="shared" si="53"/>
        <v>0.4</v>
      </c>
      <c r="N77" s="26">
        <f t="shared" si="53"/>
        <v>0.4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0" customHeight="1">
      <c r="A78" s="3"/>
      <c r="B78" s="24" t="s">
        <v>122</v>
      </c>
      <c r="C78" s="23" t="s">
        <v>123</v>
      </c>
      <c r="D78" s="30">
        <f t="shared" ref="D78:N78" si="54">(((3500/1.12)*D32)+((5000/1.12)*D33))/12</f>
        <v>349.702381</v>
      </c>
      <c r="E78" s="30">
        <f t="shared" si="54"/>
        <v>349.702381</v>
      </c>
      <c r="F78" s="30">
        <f t="shared" si="54"/>
        <v>349.702381</v>
      </c>
      <c r="G78" s="30">
        <f t="shared" si="54"/>
        <v>349.702381</v>
      </c>
      <c r="H78" s="30">
        <f t="shared" si="54"/>
        <v>349.702381</v>
      </c>
      <c r="I78" s="30">
        <f t="shared" si="54"/>
        <v>349.702381</v>
      </c>
      <c r="J78" s="30">
        <f t="shared" si="54"/>
        <v>349.702381</v>
      </c>
      <c r="K78" s="30">
        <f t="shared" si="54"/>
        <v>349.702381</v>
      </c>
      <c r="L78" s="30">
        <f t="shared" si="54"/>
        <v>349.702381</v>
      </c>
      <c r="M78" s="30">
        <f t="shared" si="54"/>
        <v>349.702381</v>
      </c>
      <c r="N78" s="30">
        <f t="shared" si="54"/>
        <v>349.702381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0" customHeight="1">
      <c r="A79" s="3"/>
      <c r="B79" s="24" t="s">
        <v>124</v>
      </c>
      <c r="C79" s="23" t="s">
        <v>123</v>
      </c>
      <c r="D79" s="29">
        <f>3500/12</f>
        <v>291.6666667</v>
      </c>
      <c r="E79" s="30">
        <f t="shared" ref="E79:N79" si="55">D79</f>
        <v>291.6666667</v>
      </c>
      <c r="F79" s="30">
        <f t="shared" si="55"/>
        <v>291.6666667</v>
      </c>
      <c r="G79" s="30">
        <f t="shared" si="55"/>
        <v>291.6666667</v>
      </c>
      <c r="H79" s="30">
        <f t="shared" si="55"/>
        <v>291.6666667</v>
      </c>
      <c r="I79" s="30">
        <f t="shared" si="55"/>
        <v>291.6666667</v>
      </c>
      <c r="J79" s="30">
        <f t="shared" si="55"/>
        <v>291.6666667</v>
      </c>
      <c r="K79" s="30">
        <f t="shared" si="55"/>
        <v>291.6666667</v>
      </c>
      <c r="L79" s="30">
        <f t="shared" si="55"/>
        <v>291.6666667</v>
      </c>
      <c r="M79" s="30">
        <f t="shared" si="55"/>
        <v>291.6666667</v>
      </c>
      <c r="N79" s="30">
        <f t="shared" si="55"/>
        <v>291.6666667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0" customHeight="1">
      <c r="A80" s="3"/>
      <c r="B80" s="24" t="s">
        <v>125</v>
      </c>
      <c r="C80" s="23" t="s">
        <v>61</v>
      </c>
      <c r="D80" s="25">
        <v>0.03</v>
      </c>
      <c r="E80" s="26">
        <f t="shared" ref="E80:N80" si="56">D80</f>
        <v>0.03</v>
      </c>
      <c r="F80" s="26">
        <f t="shared" si="56"/>
        <v>0.03</v>
      </c>
      <c r="G80" s="26">
        <f t="shared" si="56"/>
        <v>0.03</v>
      </c>
      <c r="H80" s="26">
        <f t="shared" si="56"/>
        <v>0.03</v>
      </c>
      <c r="I80" s="26">
        <f t="shared" si="56"/>
        <v>0.03</v>
      </c>
      <c r="J80" s="26">
        <f t="shared" si="56"/>
        <v>0.03</v>
      </c>
      <c r="K80" s="26">
        <f t="shared" si="56"/>
        <v>0.03</v>
      </c>
      <c r="L80" s="26">
        <f t="shared" si="56"/>
        <v>0.03</v>
      </c>
      <c r="M80" s="26">
        <f t="shared" si="56"/>
        <v>0.03</v>
      </c>
      <c r="N80" s="26">
        <f t="shared" si="56"/>
        <v>0.03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0" customHeight="1">
      <c r="A81" s="3"/>
      <c r="B81" s="24" t="s">
        <v>126</v>
      </c>
      <c r="C81" s="24" t="s">
        <v>61</v>
      </c>
      <c r="D81" s="25">
        <v>0.02</v>
      </c>
      <c r="E81" s="26">
        <f t="shared" ref="E81:N81" si="57">D81</f>
        <v>0.02</v>
      </c>
      <c r="F81" s="26">
        <f t="shared" si="57"/>
        <v>0.02</v>
      </c>
      <c r="G81" s="26">
        <f t="shared" si="57"/>
        <v>0.02</v>
      </c>
      <c r="H81" s="26">
        <f t="shared" si="57"/>
        <v>0.02</v>
      </c>
      <c r="I81" s="26">
        <f t="shared" si="57"/>
        <v>0.02</v>
      </c>
      <c r="J81" s="26">
        <f t="shared" si="57"/>
        <v>0.02</v>
      </c>
      <c r="K81" s="26">
        <f t="shared" si="57"/>
        <v>0.02</v>
      </c>
      <c r="L81" s="26">
        <f t="shared" si="57"/>
        <v>0.02</v>
      </c>
      <c r="M81" s="26">
        <f t="shared" si="57"/>
        <v>0.02</v>
      </c>
      <c r="N81" s="26">
        <f t="shared" si="57"/>
        <v>0.02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0" customHeight="1">
      <c r="A82" s="3"/>
      <c r="B82" s="24" t="s">
        <v>127</v>
      </c>
      <c r="C82" s="23" t="s">
        <v>61</v>
      </c>
      <c r="D82" s="25">
        <v>0.02</v>
      </c>
      <c r="E82" s="26">
        <f t="shared" ref="E82:N82" si="58">D82</f>
        <v>0.02</v>
      </c>
      <c r="F82" s="26">
        <f t="shared" si="58"/>
        <v>0.02</v>
      </c>
      <c r="G82" s="26">
        <f t="shared" si="58"/>
        <v>0.02</v>
      </c>
      <c r="H82" s="26">
        <f t="shared" si="58"/>
        <v>0.02</v>
      </c>
      <c r="I82" s="26">
        <f t="shared" si="58"/>
        <v>0.02</v>
      </c>
      <c r="J82" s="26">
        <f t="shared" si="58"/>
        <v>0.02</v>
      </c>
      <c r="K82" s="26">
        <f t="shared" si="58"/>
        <v>0.02</v>
      </c>
      <c r="L82" s="26">
        <f t="shared" si="58"/>
        <v>0.02</v>
      </c>
      <c r="M82" s="26">
        <f t="shared" si="58"/>
        <v>0.02</v>
      </c>
      <c r="N82" s="26">
        <f t="shared" si="58"/>
        <v>0.02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0" customHeight="1">
      <c r="A84" s="3"/>
      <c r="B84" s="20" t="s">
        <v>128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0" customHeight="1">
      <c r="A85" s="3"/>
      <c r="B85" s="24" t="s">
        <v>129</v>
      </c>
      <c r="C85" s="24" t="s">
        <v>48</v>
      </c>
      <c r="D85" s="25">
        <v>0.05</v>
      </c>
      <c r="E85" s="26">
        <f t="shared" ref="E85:N85" si="59">D85</f>
        <v>0.05</v>
      </c>
      <c r="F85" s="26">
        <f t="shared" si="59"/>
        <v>0.05</v>
      </c>
      <c r="G85" s="26">
        <f t="shared" si="59"/>
        <v>0.05</v>
      </c>
      <c r="H85" s="26">
        <f t="shared" si="59"/>
        <v>0.05</v>
      </c>
      <c r="I85" s="26">
        <f t="shared" si="59"/>
        <v>0.05</v>
      </c>
      <c r="J85" s="26">
        <f t="shared" si="59"/>
        <v>0.05</v>
      </c>
      <c r="K85" s="26">
        <f t="shared" si="59"/>
        <v>0.05</v>
      </c>
      <c r="L85" s="26">
        <f t="shared" si="59"/>
        <v>0.05</v>
      </c>
      <c r="M85" s="26">
        <f t="shared" si="59"/>
        <v>0.05</v>
      </c>
      <c r="N85" s="26">
        <f t="shared" si="59"/>
        <v>0.05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0" customHeight="1">
      <c r="A86" s="3"/>
      <c r="B86" s="8"/>
      <c r="C86" s="40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0" customHeight="1">
      <c r="A87" s="3"/>
      <c r="B87" s="20" t="s">
        <v>130</v>
      </c>
      <c r="C87" s="27"/>
      <c r="D87" s="28"/>
      <c r="E87" s="8"/>
      <c r="F87" s="8"/>
      <c r="G87" s="8"/>
      <c r="H87" s="8"/>
      <c r="I87" s="8"/>
      <c r="J87" s="8"/>
      <c r="K87" s="8"/>
      <c r="L87" s="8"/>
      <c r="M87" s="8"/>
      <c r="N87" s="8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0" customHeight="1">
      <c r="A88" s="3"/>
      <c r="B88" s="24" t="s">
        <v>131</v>
      </c>
      <c r="C88" s="41">
        <v>0.1</v>
      </c>
      <c r="D88" s="28"/>
      <c r="E88" s="8"/>
      <c r="F88" s="8"/>
      <c r="G88" s="8"/>
      <c r="H88" s="8"/>
      <c r="I88" s="8"/>
      <c r="J88" s="8"/>
      <c r="K88" s="8"/>
      <c r="L88" s="8"/>
      <c r="M88" s="8"/>
      <c r="N88" s="8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0" customHeight="1">
      <c r="A89" s="3"/>
      <c r="B89" s="24" t="s">
        <v>132</v>
      </c>
      <c r="C89" s="23" t="s">
        <v>48</v>
      </c>
      <c r="D89" s="25">
        <v>0.05</v>
      </c>
      <c r="E89" s="26">
        <f t="shared" ref="E89:N89" si="60">D89</f>
        <v>0.05</v>
      </c>
      <c r="F89" s="26">
        <f t="shared" si="60"/>
        <v>0.05</v>
      </c>
      <c r="G89" s="26">
        <f t="shared" si="60"/>
        <v>0.05</v>
      </c>
      <c r="H89" s="26">
        <f t="shared" si="60"/>
        <v>0.05</v>
      </c>
      <c r="I89" s="26">
        <f t="shared" si="60"/>
        <v>0.05</v>
      </c>
      <c r="J89" s="26">
        <f t="shared" si="60"/>
        <v>0.05</v>
      </c>
      <c r="K89" s="26">
        <f t="shared" si="60"/>
        <v>0.05</v>
      </c>
      <c r="L89" s="26">
        <f t="shared" si="60"/>
        <v>0.05</v>
      </c>
      <c r="M89" s="26">
        <f t="shared" si="60"/>
        <v>0.05</v>
      </c>
      <c r="N89" s="26">
        <f t="shared" si="60"/>
        <v>0.05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0" customHeight="1">
      <c r="A90" s="3"/>
      <c r="B90" s="24" t="s">
        <v>133</v>
      </c>
      <c r="C90" s="23" t="s">
        <v>134</v>
      </c>
      <c r="D90" s="29">
        <v>13.0</v>
      </c>
      <c r="E90" s="42">
        <f t="shared" ref="E90:N90" si="61">D90*(1+$C$88)</f>
        <v>14.3</v>
      </c>
      <c r="F90" s="42">
        <f t="shared" si="61"/>
        <v>15.73</v>
      </c>
      <c r="G90" s="42">
        <f t="shared" si="61"/>
        <v>17.303</v>
      </c>
      <c r="H90" s="42">
        <f t="shared" si="61"/>
        <v>19.0333</v>
      </c>
      <c r="I90" s="42">
        <f t="shared" si="61"/>
        <v>20.93663</v>
      </c>
      <c r="J90" s="42">
        <f t="shared" si="61"/>
        <v>23.030293</v>
      </c>
      <c r="K90" s="42">
        <f t="shared" si="61"/>
        <v>25.3333223</v>
      </c>
      <c r="L90" s="42">
        <f t="shared" si="61"/>
        <v>27.86665453</v>
      </c>
      <c r="M90" s="42">
        <f t="shared" si="61"/>
        <v>30.65331998</v>
      </c>
      <c r="N90" s="42">
        <f t="shared" si="61"/>
        <v>33.71865198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0" customHeight="1">
      <c r="A91" s="3"/>
      <c r="B91" s="24"/>
      <c r="C91" s="23" t="s">
        <v>123</v>
      </c>
      <c r="D91" s="43">
        <v>108250.0</v>
      </c>
      <c r="E91" s="30">
        <f t="shared" ref="E91:N91" si="62">D91*(1+E89)</f>
        <v>113662.5</v>
      </c>
      <c r="F91" s="30">
        <f t="shared" si="62"/>
        <v>119345.625</v>
      </c>
      <c r="G91" s="30">
        <f t="shared" si="62"/>
        <v>125312.9063</v>
      </c>
      <c r="H91" s="30">
        <f t="shared" si="62"/>
        <v>131578.5516</v>
      </c>
      <c r="I91" s="30">
        <f t="shared" si="62"/>
        <v>138157.4791</v>
      </c>
      <c r="J91" s="30">
        <f t="shared" si="62"/>
        <v>145065.3531</v>
      </c>
      <c r="K91" s="30">
        <f t="shared" si="62"/>
        <v>152318.6208</v>
      </c>
      <c r="L91" s="30">
        <f t="shared" si="62"/>
        <v>159934.5518</v>
      </c>
      <c r="M91" s="30">
        <f t="shared" si="62"/>
        <v>167931.2794</v>
      </c>
      <c r="N91" s="30">
        <f t="shared" si="62"/>
        <v>176327.8433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0" customHeight="1">
      <c r="A92" s="3"/>
      <c r="B92" s="24"/>
      <c r="C92" s="28">
        <v>13.0</v>
      </c>
      <c r="D92" s="30">
        <f t="shared" ref="D92:N92" si="63">D90*D91*$C92</f>
        <v>18294250</v>
      </c>
      <c r="E92" s="30">
        <f t="shared" si="63"/>
        <v>21129858.75</v>
      </c>
      <c r="F92" s="30">
        <f t="shared" si="63"/>
        <v>24404986.86</v>
      </c>
      <c r="G92" s="30">
        <f t="shared" si="63"/>
        <v>28187759.82</v>
      </c>
      <c r="H92" s="30">
        <f t="shared" si="63"/>
        <v>32556862.59</v>
      </c>
      <c r="I92" s="30">
        <f t="shared" si="63"/>
        <v>37603176.29</v>
      </c>
      <c r="J92" s="30">
        <f t="shared" si="63"/>
        <v>43431668.62</v>
      </c>
      <c r="K92" s="30">
        <f t="shared" si="63"/>
        <v>50163577.25</v>
      </c>
      <c r="L92" s="30">
        <f t="shared" si="63"/>
        <v>57938931.73</v>
      </c>
      <c r="M92" s="30">
        <f t="shared" si="63"/>
        <v>66919466.15</v>
      </c>
      <c r="N92" s="30">
        <f t="shared" si="63"/>
        <v>77291983.4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0" customHeight="1">
      <c r="A93" s="3"/>
      <c r="B93" s="24" t="s">
        <v>135</v>
      </c>
      <c r="C93" s="23" t="s">
        <v>134</v>
      </c>
      <c r="D93" s="29">
        <v>5.0</v>
      </c>
      <c r="E93" s="42">
        <f t="shared" ref="E93:N93" si="64">D93*(1+$C$88)</f>
        <v>5.5</v>
      </c>
      <c r="F93" s="42">
        <f t="shared" si="64"/>
        <v>6.05</v>
      </c>
      <c r="G93" s="42">
        <f t="shared" si="64"/>
        <v>6.655</v>
      </c>
      <c r="H93" s="42">
        <f t="shared" si="64"/>
        <v>7.3205</v>
      </c>
      <c r="I93" s="42">
        <f t="shared" si="64"/>
        <v>8.05255</v>
      </c>
      <c r="J93" s="42">
        <f t="shared" si="64"/>
        <v>8.857805</v>
      </c>
      <c r="K93" s="42">
        <f t="shared" si="64"/>
        <v>9.7435855</v>
      </c>
      <c r="L93" s="42">
        <f t="shared" si="64"/>
        <v>10.71794405</v>
      </c>
      <c r="M93" s="42">
        <f t="shared" si="64"/>
        <v>11.78973846</v>
      </c>
      <c r="N93" s="42">
        <f t="shared" si="64"/>
        <v>12.9687123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24"/>
      <c r="C94" s="23" t="s">
        <v>123</v>
      </c>
      <c r="D94" s="43">
        <v>25646.0</v>
      </c>
      <c r="E94" s="30">
        <f t="shared" ref="E94:N94" si="65">D94*(1+E89)</f>
        <v>26928.3</v>
      </c>
      <c r="F94" s="30">
        <f t="shared" si="65"/>
        <v>28274.715</v>
      </c>
      <c r="G94" s="30">
        <f t="shared" si="65"/>
        <v>29688.45075</v>
      </c>
      <c r="H94" s="30">
        <f t="shared" si="65"/>
        <v>31172.87329</v>
      </c>
      <c r="I94" s="30">
        <f t="shared" si="65"/>
        <v>32731.51695</v>
      </c>
      <c r="J94" s="30">
        <f t="shared" si="65"/>
        <v>34368.0928</v>
      </c>
      <c r="K94" s="30">
        <f t="shared" si="65"/>
        <v>36086.49744</v>
      </c>
      <c r="L94" s="30">
        <f t="shared" si="65"/>
        <v>37890.82231</v>
      </c>
      <c r="M94" s="30">
        <f t="shared" si="65"/>
        <v>39785.36343</v>
      </c>
      <c r="N94" s="30">
        <f t="shared" si="65"/>
        <v>41774.6316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0" customHeight="1">
      <c r="A95" s="3"/>
      <c r="B95" s="24"/>
      <c r="C95" s="28">
        <v>13.0</v>
      </c>
      <c r="D95" s="30">
        <f t="shared" ref="D95:N95" si="66">D93*D94*$C95</f>
        <v>1666990</v>
      </c>
      <c r="E95" s="30">
        <f t="shared" si="66"/>
        <v>1925373.45</v>
      </c>
      <c r="F95" s="30">
        <f t="shared" si="66"/>
        <v>2223806.335</v>
      </c>
      <c r="G95" s="30">
        <f t="shared" si="66"/>
        <v>2568496.317</v>
      </c>
      <c r="H95" s="30">
        <f t="shared" si="66"/>
        <v>2966613.246</v>
      </c>
      <c r="I95" s="30">
        <f t="shared" si="66"/>
        <v>3426438.299</v>
      </c>
      <c r="J95" s="30">
        <f t="shared" si="66"/>
        <v>3957536.235</v>
      </c>
      <c r="K95" s="30">
        <f t="shared" si="66"/>
        <v>4570954.352</v>
      </c>
      <c r="L95" s="30">
        <f t="shared" si="66"/>
        <v>5279452.276</v>
      </c>
      <c r="M95" s="30">
        <f t="shared" si="66"/>
        <v>6097767.379</v>
      </c>
      <c r="N95" s="30">
        <f t="shared" si="66"/>
        <v>7042921.323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0" customHeight="1">
      <c r="A96" s="3"/>
      <c r="B96" s="24" t="s">
        <v>136</v>
      </c>
      <c r="C96" s="23" t="s">
        <v>134</v>
      </c>
      <c r="D96" s="29">
        <v>10.0</v>
      </c>
      <c r="E96" s="42">
        <f t="shared" ref="E96:N96" si="67">D96*(1+$C$88)</f>
        <v>11</v>
      </c>
      <c r="F96" s="42">
        <f t="shared" si="67"/>
        <v>12.1</v>
      </c>
      <c r="G96" s="42">
        <f t="shared" si="67"/>
        <v>13.31</v>
      </c>
      <c r="H96" s="42">
        <f t="shared" si="67"/>
        <v>14.641</v>
      </c>
      <c r="I96" s="42">
        <f t="shared" si="67"/>
        <v>16.1051</v>
      </c>
      <c r="J96" s="42">
        <f t="shared" si="67"/>
        <v>17.71561</v>
      </c>
      <c r="K96" s="42">
        <f t="shared" si="67"/>
        <v>19.487171</v>
      </c>
      <c r="L96" s="42">
        <f t="shared" si="67"/>
        <v>21.4358881</v>
      </c>
      <c r="M96" s="42">
        <f t="shared" si="67"/>
        <v>23.57947691</v>
      </c>
      <c r="N96" s="42">
        <f t="shared" si="67"/>
        <v>25.9374246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0" customHeight="1">
      <c r="A97" s="3"/>
      <c r="B97" s="24"/>
      <c r="C97" s="23" t="s">
        <v>123</v>
      </c>
      <c r="D97" s="43">
        <v>29040.0</v>
      </c>
      <c r="E97" s="30">
        <f t="shared" ref="E97:N97" si="68">D97*(1+E89)</f>
        <v>30492</v>
      </c>
      <c r="F97" s="30">
        <f t="shared" si="68"/>
        <v>32016.6</v>
      </c>
      <c r="G97" s="30">
        <f t="shared" si="68"/>
        <v>33617.43</v>
      </c>
      <c r="H97" s="30">
        <f t="shared" si="68"/>
        <v>35298.3015</v>
      </c>
      <c r="I97" s="30">
        <f t="shared" si="68"/>
        <v>37063.21658</v>
      </c>
      <c r="J97" s="30">
        <f t="shared" si="68"/>
        <v>38916.3774</v>
      </c>
      <c r="K97" s="30">
        <f t="shared" si="68"/>
        <v>40862.19627</v>
      </c>
      <c r="L97" s="30">
        <f t="shared" si="68"/>
        <v>42905.30609</v>
      </c>
      <c r="M97" s="30">
        <f t="shared" si="68"/>
        <v>45050.57139</v>
      </c>
      <c r="N97" s="30">
        <f t="shared" si="68"/>
        <v>47303.09996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0" customHeight="1">
      <c r="A98" s="3"/>
      <c r="B98" s="24"/>
      <c r="C98" s="28">
        <v>13.0</v>
      </c>
      <c r="D98" s="30">
        <f t="shared" ref="D98:N98" si="69">D96*D97*$C98</f>
        <v>3775200</v>
      </c>
      <c r="E98" s="30">
        <f t="shared" si="69"/>
        <v>4360356</v>
      </c>
      <c r="F98" s="30">
        <f t="shared" si="69"/>
        <v>5036211.18</v>
      </c>
      <c r="G98" s="30">
        <f t="shared" si="69"/>
        <v>5816823.913</v>
      </c>
      <c r="H98" s="30">
        <f t="shared" si="69"/>
        <v>6718431.619</v>
      </c>
      <c r="I98" s="30">
        <f t="shared" si="69"/>
        <v>7759788.52</v>
      </c>
      <c r="J98" s="30">
        <f t="shared" si="69"/>
        <v>8962555.741</v>
      </c>
      <c r="K98" s="30">
        <f t="shared" si="69"/>
        <v>10351751.88</v>
      </c>
      <c r="L98" s="30">
        <f t="shared" si="69"/>
        <v>11956273.42</v>
      </c>
      <c r="M98" s="30">
        <f t="shared" si="69"/>
        <v>13809495.8</v>
      </c>
      <c r="N98" s="30">
        <f t="shared" si="69"/>
        <v>15949967.65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0" customHeight="1">
      <c r="A99" s="3"/>
      <c r="B99" s="24" t="s">
        <v>137</v>
      </c>
      <c r="C99" s="23" t="s">
        <v>134</v>
      </c>
      <c r="D99" s="29">
        <v>4.0</v>
      </c>
      <c r="E99" s="42">
        <f t="shared" ref="E99:N99" si="70">D99*(1+$C$88)</f>
        <v>4.4</v>
      </c>
      <c r="F99" s="42">
        <f t="shared" si="70"/>
        <v>4.84</v>
      </c>
      <c r="G99" s="42">
        <f t="shared" si="70"/>
        <v>5.324</v>
      </c>
      <c r="H99" s="42">
        <f t="shared" si="70"/>
        <v>5.8564</v>
      </c>
      <c r="I99" s="42">
        <f t="shared" si="70"/>
        <v>6.44204</v>
      </c>
      <c r="J99" s="42">
        <f t="shared" si="70"/>
        <v>7.086244</v>
      </c>
      <c r="K99" s="42">
        <f t="shared" si="70"/>
        <v>7.7948684</v>
      </c>
      <c r="L99" s="42">
        <f t="shared" si="70"/>
        <v>8.57435524</v>
      </c>
      <c r="M99" s="42">
        <f t="shared" si="70"/>
        <v>9.431790764</v>
      </c>
      <c r="N99" s="42">
        <f t="shared" si="70"/>
        <v>10.37496984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0" customHeight="1">
      <c r="A100" s="3"/>
      <c r="B100" s="24"/>
      <c r="C100" s="23" t="s">
        <v>123</v>
      </c>
      <c r="D100" s="43">
        <v>30208.0</v>
      </c>
      <c r="E100" s="30">
        <f t="shared" ref="E100:N100" si="71">D100*(1+E89)</f>
        <v>31718.4</v>
      </c>
      <c r="F100" s="30">
        <f t="shared" si="71"/>
        <v>33304.32</v>
      </c>
      <c r="G100" s="30">
        <f t="shared" si="71"/>
        <v>34969.536</v>
      </c>
      <c r="H100" s="30">
        <f t="shared" si="71"/>
        <v>36718.0128</v>
      </c>
      <c r="I100" s="30">
        <f t="shared" si="71"/>
        <v>38553.91344</v>
      </c>
      <c r="J100" s="30">
        <f t="shared" si="71"/>
        <v>40481.60911</v>
      </c>
      <c r="K100" s="30">
        <f t="shared" si="71"/>
        <v>42505.68957</v>
      </c>
      <c r="L100" s="30">
        <f t="shared" si="71"/>
        <v>44630.97405</v>
      </c>
      <c r="M100" s="30">
        <f t="shared" si="71"/>
        <v>46862.52275</v>
      </c>
      <c r="N100" s="30">
        <f t="shared" si="71"/>
        <v>49205.64889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0" customHeight="1">
      <c r="A101" s="3"/>
      <c r="B101" s="24"/>
      <c r="C101" s="28">
        <v>13.0</v>
      </c>
      <c r="D101" s="30">
        <f t="shared" ref="D101:N101" si="72">D99*D100*$C101</f>
        <v>1570816</v>
      </c>
      <c r="E101" s="30">
        <f t="shared" si="72"/>
        <v>1814292.48</v>
      </c>
      <c r="F101" s="30">
        <f t="shared" si="72"/>
        <v>2095507.814</v>
      </c>
      <c r="G101" s="30">
        <f t="shared" si="72"/>
        <v>2420311.526</v>
      </c>
      <c r="H101" s="30">
        <f t="shared" si="72"/>
        <v>2795459.812</v>
      </c>
      <c r="I101" s="30">
        <f t="shared" si="72"/>
        <v>3228756.083</v>
      </c>
      <c r="J101" s="30">
        <f t="shared" si="72"/>
        <v>3729213.276</v>
      </c>
      <c r="K101" s="30">
        <f t="shared" si="72"/>
        <v>4307241.334</v>
      </c>
      <c r="L101" s="30">
        <f t="shared" si="72"/>
        <v>4974863.74</v>
      </c>
      <c r="M101" s="30">
        <f t="shared" si="72"/>
        <v>5745967.62</v>
      </c>
      <c r="N101" s="30">
        <f t="shared" si="72"/>
        <v>6636592.601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0" customHeight="1">
      <c r="A102" s="3"/>
      <c r="B102" s="24" t="s">
        <v>138</v>
      </c>
      <c r="C102" s="23" t="s">
        <v>134</v>
      </c>
      <c r="D102" s="29">
        <v>0.0</v>
      </c>
      <c r="E102" s="42">
        <f t="shared" ref="E102:N102" si="73">D102*(1+$C$88)</f>
        <v>0</v>
      </c>
      <c r="F102" s="42">
        <f t="shared" si="73"/>
        <v>0</v>
      </c>
      <c r="G102" s="42">
        <f t="shared" si="73"/>
        <v>0</v>
      </c>
      <c r="H102" s="42">
        <f t="shared" si="73"/>
        <v>0</v>
      </c>
      <c r="I102" s="42">
        <f t="shared" si="73"/>
        <v>0</v>
      </c>
      <c r="J102" s="42">
        <f t="shared" si="73"/>
        <v>0</v>
      </c>
      <c r="K102" s="42">
        <f t="shared" si="73"/>
        <v>0</v>
      </c>
      <c r="L102" s="42">
        <f t="shared" si="73"/>
        <v>0</v>
      </c>
      <c r="M102" s="42">
        <f t="shared" si="73"/>
        <v>0</v>
      </c>
      <c r="N102" s="42">
        <f t="shared" si="73"/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24"/>
      <c r="C103" s="23" t="s">
        <v>123</v>
      </c>
      <c r="D103" s="43">
        <v>35345.0</v>
      </c>
      <c r="E103" s="30">
        <f t="shared" ref="E103:N103" si="74">D103*(1+E89)</f>
        <v>37112.25</v>
      </c>
      <c r="F103" s="30">
        <f t="shared" si="74"/>
        <v>38967.8625</v>
      </c>
      <c r="G103" s="30">
        <f t="shared" si="74"/>
        <v>40916.25563</v>
      </c>
      <c r="H103" s="30">
        <f t="shared" si="74"/>
        <v>42962.06841</v>
      </c>
      <c r="I103" s="30">
        <f t="shared" si="74"/>
        <v>45110.17183</v>
      </c>
      <c r="J103" s="30">
        <f t="shared" si="74"/>
        <v>47365.68042</v>
      </c>
      <c r="K103" s="30">
        <f t="shared" si="74"/>
        <v>49733.96444</v>
      </c>
      <c r="L103" s="30">
        <f t="shared" si="74"/>
        <v>52220.66266</v>
      </c>
      <c r="M103" s="30">
        <f t="shared" si="74"/>
        <v>54831.69579</v>
      </c>
      <c r="N103" s="30">
        <f t="shared" si="74"/>
        <v>57573.28058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0" customHeight="1">
      <c r="A104" s="3"/>
      <c r="B104" s="24"/>
      <c r="C104" s="28">
        <v>13.0</v>
      </c>
      <c r="D104" s="30">
        <f t="shared" ref="D104:N104" si="75">D102*D103*$C104</f>
        <v>0</v>
      </c>
      <c r="E104" s="30">
        <f t="shared" si="75"/>
        <v>0</v>
      </c>
      <c r="F104" s="30">
        <f t="shared" si="75"/>
        <v>0</v>
      </c>
      <c r="G104" s="30">
        <f t="shared" si="75"/>
        <v>0</v>
      </c>
      <c r="H104" s="30">
        <f t="shared" si="75"/>
        <v>0</v>
      </c>
      <c r="I104" s="30">
        <f t="shared" si="75"/>
        <v>0</v>
      </c>
      <c r="J104" s="30">
        <f t="shared" si="75"/>
        <v>0</v>
      </c>
      <c r="K104" s="30">
        <f t="shared" si="75"/>
        <v>0</v>
      </c>
      <c r="L104" s="30">
        <f t="shared" si="75"/>
        <v>0</v>
      </c>
      <c r="M104" s="30">
        <f t="shared" si="75"/>
        <v>0</v>
      </c>
      <c r="N104" s="30">
        <f t="shared" si="75"/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0" customHeight="1">
      <c r="A105" s="3"/>
      <c r="B105" s="24" t="s">
        <v>139</v>
      </c>
      <c r="C105" s="23" t="s">
        <v>134</v>
      </c>
      <c r="D105" s="29">
        <v>0.0</v>
      </c>
      <c r="E105" s="42">
        <f t="shared" ref="E105:N105" si="76">D105*(1+$C$88)</f>
        <v>0</v>
      </c>
      <c r="F105" s="42">
        <f t="shared" si="76"/>
        <v>0</v>
      </c>
      <c r="G105" s="42">
        <f t="shared" si="76"/>
        <v>0</v>
      </c>
      <c r="H105" s="42">
        <f t="shared" si="76"/>
        <v>0</v>
      </c>
      <c r="I105" s="42">
        <f t="shared" si="76"/>
        <v>0</v>
      </c>
      <c r="J105" s="42">
        <f t="shared" si="76"/>
        <v>0</v>
      </c>
      <c r="K105" s="42">
        <f t="shared" si="76"/>
        <v>0</v>
      </c>
      <c r="L105" s="42">
        <f t="shared" si="76"/>
        <v>0</v>
      </c>
      <c r="M105" s="42">
        <f t="shared" si="76"/>
        <v>0</v>
      </c>
      <c r="N105" s="42">
        <f t="shared" si="76"/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0" customHeight="1">
      <c r="A106" s="3"/>
      <c r="B106" s="24"/>
      <c r="C106" s="23" t="s">
        <v>123</v>
      </c>
      <c r="D106" s="43">
        <v>35345.0</v>
      </c>
      <c r="E106" s="30">
        <f t="shared" ref="E106:N106" si="77">D106*(1+E89)</f>
        <v>37112.25</v>
      </c>
      <c r="F106" s="30">
        <f t="shared" si="77"/>
        <v>38967.8625</v>
      </c>
      <c r="G106" s="30">
        <f t="shared" si="77"/>
        <v>40916.25563</v>
      </c>
      <c r="H106" s="30">
        <f t="shared" si="77"/>
        <v>42962.06841</v>
      </c>
      <c r="I106" s="30">
        <f t="shared" si="77"/>
        <v>45110.17183</v>
      </c>
      <c r="J106" s="30">
        <f t="shared" si="77"/>
        <v>47365.68042</v>
      </c>
      <c r="K106" s="30">
        <f t="shared" si="77"/>
        <v>49733.96444</v>
      </c>
      <c r="L106" s="30">
        <f t="shared" si="77"/>
        <v>52220.66266</v>
      </c>
      <c r="M106" s="30">
        <f t="shared" si="77"/>
        <v>54831.69579</v>
      </c>
      <c r="N106" s="30">
        <f t="shared" si="77"/>
        <v>57573.28058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0" customHeight="1">
      <c r="A107" s="3"/>
      <c r="B107" s="24"/>
      <c r="C107" s="28">
        <v>13.0</v>
      </c>
      <c r="D107" s="30">
        <f t="shared" ref="D107:N107" si="78">D105*D106*$C107</f>
        <v>0</v>
      </c>
      <c r="E107" s="30">
        <f t="shared" si="78"/>
        <v>0</v>
      </c>
      <c r="F107" s="30">
        <f t="shared" si="78"/>
        <v>0</v>
      </c>
      <c r="G107" s="30">
        <f t="shared" si="78"/>
        <v>0</v>
      </c>
      <c r="H107" s="30">
        <f t="shared" si="78"/>
        <v>0</v>
      </c>
      <c r="I107" s="30">
        <f t="shared" si="78"/>
        <v>0</v>
      </c>
      <c r="J107" s="30">
        <f t="shared" si="78"/>
        <v>0</v>
      </c>
      <c r="K107" s="30">
        <f t="shared" si="78"/>
        <v>0</v>
      </c>
      <c r="L107" s="30">
        <f t="shared" si="78"/>
        <v>0</v>
      </c>
      <c r="M107" s="30">
        <f t="shared" si="78"/>
        <v>0</v>
      </c>
      <c r="N107" s="30">
        <f t="shared" si="78"/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0" customHeight="1">
      <c r="A108" s="3"/>
      <c r="B108" s="24" t="s">
        <v>140</v>
      </c>
      <c r="C108" s="23" t="s">
        <v>134</v>
      </c>
      <c r="D108" s="29">
        <v>0.0</v>
      </c>
      <c r="E108" s="42">
        <f t="shared" ref="E108:N108" si="79">D108*(1+$C$88)</f>
        <v>0</v>
      </c>
      <c r="F108" s="42">
        <f t="shared" si="79"/>
        <v>0</v>
      </c>
      <c r="G108" s="42">
        <f t="shared" si="79"/>
        <v>0</v>
      </c>
      <c r="H108" s="42">
        <f t="shared" si="79"/>
        <v>0</v>
      </c>
      <c r="I108" s="42">
        <f t="shared" si="79"/>
        <v>0</v>
      </c>
      <c r="J108" s="42">
        <f t="shared" si="79"/>
        <v>0</v>
      </c>
      <c r="K108" s="42">
        <f t="shared" si="79"/>
        <v>0</v>
      </c>
      <c r="L108" s="42">
        <f t="shared" si="79"/>
        <v>0</v>
      </c>
      <c r="M108" s="42">
        <f t="shared" si="79"/>
        <v>0</v>
      </c>
      <c r="N108" s="42">
        <f t="shared" si="79"/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0" customHeight="1">
      <c r="A109" s="3"/>
      <c r="B109" s="24"/>
      <c r="C109" s="23" t="s">
        <v>123</v>
      </c>
      <c r="D109" s="43">
        <v>35345.0</v>
      </c>
      <c r="E109" s="30">
        <f t="shared" ref="E109:N109" si="80">D109*(1+E89)</f>
        <v>37112.25</v>
      </c>
      <c r="F109" s="30">
        <f t="shared" si="80"/>
        <v>38967.8625</v>
      </c>
      <c r="G109" s="30">
        <f t="shared" si="80"/>
        <v>40916.25563</v>
      </c>
      <c r="H109" s="30">
        <f t="shared" si="80"/>
        <v>42962.06841</v>
      </c>
      <c r="I109" s="30">
        <f t="shared" si="80"/>
        <v>45110.17183</v>
      </c>
      <c r="J109" s="30">
        <f t="shared" si="80"/>
        <v>47365.68042</v>
      </c>
      <c r="K109" s="30">
        <f t="shared" si="80"/>
        <v>49733.96444</v>
      </c>
      <c r="L109" s="30">
        <f t="shared" si="80"/>
        <v>52220.66266</v>
      </c>
      <c r="M109" s="30">
        <f t="shared" si="80"/>
        <v>54831.69579</v>
      </c>
      <c r="N109" s="30">
        <f t="shared" si="80"/>
        <v>57573.28058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0" customHeight="1">
      <c r="A110" s="3"/>
      <c r="B110" s="24"/>
      <c r="C110" s="28">
        <v>13.0</v>
      </c>
      <c r="D110" s="30">
        <f t="shared" ref="D110:N110" si="81">D108*D109*$C110</f>
        <v>0</v>
      </c>
      <c r="E110" s="30">
        <f t="shared" si="81"/>
        <v>0</v>
      </c>
      <c r="F110" s="30">
        <f t="shared" si="81"/>
        <v>0</v>
      </c>
      <c r="G110" s="30">
        <f t="shared" si="81"/>
        <v>0</v>
      </c>
      <c r="H110" s="30">
        <f t="shared" si="81"/>
        <v>0</v>
      </c>
      <c r="I110" s="30">
        <f t="shared" si="81"/>
        <v>0</v>
      </c>
      <c r="J110" s="30">
        <f t="shared" si="81"/>
        <v>0</v>
      </c>
      <c r="K110" s="30">
        <f t="shared" si="81"/>
        <v>0</v>
      </c>
      <c r="L110" s="30">
        <f t="shared" si="81"/>
        <v>0</v>
      </c>
      <c r="M110" s="30">
        <f t="shared" si="81"/>
        <v>0</v>
      </c>
      <c r="N110" s="30">
        <f t="shared" si="81"/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0" customHeight="1">
      <c r="A111" s="3"/>
      <c r="B111" s="24" t="s">
        <v>141</v>
      </c>
      <c r="C111" s="23" t="s">
        <v>134</v>
      </c>
      <c r="D111" s="29">
        <v>0.0</v>
      </c>
      <c r="E111" s="42">
        <f t="shared" ref="E111:N111" si="82">D111*(1+$C$88)</f>
        <v>0</v>
      </c>
      <c r="F111" s="42">
        <f t="shared" si="82"/>
        <v>0</v>
      </c>
      <c r="G111" s="42">
        <f t="shared" si="82"/>
        <v>0</v>
      </c>
      <c r="H111" s="42">
        <f t="shared" si="82"/>
        <v>0</v>
      </c>
      <c r="I111" s="42">
        <f t="shared" si="82"/>
        <v>0</v>
      </c>
      <c r="J111" s="42">
        <f t="shared" si="82"/>
        <v>0</v>
      </c>
      <c r="K111" s="42">
        <f t="shared" si="82"/>
        <v>0</v>
      </c>
      <c r="L111" s="42">
        <f t="shared" si="82"/>
        <v>0</v>
      </c>
      <c r="M111" s="42">
        <f t="shared" si="82"/>
        <v>0</v>
      </c>
      <c r="N111" s="42">
        <f t="shared" si="82"/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0" customHeight="1">
      <c r="A112" s="3"/>
      <c r="B112" s="24"/>
      <c r="C112" s="23" t="s">
        <v>123</v>
      </c>
      <c r="D112" s="43">
        <v>35345.0</v>
      </c>
      <c r="E112" s="30">
        <f t="shared" ref="E112:N112" si="83">D112*(1+E89)</f>
        <v>37112.25</v>
      </c>
      <c r="F112" s="30">
        <f t="shared" si="83"/>
        <v>38967.8625</v>
      </c>
      <c r="G112" s="30">
        <f t="shared" si="83"/>
        <v>40916.25563</v>
      </c>
      <c r="H112" s="30">
        <f t="shared" si="83"/>
        <v>42962.06841</v>
      </c>
      <c r="I112" s="30">
        <f t="shared" si="83"/>
        <v>45110.17183</v>
      </c>
      <c r="J112" s="30">
        <f t="shared" si="83"/>
        <v>47365.68042</v>
      </c>
      <c r="K112" s="30">
        <f t="shared" si="83"/>
        <v>49733.96444</v>
      </c>
      <c r="L112" s="30">
        <f t="shared" si="83"/>
        <v>52220.66266</v>
      </c>
      <c r="M112" s="30">
        <f t="shared" si="83"/>
        <v>54831.69579</v>
      </c>
      <c r="N112" s="30">
        <f t="shared" si="83"/>
        <v>57573.28058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0" customHeight="1">
      <c r="A113" s="3"/>
      <c r="B113" s="24"/>
      <c r="C113" s="28">
        <v>13.0</v>
      </c>
      <c r="D113" s="30">
        <f t="shared" ref="D113:N113" si="84">D111*D112*$C113</f>
        <v>0</v>
      </c>
      <c r="E113" s="30">
        <f t="shared" si="84"/>
        <v>0</v>
      </c>
      <c r="F113" s="30">
        <f t="shared" si="84"/>
        <v>0</v>
      </c>
      <c r="G113" s="30">
        <f t="shared" si="84"/>
        <v>0</v>
      </c>
      <c r="H113" s="30">
        <f t="shared" si="84"/>
        <v>0</v>
      </c>
      <c r="I113" s="30">
        <f t="shared" si="84"/>
        <v>0</v>
      </c>
      <c r="J113" s="30">
        <f t="shared" si="84"/>
        <v>0</v>
      </c>
      <c r="K113" s="30">
        <f t="shared" si="84"/>
        <v>0</v>
      </c>
      <c r="L113" s="30">
        <f t="shared" si="84"/>
        <v>0</v>
      </c>
      <c r="M113" s="30">
        <f t="shared" si="84"/>
        <v>0</v>
      </c>
      <c r="N113" s="30">
        <f t="shared" si="84"/>
        <v>0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0" customHeight="1">
      <c r="A114" s="3"/>
      <c r="B114" s="24" t="s">
        <v>142</v>
      </c>
      <c r="C114" s="23" t="s">
        <v>134</v>
      </c>
      <c r="D114" s="29">
        <v>7.0</v>
      </c>
      <c r="E114" s="42">
        <f t="shared" ref="E114:N114" si="85">D114*(1+$C$88)</f>
        <v>7.7</v>
      </c>
      <c r="F114" s="42">
        <f t="shared" si="85"/>
        <v>8.47</v>
      </c>
      <c r="G114" s="42">
        <f t="shared" si="85"/>
        <v>9.317</v>
      </c>
      <c r="H114" s="42">
        <f t="shared" si="85"/>
        <v>10.2487</v>
      </c>
      <c r="I114" s="42">
        <f t="shared" si="85"/>
        <v>11.27357</v>
      </c>
      <c r="J114" s="42">
        <f t="shared" si="85"/>
        <v>12.400927</v>
      </c>
      <c r="K114" s="42">
        <f t="shared" si="85"/>
        <v>13.6410197</v>
      </c>
      <c r="L114" s="42">
        <f t="shared" si="85"/>
        <v>15.00512167</v>
      </c>
      <c r="M114" s="42">
        <f t="shared" si="85"/>
        <v>16.50563384</v>
      </c>
      <c r="N114" s="42">
        <f t="shared" si="85"/>
        <v>18.15619722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0" customHeight="1">
      <c r="A115" s="3"/>
      <c r="B115" s="24"/>
      <c r="C115" s="23" t="s">
        <v>123</v>
      </c>
      <c r="D115" s="43">
        <v>60660.0</v>
      </c>
      <c r="E115" s="30">
        <f t="shared" ref="E115:N115" si="86">D115*(1+E89)</f>
        <v>63693</v>
      </c>
      <c r="F115" s="30">
        <f t="shared" si="86"/>
        <v>66877.65</v>
      </c>
      <c r="G115" s="30">
        <f t="shared" si="86"/>
        <v>70221.5325</v>
      </c>
      <c r="H115" s="30">
        <f t="shared" si="86"/>
        <v>73732.60913</v>
      </c>
      <c r="I115" s="30">
        <f t="shared" si="86"/>
        <v>77419.23958</v>
      </c>
      <c r="J115" s="30">
        <f t="shared" si="86"/>
        <v>81290.20156</v>
      </c>
      <c r="K115" s="30">
        <f t="shared" si="86"/>
        <v>85354.71164</v>
      </c>
      <c r="L115" s="30">
        <f t="shared" si="86"/>
        <v>89622.44722</v>
      </c>
      <c r="M115" s="30">
        <f t="shared" si="86"/>
        <v>94103.56958</v>
      </c>
      <c r="N115" s="30">
        <f t="shared" si="86"/>
        <v>98808.74806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0" customHeight="1">
      <c r="A116" s="3"/>
      <c r="B116" s="24"/>
      <c r="C116" s="28">
        <v>13.0</v>
      </c>
      <c r="D116" s="30">
        <f t="shared" ref="D116:N116" si="87">D114*D115*$C116</f>
        <v>5520060</v>
      </c>
      <c r="E116" s="30">
        <f t="shared" si="87"/>
        <v>6375669.3</v>
      </c>
      <c r="F116" s="30">
        <f t="shared" si="87"/>
        <v>7363898.042</v>
      </c>
      <c r="G116" s="30">
        <f t="shared" si="87"/>
        <v>8505302.238</v>
      </c>
      <c r="H116" s="30">
        <f t="shared" si="87"/>
        <v>9823624.085</v>
      </c>
      <c r="I116" s="30">
        <f t="shared" si="87"/>
        <v>11346285.82</v>
      </c>
      <c r="J116" s="30">
        <f t="shared" si="87"/>
        <v>13104960.12</v>
      </c>
      <c r="K116" s="30">
        <f t="shared" si="87"/>
        <v>15136228.94</v>
      </c>
      <c r="L116" s="30">
        <f t="shared" si="87"/>
        <v>17482344.42</v>
      </c>
      <c r="M116" s="30">
        <f t="shared" si="87"/>
        <v>20192107.81</v>
      </c>
      <c r="N116" s="30">
        <f t="shared" si="87"/>
        <v>23321884.52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0" customHeight="1">
      <c r="A117" s="3"/>
      <c r="B117" s="24" t="s">
        <v>143</v>
      </c>
      <c r="C117" s="23" t="s">
        <v>134</v>
      </c>
      <c r="D117" s="29">
        <v>15.0</v>
      </c>
      <c r="E117" s="42">
        <f t="shared" ref="E117:N117" si="88">D117*(1+$C$88)</f>
        <v>16.5</v>
      </c>
      <c r="F117" s="42">
        <f t="shared" si="88"/>
        <v>18.15</v>
      </c>
      <c r="G117" s="42">
        <f t="shared" si="88"/>
        <v>19.965</v>
      </c>
      <c r="H117" s="42">
        <f t="shared" si="88"/>
        <v>21.9615</v>
      </c>
      <c r="I117" s="42">
        <f t="shared" si="88"/>
        <v>24.15765</v>
      </c>
      <c r="J117" s="42">
        <f t="shared" si="88"/>
        <v>26.573415</v>
      </c>
      <c r="K117" s="42">
        <f t="shared" si="88"/>
        <v>29.2307565</v>
      </c>
      <c r="L117" s="42">
        <f t="shared" si="88"/>
        <v>32.15383215</v>
      </c>
      <c r="M117" s="42">
        <f t="shared" si="88"/>
        <v>35.36921537</v>
      </c>
      <c r="N117" s="42">
        <f t="shared" si="88"/>
        <v>38.9061369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0" customHeight="1">
      <c r="A118" s="3"/>
      <c r="B118" s="24"/>
      <c r="C118" s="23" t="s">
        <v>123</v>
      </c>
      <c r="D118" s="43">
        <v>60660.0</v>
      </c>
      <c r="E118" s="30">
        <f t="shared" ref="E118:N118" si="89">D118*(1+E89)</f>
        <v>63693</v>
      </c>
      <c r="F118" s="30">
        <f t="shared" si="89"/>
        <v>66877.65</v>
      </c>
      <c r="G118" s="30">
        <f t="shared" si="89"/>
        <v>70221.5325</v>
      </c>
      <c r="H118" s="30">
        <f t="shared" si="89"/>
        <v>73732.60913</v>
      </c>
      <c r="I118" s="30">
        <f t="shared" si="89"/>
        <v>77419.23958</v>
      </c>
      <c r="J118" s="30">
        <f t="shared" si="89"/>
        <v>81290.20156</v>
      </c>
      <c r="K118" s="30">
        <f t="shared" si="89"/>
        <v>85354.71164</v>
      </c>
      <c r="L118" s="30">
        <f t="shared" si="89"/>
        <v>89622.44722</v>
      </c>
      <c r="M118" s="30">
        <f t="shared" si="89"/>
        <v>94103.56958</v>
      </c>
      <c r="N118" s="30">
        <f t="shared" si="89"/>
        <v>98808.74806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0" customHeight="1">
      <c r="A119" s="3"/>
      <c r="B119" s="24"/>
      <c r="C119" s="28">
        <v>13.0</v>
      </c>
      <c r="D119" s="30">
        <f t="shared" ref="D119:N119" si="90">D117*D118*$C119</f>
        <v>11828700</v>
      </c>
      <c r="E119" s="30">
        <f t="shared" si="90"/>
        <v>13662148.5</v>
      </c>
      <c r="F119" s="30">
        <f t="shared" si="90"/>
        <v>15779781.52</v>
      </c>
      <c r="G119" s="30">
        <f t="shared" si="90"/>
        <v>18225647.65</v>
      </c>
      <c r="H119" s="30">
        <f t="shared" si="90"/>
        <v>21050623.04</v>
      </c>
      <c r="I119" s="30">
        <f t="shared" si="90"/>
        <v>24313469.61</v>
      </c>
      <c r="J119" s="30">
        <f t="shared" si="90"/>
        <v>28082057.4</v>
      </c>
      <c r="K119" s="30">
        <f t="shared" si="90"/>
        <v>32434776.3</v>
      </c>
      <c r="L119" s="30">
        <f t="shared" si="90"/>
        <v>37462166.62</v>
      </c>
      <c r="M119" s="30">
        <f t="shared" si="90"/>
        <v>43268802.45</v>
      </c>
      <c r="N119" s="30">
        <f t="shared" si="90"/>
        <v>49975466.83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0" customHeight="1">
      <c r="A120" s="3"/>
      <c r="B120" s="24" t="s">
        <v>144</v>
      </c>
      <c r="C120" s="23" t="s">
        <v>134</v>
      </c>
      <c r="D120" s="29">
        <v>4.0</v>
      </c>
      <c r="E120" s="42">
        <f t="shared" ref="E120:N120" si="91">D120*(1+$C$88)</f>
        <v>4.4</v>
      </c>
      <c r="F120" s="42">
        <f t="shared" si="91"/>
        <v>4.84</v>
      </c>
      <c r="G120" s="42">
        <f t="shared" si="91"/>
        <v>5.324</v>
      </c>
      <c r="H120" s="42">
        <f t="shared" si="91"/>
        <v>5.8564</v>
      </c>
      <c r="I120" s="42">
        <f t="shared" si="91"/>
        <v>6.44204</v>
      </c>
      <c r="J120" s="42">
        <f t="shared" si="91"/>
        <v>7.086244</v>
      </c>
      <c r="K120" s="42">
        <f t="shared" si="91"/>
        <v>7.7948684</v>
      </c>
      <c r="L120" s="42">
        <f t="shared" si="91"/>
        <v>8.57435524</v>
      </c>
      <c r="M120" s="42">
        <f t="shared" si="91"/>
        <v>9.431790764</v>
      </c>
      <c r="N120" s="42">
        <f t="shared" si="91"/>
        <v>10.37496984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0" customHeight="1">
      <c r="A121" s="3"/>
      <c r="B121" s="24"/>
      <c r="C121" s="23" t="s">
        <v>123</v>
      </c>
      <c r="D121" s="43">
        <v>60660.0</v>
      </c>
      <c r="E121" s="30">
        <f t="shared" ref="E121:N121" si="92">D121*(1+E89)</f>
        <v>63693</v>
      </c>
      <c r="F121" s="30">
        <f t="shared" si="92"/>
        <v>66877.65</v>
      </c>
      <c r="G121" s="30">
        <f t="shared" si="92"/>
        <v>70221.5325</v>
      </c>
      <c r="H121" s="30">
        <f t="shared" si="92"/>
        <v>73732.60913</v>
      </c>
      <c r="I121" s="30">
        <f t="shared" si="92"/>
        <v>77419.23958</v>
      </c>
      <c r="J121" s="30">
        <f t="shared" si="92"/>
        <v>81290.20156</v>
      </c>
      <c r="K121" s="30">
        <f t="shared" si="92"/>
        <v>85354.71164</v>
      </c>
      <c r="L121" s="30">
        <f t="shared" si="92"/>
        <v>89622.44722</v>
      </c>
      <c r="M121" s="30">
        <f t="shared" si="92"/>
        <v>94103.56958</v>
      </c>
      <c r="N121" s="30">
        <f t="shared" si="92"/>
        <v>98808.74806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4"/>
      <c r="C122" s="28">
        <v>13.0</v>
      </c>
      <c r="D122" s="30">
        <f t="shared" ref="D122:N122" si="93">D120*D121*$C122</f>
        <v>3154320</v>
      </c>
      <c r="E122" s="30">
        <f t="shared" si="93"/>
        <v>3643239.6</v>
      </c>
      <c r="F122" s="30">
        <f t="shared" si="93"/>
        <v>4207941.738</v>
      </c>
      <c r="G122" s="30">
        <f t="shared" si="93"/>
        <v>4860172.707</v>
      </c>
      <c r="H122" s="30">
        <f t="shared" si="93"/>
        <v>5613499.477</v>
      </c>
      <c r="I122" s="30">
        <f t="shared" si="93"/>
        <v>6483591.896</v>
      </c>
      <c r="J122" s="30">
        <f t="shared" si="93"/>
        <v>7488548.64</v>
      </c>
      <c r="K122" s="30">
        <f t="shared" si="93"/>
        <v>8649273.679</v>
      </c>
      <c r="L122" s="30">
        <f t="shared" si="93"/>
        <v>9989911.099</v>
      </c>
      <c r="M122" s="30">
        <f t="shared" si="93"/>
        <v>11538347.32</v>
      </c>
      <c r="N122" s="30">
        <f t="shared" si="93"/>
        <v>13326791.15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0" customHeight="1">
      <c r="A123" s="3"/>
      <c r="B123" s="24" t="s">
        <v>145</v>
      </c>
      <c r="C123" s="23" t="s">
        <v>134</v>
      </c>
      <c r="D123" s="29">
        <v>4.0</v>
      </c>
      <c r="E123" s="42">
        <f t="shared" ref="E123:N123" si="94">D123*(1+$C$88)</f>
        <v>4.4</v>
      </c>
      <c r="F123" s="42">
        <f t="shared" si="94"/>
        <v>4.84</v>
      </c>
      <c r="G123" s="42">
        <f t="shared" si="94"/>
        <v>5.324</v>
      </c>
      <c r="H123" s="42">
        <f t="shared" si="94"/>
        <v>5.8564</v>
      </c>
      <c r="I123" s="42">
        <f t="shared" si="94"/>
        <v>6.44204</v>
      </c>
      <c r="J123" s="42">
        <f t="shared" si="94"/>
        <v>7.086244</v>
      </c>
      <c r="K123" s="42">
        <f t="shared" si="94"/>
        <v>7.7948684</v>
      </c>
      <c r="L123" s="42">
        <f t="shared" si="94"/>
        <v>8.57435524</v>
      </c>
      <c r="M123" s="42">
        <f t="shared" si="94"/>
        <v>9.431790764</v>
      </c>
      <c r="N123" s="42">
        <f t="shared" si="94"/>
        <v>10.37496984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0" customHeight="1">
      <c r="A124" s="3"/>
      <c r="B124" s="24"/>
      <c r="C124" s="23" t="s">
        <v>123</v>
      </c>
      <c r="D124" s="43">
        <v>70000.0</v>
      </c>
      <c r="E124" s="30">
        <f t="shared" ref="E124:N124" si="95">D124*(1+E89)</f>
        <v>73500</v>
      </c>
      <c r="F124" s="30">
        <f t="shared" si="95"/>
        <v>77175</v>
      </c>
      <c r="G124" s="30">
        <f t="shared" si="95"/>
        <v>81033.75</v>
      </c>
      <c r="H124" s="30">
        <f t="shared" si="95"/>
        <v>85085.4375</v>
      </c>
      <c r="I124" s="30">
        <f t="shared" si="95"/>
        <v>89339.70938</v>
      </c>
      <c r="J124" s="30">
        <f t="shared" si="95"/>
        <v>93806.69484</v>
      </c>
      <c r="K124" s="30">
        <f t="shared" si="95"/>
        <v>98497.02959</v>
      </c>
      <c r="L124" s="30">
        <f t="shared" si="95"/>
        <v>103421.8811</v>
      </c>
      <c r="M124" s="30">
        <f t="shared" si="95"/>
        <v>108592.9751</v>
      </c>
      <c r="N124" s="30">
        <f t="shared" si="95"/>
        <v>114022.6239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0" customHeight="1">
      <c r="A125" s="3"/>
      <c r="B125" s="24"/>
      <c r="C125" s="28">
        <v>13.0</v>
      </c>
      <c r="D125" s="30">
        <f t="shared" ref="D125:N125" si="96">D123*D124*$C125</f>
        <v>3640000</v>
      </c>
      <c r="E125" s="30">
        <f t="shared" si="96"/>
        <v>4204200</v>
      </c>
      <c r="F125" s="30">
        <f t="shared" si="96"/>
        <v>4855851</v>
      </c>
      <c r="G125" s="30">
        <f t="shared" si="96"/>
        <v>5608507.905</v>
      </c>
      <c r="H125" s="30">
        <f t="shared" si="96"/>
        <v>6477826.63</v>
      </c>
      <c r="I125" s="30">
        <f t="shared" si="96"/>
        <v>7481889.758</v>
      </c>
      <c r="J125" s="30">
        <f t="shared" si="96"/>
        <v>8641582.67</v>
      </c>
      <c r="K125" s="30">
        <f t="shared" si="96"/>
        <v>9981027.984</v>
      </c>
      <c r="L125" s="30">
        <f t="shared" si="96"/>
        <v>11528087.32</v>
      </c>
      <c r="M125" s="30">
        <f t="shared" si="96"/>
        <v>13314940.86</v>
      </c>
      <c r="N125" s="30">
        <f t="shared" si="96"/>
        <v>15378756.69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0" customHeight="1">
      <c r="A126" s="3"/>
      <c r="B126" s="24" t="s">
        <v>146</v>
      </c>
      <c r="C126" s="23" t="s">
        <v>134</v>
      </c>
      <c r="D126" s="29">
        <v>2.0</v>
      </c>
      <c r="E126" s="42">
        <f t="shared" ref="E126:N126" si="97">D126*(1+$C$88)</f>
        <v>2.2</v>
      </c>
      <c r="F126" s="42">
        <f t="shared" si="97"/>
        <v>2.42</v>
      </c>
      <c r="G126" s="42">
        <f t="shared" si="97"/>
        <v>2.662</v>
      </c>
      <c r="H126" s="42">
        <f t="shared" si="97"/>
        <v>2.9282</v>
      </c>
      <c r="I126" s="42">
        <f t="shared" si="97"/>
        <v>3.22102</v>
      </c>
      <c r="J126" s="42">
        <f t="shared" si="97"/>
        <v>3.543122</v>
      </c>
      <c r="K126" s="42">
        <f t="shared" si="97"/>
        <v>3.8974342</v>
      </c>
      <c r="L126" s="42">
        <f t="shared" si="97"/>
        <v>4.28717762</v>
      </c>
      <c r="M126" s="42">
        <f t="shared" si="97"/>
        <v>4.715895382</v>
      </c>
      <c r="N126" s="42">
        <f t="shared" si="97"/>
        <v>5.18748492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0" customHeight="1">
      <c r="A127" s="3"/>
      <c r="B127" s="24"/>
      <c r="C127" s="23" t="s">
        <v>123</v>
      </c>
      <c r="D127" s="43">
        <v>50333.0</v>
      </c>
      <c r="E127" s="30">
        <f t="shared" ref="E127:N127" si="98">D127*(1+E89)</f>
        <v>52849.65</v>
      </c>
      <c r="F127" s="30">
        <f t="shared" si="98"/>
        <v>55492.1325</v>
      </c>
      <c r="G127" s="30">
        <f t="shared" si="98"/>
        <v>58266.73913</v>
      </c>
      <c r="H127" s="30">
        <f t="shared" si="98"/>
        <v>61180.07608</v>
      </c>
      <c r="I127" s="30">
        <f t="shared" si="98"/>
        <v>64239.07989</v>
      </c>
      <c r="J127" s="30">
        <f t="shared" si="98"/>
        <v>67451.03388</v>
      </c>
      <c r="K127" s="30">
        <f t="shared" si="98"/>
        <v>70823.58557</v>
      </c>
      <c r="L127" s="30">
        <f t="shared" si="98"/>
        <v>74364.76485</v>
      </c>
      <c r="M127" s="30">
        <f t="shared" si="98"/>
        <v>78083.00309</v>
      </c>
      <c r="N127" s="30">
        <f t="shared" si="98"/>
        <v>81987.15325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0" customHeight="1">
      <c r="A128" s="3"/>
      <c r="B128" s="24"/>
      <c r="C128" s="28">
        <v>13.0</v>
      </c>
      <c r="D128" s="30">
        <f t="shared" ref="D128:N128" si="99">D126*D127*$C128</f>
        <v>1308658</v>
      </c>
      <c r="E128" s="30">
        <f t="shared" si="99"/>
        <v>1511499.99</v>
      </c>
      <c r="F128" s="30">
        <f t="shared" si="99"/>
        <v>1745782.488</v>
      </c>
      <c r="G128" s="30">
        <f t="shared" si="99"/>
        <v>2016378.774</v>
      </c>
      <c r="H128" s="30">
        <f t="shared" si="99"/>
        <v>2328917.484</v>
      </c>
      <c r="I128" s="30">
        <f t="shared" si="99"/>
        <v>2689899.694</v>
      </c>
      <c r="J128" s="30">
        <f t="shared" si="99"/>
        <v>3106834.147</v>
      </c>
      <c r="K128" s="30">
        <f t="shared" si="99"/>
        <v>3588393.44</v>
      </c>
      <c r="L128" s="30">
        <f t="shared" si="99"/>
        <v>4144594.423</v>
      </c>
      <c r="M128" s="30">
        <f t="shared" si="99"/>
        <v>4787006.558</v>
      </c>
      <c r="N128" s="30">
        <f t="shared" si="99"/>
        <v>5528992.575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0" customHeight="1">
      <c r="A129" s="3"/>
      <c r="B129" s="24" t="s">
        <v>147</v>
      </c>
      <c r="C129" s="23" t="s">
        <v>134</v>
      </c>
      <c r="D129" s="29">
        <v>4.0</v>
      </c>
      <c r="E129" s="42">
        <f t="shared" ref="E129:N129" si="100">D129*(1+$C$88)</f>
        <v>4.4</v>
      </c>
      <c r="F129" s="42">
        <f t="shared" si="100"/>
        <v>4.84</v>
      </c>
      <c r="G129" s="42">
        <f t="shared" si="100"/>
        <v>5.324</v>
      </c>
      <c r="H129" s="42">
        <f t="shared" si="100"/>
        <v>5.8564</v>
      </c>
      <c r="I129" s="42">
        <f t="shared" si="100"/>
        <v>6.44204</v>
      </c>
      <c r="J129" s="42">
        <f t="shared" si="100"/>
        <v>7.086244</v>
      </c>
      <c r="K129" s="42">
        <f t="shared" si="100"/>
        <v>7.7948684</v>
      </c>
      <c r="L129" s="42">
        <f t="shared" si="100"/>
        <v>8.57435524</v>
      </c>
      <c r="M129" s="42">
        <f t="shared" si="100"/>
        <v>9.431790764</v>
      </c>
      <c r="N129" s="42">
        <f t="shared" si="100"/>
        <v>10.37496984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0" customHeight="1">
      <c r="A130" s="3"/>
      <c r="B130" s="24"/>
      <c r="C130" s="23" t="s">
        <v>123</v>
      </c>
      <c r="D130" s="43">
        <v>50333.0</v>
      </c>
      <c r="E130" s="30">
        <f t="shared" ref="E130:N130" si="101">D130*(1+E89)</f>
        <v>52849.65</v>
      </c>
      <c r="F130" s="30">
        <f t="shared" si="101"/>
        <v>55492.1325</v>
      </c>
      <c r="G130" s="30">
        <f t="shared" si="101"/>
        <v>58266.73913</v>
      </c>
      <c r="H130" s="30">
        <f t="shared" si="101"/>
        <v>61180.07608</v>
      </c>
      <c r="I130" s="30">
        <f t="shared" si="101"/>
        <v>64239.07989</v>
      </c>
      <c r="J130" s="30">
        <f t="shared" si="101"/>
        <v>67451.03388</v>
      </c>
      <c r="K130" s="30">
        <f t="shared" si="101"/>
        <v>70823.58557</v>
      </c>
      <c r="L130" s="30">
        <f t="shared" si="101"/>
        <v>74364.76485</v>
      </c>
      <c r="M130" s="30">
        <f t="shared" si="101"/>
        <v>78083.00309</v>
      </c>
      <c r="N130" s="30">
        <f t="shared" si="101"/>
        <v>81987.15325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0" customHeight="1">
      <c r="A131" s="3"/>
      <c r="B131" s="24"/>
      <c r="C131" s="28">
        <v>13.0</v>
      </c>
      <c r="D131" s="30">
        <f t="shared" ref="D131:N131" si="102">D129*D130*$C131</f>
        <v>2617316</v>
      </c>
      <c r="E131" s="30">
        <f t="shared" si="102"/>
        <v>3022999.98</v>
      </c>
      <c r="F131" s="30">
        <f t="shared" si="102"/>
        <v>3491564.977</v>
      </c>
      <c r="G131" s="30">
        <f t="shared" si="102"/>
        <v>4032757.548</v>
      </c>
      <c r="H131" s="30">
        <f t="shared" si="102"/>
        <v>4657834.968</v>
      </c>
      <c r="I131" s="30">
        <f t="shared" si="102"/>
        <v>5379799.388</v>
      </c>
      <c r="J131" s="30">
        <f t="shared" si="102"/>
        <v>6213668.294</v>
      </c>
      <c r="K131" s="30">
        <f t="shared" si="102"/>
        <v>7176786.879</v>
      </c>
      <c r="L131" s="30">
        <f t="shared" si="102"/>
        <v>8289188.845</v>
      </c>
      <c r="M131" s="30">
        <f t="shared" si="102"/>
        <v>9574013.116</v>
      </c>
      <c r="N131" s="30">
        <f t="shared" si="102"/>
        <v>11057985.15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0" customHeight="1">
      <c r="A132" s="3"/>
      <c r="B132" s="24" t="s">
        <v>148</v>
      </c>
      <c r="C132" s="23" t="s">
        <v>134</v>
      </c>
      <c r="D132" s="29">
        <v>2.0</v>
      </c>
      <c r="E132" s="42">
        <f t="shared" ref="E132:N132" si="103">D132*(1+$C$88)</f>
        <v>2.2</v>
      </c>
      <c r="F132" s="42">
        <f t="shared" si="103"/>
        <v>2.42</v>
      </c>
      <c r="G132" s="42">
        <f t="shared" si="103"/>
        <v>2.662</v>
      </c>
      <c r="H132" s="42">
        <f t="shared" si="103"/>
        <v>2.9282</v>
      </c>
      <c r="I132" s="42">
        <f t="shared" si="103"/>
        <v>3.22102</v>
      </c>
      <c r="J132" s="42">
        <f t="shared" si="103"/>
        <v>3.543122</v>
      </c>
      <c r="K132" s="42">
        <f t="shared" si="103"/>
        <v>3.8974342</v>
      </c>
      <c r="L132" s="42">
        <f t="shared" si="103"/>
        <v>4.28717762</v>
      </c>
      <c r="M132" s="42">
        <f t="shared" si="103"/>
        <v>4.715895382</v>
      </c>
      <c r="N132" s="42">
        <f t="shared" si="103"/>
        <v>5.18748492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0" customHeight="1">
      <c r="A133" s="3"/>
      <c r="B133" s="24"/>
      <c r="C133" s="23" t="s">
        <v>123</v>
      </c>
      <c r="D133" s="43">
        <v>50333.0</v>
      </c>
      <c r="E133" s="30">
        <f t="shared" ref="E133:N133" si="104">D133*(1+E89)</f>
        <v>52849.65</v>
      </c>
      <c r="F133" s="30">
        <f t="shared" si="104"/>
        <v>55492.1325</v>
      </c>
      <c r="G133" s="30">
        <f t="shared" si="104"/>
        <v>58266.73913</v>
      </c>
      <c r="H133" s="30">
        <f t="shared" si="104"/>
        <v>61180.07608</v>
      </c>
      <c r="I133" s="30">
        <f t="shared" si="104"/>
        <v>64239.07989</v>
      </c>
      <c r="J133" s="30">
        <f t="shared" si="104"/>
        <v>67451.03388</v>
      </c>
      <c r="K133" s="30">
        <f t="shared" si="104"/>
        <v>70823.58557</v>
      </c>
      <c r="L133" s="30">
        <f t="shared" si="104"/>
        <v>74364.76485</v>
      </c>
      <c r="M133" s="30">
        <f t="shared" si="104"/>
        <v>78083.00309</v>
      </c>
      <c r="N133" s="30">
        <f t="shared" si="104"/>
        <v>81987.15325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0" customHeight="1">
      <c r="A134" s="3"/>
      <c r="B134" s="24"/>
      <c r="C134" s="28">
        <v>13.0</v>
      </c>
      <c r="D134" s="30">
        <f t="shared" ref="D134:N134" si="105">D132*D133*$C134</f>
        <v>1308658</v>
      </c>
      <c r="E134" s="30">
        <f t="shared" si="105"/>
        <v>1511499.99</v>
      </c>
      <c r="F134" s="30">
        <f t="shared" si="105"/>
        <v>1745782.488</v>
      </c>
      <c r="G134" s="30">
        <f t="shared" si="105"/>
        <v>2016378.774</v>
      </c>
      <c r="H134" s="30">
        <f t="shared" si="105"/>
        <v>2328917.484</v>
      </c>
      <c r="I134" s="30">
        <f t="shared" si="105"/>
        <v>2689899.694</v>
      </c>
      <c r="J134" s="30">
        <f t="shared" si="105"/>
        <v>3106834.147</v>
      </c>
      <c r="K134" s="30">
        <f t="shared" si="105"/>
        <v>3588393.44</v>
      </c>
      <c r="L134" s="30">
        <f t="shared" si="105"/>
        <v>4144594.423</v>
      </c>
      <c r="M134" s="30">
        <f t="shared" si="105"/>
        <v>4787006.558</v>
      </c>
      <c r="N134" s="30">
        <f t="shared" si="105"/>
        <v>5528992.575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0" customHeight="1">
      <c r="A135" s="3"/>
      <c r="B135" s="24" t="s">
        <v>149</v>
      </c>
      <c r="C135" s="23"/>
      <c r="D135" s="30">
        <f t="shared" ref="D135:N135" si="106">D92+D95+D98+D101+D104+D107+D110+D113+D116+D119+D122+D125+D128+D131+D134</f>
        <v>54684968</v>
      </c>
      <c r="E135" s="30">
        <f t="shared" si="106"/>
        <v>63161138.04</v>
      </c>
      <c r="F135" s="30">
        <f t="shared" si="106"/>
        <v>72951114.44</v>
      </c>
      <c r="G135" s="30">
        <f t="shared" si="106"/>
        <v>84258537.17</v>
      </c>
      <c r="H135" s="30">
        <f t="shared" si="106"/>
        <v>97318610.44</v>
      </c>
      <c r="I135" s="30">
        <f t="shared" si="106"/>
        <v>112402995.1</v>
      </c>
      <c r="J135" s="30">
        <f t="shared" si="106"/>
        <v>129825459.3</v>
      </c>
      <c r="K135" s="30">
        <f t="shared" si="106"/>
        <v>149948405.5</v>
      </c>
      <c r="L135" s="30">
        <f t="shared" si="106"/>
        <v>173190408.3</v>
      </c>
      <c r="M135" s="30">
        <f t="shared" si="106"/>
        <v>200034921.6</v>
      </c>
      <c r="N135" s="30">
        <f t="shared" si="106"/>
        <v>231040334.5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0" customHeight="1">
      <c r="A136" s="3"/>
      <c r="B136" s="24" t="s">
        <v>150</v>
      </c>
      <c r="C136" s="33">
        <v>0.1</v>
      </c>
      <c r="D136" s="30">
        <f t="shared" ref="D136:N136" si="107">D135*$C136</f>
        <v>5468496.8</v>
      </c>
      <c r="E136" s="30">
        <f t="shared" si="107"/>
        <v>6316113.804</v>
      </c>
      <c r="F136" s="30">
        <f t="shared" si="107"/>
        <v>7295111.444</v>
      </c>
      <c r="G136" s="30">
        <f t="shared" si="107"/>
        <v>8425853.717</v>
      </c>
      <c r="H136" s="30">
        <f t="shared" si="107"/>
        <v>9731861.044</v>
      </c>
      <c r="I136" s="30">
        <f t="shared" si="107"/>
        <v>11240299.51</v>
      </c>
      <c r="J136" s="30">
        <f t="shared" si="107"/>
        <v>12982545.93</v>
      </c>
      <c r="K136" s="30">
        <f t="shared" si="107"/>
        <v>14994840.55</v>
      </c>
      <c r="L136" s="30">
        <f t="shared" si="107"/>
        <v>17319040.83</v>
      </c>
      <c r="M136" s="30">
        <f t="shared" si="107"/>
        <v>20003492.16</v>
      </c>
      <c r="N136" s="30">
        <f t="shared" si="107"/>
        <v>23104033.45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0" customHeight="1">
      <c r="A137" s="3"/>
      <c r="B137" s="24" t="s">
        <v>151</v>
      </c>
      <c r="C137" s="23"/>
      <c r="D137" s="30">
        <f t="shared" ref="D137:N137" si="108">D90+D93+D96+D99+D102+D105+D108+D111+D114+D117+D120+D123+D126+D129+D132</f>
        <v>70</v>
      </c>
      <c r="E137" s="30">
        <f t="shared" si="108"/>
        <v>77</v>
      </c>
      <c r="F137" s="30">
        <f t="shared" si="108"/>
        <v>84.7</v>
      </c>
      <c r="G137" s="30">
        <f t="shared" si="108"/>
        <v>93.17</v>
      </c>
      <c r="H137" s="30">
        <f t="shared" si="108"/>
        <v>102.487</v>
      </c>
      <c r="I137" s="30">
        <f t="shared" si="108"/>
        <v>112.7357</v>
      </c>
      <c r="J137" s="30">
        <f t="shared" si="108"/>
        <v>124.00927</v>
      </c>
      <c r="K137" s="30">
        <f t="shared" si="108"/>
        <v>136.410197</v>
      </c>
      <c r="L137" s="30">
        <f t="shared" si="108"/>
        <v>150.0512167</v>
      </c>
      <c r="M137" s="30">
        <f t="shared" si="108"/>
        <v>165.0563384</v>
      </c>
      <c r="N137" s="30">
        <f t="shared" si="108"/>
        <v>181.5619722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0" customHeight="1">
      <c r="A138" s="3"/>
      <c r="B138" s="27"/>
      <c r="C138" s="3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0" customHeight="1">
      <c r="A139" s="3"/>
      <c r="B139" s="20" t="s">
        <v>152</v>
      </c>
      <c r="C139" s="3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0" customHeight="1">
      <c r="A140" s="3"/>
      <c r="B140" s="24" t="s">
        <v>153</v>
      </c>
      <c r="C140" s="23" t="s">
        <v>154</v>
      </c>
      <c r="D140" s="29">
        <v>1.0</v>
      </c>
      <c r="E140" s="29">
        <v>1.0</v>
      </c>
      <c r="F140" s="29">
        <v>1.0</v>
      </c>
      <c r="G140" s="29">
        <v>1.0</v>
      </c>
      <c r="H140" s="29">
        <v>1.0</v>
      </c>
      <c r="I140" s="29">
        <v>1.0</v>
      </c>
      <c r="J140" s="29">
        <v>1.0</v>
      </c>
      <c r="K140" s="29">
        <v>1.0</v>
      </c>
      <c r="L140" s="29">
        <v>1.0</v>
      </c>
      <c r="M140" s="29">
        <v>1.0</v>
      </c>
      <c r="N140" s="29">
        <v>1.0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0" customHeight="1">
      <c r="A141" s="3"/>
      <c r="B141" s="24" t="s">
        <v>155</v>
      </c>
      <c r="C141" s="23" t="s">
        <v>123</v>
      </c>
      <c r="D141" s="29">
        <f>160000/1.12</f>
        <v>142857.1429</v>
      </c>
      <c r="E141" s="30">
        <f t="shared" ref="E141:N141" si="109">D141*(1+E85)</f>
        <v>150000</v>
      </c>
      <c r="F141" s="30">
        <f t="shared" si="109"/>
        <v>157500</v>
      </c>
      <c r="G141" s="30">
        <f t="shared" si="109"/>
        <v>165375</v>
      </c>
      <c r="H141" s="30">
        <f t="shared" si="109"/>
        <v>173643.75</v>
      </c>
      <c r="I141" s="30">
        <f t="shared" si="109"/>
        <v>182325.9375</v>
      </c>
      <c r="J141" s="30">
        <f t="shared" si="109"/>
        <v>191442.2344</v>
      </c>
      <c r="K141" s="30">
        <f t="shared" si="109"/>
        <v>201014.3461</v>
      </c>
      <c r="L141" s="30">
        <f t="shared" si="109"/>
        <v>211065.0634</v>
      </c>
      <c r="M141" s="30">
        <f t="shared" si="109"/>
        <v>221618.3166</v>
      </c>
      <c r="N141" s="30">
        <f t="shared" si="109"/>
        <v>232699.2324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0" customHeight="1">
      <c r="A142" s="3"/>
      <c r="B142" s="24" t="s">
        <v>155</v>
      </c>
      <c r="C142" s="28">
        <v>12.0</v>
      </c>
      <c r="D142" s="30">
        <f t="shared" ref="D142:N142" si="110">D140*D141*$C142</f>
        <v>1714285.714</v>
      </c>
      <c r="E142" s="30">
        <f t="shared" si="110"/>
        <v>1800000</v>
      </c>
      <c r="F142" s="30">
        <f t="shared" si="110"/>
        <v>1890000</v>
      </c>
      <c r="G142" s="30">
        <f t="shared" si="110"/>
        <v>1984500</v>
      </c>
      <c r="H142" s="30">
        <f t="shared" si="110"/>
        <v>2083725</v>
      </c>
      <c r="I142" s="30">
        <f t="shared" si="110"/>
        <v>2187911.25</v>
      </c>
      <c r="J142" s="30">
        <f t="shared" si="110"/>
        <v>2297306.813</v>
      </c>
      <c r="K142" s="30">
        <f t="shared" si="110"/>
        <v>2412172.153</v>
      </c>
      <c r="L142" s="30">
        <f t="shared" si="110"/>
        <v>2532780.761</v>
      </c>
      <c r="M142" s="30">
        <f t="shared" si="110"/>
        <v>2659419.799</v>
      </c>
      <c r="N142" s="30">
        <f t="shared" si="110"/>
        <v>2792390.789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4" t="s">
        <v>156</v>
      </c>
      <c r="C143" s="23" t="s">
        <v>154</v>
      </c>
      <c r="D143" s="29">
        <v>1.0</v>
      </c>
      <c r="E143" s="29">
        <v>1.0</v>
      </c>
      <c r="F143" s="29">
        <v>1.0</v>
      </c>
      <c r="G143" s="29">
        <v>1.0</v>
      </c>
      <c r="H143" s="29">
        <v>2.0</v>
      </c>
      <c r="I143" s="29">
        <v>2.0</v>
      </c>
      <c r="J143" s="29">
        <v>2.0</v>
      </c>
      <c r="K143" s="29">
        <v>2.0</v>
      </c>
      <c r="L143" s="29">
        <v>2.0</v>
      </c>
      <c r="M143" s="29">
        <v>2.0</v>
      </c>
      <c r="N143" s="29">
        <v>2.0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0" customHeight="1">
      <c r="A144" s="3"/>
      <c r="B144" s="24" t="s">
        <v>157</v>
      </c>
      <c r="C144" s="23" t="s">
        <v>123</v>
      </c>
      <c r="D144" s="29">
        <f>208650/1.12</f>
        <v>186294.6429</v>
      </c>
      <c r="E144" s="30">
        <f t="shared" ref="E144:N144" si="111">D144*(1+E85)</f>
        <v>195609.375</v>
      </c>
      <c r="F144" s="30">
        <f t="shared" si="111"/>
        <v>205389.8438</v>
      </c>
      <c r="G144" s="30">
        <f t="shared" si="111"/>
        <v>215659.3359</v>
      </c>
      <c r="H144" s="30">
        <f t="shared" si="111"/>
        <v>226442.3027</v>
      </c>
      <c r="I144" s="30">
        <f t="shared" si="111"/>
        <v>237764.4179</v>
      </c>
      <c r="J144" s="30">
        <f t="shared" si="111"/>
        <v>249652.6388</v>
      </c>
      <c r="K144" s="30">
        <f t="shared" si="111"/>
        <v>262135.2707</v>
      </c>
      <c r="L144" s="30">
        <f t="shared" si="111"/>
        <v>275242.0342</v>
      </c>
      <c r="M144" s="30">
        <f t="shared" si="111"/>
        <v>289004.1359</v>
      </c>
      <c r="N144" s="30">
        <f t="shared" si="111"/>
        <v>303454.3427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0" customHeight="1">
      <c r="A145" s="3"/>
      <c r="B145" s="24" t="s">
        <v>157</v>
      </c>
      <c r="C145" s="28">
        <v>12.0</v>
      </c>
      <c r="D145" s="30">
        <f t="shared" ref="D145:N145" si="112">D143*D144*$C145</f>
        <v>2235535.714</v>
      </c>
      <c r="E145" s="30">
        <f t="shared" si="112"/>
        <v>2347312.5</v>
      </c>
      <c r="F145" s="30">
        <f t="shared" si="112"/>
        <v>2464678.125</v>
      </c>
      <c r="G145" s="30">
        <f t="shared" si="112"/>
        <v>2587912.031</v>
      </c>
      <c r="H145" s="30">
        <f t="shared" si="112"/>
        <v>5434615.266</v>
      </c>
      <c r="I145" s="30">
        <f t="shared" si="112"/>
        <v>5706346.029</v>
      </c>
      <c r="J145" s="30">
        <f t="shared" si="112"/>
        <v>5991663.33</v>
      </c>
      <c r="K145" s="30">
        <f t="shared" si="112"/>
        <v>6291246.497</v>
      </c>
      <c r="L145" s="30">
        <f t="shared" si="112"/>
        <v>6605808.822</v>
      </c>
      <c r="M145" s="30">
        <f t="shared" si="112"/>
        <v>6936099.263</v>
      </c>
      <c r="N145" s="30">
        <f t="shared" si="112"/>
        <v>7282904.226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0" customHeight="1">
      <c r="A146" s="3"/>
      <c r="B146" s="24" t="s">
        <v>158</v>
      </c>
      <c r="C146" s="23" t="s">
        <v>154</v>
      </c>
      <c r="D146" s="29">
        <v>1.0</v>
      </c>
      <c r="E146" s="29">
        <v>1.0</v>
      </c>
      <c r="F146" s="29">
        <v>2.0</v>
      </c>
      <c r="G146" s="29">
        <v>2.0</v>
      </c>
      <c r="H146" s="29">
        <v>3.0</v>
      </c>
      <c r="I146" s="29">
        <v>3.0</v>
      </c>
      <c r="J146" s="29">
        <v>4.0</v>
      </c>
      <c r="K146" s="29">
        <v>4.0</v>
      </c>
      <c r="L146" s="29">
        <v>5.0</v>
      </c>
      <c r="M146" s="29">
        <v>5.0</v>
      </c>
      <c r="N146" s="29">
        <v>6.0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0" customHeight="1">
      <c r="A147" s="3"/>
      <c r="B147" s="24" t="s">
        <v>159</v>
      </c>
      <c r="C147" s="23" t="s">
        <v>123</v>
      </c>
      <c r="D147" s="29">
        <f>85000/1.12</f>
        <v>75892.85714</v>
      </c>
      <c r="E147" s="30">
        <f t="shared" ref="E147:N147" si="113">D147*(1+E85)</f>
        <v>79687.5</v>
      </c>
      <c r="F147" s="30">
        <f t="shared" si="113"/>
        <v>83671.875</v>
      </c>
      <c r="G147" s="30">
        <f t="shared" si="113"/>
        <v>87855.46875</v>
      </c>
      <c r="H147" s="30">
        <f t="shared" si="113"/>
        <v>92248.24219</v>
      </c>
      <c r="I147" s="30">
        <f t="shared" si="113"/>
        <v>96860.6543</v>
      </c>
      <c r="J147" s="30">
        <f t="shared" si="113"/>
        <v>101703.687</v>
      </c>
      <c r="K147" s="30">
        <f t="shared" si="113"/>
        <v>106788.8714</v>
      </c>
      <c r="L147" s="30">
        <f t="shared" si="113"/>
        <v>112128.3149</v>
      </c>
      <c r="M147" s="30">
        <f t="shared" si="113"/>
        <v>117734.7307</v>
      </c>
      <c r="N147" s="30">
        <f t="shared" si="113"/>
        <v>123621.4672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0" customHeight="1">
      <c r="A148" s="3"/>
      <c r="B148" s="24" t="s">
        <v>160</v>
      </c>
      <c r="C148" s="28">
        <v>12.0</v>
      </c>
      <c r="D148" s="30">
        <f t="shared" ref="D148:N148" si="114">D146*D147*$C148</f>
        <v>910714.2857</v>
      </c>
      <c r="E148" s="30">
        <f t="shared" si="114"/>
        <v>956250</v>
      </c>
      <c r="F148" s="30">
        <f t="shared" si="114"/>
        <v>2008125</v>
      </c>
      <c r="G148" s="30">
        <f t="shared" si="114"/>
        <v>2108531.25</v>
      </c>
      <c r="H148" s="30">
        <f t="shared" si="114"/>
        <v>3320936.719</v>
      </c>
      <c r="I148" s="30">
        <f t="shared" si="114"/>
        <v>3486983.555</v>
      </c>
      <c r="J148" s="30">
        <f t="shared" si="114"/>
        <v>4881776.977</v>
      </c>
      <c r="K148" s="30">
        <f t="shared" si="114"/>
        <v>5125865.825</v>
      </c>
      <c r="L148" s="30">
        <f t="shared" si="114"/>
        <v>6727698.896</v>
      </c>
      <c r="M148" s="30">
        <f t="shared" si="114"/>
        <v>7064083.841</v>
      </c>
      <c r="N148" s="30">
        <f t="shared" si="114"/>
        <v>8900745.639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0" customHeight="1">
      <c r="A149" s="3"/>
      <c r="B149" s="24" t="s">
        <v>161</v>
      </c>
      <c r="C149" s="23"/>
      <c r="D149" s="30">
        <f t="shared" ref="D149:N149" si="115">D142+D145+D148</f>
        <v>4860535.714</v>
      </c>
      <c r="E149" s="30">
        <f t="shared" si="115"/>
        <v>5103562.5</v>
      </c>
      <c r="F149" s="30">
        <f t="shared" si="115"/>
        <v>6362803.125</v>
      </c>
      <c r="G149" s="30">
        <f t="shared" si="115"/>
        <v>6680943.281</v>
      </c>
      <c r="H149" s="30">
        <f t="shared" si="115"/>
        <v>10839276.98</v>
      </c>
      <c r="I149" s="30">
        <f t="shared" si="115"/>
        <v>11381240.83</v>
      </c>
      <c r="J149" s="30">
        <f t="shared" si="115"/>
        <v>13170747.12</v>
      </c>
      <c r="K149" s="30">
        <f t="shared" si="115"/>
        <v>13829284.48</v>
      </c>
      <c r="L149" s="30">
        <f t="shared" si="115"/>
        <v>15866288.48</v>
      </c>
      <c r="M149" s="30">
        <f t="shared" si="115"/>
        <v>16659602.9</v>
      </c>
      <c r="N149" s="30">
        <f t="shared" si="115"/>
        <v>18976040.65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0" customHeight="1">
      <c r="A150" s="3"/>
      <c r="B150" s="27"/>
      <c r="C150" s="3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0" customHeight="1">
      <c r="A151" s="3"/>
      <c r="B151" s="20" t="s">
        <v>162</v>
      </c>
      <c r="C151" s="3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0" customHeight="1">
      <c r="A152" s="3"/>
      <c r="B152" s="24" t="s">
        <v>163</v>
      </c>
      <c r="C152" s="23" t="s">
        <v>123</v>
      </c>
      <c r="D152" s="29">
        <f>35000/1.12</f>
        <v>31250</v>
      </c>
      <c r="E152" s="30">
        <f t="shared" ref="E152:N152" si="116">D152*(1+E85)</f>
        <v>32812.5</v>
      </c>
      <c r="F152" s="30">
        <f t="shared" si="116"/>
        <v>34453.125</v>
      </c>
      <c r="G152" s="30">
        <f t="shared" si="116"/>
        <v>36175.78125</v>
      </c>
      <c r="H152" s="30">
        <f t="shared" si="116"/>
        <v>37984.57031</v>
      </c>
      <c r="I152" s="30">
        <f t="shared" si="116"/>
        <v>39883.79883</v>
      </c>
      <c r="J152" s="30">
        <f t="shared" si="116"/>
        <v>41877.98877</v>
      </c>
      <c r="K152" s="30">
        <f t="shared" si="116"/>
        <v>43971.88821</v>
      </c>
      <c r="L152" s="30">
        <f t="shared" si="116"/>
        <v>46170.48262</v>
      </c>
      <c r="M152" s="30">
        <f t="shared" si="116"/>
        <v>48479.00675</v>
      </c>
      <c r="N152" s="30">
        <f t="shared" si="116"/>
        <v>50902.95709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0" customHeight="1">
      <c r="A153" s="3"/>
      <c r="B153" s="24" t="s">
        <v>163</v>
      </c>
      <c r="C153" s="28">
        <v>12.0</v>
      </c>
      <c r="D153" s="30">
        <f t="shared" ref="D153:N153" si="117">D140*D152*$C153</f>
        <v>375000</v>
      </c>
      <c r="E153" s="30">
        <f t="shared" si="117"/>
        <v>393750</v>
      </c>
      <c r="F153" s="30">
        <f t="shared" si="117"/>
        <v>413437.5</v>
      </c>
      <c r="G153" s="30">
        <f t="shared" si="117"/>
        <v>434109.375</v>
      </c>
      <c r="H153" s="30">
        <f t="shared" si="117"/>
        <v>455814.8438</v>
      </c>
      <c r="I153" s="30">
        <f t="shared" si="117"/>
        <v>478605.5859</v>
      </c>
      <c r="J153" s="30">
        <f t="shared" si="117"/>
        <v>502535.8652</v>
      </c>
      <c r="K153" s="30">
        <f t="shared" si="117"/>
        <v>527662.6585</v>
      </c>
      <c r="L153" s="30">
        <f t="shared" si="117"/>
        <v>554045.7914</v>
      </c>
      <c r="M153" s="30">
        <f t="shared" si="117"/>
        <v>581748.081</v>
      </c>
      <c r="N153" s="30">
        <f t="shared" si="117"/>
        <v>610835.485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0" customHeight="1">
      <c r="A154" s="3"/>
      <c r="B154" s="24" t="s">
        <v>164</v>
      </c>
      <c r="C154" s="23" t="s">
        <v>123</v>
      </c>
      <c r="D154" s="29">
        <f>8000/1.12</f>
        <v>7142.857143</v>
      </c>
      <c r="E154" s="30">
        <f t="shared" ref="E154:N154" si="118">D154*(1+E85)</f>
        <v>7500</v>
      </c>
      <c r="F154" s="30">
        <f t="shared" si="118"/>
        <v>7875</v>
      </c>
      <c r="G154" s="30">
        <f t="shared" si="118"/>
        <v>8268.75</v>
      </c>
      <c r="H154" s="30">
        <f t="shared" si="118"/>
        <v>8682.1875</v>
      </c>
      <c r="I154" s="30">
        <f t="shared" si="118"/>
        <v>9116.296875</v>
      </c>
      <c r="J154" s="30">
        <f t="shared" si="118"/>
        <v>9572.111719</v>
      </c>
      <c r="K154" s="30">
        <f t="shared" si="118"/>
        <v>10050.7173</v>
      </c>
      <c r="L154" s="30">
        <f t="shared" si="118"/>
        <v>10553.25317</v>
      </c>
      <c r="M154" s="30">
        <f t="shared" si="118"/>
        <v>11080.91583</v>
      </c>
      <c r="N154" s="30">
        <f t="shared" si="118"/>
        <v>11634.96162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0" customHeight="1">
      <c r="A155" s="3"/>
      <c r="B155" s="24" t="s">
        <v>164</v>
      </c>
      <c r="C155" s="28">
        <v>12.0</v>
      </c>
      <c r="D155" s="30">
        <f t="shared" ref="D155:N155" si="119">D140*D154*$C155</f>
        <v>85714.28571</v>
      </c>
      <c r="E155" s="30">
        <f t="shared" si="119"/>
        <v>90000</v>
      </c>
      <c r="F155" s="30">
        <f t="shared" si="119"/>
        <v>94500</v>
      </c>
      <c r="G155" s="30">
        <f t="shared" si="119"/>
        <v>99225</v>
      </c>
      <c r="H155" s="30">
        <f t="shared" si="119"/>
        <v>104186.25</v>
      </c>
      <c r="I155" s="30">
        <f t="shared" si="119"/>
        <v>109395.5625</v>
      </c>
      <c r="J155" s="30">
        <f t="shared" si="119"/>
        <v>114865.3406</v>
      </c>
      <c r="K155" s="30">
        <f t="shared" si="119"/>
        <v>120608.6077</v>
      </c>
      <c r="L155" s="30">
        <f t="shared" si="119"/>
        <v>126639.038</v>
      </c>
      <c r="M155" s="30">
        <f t="shared" si="119"/>
        <v>132970.9899</v>
      </c>
      <c r="N155" s="30">
        <f t="shared" si="119"/>
        <v>139619.5394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0" customHeight="1">
      <c r="A156" s="3"/>
      <c r="B156" s="24" t="s">
        <v>165</v>
      </c>
      <c r="C156" s="23" t="s">
        <v>123</v>
      </c>
      <c r="D156" s="29">
        <f>7000/1.12</f>
        <v>6250</v>
      </c>
      <c r="E156" s="30">
        <f t="shared" ref="E156:N156" si="120">D156*(1+E85)</f>
        <v>6562.5</v>
      </c>
      <c r="F156" s="30">
        <f t="shared" si="120"/>
        <v>6890.625</v>
      </c>
      <c r="G156" s="30">
        <f t="shared" si="120"/>
        <v>7235.15625</v>
      </c>
      <c r="H156" s="30">
        <f t="shared" si="120"/>
        <v>7596.914063</v>
      </c>
      <c r="I156" s="30">
        <f t="shared" si="120"/>
        <v>7976.759766</v>
      </c>
      <c r="J156" s="30">
        <f t="shared" si="120"/>
        <v>8375.597754</v>
      </c>
      <c r="K156" s="30">
        <f t="shared" si="120"/>
        <v>8794.377642</v>
      </c>
      <c r="L156" s="30">
        <f t="shared" si="120"/>
        <v>9234.096524</v>
      </c>
      <c r="M156" s="30">
        <f t="shared" si="120"/>
        <v>9695.80135</v>
      </c>
      <c r="N156" s="30">
        <f t="shared" si="120"/>
        <v>10180.59142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0" customHeight="1">
      <c r="A157" s="3"/>
      <c r="B157" s="24" t="s">
        <v>165</v>
      </c>
      <c r="C157" s="28">
        <v>12.0</v>
      </c>
      <c r="D157" s="30">
        <f t="shared" ref="D157:N157" si="121">D140*D156*$C157</f>
        <v>75000</v>
      </c>
      <c r="E157" s="30">
        <f t="shared" si="121"/>
        <v>78750</v>
      </c>
      <c r="F157" s="30">
        <f t="shared" si="121"/>
        <v>82687.5</v>
      </c>
      <c r="G157" s="30">
        <f t="shared" si="121"/>
        <v>86821.875</v>
      </c>
      <c r="H157" s="30">
        <f t="shared" si="121"/>
        <v>91162.96875</v>
      </c>
      <c r="I157" s="30">
        <f t="shared" si="121"/>
        <v>95721.11719</v>
      </c>
      <c r="J157" s="30">
        <f t="shared" si="121"/>
        <v>100507.173</v>
      </c>
      <c r="K157" s="30">
        <f t="shared" si="121"/>
        <v>105532.5317</v>
      </c>
      <c r="L157" s="30">
        <f t="shared" si="121"/>
        <v>110809.1583</v>
      </c>
      <c r="M157" s="30">
        <f t="shared" si="121"/>
        <v>116349.6162</v>
      </c>
      <c r="N157" s="30">
        <f t="shared" si="121"/>
        <v>122167.097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0" customHeight="1">
      <c r="A158" s="3"/>
      <c r="B158" s="24" t="s">
        <v>166</v>
      </c>
      <c r="C158" s="23" t="s">
        <v>123</v>
      </c>
      <c r="D158" s="29">
        <f>26000/1.12</f>
        <v>23214.28571</v>
      </c>
      <c r="E158" s="30">
        <f t="shared" ref="E158:N158" si="122">D158*(1+E85)</f>
        <v>24375</v>
      </c>
      <c r="F158" s="30">
        <f t="shared" si="122"/>
        <v>25593.75</v>
      </c>
      <c r="G158" s="30">
        <f t="shared" si="122"/>
        <v>26873.4375</v>
      </c>
      <c r="H158" s="30">
        <f t="shared" si="122"/>
        <v>28217.10938</v>
      </c>
      <c r="I158" s="30">
        <f t="shared" si="122"/>
        <v>29627.96484</v>
      </c>
      <c r="J158" s="30">
        <f t="shared" si="122"/>
        <v>31109.36309</v>
      </c>
      <c r="K158" s="30">
        <f t="shared" si="122"/>
        <v>32664.83124</v>
      </c>
      <c r="L158" s="30">
        <f t="shared" si="122"/>
        <v>34298.0728</v>
      </c>
      <c r="M158" s="30">
        <f t="shared" si="122"/>
        <v>36012.97644</v>
      </c>
      <c r="N158" s="30">
        <f t="shared" si="122"/>
        <v>37813.62526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0" customHeight="1">
      <c r="A159" s="3"/>
      <c r="B159" s="24" t="s">
        <v>166</v>
      </c>
      <c r="C159" s="28">
        <v>12.0</v>
      </c>
      <c r="D159" s="30">
        <f t="shared" ref="D159:N159" si="123">D143*D158*$C159</f>
        <v>278571.4286</v>
      </c>
      <c r="E159" s="30">
        <f t="shared" si="123"/>
        <v>292500</v>
      </c>
      <c r="F159" s="30">
        <f t="shared" si="123"/>
        <v>307125</v>
      </c>
      <c r="G159" s="30">
        <f t="shared" si="123"/>
        <v>322481.25</v>
      </c>
      <c r="H159" s="30">
        <f t="shared" si="123"/>
        <v>677210.625</v>
      </c>
      <c r="I159" s="30">
        <f t="shared" si="123"/>
        <v>711071.1563</v>
      </c>
      <c r="J159" s="30">
        <f t="shared" si="123"/>
        <v>746624.7141</v>
      </c>
      <c r="K159" s="30">
        <f t="shared" si="123"/>
        <v>783955.9498</v>
      </c>
      <c r="L159" s="30">
        <f t="shared" si="123"/>
        <v>823153.7473</v>
      </c>
      <c r="M159" s="30">
        <f t="shared" si="123"/>
        <v>864311.4346</v>
      </c>
      <c r="N159" s="30">
        <f t="shared" si="123"/>
        <v>907527.0063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0" customHeight="1">
      <c r="A160" s="3"/>
      <c r="B160" s="24" t="s">
        <v>167</v>
      </c>
      <c r="C160" s="23" t="s">
        <v>123</v>
      </c>
      <c r="D160" s="29">
        <f>6000/1.12</f>
        <v>5357.142857</v>
      </c>
      <c r="E160" s="30">
        <f t="shared" ref="E160:N160" si="124">D160*(1+E85)</f>
        <v>5625</v>
      </c>
      <c r="F160" s="30">
        <f t="shared" si="124"/>
        <v>5906.25</v>
      </c>
      <c r="G160" s="30">
        <f t="shared" si="124"/>
        <v>6201.5625</v>
      </c>
      <c r="H160" s="30">
        <f t="shared" si="124"/>
        <v>6511.640625</v>
      </c>
      <c r="I160" s="30">
        <f t="shared" si="124"/>
        <v>6837.222656</v>
      </c>
      <c r="J160" s="30">
        <f t="shared" si="124"/>
        <v>7179.083789</v>
      </c>
      <c r="K160" s="30">
        <f t="shared" si="124"/>
        <v>7538.037979</v>
      </c>
      <c r="L160" s="30">
        <f t="shared" si="124"/>
        <v>7914.939877</v>
      </c>
      <c r="M160" s="30">
        <f t="shared" si="124"/>
        <v>8310.686871</v>
      </c>
      <c r="N160" s="30">
        <f t="shared" si="124"/>
        <v>8726.221215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24" t="s">
        <v>167</v>
      </c>
      <c r="C161" s="28">
        <v>12.0</v>
      </c>
      <c r="D161" s="30">
        <f>D143*D160*$C161</f>
        <v>64285.71429</v>
      </c>
      <c r="E161" s="30">
        <f t="shared" ref="E161:N161" si="125">E143*E160*12</f>
        <v>67500</v>
      </c>
      <c r="F161" s="30">
        <f t="shared" si="125"/>
        <v>70875</v>
      </c>
      <c r="G161" s="30">
        <f t="shared" si="125"/>
        <v>74418.75</v>
      </c>
      <c r="H161" s="30">
        <f t="shared" si="125"/>
        <v>156279.375</v>
      </c>
      <c r="I161" s="30">
        <f t="shared" si="125"/>
        <v>164093.3438</v>
      </c>
      <c r="J161" s="30">
        <f t="shared" si="125"/>
        <v>172298.0109</v>
      </c>
      <c r="K161" s="30">
        <f t="shared" si="125"/>
        <v>180912.9115</v>
      </c>
      <c r="L161" s="30">
        <f t="shared" si="125"/>
        <v>189958.5571</v>
      </c>
      <c r="M161" s="30">
        <f t="shared" si="125"/>
        <v>199456.4849</v>
      </c>
      <c r="N161" s="30">
        <f t="shared" si="125"/>
        <v>209429.3092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0" customHeight="1">
      <c r="A162" s="3"/>
      <c r="B162" s="24" t="s">
        <v>168</v>
      </c>
      <c r="C162" s="23" t="s">
        <v>123</v>
      </c>
      <c r="D162" s="29">
        <f>8000/1.12</f>
        <v>7142.857143</v>
      </c>
      <c r="E162" s="30">
        <f t="shared" ref="E162:N162" si="126">D162*(1+E85)</f>
        <v>7500</v>
      </c>
      <c r="F162" s="30">
        <f t="shared" si="126"/>
        <v>7875</v>
      </c>
      <c r="G162" s="30">
        <f t="shared" si="126"/>
        <v>8268.75</v>
      </c>
      <c r="H162" s="30">
        <f t="shared" si="126"/>
        <v>8682.1875</v>
      </c>
      <c r="I162" s="30">
        <f t="shared" si="126"/>
        <v>9116.296875</v>
      </c>
      <c r="J162" s="30">
        <f t="shared" si="126"/>
        <v>9572.111719</v>
      </c>
      <c r="K162" s="30">
        <f t="shared" si="126"/>
        <v>10050.7173</v>
      </c>
      <c r="L162" s="30">
        <f t="shared" si="126"/>
        <v>10553.25317</v>
      </c>
      <c r="M162" s="30">
        <f t="shared" si="126"/>
        <v>11080.91583</v>
      </c>
      <c r="N162" s="30">
        <f t="shared" si="126"/>
        <v>11634.96162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0" customHeight="1">
      <c r="A163" s="3"/>
      <c r="B163" s="24" t="s">
        <v>168</v>
      </c>
      <c r="C163" s="28">
        <v>12.0</v>
      </c>
      <c r="D163" s="30">
        <f t="shared" ref="D163:N163" si="127">D143*D162*$C163</f>
        <v>85714.28571</v>
      </c>
      <c r="E163" s="30">
        <f t="shared" si="127"/>
        <v>90000</v>
      </c>
      <c r="F163" s="30">
        <f t="shared" si="127"/>
        <v>94500</v>
      </c>
      <c r="G163" s="30">
        <f t="shared" si="127"/>
        <v>99225</v>
      </c>
      <c r="H163" s="30">
        <f t="shared" si="127"/>
        <v>208372.5</v>
      </c>
      <c r="I163" s="30">
        <f t="shared" si="127"/>
        <v>218791.125</v>
      </c>
      <c r="J163" s="30">
        <f t="shared" si="127"/>
        <v>229730.6813</v>
      </c>
      <c r="K163" s="30">
        <f t="shared" si="127"/>
        <v>241217.2153</v>
      </c>
      <c r="L163" s="30">
        <f t="shared" si="127"/>
        <v>253278.0761</v>
      </c>
      <c r="M163" s="30">
        <f t="shared" si="127"/>
        <v>265941.9799</v>
      </c>
      <c r="N163" s="30">
        <f t="shared" si="127"/>
        <v>279239.0789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0" customHeight="1">
      <c r="A164" s="3"/>
      <c r="B164" s="24" t="s">
        <v>169</v>
      </c>
      <c r="C164" s="23" t="s">
        <v>123</v>
      </c>
      <c r="D164" s="29">
        <f>14000/1.12</f>
        <v>12500</v>
      </c>
      <c r="E164" s="30">
        <f t="shared" ref="E164:N164" si="128">D164*(1+E85)</f>
        <v>13125</v>
      </c>
      <c r="F164" s="30">
        <f t="shared" si="128"/>
        <v>13781.25</v>
      </c>
      <c r="G164" s="30">
        <f t="shared" si="128"/>
        <v>14470.3125</v>
      </c>
      <c r="H164" s="30">
        <f t="shared" si="128"/>
        <v>15193.82813</v>
      </c>
      <c r="I164" s="30">
        <f t="shared" si="128"/>
        <v>15953.51953</v>
      </c>
      <c r="J164" s="30">
        <f t="shared" si="128"/>
        <v>16751.19551</v>
      </c>
      <c r="K164" s="30">
        <f t="shared" si="128"/>
        <v>17588.75528</v>
      </c>
      <c r="L164" s="30">
        <f t="shared" si="128"/>
        <v>18468.19305</v>
      </c>
      <c r="M164" s="30">
        <f t="shared" si="128"/>
        <v>19391.6027</v>
      </c>
      <c r="N164" s="30">
        <f t="shared" si="128"/>
        <v>20361.18283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0" customHeight="1">
      <c r="A165" s="3"/>
      <c r="B165" s="24" t="s">
        <v>169</v>
      </c>
      <c r="C165" s="28">
        <v>12.0</v>
      </c>
      <c r="D165" s="30">
        <f t="shared" ref="D165:N165" si="129">D146*D164*$C165</f>
        <v>150000</v>
      </c>
      <c r="E165" s="30">
        <f t="shared" si="129"/>
        <v>157500</v>
      </c>
      <c r="F165" s="30">
        <f t="shared" si="129"/>
        <v>330750</v>
      </c>
      <c r="G165" s="30">
        <f t="shared" si="129"/>
        <v>347287.5</v>
      </c>
      <c r="H165" s="30">
        <f t="shared" si="129"/>
        <v>546977.8125</v>
      </c>
      <c r="I165" s="30">
        <f t="shared" si="129"/>
        <v>574326.7031</v>
      </c>
      <c r="J165" s="30">
        <f t="shared" si="129"/>
        <v>804057.3844</v>
      </c>
      <c r="K165" s="30">
        <f t="shared" si="129"/>
        <v>844260.2536</v>
      </c>
      <c r="L165" s="30">
        <f t="shared" si="129"/>
        <v>1108091.583</v>
      </c>
      <c r="M165" s="30">
        <f t="shared" si="129"/>
        <v>1163496.162</v>
      </c>
      <c r="N165" s="30">
        <f t="shared" si="129"/>
        <v>1466005.164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0" customHeight="1">
      <c r="A166" s="3"/>
      <c r="B166" s="24" t="s">
        <v>170</v>
      </c>
      <c r="C166" s="23" t="s">
        <v>123</v>
      </c>
      <c r="D166" s="29">
        <f>5000/1.12</f>
        <v>4464.285714</v>
      </c>
      <c r="E166" s="30">
        <f t="shared" ref="E166:N166" si="130">D166*(1+E85)</f>
        <v>4687.5</v>
      </c>
      <c r="F166" s="30">
        <f t="shared" si="130"/>
        <v>4921.875</v>
      </c>
      <c r="G166" s="30">
        <f t="shared" si="130"/>
        <v>5167.96875</v>
      </c>
      <c r="H166" s="30">
        <f t="shared" si="130"/>
        <v>5426.367188</v>
      </c>
      <c r="I166" s="30">
        <f t="shared" si="130"/>
        <v>5697.685547</v>
      </c>
      <c r="J166" s="30">
        <f t="shared" si="130"/>
        <v>5982.569824</v>
      </c>
      <c r="K166" s="30">
        <f t="shared" si="130"/>
        <v>6281.698315</v>
      </c>
      <c r="L166" s="30">
        <f t="shared" si="130"/>
        <v>6595.783231</v>
      </c>
      <c r="M166" s="30">
        <f t="shared" si="130"/>
        <v>6925.572393</v>
      </c>
      <c r="N166" s="30">
        <f t="shared" si="130"/>
        <v>7271.851012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0" customHeight="1">
      <c r="A167" s="3"/>
      <c r="B167" s="24" t="s">
        <v>170</v>
      </c>
      <c r="C167" s="28">
        <v>12.0</v>
      </c>
      <c r="D167" s="30">
        <f t="shared" ref="D167:N167" si="131">D146*D166*$C167</f>
        <v>53571.42857</v>
      </c>
      <c r="E167" s="30">
        <f t="shared" si="131"/>
        <v>56250</v>
      </c>
      <c r="F167" s="30">
        <f t="shared" si="131"/>
        <v>118125</v>
      </c>
      <c r="G167" s="30">
        <f t="shared" si="131"/>
        <v>124031.25</v>
      </c>
      <c r="H167" s="30">
        <f t="shared" si="131"/>
        <v>195349.2188</v>
      </c>
      <c r="I167" s="30">
        <f t="shared" si="131"/>
        <v>205116.6797</v>
      </c>
      <c r="J167" s="30">
        <f t="shared" si="131"/>
        <v>287163.3516</v>
      </c>
      <c r="K167" s="30">
        <f t="shared" si="131"/>
        <v>301521.5191</v>
      </c>
      <c r="L167" s="30">
        <f t="shared" si="131"/>
        <v>395746.9939</v>
      </c>
      <c r="M167" s="30">
        <f t="shared" si="131"/>
        <v>415534.3436</v>
      </c>
      <c r="N167" s="30">
        <f t="shared" si="131"/>
        <v>523573.2729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0" customHeight="1">
      <c r="A168" s="3"/>
      <c r="B168" s="24" t="s">
        <v>171</v>
      </c>
      <c r="C168" s="23" t="s">
        <v>123</v>
      </c>
      <c r="D168" s="29">
        <f>5000/1.12</f>
        <v>4464.285714</v>
      </c>
      <c r="E168" s="30">
        <f t="shared" ref="E168:N168" si="132">D168*(1+E85)</f>
        <v>4687.5</v>
      </c>
      <c r="F168" s="30">
        <f t="shared" si="132"/>
        <v>4921.875</v>
      </c>
      <c r="G168" s="30">
        <f t="shared" si="132"/>
        <v>5167.96875</v>
      </c>
      <c r="H168" s="30">
        <f t="shared" si="132"/>
        <v>5426.367188</v>
      </c>
      <c r="I168" s="30">
        <f t="shared" si="132"/>
        <v>5697.685547</v>
      </c>
      <c r="J168" s="30">
        <f t="shared" si="132"/>
        <v>5982.569824</v>
      </c>
      <c r="K168" s="30">
        <f t="shared" si="132"/>
        <v>6281.698315</v>
      </c>
      <c r="L168" s="30">
        <f t="shared" si="132"/>
        <v>6595.783231</v>
      </c>
      <c r="M168" s="30">
        <f t="shared" si="132"/>
        <v>6925.572393</v>
      </c>
      <c r="N168" s="30">
        <f t="shared" si="132"/>
        <v>7271.851012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0" customHeight="1">
      <c r="A169" s="3"/>
      <c r="B169" s="24" t="s">
        <v>171</v>
      </c>
      <c r="C169" s="28">
        <v>12.0</v>
      </c>
      <c r="D169" s="30">
        <f t="shared" ref="D169:N169" si="133">D146*D168*$C169</f>
        <v>53571.42857</v>
      </c>
      <c r="E169" s="30">
        <f t="shared" si="133"/>
        <v>56250</v>
      </c>
      <c r="F169" s="30">
        <f t="shared" si="133"/>
        <v>118125</v>
      </c>
      <c r="G169" s="30">
        <f t="shared" si="133"/>
        <v>124031.25</v>
      </c>
      <c r="H169" s="30">
        <f t="shared" si="133"/>
        <v>195349.2188</v>
      </c>
      <c r="I169" s="30">
        <f t="shared" si="133"/>
        <v>205116.6797</v>
      </c>
      <c r="J169" s="30">
        <f t="shared" si="133"/>
        <v>287163.3516</v>
      </c>
      <c r="K169" s="30">
        <f t="shared" si="133"/>
        <v>301521.5191</v>
      </c>
      <c r="L169" s="30">
        <f t="shared" si="133"/>
        <v>395746.9939</v>
      </c>
      <c r="M169" s="30">
        <f t="shared" si="133"/>
        <v>415534.3436</v>
      </c>
      <c r="N169" s="30">
        <f t="shared" si="133"/>
        <v>523573.2729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0" customHeight="1">
      <c r="A170" s="3"/>
      <c r="B170" s="24" t="s">
        <v>172</v>
      </c>
      <c r="C170" s="23"/>
      <c r="D170" s="30">
        <f t="shared" ref="D170:N170" si="134">D153+D155+D157+D159+D161+D163+D165+D167+D169</f>
        <v>1221428.571</v>
      </c>
      <c r="E170" s="30">
        <f t="shared" si="134"/>
        <v>1282500</v>
      </c>
      <c r="F170" s="30">
        <f t="shared" si="134"/>
        <v>1630125</v>
      </c>
      <c r="G170" s="30">
        <f t="shared" si="134"/>
        <v>1711631.25</v>
      </c>
      <c r="H170" s="30">
        <f t="shared" si="134"/>
        <v>2630702.813</v>
      </c>
      <c r="I170" s="30">
        <f t="shared" si="134"/>
        <v>2762237.953</v>
      </c>
      <c r="J170" s="30">
        <f t="shared" si="134"/>
        <v>3244945.873</v>
      </c>
      <c r="K170" s="30">
        <f t="shared" si="134"/>
        <v>3407193.166</v>
      </c>
      <c r="L170" s="30">
        <f t="shared" si="134"/>
        <v>3957469.939</v>
      </c>
      <c r="M170" s="30">
        <f t="shared" si="134"/>
        <v>4155343.436</v>
      </c>
      <c r="N170" s="30">
        <f t="shared" si="134"/>
        <v>4781969.226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0" customHeight="1">
      <c r="A171" s="3"/>
      <c r="B171" s="27"/>
      <c r="C171" s="3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0" customHeight="1">
      <c r="A172" s="3"/>
      <c r="B172" s="20" t="s">
        <v>173</v>
      </c>
      <c r="C172" s="3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0" customHeight="1">
      <c r="A173" s="3"/>
      <c r="B173" s="24" t="s">
        <v>174</v>
      </c>
      <c r="C173" s="23" t="s">
        <v>175</v>
      </c>
      <c r="D173" s="29">
        <v>130000.0</v>
      </c>
      <c r="E173" s="30">
        <f t="shared" ref="E173:N173" si="135">D173*1.1</f>
        <v>143000</v>
      </c>
      <c r="F173" s="30">
        <f t="shared" si="135"/>
        <v>157300</v>
      </c>
      <c r="G173" s="30">
        <f t="shared" si="135"/>
        <v>173030</v>
      </c>
      <c r="H173" s="30">
        <f t="shared" si="135"/>
        <v>190333</v>
      </c>
      <c r="I173" s="30">
        <f t="shared" si="135"/>
        <v>209366.3</v>
      </c>
      <c r="J173" s="30">
        <f t="shared" si="135"/>
        <v>230302.93</v>
      </c>
      <c r="K173" s="30">
        <f t="shared" si="135"/>
        <v>253333.223</v>
      </c>
      <c r="L173" s="30">
        <f t="shared" si="135"/>
        <v>278666.5453</v>
      </c>
      <c r="M173" s="30">
        <f t="shared" si="135"/>
        <v>306533.1998</v>
      </c>
      <c r="N173" s="30">
        <f t="shared" si="135"/>
        <v>337186.5198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0" customHeight="1">
      <c r="A174" s="3"/>
      <c r="B174" s="24" t="s">
        <v>176</v>
      </c>
      <c r="C174" s="23" t="s">
        <v>175</v>
      </c>
      <c r="D174" s="29">
        <v>150000.0</v>
      </c>
      <c r="E174" s="30">
        <f t="shared" ref="E174:N174" si="136">D174*1.1</f>
        <v>165000</v>
      </c>
      <c r="F174" s="30">
        <f t="shared" si="136"/>
        <v>181500</v>
      </c>
      <c r="G174" s="30">
        <f t="shared" si="136"/>
        <v>199650</v>
      </c>
      <c r="H174" s="30">
        <f t="shared" si="136"/>
        <v>219615</v>
      </c>
      <c r="I174" s="30">
        <f t="shared" si="136"/>
        <v>241576.5</v>
      </c>
      <c r="J174" s="30">
        <f t="shared" si="136"/>
        <v>265734.15</v>
      </c>
      <c r="K174" s="30">
        <f t="shared" si="136"/>
        <v>292307.565</v>
      </c>
      <c r="L174" s="30">
        <f t="shared" si="136"/>
        <v>321538.3215</v>
      </c>
      <c r="M174" s="30">
        <f t="shared" si="136"/>
        <v>353692.1537</v>
      </c>
      <c r="N174" s="30">
        <f t="shared" si="136"/>
        <v>389061.369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0" customHeight="1">
      <c r="A175" s="3"/>
      <c r="B175" s="24" t="s">
        <v>177</v>
      </c>
      <c r="C175" s="23" t="s">
        <v>175</v>
      </c>
      <c r="D175" s="29">
        <v>100000.0</v>
      </c>
      <c r="E175" s="30">
        <f t="shared" ref="E175:N175" si="137">D175*1.1</f>
        <v>110000</v>
      </c>
      <c r="F175" s="30">
        <f t="shared" si="137"/>
        <v>121000</v>
      </c>
      <c r="G175" s="30">
        <f t="shared" si="137"/>
        <v>133100</v>
      </c>
      <c r="H175" s="30">
        <f t="shared" si="137"/>
        <v>146410</v>
      </c>
      <c r="I175" s="30">
        <f t="shared" si="137"/>
        <v>161051</v>
      </c>
      <c r="J175" s="30">
        <f t="shared" si="137"/>
        <v>177156.1</v>
      </c>
      <c r="K175" s="30">
        <f t="shared" si="137"/>
        <v>194871.71</v>
      </c>
      <c r="L175" s="30">
        <f t="shared" si="137"/>
        <v>214358.881</v>
      </c>
      <c r="M175" s="30">
        <f t="shared" si="137"/>
        <v>235794.7691</v>
      </c>
      <c r="N175" s="30">
        <f t="shared" si="137"/>
        <v>259374.246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0" customHeight="1">
      <c r="A176" s="3"/>
      <c r="B176" s="24" t="s">
        <v>178</v>
      </c>
      <c r="C176" s="23" t="s">
        <v>175</v>
      </c>
      <c r="D176" s="29">
        <f>1000000/1.12</f>
        <v>892857.1429</v>
      </c>
      <c r="E176" s="30">
        <f t="shared" ref="E176:N176" si="138">D176*1.1</f>
        <v>982142.8571</v>
      </c>
      <c r="F176" s="30">
        <f t="shared" si="138"/>
        <v>1080357.143</v>
      </c>
      <c r="G176" s="30">
        <f t="shared" si="138"/>
        <v>1188392.857</v>
      </c>
      <c r="H176" s="30">
        <f t="shared" si="138"/>
        <v>1307232.143</v>
      </c>
      <c r="I176" s="30">
        <f t="shared" si="138"/>
        <v>1437955.357</v>
      </c>
      <c r="J176" s="30">
        <f t="shared" si="138"/>
        <v>1581750.893</v>
      </c>
      <c r="K176" s="30">
        <f t="shared" si="138"/>
        <v>1739925.982</v>
      </c>
      <c r="L176" s="30">
        <f t="shared" si="138"/>
        <v>1913918.58</v>
      </c>
      <c r="M176" s="30">
        <f t="shared" si="138"/>
        <v>2105310.438</v>
      </c>
      <c r="N176" s="30">
        <f t="shared" si="138"/>
        <v>2315841.482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0" customHeight="1">
      <c r="A177" s="3"/>
      <c r="B177" s="24" t="s">
        <v>179</v>
      </c>
      <c r="C177" s="23" t="s">
        <v>175</v>
      </c>
      <c r="D177" s="29">
        <f>800000/1.12</f>
        <v>714285.7143</v>
      </c>
      <c r="E177" s="30">
        <f t="shared" ref="E177:N177" si="139">D177*1.1</f>
        <v>785714.2857</v>
      </c>
      <c r="F177" s="30">
        <f t="shared" si="139"/>
        <v>864285.7143</v>
      </c>
      <c r="G177" s="30">
        <f t="shared" si="139"/>
        <v>950714.2857</v>
      </c>
      <c r="H177" s="30">
        <f t="shared" si="139"/>
        <v>1045785.714</v>
      </c>
      <c r="I177" s="30">
        <f t="shared" si="139"/>
        <v>1150364.286</v>
      </c>
      <c r="J177" s="30">
        <f t="shared" si="139"/>
        <v>1265400.714</v>
      </c>
      <c r="K177" s="30">
        <f t="shared" si="139"/>
        <v>1391940.786</v>
      </c>
      <c r="L177" s="30">
        <f t="shared" si="139"/>
        <v>1531134.864</v>
      </c>
      <c r="M177" s="30">
        <f t="shared" si="139"/>
        <v>1684248.351</v>
      </c>
      <c r="N177" s="30">
        <f t="shared" si="139"/>
        <v>1852673.186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0" customHeight="1">
      <c r="A178" s="3"/>
      <c r="B178" s="24" t="s">
        <v>180</v>
      </c>
      <c r="C178" s="23"/>
      <c r="D178" s="30">
        <f t="shared" ref="D178:N178" si="140">D173+D174+D175+D176+D177</f>
        <v>1987142.857</v>
      </c>
      <c r="E178" s="30">
        <f t="shared" si="140"/>
        <v>2185857.143</v>
      </c>
      <c r="F178" s="30">
        <f t="shared" si="140"/>
        <v>2404442.857</v>
      </c>
      <c r="G178" s="30">
        <f t="shared" si="140"/>
        <v>2644887.143</v>
      </c>
      <c r="H178" s="30">
        <f t="shared" si="140"/>
        <v>2909375.857</v>
      </c>
      <c r="I178" s="30">
        <f t="shared" si="140"/>
        <v>3200313.443</v>
      </c>
      <c r="J178" s="30">
        <f t="shared" si="140"/>
        <v>3520344.787</v>
      </c>
      <c r="K178" s="30">
        <f t="shared" si="140"/>
        <v>3872379.266</v>
      </c>
      <c r="L178" s="30">
        <f t="shared" si="140"/>
        <v>4259617.192</v>
      </c>
      <c r="M178" s="30">
        <f t="shared" si="140"/>
        <v>4685578.912</v>
      </c>
      <c r="N178" s="30">
        <f t="shared" si="140"/>
        <v>5154136.803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0" customHeight="1">
      <c r="A179" s="3"/>
      <c r="B179" s="24" t="s">
        <v>181</v>
      </c>
      <c r="C179" s="23" t="s">
        <v>175</v>
      </c>
      <c r="D179" s="29">
        <f>1500000/1.12</f>
        <v>1339285.714</v>
      </c>
      <c r="E179" s="30">
        <f t="shared" ref="E179:N179" si="141">D179*1.1</f>
        <v>1473214.286</v>
      </c>
      <c r="F179" s="30">
        <f t="shared" si="141"/>
        <v>1620535.714</v>
      </c>
      <c r="G179" s="30">
        <f t="shared" si="141"/>
        <v>1782589.286</v>
      </c>
      <c r="H179" s="30">
        <f t="shared" si="141"/>
        <v>1960848.214</v>
      </c>
      <c r="I179" s="30">
        <f t="shared" si="141"/>
        <v>2156933.036</v>
      </c>
      <c r="J179" s="30">
        <f t="shared" si="141"/>
        <v>2372626.339</v>
      </c>
      <c r="K179" s="30">
        <f t="shared" si="141"/>
        <v>2609888.973</v>
      </c>
      <c r="L179" s="30">
        <f t="shared" si="141"/>
        <v>2870877.871</v>
      </c>
      <c r="M179" s="30">
        <f t="shared" si="141"/>
        <v>3157965.658</v>
      </c>
      <c r="N179" s="30">
        <f t="shared" si="141"/>
        <v>3473762.223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0" customHeight="1">
      <c r="A180" s="3"/>
      <c r="B180" s="24" t="s">
        <v>182</v>
      </c>
      <c r="C180" s="23" t="s">
        <v>175</v>
      </c>
      <c r="D180" s="30">
        <f>(D304*5%)*12</f>
        <v>189000</v>
      </c>
      <c r="E180" s="30">
        <f t="shared" ref="E180:N180" si="142">D180*1.1</f>
        <v>207900</v>
      </c>
      <c r="F180" s="30">
        <f t="shared" si="142"/>
        <v>228690</v>
      </c>
      <c r="G180" s="30">
        <f t="shared" si="142"/>
        <v>251559</v>
      </c>
      <c r="H180" s="30">
        <f t="shared" si="142"/>
        <v>276714.9</v>
      </c>
      <c r="I180" s="30">
        <f t="shared" si="142"/>
        <v>304386.39</v>
      </c>
      <c r="J180" s="30">
        <f t="shared" si="142"/>
        <v>334825.029</v>
      </c>
      <c r="K180" s="30">
        <f t="shared" si="142"/>
        <v>368307.5319</v>
      </c>
      <c r="L180" s="30">
        <f t="shared" si="142"/>
        <v>405138.2851</v>
      </c>
      <c r="M180" s="30">
        <f t="shared" si="142"/>
        <v>445652.1136</v>
      </c>
      <c r="N180" s="30">
        <f t="shared" si="142"/>
        <v>490217.325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0" customHeight="1">
      <c r="A181" s="3"/>
      <c r="B181" s="24" t="s">
        <v>183</v>
      </c>
      <c r="C181" s="43">
        <f>8000/1.12</f>
        <v>7142.857143</v>
      </c>
      <c r="D181" s="30">
        <f t="shared" ref="D181:N181" si="143">D137*$C181</f>
        <v>500000</v>
      </c>
      <c r="E181" s="30">
        <f t="shared" si="143"/>
        <v>550000</v>
      </c>
      <c r="F181" s="30">
        <f t="shared" si="143"/>
        <v>605000</v>
      </c>
      <c r="G181" s="30">
        <f t="shared" si="143"/>
        <v>665500</v>
      </c>
      <c r="H181" s="30">
        <f t="shared" si="143"/>
        <v>732050</v>
      </c>
      <c r="I181" s="30">
        <f t="shared" si="143"/>
        <v>805255</v>
      </c>
      <c r="J181" s="30">
        <f t="shared" si="143"/>
        <v>885780.5</v>
      </c>
      <c r="K181" s="30">
        <f t="shared" si="143"/>
        <v>974358.55</v>
      </c>
      <c r="L181" s="30">
        <f t="shared" si="143"/>
        <v>1071794.405</v>
      </c>
      <c r="M181" s="30">
        <f t="shared" si="143"/>
        <v>1178973.846</v>
      </c>
      <c r="N181" s="30">
        <f t="shared" si="143"/>
        <v>1296871.23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0" customHeight="1">
      <c r="A182" s="3"/>
      <c r="B182" s="7"/>
      <c r="C182" s="2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0" customHeight="1">
      <c r="A183" s="3"/>
      <c r="B183" s="20" t="s">
        <v>184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0" customHeight="1">
      <c r="A184" s="3"/>
      <c r="B184" s="20" t="s">
        <v>185</v>
      </c>
      <c r="C184" s="3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0" customHeight="1">
      <c r="A185" s="3"/>
      <c r="B185" s="24" t="s">
        <v>186</v>
      </c>
      <c r="C185" s="23" t="s">
        <v>187</v>
      </c>
      <c r="D185" s="29">
        <v>10.0</v>
      </c>
      <c r="E185" s="30">
        <f t="shared" ref="E185:N185" si="144">D185</f>
        <v>10</v>
      </c>
      <c r="F185" s="30">
        <f t="shared" si="144"/>
        <v>10</v>
      </c>
      <c r="G185" s="30">
        <f t="shared" si="144"/>
        <v>10</v>
      </c>
      <c r="H185" s="30">
        <f t="shared" si="144"/>
        <v>10</v>
      </c>
      <c r="I185" s="30">
        <f t="shared" si="144"/>
        <v>10</v>
      </c>
      <c r="J185" s="30">
        <f t="shared" si="144"/>
        <v>10</v>
      </c>
      <c r="K185" s="30">
        <f t="shared" si="144"/>
        <v>10</v>
      </c>
      <c r="L185" s="30">
        <f t="shared" si="144"/>
        <v>10</v>
      </c>
      <c r="M185" s="30">
        <f t="shared" si="144"/>
        <v>10</v>
      </c>
      <c r="N185" s="30">
        <f t="shared" si="144"/>
        <v>10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0" customHeight="1">
      <c r="A186" s="3"/>
      <c r="B186" s="24" t="s">
        <v>188</v>
      </c>
      <c r="C186" s="23"/>
      <c r="D186" s="30">
        <f t="shared" ref="D186:N186" si="145">D402</f>
        <v>166047739.8</v>
      </c>
      <c r="E186" s="30">
        <f t="shared" si="145"/>
        <v>249135922</v>
      </c>
      <c r="F186" s="30">
        <f t="shared" si="145"/>
        <v>361235715.1</v>
      </c>
      <c r="G186" s="30">
        <f t="shared" si="145"/>
        <v>473252370.6</v>
      </c>
      <c r="H186" s="30">
        <f t="shared" si="145"/>
        <v>553731940.7</v>
      </c>
      <c r="I186" s="30">
        <f t="shared" si="145"/>
        <v>653386309.5</v>
      </c>
      <c r="J186" s="30">
        <f t="shared" si="145"/>
        <v>816742299.5</v>
      </c>
      <c r="K186" s="30">
        <f t="shared" si="145"/>
        <v>965339153</v>
      </c>
      <c r="L186" s="30">
        <f t="shared" si="145"/>
        <v>1056079060</v>
      </c>
      <c r="M186" s="30">
        <f t="shared" si="145"/>
        <v>1146902104</v>
      </c>
      <c r="N186" s="30">
        <f t="shared" si="145"/>
        <v>1237558874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0" customHeight="1">
      <c r="A187" s="3"/>
      <c r="B187" s="24" t="s">
        <v>189</v>
      </c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0" customHeight="1">
      <c r="A188" s="3"/>
      <c r="B188" s="24" t="s">
        <v>190</v>
      </c>
      <c r="C188" s="23"/>
      <c r="D188" s="30">
        <f>$D$186/$D$185/2</f>
        <v>8302386.988</v>
      </c>
      <c r="E188" s="30">
        <f t="shared" ref="E188:M188" si="146">$D$186/$D$185</f>
        <v>16604773.98</v>
      </c>
      <c r="F188" s="30">
        <f t="shared" si="146"/>
        <v>16604773.98</v>
      </c>
      <c r="G188" s="30">
        <f t="shared" si="146"/>
        <v>16604773.98</v>
      </c>
      <c r="H188" s="30">
        <f t="shared" si="146"/>
        <v>16604773.98</v>
      </c>
      <c r="I188" s="30">
        <f t="shared" si="146"/>
        <v>16604773.98</v>
      </c>
      <c r="J188" s="30">
        <f t="shared" si="146"/>
        <v>16604773.98</v>
      </c>
      <c r="K188" s="30">
        <f t="shared" si="146"/>
        <v>16604773.98</v>
      </c>
      <c r="L188" s="30">
        <f t="shared" si="146"/>
        <v>16604773.98</v>
      </c>
      <c r="M188" s="30">
        <f t="shared" si="146"/>
        <v>16604773.98</v>
      </c>
      <c r="N188" s="30">
        <f>$D$186/$D$185/2</f>
        <v>8302386.988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0" customHeight="1">
      <c r="A189" s="3"/>
      <c r="B189" s="24" t="s">
        <v>191</v>
      </c>
      <c r="C189" s="23"/>
      <c r="D189" s="30"/>
      <c r="E189" s="30">
        <f>$E$186/$D$185/2</f>
        <v>12456796.1</v>
      </c>
      <c r="F189" s="30">
        <f t="shared" ref="F189:N189" si="147">$E$186/$D$185</f>
        <v>24913592.2</v>
      </c>
      <c r="G189" s="30">
        <f t="shared" si="147"/>
        <v>24913592.2</v>
      </c>
      <c r="H189" s="30">
        <f t="shared" si="147"/>
        <v>24913592.2</v>
      </c>
      <c r="I189" s="30">
        <f t="shared" si="147"/>
        <v>24913592.2</v>
      </c>
      <c r="J189" s="30">
        <f t="shared" si="147"/>
        <v>24913592.2</v>
      </c>
      <c r="K189" s="30">
        <f t="shared" si="147"/>
        <v>24913592.2</v>
      </c>
      <c r="L189" s="30">
        <f t="shared" si="147"/>
        <v>24913592.2</v>
      </c>
      <c r="M189" s="30">
        <f t="shared" si="147"/>
        <v>24913592.2</v>
      </c>
      <c r="N189" s="30">
        <f t="shared" si="147"/>
        <v>24913592.2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0" customHeight="1">
      <c r="A190" s="3"/>
      <c r="B190" s="24" t="s">
        <v>192</v>
      </c>
      <c r="C190" s="23"/>
      <c r="D190" s="30"/>
      <c r="E190" s="30"/>
      <c r="F190" s="30">
        <f>$F$186/$D$185/2</f>
        <v>18061785.76</v>
      </c>
      <c r="G190" s="30">
        <f t="shared" ref="G190:N190" si="148">$F$186/$D$185</f>
        <v>36123571.51</v>
      </c>
      <c r="H190" s="30">
        <f t="shared" si="148"/>
        <v>36123571.51</v>
      </c>
      <c r="I190" s="30">
        <f t="shared" si="148"/>
        <v>36123571.51</v>
      </c>
      <c r="J190" s="30">
        <f t="shared" si="148"/>
        <v>36123571.51</v>
      </c>
      <c r="K190" s="30">
        <f t="shared" si="148"/>
        <v>36123571.51</v>
      </c>
      <c r="L190" s="30">
        <f t="shared" si="148"/>
        <v>36123571.51</v>
      </c>
      <c r="M190" s="30">
        <f t="shared" si="148"/>
        <v>36123571.51</v>
      </c>
      <c r="N190" s="30">
        <f t="shared" si="148"/>
        <v>36123571.51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0" customHeight="1">
      <c r="A191" s="3"/>
      <c r="B191" s="24" t="s">
        <v>193</v>
      </c>
      <c r="C191" s="23"/>
      <c r="D191" s="30"/>
      <c r="E191" s="30"/>
      <c r="F191" s="30"/>
      <c r="G191" s="30">
        <f>$G$186/$D$185/2</f>
        <v>23662618.53</v>
      </c>
      <c r="H191" s="30">
        <f t="shared" ref="H191:N191" si="149">$G$186/$D$185</f>
        <v>47325237.06</v>
      </c>
      <c r="I191" s="30">
        <f t="shared" si="149"/>
        <v>47325237.06</v>
      </c>
      <c r="J191" s="30">
        <f t="shared" si="149"/>
        <v>47325237.06</v>
      </c>
      <c r="K191" s="30">
        <f t="shared" si="149"/>
        <v>47325237.06</v>
      </c>
      <c r="L191" s="30">
        <f t="shared" si="149"/>
        <v>47325237.06</v>
      </c>
      <c r="M191" s="30">
        <f t="shared" si="149"/>
        <v>47325237.06</v>
      </c>
      <c r="N191" s="30">
        <f t="shared" si="149"/>
        <v>47325237.06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0" customHeight="1">
      <c r="A192" s="3"/>
      <c r="B192" s="24" t="s">
        <v>194</v>
      </c>
      <c r="C192" s="23"/>
      <c r="D192" s="30"/>
      <c r="E192" s="30"/>
      <c r="F192" s="30"/>
      <c r="G192" s="30"/>
      <c r="H192" s="30">
        <f>$H$186/$D$185/2</f>
        <v>27686597.04</v>
      </c>
      <c r="I192" s="30">
        <f t="shared" ref="I192:N192" si="150">$H$186/$D$185</f>
        <v>55373194.07</v>
      </c>
      <c r="J192" s="30">
        <f t="shared" si="150"/>
        <v>55373194.07</v>
      </c>
      <c r="K192" s="30">
        <f t="shared" si="150"/>
        <v>55373194.07</v>
      </c>
      <c r="L192" s="30">
        <f t="shared" si="150"/>
        <v>55373194.07</v>
      </c>
      <c r="M192" s="30">
        <f t="shared" si="150"/>
        <v>55373194.07</v>
      </c>
      <c r="N192" s="30">
        <f t="shared" si="150"/>
        <v>55373194.07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0" customHeight="1">
      <c r="A193" s="3"/>
      <c r="B193" s="24" t="s">
        <v>195</v>
      </c>
      <c r="C193" s="23"/>
      <c r="D193" s="30"/>
      <c r="E193" s="30"/>
      <c r="F193" s="30"/>
      <c r="G193" s="30"/>
      <c r="H193" s="30"/>
      <c r="I193" s="30">
        <f>$I$186/$D$185/2</f>
        <v>32669315.48</v>
      </c>
      <c r="J193" s="30">
        <f t="shared" ref="J193:N193" si="151">$I$186/$D$185</f>
        <v>65338630.95</v>
      </c>
      <c r="K193" s="30">
        <f t="shared" si="151"/>
        <v>65338630.95</v>
      </c>
      <c r="L193" s="30">
        <f t="shared" si="151"/>
        <v>65338630.95</v>
      </c>
      <c r="M193" s="30">
        <f t="shared" si="151"/>
        <v>65338630.95</v>
      </c>
      <c r="N193" s="30">
        <f t="shared" si="151"/>
        <v>65338630.95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0" customHeight="1">
      <c r="A194" s="3"/>
      <c r="B194" s="24" t="s">
        <v>196</v>
      </c>
      <c r="C194" s="23"/>
      <c r="D194" s="30"/>
      <c r="E194" s="30"/>
      <c r="F194" s="30"/>
      <c r="G194" s="30"/>
      <c r="H194" s="30"/>
      <c r="I194" s="30"/>
      <c r="J194" s="30">
        <f>$J$186/$D$185/2</f>
        <v>40837114.98</v>
      </c>
      <c r="K194" s="30">
        <f t="shared" ref="K194:N194" si="152">$J$186/$D$185</f>
        <v>81674229.95</v>
      </c>
      <c r="L194" s="30">
        <f t="shared" si="152"/>
        <v>81674229.95</v>
      </c>
      <c r="M194" s="30">
        <f t="shared" si="152"/>
        <v>81674229.95</v>
      </c>
      <c r="N194" s="30">
        <f t="shared" si="152"/>
        <v>81674229.95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0" customHeight="1">
      <c r="A195" s="3"/>
      <c r="B195" s="24" t="s">
        <v>197</v>
      </c>
      <c r="C195" s="23"/>
      <c r="D195" s="30"/>
      <c r="E195" s="30"/>
      <c r="F195" s="30"/>
      <c r="G195" s="30"/>
      <c r="H195" s="30"/>
      <c r="I195" s="30"/>
      <c r="J195" s="30"/>
      <c r="K195" s="30">
        <f>$K$186/$D$185/2</f>
        <v>48266957.65</v>
      </c>
      <c r="L195" s="30">
        <f t="shared" ref="L195:N195" si="153">$K$186/$D$185</f>
        <v>96533915.3</v>
      </c>
      <c r="M195" s="30">
        <f t="shared" si="153"/>
        <v>96533915.3</v>
      </c>
      <c r="N195" s="30">
        <f t="shared" si="153"/>
        <v>96533915.3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0" customHeight="1">
      <c r="A196" s="3"/>
      <c r="B196" s="24" t="s">
        <v>198</v>
      </c>
      <c r="C196" s="23"/>
      <c r="D196" s="30"/>
      <c r="E196" s="30"/>
      <c r="F196" s="30"/>
      <c r="G196" s="30"/>
      <c r="H196" s="30"/>
      <c r="I196" s="30"/>
      <c r="J196" s="30"/>
      <c r="K196" s="30"/>
      <c r="L196" s="30">
        <f>$L$186/$D$185/2</f>
        <v>52803952.99</v>
      </c>
      <c r="M196" s="30">
        <f t="shared" ref="M196:N196" si="154">$L$186/$D$185</f>
        <v>105607906</v>
      </c>
      <c r="N196" s="30">
        <f t="shared" si="154"/>
        <v>105607906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0" customHeight="1">
      <c r="A197" s="3"/>
      <c r="B197" s="24" t="s">
        <v>199</v>
      </c>
      <c r="C197" s="23"/>
      <c r="D197" s="30"/>
      <c r="E197" s="30"/>
      <c r="F197" s="30"/>
      <c r="G197" s="30"/>
      <c r="H197" s="30"/>
      <c r="I197" s="30"/>
      <c r="J197" s="30"/>
      <c r="K197" s="30"/>
      <c r="L197" s="30"/>
      <c r="M197" s="30">
        <f>$M$186/$D$185/2</f>
        <v>57345105.22</v>
      </c>
      <c r="N197" s="30">
        <f>$M$186/$D$185</f>
        <v>114690210.4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0" customHeight="1">
      <c r="A198" s="3"/>
      <c r="B198" s="24" t="s">
        <v>200</v>
      </c>
      <c r="C198" s="23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>
        <f>$N$186/$D$185/2</f>
        <v>61877943.68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0" customHeight="1">
      <c r="A199" s="3"/>
      <c r="B199" s="24" t="s">
        <v>201</v>
      </c>
      <c r="C199" s="23"/>
      <c r="D199" s="30">
        <f t="shared" ref="D199:N199" si="155">SUM(D188:D198)</f>
        <v>8302386.988</v>
      </c>
      <c r="E199" s="30">
        <f t="shared" si="155"/>
        <v>29061570.08</v>
      </c>
      <c r="F199" s="30">
        <f t="shared" si="155"/>
        <v>59580151.93</v>
      </c>
      <c r="G199" s="30">
        <f t="shared" si="155"/>
        <v>101304556.2</v>
      </c>
      <c r="H199" s="30">
        <f t="shared" si="155"/>
        <v>152653771.8</v>
      </c>
      <c r="I199" s="30">
        <f t="shared" si="155"/>
        <v>213009684.3</v>
      </c>
      <c r="J199" s="30">
        <f t="shared" si="155"/>
        <v>286516114.8</v>
      </c>
      <c r="K199" s="30">
        <f t="shared" si="155"/>
        <v>375620187.4</v>
      </c>
      <c r="L199" s="30">
        <f t="shared" si="155"/>
        <v>476691098</v>
      </c>
      <c r="M199" s="30">
        <f t="shared" si="155"/>
        <v>586840156.2</v>
      </c>
      <c r="N199" s="30">
        <f t="shared" si="155"/>
        <v>697760818.1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0" customHeight="1">
      <c r="A200" s="3"/>
      <c r="B200" s="24" t="s">
        <v>202</v>
      </c>
      <c r="C200" s="23"/>
      <c r="D200" s="30">
        <f t="shared" ref="D200:N200" si="156">D199</f>
        <v>8302386.988</v>
      </c>
      <c r="E200" s="30">
        <f t="shared" si="156"/>
        <v>29061570.08</v>
      </c>
      <c r="F200" s="30">
        <f t="shared" si="156"/>
        <v>59580151.93</v>
      </c>
      <c r="G200" s="30">
        <f t="shared" si="156"/>
        <v>101304556.2</v>
      </c>
      <c r="H200" s="30">
        <f t="shared" si="156"/>
        <v>152653771.8</v>
      </c>
      <c r="I200" s="30">
        <f t="shared" si="156"/>
        <v>213009684.3</v>
      </c>
      <c r="J200" s="30">
        <f t="shared" si="156"/>
        <v>286516114.8</v>
      </c>
      <c r="K200" s="30">
        <f t="shared" si="156"/>
        <v>375620187.4</v>
      </c>
      <c r="L200" s="30">
        <f t="shared" si="156"/>
        <v>476691098</v>
      </c>
      <c r="M200" s="30">
        <f t="shared" si="156"/>
        <v>586840156.2</v>
      </c>
      <c r="N200" s="30">
        <f t="shared" si="156"/>
        <v>697760818.1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0" customHeight="1">
      <c r="A201" s="3"/>
      <c r="B201" s="24" t="s">
        <v>203</v>
      </c>
      <c r="C201" s="23"/>
      <c r="D201" s="30">
        <f t="shared" ref="D201:N201" si="157">SUM($D186:D186)-SUM($D200:D200)</f>
        <v>157745352.8</v>
      </c>
      <c r="E201" s="30">
        <f t="shared" si="157"/>
        <v>377819704.7</v>
      </c>
      <c r="F201" s="30">
        <f t="shared" si="157"/>
        <v>679475267.9</v>
      </c>
      <c r="G201" s="30">
        <f t="shared" si="157"/>
        <v>1051423082</v>
      </c>
      <c r="H201" s="30">
        <f t="shared" si="157"/>
        <v>1452501251</v>
      </c>
      <c r="I201" s="30">
        <f t="shared" si="157"/>
        <v>1892877876</v>
      </c>
      <c r="J201" s="30">
        <f t="shared" si="157"/>
        <v>2423104061</v>
      </c>
      <c r="K201" s="30">
        <f t="shared" si="157"/>
        <v>3012823027</v>
      </c>
      <c r="L201" s="30">
        <f t="shared" si="157"/>
        <v>3592210989</v>
      </c>
      <c r="M201" s="30">
        <f t="shared" si="157"/>
        <v>4152272937</v>
      </c>
      <c r="N201" s="30">
        <f t="shared" si="157"/>
        <v>4692070992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0" customHeight="1">
      <c r="A202" s="3"/>
      <c r="B202" s="27"/>
      <c r="C202" s="3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0" customHeight="1">
      <c r="A203" s="3"/>
      <c r="B203" s="20" t="s">
        <v>204</v>
      </c>
      <c r="C203" s="3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0" customHeight="1">
      <c r="A204" s="3"/>
      <c r="B204" s="24" t="s">
        <v>205</v>
      </c>
      <c r="C204" s="23" t="s">
        <v>50</v>
      </c>
      <c r="D204" s="30">
        <f t="shared" ref="D204:N204" si="158">D411</f>
        <v>4432</v>
      </c>
      <c r="E204" s="30">
        <f t="shared" si="158"/>
        <v>10748</v>
      </c>
      <c r="F204" s="30">
        <f t="shared" si="158"/>
        <v>19776</v>
      </c>
      <c r="G204" s="30">
        <f t="shared" si="158"/>
        <v>31434</v>
      </c>
      <c r="H204" s="30">
        <f t="shared" si="158"/>
        <v>44824</v>
      </c>
      <c r="I204" s="30">
        <f t="shared" si="158"/>
        <v>60394</v>
      </c>
      <c r="J204" s="30">
        <f t="shared" si="158"/>
        <v>79726</v>
      </c>
      <c r="K204" s="30">
        <f t="shared" si="158"/>
        <v>102326</v>
      </c>
      <c r="L204" s="30">
        <f t="shared" si="158"/>
        <v>126598</v>
      </c>
      <c r="M204" s="30">
        <f t="shared" si="158"/>
        <v>152492</v>
      </c>
      <c r="N204" s="30">
        <f t="shared" si="158"/>
        <v>179956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0" customHeight="1">
      <c r="A205" s="3"/>
      <c r="B205" s="24" t="s">
        <v>206</v>
      </c>
      <c r="C205" s="23" t="s">
        <v>50</v>
      </c>
      <c r="D205" s="30">
        <f t="shared" ref="D205:N205" si="159">D412</f>
        <v>4432</v>
      </c>
      <c r="E205" s="30">
        <f t="shared" si="159"/>
        <v>6316</v>
      </c>
      <c r="F205" s="30">
        <f t="shared" si="159"/>
        <v>9028</v>
      </c>
      <c r="G205" s="30">
        <f t="shared" si="159"/>
        <v>11658</v>
      </c>
      <c r="H205" s="30">
        <f t="shared" si="159"/>
        <v>13390</v>
      </c>
      <c r="I205" s="30">
        <f t="shared" si="159"/>
        <v>15570</v>
      </c>
      <c r="J205" s="30">
        <f t="shared" si="159"/>
        <v>19332</v>
      </c>
      <c r="K205" s="30">
        <f t="shared" si="159"/>
        <v>22600</v>
      </c>
      <c r="L205" s="30">
        <f t="shared" si="159"/>
        <v>24272</v>
      </c>
      <c r="M205" s="30">
        <f t="shared" si="159"/>
        <v>25894</v>
      </c>
      <c r="N205" s="30">
        <f t="shared" si="159"/>
        <v>27464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0" customHeight="1">
      <c r="A206" s="3"/>
      <c r="B206" s="24" t="s">
        <v>207</v>
      </c>
      <c r="C206" s="23"/>
      <c r="D206" s="30">
        <f t="shared" ref="D206:N206" si="160">D413</f>
        <v>109450943.5</v>
      </c>
      <c r="E206" s="30">
        <f t="shared" si="160"/>
        <v>155977472.8</v>
      </c>
      <c r="F206" s="30">
        <f t="shared" si="160"/>
        <v>222951967.1</v>
      </c>
      <c r="G206" s="30">
        <f t="shared" si="160"/>
        <v>287901421.4</v>
      </c>
      <c r="H206" s="30">
        <f t="shared" si="160"/>
        <v>330674217.9</v>
      </c>
      <c r="I206" s="30">
        <f t="shared" si="160"/>
        <v>384510647.7</v>
      </c>
      <c r="J206" s="30">
        <f t="shared" si="160"/>
        <v>477415532.5</v>
      </c>
      <c r="K206" s="30">
        <f t="shared" si="160"/>
        <v>558120786</v>
      </c>
      <c r="L206" s="30">
        <f t="shared" si="160"/>
        <v>599411845.9</v>
      </c>
      <c r="M206" s="30">
        <f t="shared" si="160"/>
        <v>639468125.3</v>
      </c>
      <c r="N206" s="30">
        <f t="shared" si="160"/>
        <v>678240233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0" customHeight="1">
      <c r="A207" s="3"/>
      <c r="B207" s="24" t="s">
        <v>208</v>
      </c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0" customHeight="1">
      <c r="A208" s="3"/>
      <c r="B208" s="24" t="s">
        <v>190</v>
      </c>
      <c r="C208" s="23"/>
      <c r="D208" s="30">
        <f>$D$206/$D$185/2</f>
        <v>5472547.176</v>
      </c>
      <c r="E208" s="30">
        <f t="shared" ref="E208:M208" si="161">$D$206/$D$185</f>
        <v>10945094.35</v>
      </c>
      <c r="F208" s="30">
        <f t="shared" si="161"/>
        <v>10945094.35</v>
      </c>
      <c r="G208" s="30">
        <f t="shared" si="161"/>
        <v>10945094.35</v>
      </c>
      <c r="H208" s="30">
        <f t="shared" si="161"/>
        <v>10945094.35</v>
      </c>
      <c r="I208" s="30">
        <f t="shared" si="161"/>
        <v>10945094.35</v>
      </c>
      <c r="J208" s="30">
        <f t="shared" si="161"/>
        <v>10945094.35</v>
      </c>
      <c r="K208" s="30">
        <f t="shared" si="161"/>
        <v>10945094.35</v>
      </c>
      <c r="L208" s="30">
        <f t="shared" si="161"/>
        <v>10945094.35</v>
      </c>
      <c r="M208" s="30">
        <f t="shared" si="161"/>
        <v>10945094.35</v>
      </c>
      <c r="N208" s="30">
        <f>$D$206/$D$185/2</f>
        <v>5472547.176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0" customHeight="1">
      <c r="A209" s="3"/>
      <c r="B209" s="24" t="s">
        <v>191</v>
      </c>
      <c r="C209" s="23"/>
      <c r="D209" s="30"/>
      <c r="E209" s="30">
        <f>$E$206/$D$185/2</f>
        <v>7798873.638</v>
      </c>
      <c r="F209" s="30">
        <f t="shared" ref="F209:N209" si="162">$E$206/$D$185</f>
        <v>15597747.28</v>
      </c>
      <c r="G209" s="30">
        <f t="shared" si="162"/>
        <v>15597747.28</v>
      </c>
      <c r="H209" s="30">
        <f t="shared" si="162"/>
        <v>15597747.28</v>
      </c>
      <c r="I209" s="30">
        <f t="shared" si="162"/>
        <v>15597747.28</v>
      </c>
      <c r="J209" s="30">
        <f t="shared" si="162"/>
        <v>15597747.28</v>
      </c>
      <c r="K209" s="30">
        <f t="shared" si="162"/>
        <v>15597747.28</v>
      </c>
      <c r="L209" s="30">
        <f t="shared" si="162"/>
        <v>15597747.28</v>
      </c>
      <c r="M209" s="30">
        <f t="shared" si="162"/>
        <v>15597747.28</v>
      </c>
      <c r="N209" s="30">
        <f t="shared" si="162"/>
        <v>15597747.28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0" customHeight="1">
      <c r="A210" s="3"/>
      <c r="B210" s="24" t="s">
        <v>192</v>
      </c>
      <c r="C210" s="23"/>
      <c r="D210" s="30"/>
      <c r="E210" s="30"/>
      <c r="F210" s="30">
        <f>$F$206/$D$185/2</f>
        <v>11147598.35</v>
      </c>
      <c r="G210" s="30">
        <f t="shared" ref="G210:N210" si="163">$F$206/$D$185</f>
        <v>22295196.71</v>
      </c>
      <c r="H210" s="30">
        <f t="shared" si="163"/>
        <v>22295196.71</v>
      </c>
      <c r="I210" s="30">
        <f t="shared" si="163"/>
        <v>22295196.71</v>
      </c>
      <c r="J210" s="30">
        <f t="shared" si="163"/>
        <v>22295196.71</v>
      </c>
      <c r="K210" s="30">
        <f t="shared" si="163"/>
        <v>22295196.71</v>
      </c>
      <c r="L210" s="30">
        <f t="shared" si="163"/>
        <v>22295196.71</v>
      </c>
      <c r="M210" s="30">
        <f t="shared" si="163"/>
        <v>22295196.71</v>
      </c>
      <c r="N210" s="30">
        <f t="shared" si="163"/>
        <v>22295196.71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0" customHeight="1">
      <c r="A211" s="3"/>
      <c r="B211" s="24" t="s">
        <v>193</v>
      </c>
      <c r="C211" s="23"/>
      <c r="D211" s="30"/>
      <c r="E211" s="30"/>
      <c r="F211" s="30"/>
      <c r="G211" s="30">
        <f>$G$206/$D$185/2</f>
        <v>14395071.07</v>
      </c>
      <c r="H211" s="30">
        <f t="shared" ref="H211:N211" si="164">$G$206/$D$185</f>
        <v>28790142.14</v>
      </c>
      <c r="I211" s="30">
        <f t="shared" si="164"/>
        <v>28790142.14</v>
      </c>
      <c r="J211" s="30">
        <f t="shared" si="164"/>
        <v>28790142.14</v>
      </c>
      <c r="K211" s="30">
        <f t="shared" si="164"/>
        <v>28790142.14</v>
      </c>
      <c r="L211" s="30">
        <f t="shared" si="164"/>
        <v>28790142.14</v>
      </c>
      <c r="M211" s="30">
        <f t="shared" si="164"/>
        <v>28790142.14</v>
      </c>
      <c r="N211" s="30">
        <f t="shared" si="164"/>
        <v>28790142.14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0" customHeight="1">
      <c r="A212" s="3"/>
      <c r="B212" s="24" t="s">
        <v>194</v>
      </c>
      <c r="C212" s="23"/>
      <c r="D212" s="30"/>
      <c r="E212" s="30"/>
      <c r="F212" s="30"/>
      <c r="G212" s="30"/>
      <c r="H212" s="30">
        <f>$H$206/$D$185/2</f>
        <v>16533710.9</v>
      </c>
      <c r="I212" s="30">
        <f t="shared" ref="I212:N212" si="165">$H$206/$D$185</f>
        <v>33067421.79</v>
      </c>
      <c r="J212" s="30">
        <f t="shared" si="165"/>
        <v>33067421.79</v>
      </c>
      <c r="K212" s="30">
        <f t="shared" si="165"/>
        <v>33067421.79</v>
      </c>
      <c r="L212" s="30">
        <f t="shared" si="165"/>
        <v>33067421.79</v>
      </c>
      <c r="M212" s="30">
        <f t="shared" si="165"/>
        <v>33067421.79</v>
      </c>
      <c r="N212" s="30">
        <f t="shared" si="165"/>
        <v>33067421.79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0" customHeight="1">
      <c r="A213" s="3"/>
      <c r="B213" s="24" t="s">
        <v>195</v>
      </c>
      <c r="C213" s="23"/>
      <c r="D213" s="30"/>
      <c r="E213" s="30"/>
      <c r="F213" s="30"/>
      <c r="G213" s="30"/>
      <c r="H213" s="30"/>
      <c r="I213" s="30">
        <f>$I$206/$D$185/2</f>
        <v>19225532.39</v>
      </c>
      <c r="J213" s="30">
        <f t="shared" ref="J213:N213" si="166">$I$206/$D$185</f>
        <v>38451064.77</v>
      </c>
      <c r="K213" s="30">
        <f t="shared" si="166"/>
        <v>38451064.77</v>
      </c>
      <c r="L213" s="30">
        <f t="shared" si="166"/>
        <v>38451064.77</v>
      </c>
      <c r="M213" s="30">
        <f t="shared" si="166"/>
        <v>38451064.77</v>
      </c>
      <c r="N213" s="30">
        <f t="shared" si="166"/>
        <v>38451064.77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0" customHeight="1">
      <c r="A214" s="3"/>
      <c r="B214" s="24" t="s">
        <v>196</v>
      </c>
      <c r="C214" s="23"/>
      <c r="D214" s="30"/>
      <c r="E214" s="30"/>
      <c r="F214" s="30"/>
      <c r="G214" s="30"/>
      <c r="H214" s="30"/>
      <c r="I214" s="30"/>
      <c r="J214" s="30">
        <f>$J$206/$D$185/2</f>
        <v>23870776.63</v>
      </c>
      <c r="K214" s="30">
        <f t="shared" ref="K214:N214" si="167">$J$206/$D$185</f>
        <v>47741553.25</v>
      </c>
      <c r="L214" s="30">
        <f t="shared" si="167"/>
        <v>47741553.25</v>
      </c>
      <c r="M214" s="30">
        <f t="shared" si="167"/>
        <v>47741553.25</v>
      </c>
      <c r="N214" s="30">
        <f t="shared" si="167"/>
        <v>47741553.25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0" customHeight="1">
      <c r="A215" s="3"/>
      <c r="B215" s="24" t="s">
        <v>197</v>
      </c>
      <c r="C215" s="23"/>
      <c r="D215" s="30"/>
      <c r="E215" s="30"/>
      <c r="F215" s="30"/>
      <c r="G215" s="30"/>
      <c r="H215" s="30"/>
      <c r="I215" s="30"/>
      <c r="J215" s="30"/>
      <c r="K215" s="30">
        <f>$K$206/$D$185/2</f>
        <v>27906039.3</v>
      </c>
      <c r="L215" s="30">
        <f t="shared" ref="L215:N215" si="168">$K$206/$D$185</f>
        <v>55812078.6</v>
      </c>
      <c r="M215" s="30">
        <f t="shared" si="168"/>
        <v>55812078.6</v>
      </c>
      <c r="N215" s="30">
        <f t="shared" si="168"/>
        <v>55812078.6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0" customHeight="1">
      <c r="A216" s="3"/>
      <c r="B216" s="24" t="s">
        <v>198</v>
      </c>
      <c r="C216" s="23"/>
      <c r="D216" s="30"/>
      <c r="E216" s="30"/>
      <c r="F216" s="30"/>
      <c r="G216" s="30"/>
      <c r="H216" s="30"/>
      <c r="I216" s="30"/>
      <c r="J216" s="30"/>
      <c r="K216" s="30"/>
      <c r="L216" s="30">
        <f>$L$206/$D$185/2</f>
        <v>29970592.3</v>
      </c>
      <c r="M216" s="30">
        <f t="shared" ref="M216:N216" si="169">$L$206/$D$185</f>
        <v>59941184.59</v>
      </c>
      <c r="N216" s="30">
        <f t="shared" si="169"/>
        <v>59941184.59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0" customHeight="1">
      <c r="A217" s="3"/>
      <c r="B217" s="24" t="s">
        <v>199</v>
      </c>
      <c r="C217" s="23"/>
      <c r="D217" s="30"/>
      <c r="E217" s="30"/>
      <c r="F217" s="30"/>
      <c r="G217" s="30"/>
      <c r="H217" s="30"/>
      <c r="I217" s="30"/>
      <c r="J217" s="30"/>
      <c r="K217" s="30"/>
      <c r="L217" s="30"/>
      <c r="M217" s="30">
        <f>$M$206/$D$185/2</f>
        <v>31973406.27</v>
      </c>
      <c r="N217" s="30">
        <f>$M$206/$D$185</f>
        <v>63946812.53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0" customHeight="1">
      <c r="A218" s="3"/>
      <c r="B218" s="24" t="s">
        <v>200</v>
      </c>
      <c r="C218" s="23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>
        <f>$N$206/$D$185/2</f>
        <v>33912011.65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0" customHeight="1">
      <c r="A219" s="3"/>
      <c r="B219" s="24" t="s">
        <v>201</v>
      </c>
      <c r="C219" s="23"/>
      <c r="D219" s="30">
        <f t="shared" ref="D219:N219" si="170">SUM(D208:D218)</f>
        <v>5472547.176</v>
      </c>
      <c r="E219" s="30">
        <f t="shared" si="170"/>
        <v>18743967.99</v>
      </c>
      <c r="F219" s="30">
        <f t="shared" si="170"/>
        <v>37690439.98</v>
      </c>
      <c r="G219" s="30">
        <f t="shared" si="170"/>
        <v>63233109.41</v>
      </c>
      <c r="H219" s="30">
        <f t="shared" si="170"/>
        <v>94161891.37</v>
      </c>
      <c r="I219" s="30">
        <f t="shared" si="170"/>
        <v>129921134.6</v>
      </c>
      <c r="J219" s="30">
        <f t="shared" si="170"/>
        <v>173017443.7</v>
      </c>
      <c r="K219" s="30">
        <f t="shared" si="170"/>
        <v>224794259.6</v>
      </c>
      <c r="L219" s="30">
        <f t="shared" si="170"/>
        <v>282670891.2</v>
      </c>
      <c r="M219" s="30">
        <f t="shared" si="170"/>
        <v>344614889.7</v>
      </c>
      <c r="N219" s="30">
        <f t="shared" si="170"/>
        <v>405027760.5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0" customHeight="1">
      <c r="A220" s="3"/>
      <c r="B220" s="24" t="s">
        <v>209</v>
      </c>
      <c r="C220" s="23"/>
      <c r="D220" s="30">
        <f t="shared" ref="D220:N220" si="171">D219</f>
        <v>5472547.176</v>
      </c>
      <c r="E220" s="30">
        <f t="shared" si="171"/>
        <v>18743967.99</v>
      </c>
      <c r="F220" s="30">
        <f t="shared" si="171"/>
        <v>37690439.98</v>
      </c>
      <c r="G220" s="30">
        <f t="shared" si="171"/>
        <v>63233109.41</v>
      </c>
      <c r="H220" s="30">
        <f t="shared" si="171"/>
        <v>94161891.37</v>
      </c>
      <c r="I220" s="30">
        <f t="shared" si="171"/>
        <v>129921134.6</v>
      </c>
      <c r="J220" s="30">
        <f t="shared" si="171"/>
        <v>173017443.7</v>
      </c>
      <c r="K220" s="30">
        <f t="shared" si="171"/>
        <v>224794259.6</v>
      </c>
      <c r="L220" s="30">
        <f t="shared" si="171"/>
        <v>282670891.2</v>
      </c>
      <c r="M220" s="30">
        <f t="shared" si="171"/>
        <v>344614889.7</v>
      </c>
      <c r="N220" s="30">
        <f t="shared" si="171"/>
        <v>405027760.5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0" customHeight="1">
      <c r="A221" s="3"/>
      <c r="B221" s="24" t="s">
        <v>210</v>
      </c>
      <c r="C221" s="23"/>
      <c r="D221" s="30">
        <f t="shared" ref="D221:N221" si="172">SUM($D206:D206)*D64</f>
        <v>2189018.87</v>
      </c>
      <c r="E221" s="30">
        <f t="shared" si="172"/>
        <v>5308568.326</v>
      </c>
      <c r="F221" s="30">
        <f t="shared" si="172"/>
        <v>9767607.667</v>
      </c>
      <c r="G221" s="30">
        <f t="shared" si="172"/>
        <v>15525636.09</v>
      </c>
      <c r="H221" s="30">
        <f t="shared" si="172"/>
        <v>22139120.45</v>
      </c>
      <c r="I221" s="30">
        <f t="shared" si="172"/>
        <v>29829333.41</v>
      </c>
      <c r="J221" s="30">
        <f t="shared" si="172"/>
        <v>39377644.06</v>
      </c>
      <c r="K221" s="30">
        <f t="shared" si="172"/>
        <v>50540059.78</v>
      </c>
      <c r="L221" s="30">
        <f t="shared" si="172"/>
        <v>62528296.7</v>
      </c>
      <c r="M221" s="30">
        <f t="shared" si="172"/>
        <v>75317659.2</v>
      </c>
      <c r="N221" s="30">
        <f t="shared" si="172"/>
        <v>88882463.86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0" customHeight="1">
      <c r="A222" s="3"/>
      <c r="B222" s="24" t="s">
        <v>211</v>
      </c>
      <c r="C222" s="23"/>
      <c r="D222" s="30">
        <f t="shared" ref="D222:N222" si="173">SUM($D206:D206)-SUM($D220:D220)</f>
        <v>103978396.3</v>
      </c>
      <c r="E222" s="30">
        <f t="shared" si="173"/>
        <v>241211901.1</v>
      </c>
      <c r="F222" s="30">
        <f t="shared" si="173"/>
        <v>426473428.2</v>
      </c>
      <c r="G222" s="30">
        <f t="shared" si="173"/>
        <v>651141740.2</v>
      </c>
      <c r="H222" s="30">
        <f t="shared" si="173"/>
        <v>887654066.7</v>
      </c>
      <c r="I222" s="30">
        <f t="shared" si="173"/>
        <v>1142243580</v>
      </c>
      <c r="J222" s="30">
        <f t="shared" si="173"/>
        <v>1446641669</v>
      </c>
      <c r="K222" s="30">
        <f t="shared" si="173"/>
        <v>1779968195</v>
      </c>
      <c r="L222" s="30">
        <f t="shared" si="173"/>
        <v>2096709150</v>
      </c>
      <c r="M222" s="30">
        <f t="shared" si="173"/>
        <v>2391562385</v>
      </c>
      <c r="N222" s="30">
        <f t="shared" si="173"/>
        <v>2664774858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0" customHeight="1">
      <c r="A223" s="3"/>
      <c r="B223" s="7"/>
      <c r="C223" s="3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0" customHeight="1">
      <c r="A224" s="3"/>
      <c r="B224" s="20" t="s">
        <v>212</v>
      </c>
      <c r="C224" s="3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0" customHeight="1">
      <c r="A225" s="3"/>
      <c r="B225" s="24" t="s">
        <v>213</v>
      </c>
      <c r="C225" s="23"/>
      <c r="D225" s="30">
        <f t="shared" ref="D225:N225" si="174">D408</f>
        <v>24999744.8</v>
      </c>
      <c r="E225" s="30">
        <f t="shared" si="174"/>
        <v>34999642.72</v>
      </c>
      <c r="F225" s="30">
        <f t="shared" si="174"/>
        <v>45492005.44</v>
      </c>
      <c r="G225" s="30">
        <f t="shared" si="174"/>
        <v>59109336.26</v>
      </c>
      <c r="H225" s="30">
        <f t="shared" si="174"/>
        <v>76836564.78</v>
      </c>
      <c r="I225" s="30">
        <f t="shared" si="174"/>
        <v>99828799.9</v>
      </c>
      <c r="J225" s="30">
        <f t="shared" si="174"/>
        <v>129695964.8</v>
      </c>
      <c r="K225" s="30">
        <f t="shared" si="174"/>
        <v>168672976.4</v>
      </c>
      <c r="L225" s="30">
        <f t="shared" si="174"/>
        <v>219259809.2</v>
      </c>
      <c r="M225" s="30">
        <f t="shared" si="174"/>
        <v>284979017.6</v>
      </c>
      <c r="N225" s="30">
        <f t="shared" si="174"/>
        <v>370432964.3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0" customHeight="1">
      <c r="A226" s="3"/>
      <c r="B226" s="24" t="s">
        <v>214</v>
      </c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24" t="s">
        <v>190</v>
      </c>
      <c r="C227" s="23"/>
      <c r="D227" s="30">
        <f>$D$225/$D$185/2</f>
        <v>1249987.24</v>
      </c>
      <c r="E227" s="30">
        <f t="shared" ref="E227:M227" si="175">$D$225/$D$185</f>
        <v>2499974.48</v>
      </c>
      <c r="F227" s="30">
        <f t="shared" si="175"/>
        <v>2499974.48</v>
      </c>
      <c r="G227" s="30">
        <f t="shared" si="175"/>
        <v>2499974.48</v>
      </c>
      <c r="H227" s="30">
        <f t="shared" si="175"/>
        <v>2499974.48</v>
      </c>
      <c r="I227" s="30">
        <f t="shared" si="175"/>
        <v>2499974.48</v>
      </c>
      <c r="J227" s="30">
        <f t="shared" si="175"/>
        <v>2499974.48</v>
      </c>
      <c r="K227" s="30">
        <f t="shared" si="175"/>
        <v>2499974.48</v>
      </c>
      <c r="L227" s="30">
        <f t="shared" si="175"/>
        <v>2499974.48</v>
      </c>
      <c r="M227" s="30">
        <f t="shared" si="175"/>
        <v>2499974.48</v>
      </c>
      <c r="N227" s="30">
        <f>$D$225/$D$185/2</f>
        <v>1249987.24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0" customHeight="1">
      <c r="A228" s="3"/>
      <c r="B228" s="24" t="s">
        <v>191</v>
      </c>
      <c r="C228" s="23"/>
      <c r="D228" s="30"/>
      <c r="E228" s="30">
        <f>$E$225/$D$185/2</f>
        <v>1749982.136</v>
      </c>
      <c r="F228" s="30">
        <f t="shared" ref="F228:N228" si="176">$E$225/$D$185</f>
        <v>3499964.272</v>
      </c>
      <c r="G228" s="30">
        <f t="shared" si="176"/>
        <v>3499964.272</v>
      </c>
      <c r="H228" s="30">
        <f t="shared" si="176"/>
        <v>3499964.272</v>
      </c>
      <c r="I228" s="30">
        <f t="shared" si="176"/>
        <v>3499964.272</v>
      </c>
      <c r="J228" s="30">
        <f t="shared" si="176"/>
        <v>3499964.272</v>
      </c>
      <c r="K228" s="30">
        <f t="shared" si="176"/>
        <v>3499964.272</v>
      </c>
      <c r="L228" s="30">
        <f t="shared" si="176"/>
        <v>3499964.272</v>
      </c>
      <c r="M228" s="30">
        <f t="shared" si="176"/>
        <v>3499964.272</v>
      </c>
      <c r="N228" s="30">
        <f t="shared" si="176"/>
        <v>3499964.272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0" customHeight="1">
      <c r="A229" s="3"/>
      <c r="B229" s="24" t="s">
        <v>192</v>
      </c>
      <c r="C229" s="23"/>
      <c r="D229" s="30"/>
      <c r="E229" s="30"/>
      <c r="F229" s="30">
        <f>$F$225/$D$185/2</f>
        <v>2274600.272</v>
      </c>
      <c r="G229" s="30">
        <f t="shared" ref="G229:N229" si="177">$F$225/$D$185</f>
        <v>4549200.544</v>
      </c>
      <c r="H229" s="30">
        <f t="shared" si="177"/>
        <v>4549200.544</v>
      </c>
      <c r="I229" s="30">
        <f t="shared" si="177"/>
        <v>4549200.544</v>
      </c>
      <c r="J229" s="30">
        <f t="shared" si="177"/>
        <v>4549200.544</v>
      </c>
      <c r="K229" s="30">
        <f t="shared" si="177"/>
        <v>4549200.544</v>
      </c>
      <c r="L229" s="30">
        <f t="shared" si="177"/>
        <v>4549200.544</v>
      </c>
      <c r="M229" s="30">
        <f t="shared" si="177"/>
        <v>4549200.544</v>
      </c>
      <c r="N229" s="30">
        <f t="shared" si="177"/>
        <v>4549200.544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0" customHeight="1">
      <c r="A230" s="3"/>
      <c r="B230" s="24" t="s">
        <v>193</v>
      </c>
      <c r="C230" s="23"/>
      <c r="D230" s="30"/>
      <c r="E230" s="30"/>
      <c r="F230" s="30"/>
      <c r="G230" s="30">
        <f>$G$225/$D$185/2</f>
        <v>2955466.813</v>
      </c>
      <c r="H230" s="30">
        <f t="shared" ref="H230:N230" si="178">$G$225/$D$185</f>
        <v>5910933.626</v>
      </c>
      <c r="I230" s="30">
        <f t="shared" si="178"/>
        <v>5910933.626</v>
      </c>
      <c r="J230" s="30">
        <f t="shared" si="178"/>
        <v>5910933.626</v>
      </c>
      <c r="K230" s="30">
        <f t="shared" si="178"/>
        <v>5910933.626</v>
      </c>
      <c r="L230" s="30">
        <f t="shared" si="178"/>
        <v>5910933.626</v>
      </c>
      <c r="M230" s="30">
        <f t="shared" si="178"/>
        <v>5910933.626</v>
      </c>
      <c r="N230" s="30">
        <f t="shared" si="178"/>
        <v>5910933.626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0" customHeight="1">
      <c r="A231" s="3"/>
      <c r="B231" s="24" t="s">
        <v>194</v>
      </c>
      <c r="C231" s="24"/>
      <c r="D231" s="30"/>
      <c r="E231" s="30"/>
      <c r="F231" s="30"/>
      <c r="G231" s="30"/>
      <c r="H231" s="30">
        <f>$H$225/$D$185/2</f>
        <v>3841828.239</v>
      </c>
      <c r="I231" s="30">
        <f t="shared" ref="I231:N231" si="179">$H$225/$D$185</f>
        <v>7683656.478</v>
      </c>
      <c r="J231" s="30">
        <f t="shared" si="179"/>
        <v>7683656.478</v>
      </c>
      <c r="K231" s="30">
        <f t="shared" si="179"/>
        <v>7683656.478</v>
      </c>
      <c r="L231" s="30">
        <f t="shared" si="179"/>
        <v>7683656.478</v>
      </c>
      <c r="M231" s="30">
        <f t="shared" si="179"/>
        <v>7683656.478</v>
      </c>
      <c r="N231" s="30">
        <f t="shared" si="179"/>
        <v>7683656.478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0" customHeight="1">
      <c r="A232" s="3"/>
      <c r="B232" s="24" t="s">
        <v>195</v>
      </c>
      <c r="C232" s="23"/>
      <c r="D232" s="30"/>
      <c r="E232" s="30"/>
      <c r="F232" s="30"/>
      <c r="G232" s="30"/>
      <c r="H232" s="30"/>
      <c r="I232" s="30">
        <f>$I$225/$D$185/2</f>
        <v>4991439.995</v>
      </c>
      <c r="J232" s="30">
        <f t="shared" ref="J232:N232" si="180">$I$225/$D$185</f>
        <v>9982879.99</v>
      </c>
      <c r="K232" s="30">
        <f t="shared" si="180"/>
        <v>9982879.99</v>
      </c>
      <c r="L232" s="30">
        <f t="shared" si="180"/>
        <v>9982879.99</v>
      </c>
      <c r="M232" s="30">
        <f t="shared" si="180"/>
        <v>9982879.99</v>
      </c>
      <c r="N232" s="30">
        <f t="shared" si="180"/>
        <v>9982879.99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0" customHeight="1">
      <c r="A233" s="3"/>
      <c r="B233" s="24" t="s">
        <v>196</v>
      </c>
      <c r="C233" s="23"/>
      <c r="D233" s="30"/>
      <c r="E233" s="30"/>
      <c r="F233" s="30"/>
      <c r="G233" s="30"/>
      <c r="H233" s="30"/>
      <c r="I233" s="30"/>
      <c r="J233" s="30">
        <f>$J$225/$D$185/2</f>
        <v>6484798.242</v>
      </c>
      <c r="K233" s="30">
        <f t="shared" ref="K233:N233" si="181">$J$225/$D$185</f>
        <v>12969596.48</v>
      </c>
      <c r="L233" s="30">
        <f t="shared" si="181"/>
        <v>12969596.48</v>
      </c>
      <c r="M233" s="30">
        <f t="shared" si="181"/>
        <v>12969596.48</v>
      </c>
      <c r="N233" s="30">
        <f t="shared" si="181"/>
        <v>12969596.48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0" customHeight="1">
      <c r="A234" s="3"/>
      <c r="B234" s="24" t="s">
        <v>197</v>
      </c>
      <c r="C234" s="24"/>
      <c r="D234" s="30"/>
      <c r="E234" s="30"/>
      <c r="F234" s="30"/>
      <c r="G234" s="30"/>
      <c r="H234" s="30"/>
      <c r="I234" s="30"/>
      <c r="J234" s="30"/>
      <c r="K234" s="30">
        <f>$K$225/$D$185/2</f>
        <v>8433648.822</v>
      </c>
      <c r="L234" s="30">
        <f t="shared" ref="L234:N234" si="182">$K$225/$D$185</f>
        <v>16867297.64</v>
      </c>
      <c r="M234" s="30">
        <f t="shared" si="182"/>
        <v>16867297.64</v>
      </c>
      <c r="N234" s="30">
        <f t="shared" si="182"/>
        <v>16867297.64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0" customHeight="1">
      <c r="A235" s="3"/>
      <c r="B235" s="24" t="s">
        <v>198</v>
      </c>
      <c r="C235" s="23"/>
      <c r="D235" s="30"/>
      <c r="E235" s="30"/>
      <c r="F235" s="30"/>
      <c r="G235" s="30"/>
      <c r="H235" s="30"/>
      <c r="I235" s="30"/>
      <c r="J235" s="30"/>
      <c r="K235" s="30"/>
      <c r="L235" s="30">
        <f>$L$225/$D$185/2</f>
        <v>10962990.46</v>
      </c>
      <c r="M235" s="30">
        <f t="shared" ref="M235:N235" si="183">$L$225/$D$185</f>
        <v>21925980.92</v>
      </c>
      <c r="N235" s="30">
        <f t="shared" si="183"/>
        <v>21925980.92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0" customHeight="1">
      <c r="A236" s="3"/>
      <c r="B236" s="24" t="s">
        <v>199</v>
      </c>
      <c r="C236" s="23"/>
      <c r="D236" s="30"/>
      <c r="E236" s="30"/>
      <c r="F236" s="30"/>
      <c r="G236" s="30"/>
      <c r="H236" s="30"/>
      <c r="I236" s="30"/>
      <c r="J236" s="30"/>
      <c r="K236" s="30"/>
      <c r="L236" s="30"/>
      <c r="M236" s="30">
        <f>$M$225/$D$185/2</f>
        <v>14248950.88</v>
      </c>
      <c r="N236" s="30">
        <f>$M$225/$D$185</f>
        <v>28497901.76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0" customHeight="1">
      <c r="A237" s="3"/>
      <c r="B237" s="24" t="s">
        <v>200</v>
      </c>
      <c r="C237" s="24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>
        <f>$N$225/$D$185/2</f>
        <v>18521648.21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0" customHeight="1">
      <c r="A238" s="3"/>
      <c r="B238" s="24" t="s">
        <v>201</v>
      </c>
      <c r="C238" s="23"/>
      <c r="D238" s="30">
        <f t="shared" ref="D238:N238" si="184">SUM(D227:D237)</f>
        <v>1249987.24</v>
      </c>
      <c r="E238" s="30">
        <f t="shared" si="184"/>
        <v>4249956.616</v>
      </c>
      <c r="F238" s="30">
        <f t="shared" si="184"/>
        <v>8274539.024</v>
      </c>
      <c r="G238" s="30">
        <f t="shared" si="184"/>
        <v>13504606.11</v>
      </c>
      <c r="H238" s="30">
        <f t="shared" si="184"/>
        <v>20301901.16</v>
      </c>
      <c r="I238" s="30">
        <f t="shared" si="184"/>
        <v>29135169.4</v>
      </c>
      <c r="J238" s="30">
        <f t="shared" si="184"/>
        <v>40611407.63</v>
      </c>
      <c r="K238" s="30">
        <f t="shared" si="184"/>
        <v>55529854.7</v>
      </c>
      <c r="L238" s="30">
        <f t="shared" si="184"/>
        <v>74926493.98</v>
      </c>
      <c r="M238" s="30">
        <f t="shared" si="184"/>
        <v>100138435.3</v>
      </c>
      <c r="N238" s="30">
        <f t="shared" si="184"/>
        <v>131659047.2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0" customHeight="1">
      <c r="A239" s="3"/>
      <c r="B239" s="24" t="s">
        <v>215</v>
      </c>
      <c r="C239" s="23"/>
      <c r="D239" s="30">
        <f t="shared" ref="D239:N239" si="185">D238</f>
        <v>1249987.24</v>
      </c>
      <c r="E239" s="30">
        <f t="shared" si="185"/>
        <v>4249956.616</v>
      </c>
      <c r="F239" s="30">
        <f t="shared" si="185"/>
        <v>8274539.024</v>
      </c>
      <c r="G239" s="30">
        <f t="shared" si="185"/>
        <v>13504606.11</v>
      </c>
      <c r="H239" s="30">
        <f t="shared" si="185"/>
        <v>20301901.16</v>
      </c>
      <c r="I239" s="30">
        <f t="shared" si="185"/>
        <v>29135169.4</v>
      </c>
      <c r="J239" s="30">
        <f t="shared" si="185"/>
        <v>40611407.63</v>
      </c>
      <c r="K239" s="30">
        <f t="shared" si="185"/>
        <v>55529854.7</v>
      </c>
      <c r="L239" s="30">
        <f t="shared" si="185"/>
        <v>74926493.98</v>
      </c>
      <c r="M239" s="30">
        <f t="shared" si="185"/>
        <v>100138435.3</v>
      </c>
      <c r="N239" s="30">
        <f t="shared" si="185"/>
        <v>131659047.2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0" customHeight="1">
      <c r="A240" s="3"/>
      <c r="B240" s="24" t="s">
        <v>216</v>
      </c>
      <c r="C240" s="24"/>
      <c r="D240" s="30">
        <f t="shared" ref="D240:N240" si="186">SUM($D225:D225)-SUM($D239:D239)</f>
        <v>23749757.56</v>
      </c>
      <c r="E240" s="30">
        <f t="shared" si="186"/>
        <v>54499443.66</v>
      </c>
      <c r="F240" s="30">
        <f t="shared" si="186"/>
        <v>91716910.08</v>
      </c>
      <c r="G240" s="30">
        <f t="shared" si="186"/>
        <v>137321640.2</v>
      </c>
      <c r="H240" s="30">
        <f t="shared" si="186"/>
        <v>193856303.9</v>
      </c>
      <c r="I240" s="30">
        <f t="shared" si="186"/>
        <v>264549934.4</v>
      </c>
      <c r="J240" s="30">
        <f t="shared" si="186"/>
        <v>353634491.6</v>
      </c>
      <c r="K240" s="30">
        <f t="shared" si="186"/>
        <v>466777613.3</v>
      </c>
      <c r="L240" s="30">
        <f t="shared" si="186"/>
        <v>611110928.5</v>
      </c>
      <c r="M240" s="30">
        <f t="shared" si="186"/>
        <v>795951510.8</v>
      </c>
      <c r="N240" s="30">
        <f t="shared" si="186"/>
        <v>1034725428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0" customHeight="1">
      <c r="A241" s="3"/>
      <c r="B241" s="23"/>
      <c r="C241" s="27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0" customHeight="1">
      <c r="A242" s="3"/>
      <c r="B242" s="20" t="s">
        <v>217</v>
      </c>
      <c r="C242" s="27"/>
      <c r="D242" s="2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0" customHeight="1">
      <c r="A243" s="3"/>
      <c r="B243" s="24" t="s">
        <v>218</v>
      </c>
      <c r="C243" s="24" t="s">
        <v>187</v>
      </c>
      <c r="D243" s="29">
        <v>10.0</v>
      </c>
      <c r="E243" s="30">
        <f t="shared" ref="E243:N243" si="187">D243</f>
        <v>10</v>
      </c>
      <c r="F243" s="30">
        <f t="shared" si="187"/>
        <v>10</v>
      </c>
      <c r="G243" s="30">
        <f t="shared" si="187"/>
        <v>10</v>
      </c>
      <c r="H243" s="30">
        <f t="shared" si="187"/>
        <v>10</v>
      </c>
      <c r="I243" s="30">
        <f t="shared" si="187"/>
        <v>10</v>
      </c>
      <c r="J243" s="30">
        <f t="shared" si="187"/>
        <v>10</v>
      </c>
      <c r="K243" s="30">
        <f t="shared" si="187"/>
        <v>10</v>
      </c>
      <c r="L243" s="30">
        <f t="shared" si="187"/>
        <v>10</v>
      </c>
      <c r="M243" s="30">
        <f t="shared" si="187"/>
        <v>10</v>
      </c>
      <c r="N243" s="30">
        <f t="shared" si="187"/>
        <v>10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0" customHeight="1">
      <c r="A244" s="3"/>
      <c r="B244" s="24" t="s">
        <v>219</v>
      </c>
      <c r="C244" s="23"/>
      <c r="D244" s="29">
        <v>2000000.0</v>
      </c>
      <c r="E244" s="29">
        <v>1500000.0</v>
      </c>
      <c r="F244" s="29">
        <v>1500000.0</v>
      </c>
      <c r="G244" s="29">
        <v>1000000.0</v>
      </c>
      <c r="H244" s="29">
        <v>1000000.0</v>
      </c>
      <c r="I244" s="29">
        <v>1000000.0</v>
      </c>
      <c r="J244" s="29">
        <v>1000000.0</v>
      </c>
      <c r="K244" s="29">
        <v>1000000.0</v>
      </c>
      <c r="L244" s="29">
        <v>1000000.0</v>
      </c>
      <c r="M244" s="29">
        <v>1000000.0</v>
      </c>
      <c r="N244" s="29">
        <v>1000000.0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0" customHeight="1">
      <c r="A245" s="3"/>
      <c r="B245" s="24" t="s">
        <v>220</v>
      </c>
      <c r="C245" s="23"/>
      <c r="D245" s="29">
        <v>2000000.0</v>
      </c>
      <c r="E245" s="29">
        <v>1000000.0</v>
      </c>
      <c r="F245" s="29">
        <v>1000000.0</v>
      </c>
      <c r="G245" s="29">
        <v>500000.0</v>
      </c>
      <c r="H245" s="29">
        <v>500000.0</v>
      </c>
      <c r="I245" s="29">
        <v>500000.0</v>
      </c>
      <c r="J245" s="29">
        <v>500000.0</v>
      </c>
      <c r="K245" s="29">
        <v>500000.0</v>
      </c>
      <c r="L245" s="29">
        <v>500000.0</v>
      </c>
      <c r="M245" s="29">
        <v>500000.0</v>
      </c>
      <c r="N245" s="29">
        <v>500000.0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0" customHeight="1">
      <c r="A246" s="3"/>
      <c r="B246" s="24" t="s">
        <v>221</v>
      </c>
      <c r="C246" s="24"/>
      <c r="D246" s="29">
        <v>1500000.0</v>
      </c>
      <c r="E246" s="29">
        <v>800000.0</v>
      </c>
      <c r="F246" s="29">
        <v>800000.0</v>
      </c>
      <c r="G246" s="29">
        <v>500000.0</v>
      </c>
      <c r="H246" s="29">
        <v>500000.0</v>
      </c>
      <c r="I246" s="29">
        <v>500000.0</v>
      </c>
      <c r="J246" s="29">
        <v>500000.0</v>
      </c>
      <c r="K246" s="29">
        <v>500000.0</v>
      </c>
      <c r="L246" s="29">
        <v>500000.0</v>
      </c>
      <c r="M246" s="29">
        <v>500000.0</v>
      </c>
      <c r="N246" s="29">
        <v>500000.0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0" customHeight="1">
      <c r="A247" s="3"/>
      <c r="B247" s="24" t="s">
        <v>222</v>
      </c>
      <c r="C247" s="23"/>
      <c r="D247" s="29">
        <v>800000.0</v>
      </c>
      <c r="E247" s="29">
        <v>400000.0</v>
      </c>
      <c r="F247" s="29">
        <v>400000.0</v>
      </c>
      <c r="G247" s="29">
        <v>300000.0</v>
      </c>
      <c r="H247" s="29">
        <v>300000.0</v>
      </c>
      <c r="I247" s="29">
        <v>300000.0</v>
      </c>
      <c r="J247" s="29">
        <v>300000.0</v>
      </c>
      <c r="K247" s="29">
        <v>300000.0</v>
      </c>
      <c r="L247" s="29">
        <v>300000.0</v>
      </c>
      <c r="M247" s="29">
        <v>300000.0</v>
      </c>
      <c r="N247" s="29">
        <v>300000.0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0" customHeight="1">
      <c r="A248" s="3"/>
      <c r="B248" s="24" t="s">
        <v>223</v>
      </c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0" customHeight="1">
      <c r="A249" s="3"/>
      <c r="B249" s="24" t="s">
        <v>190</v>
      </c>
      <c r="C249" s="24"/>
      <c r="D249" s="30">
        <f>$D$244/$D$243/2</f>
        <v>100000</v>
      </c>
      <c r="E249" s="30">
        <f t="shared" ref="E249:M249" si="188">$D$244/$D$243</f>
        <v>200000</v>
      </c>
      <c r="F249" s="30">
        <f t="shared" si="188"/>
        <v>200000</v>
      </c>
      <c r="G249" s="30">
        <f t="shared" si="188"/>
        <v>200000</v>
      </c>
      <c r="H249" s="30">
        <f t="shared" si="188"/>
        <v>200000</v>
      </c>
      <c r="I249" s="30">
        <f t="shared" si="188"/>
        <v>200000</v>
      </c>
      <c r="J249" s="30">
        <f t="shared" si="188"/>
        <v>200000</v>
      </c>
      <c r="K249" s="30">
        <f t="shared" si="188"/>
        <v>200000</v>
      </c>
      <c r="L249" s="30">
        <f t="shared" si="188"/>
        <v>200000</v>
      </c>
      <c r="M249" s="30">
        <f t="shared" si="188"/>
        <v>200000</v>
      </c>
      <c r="N249" s="30">
        <f>$D$244/$D$243/2</f>
        <v>100000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0" customHeight="1">
      <c r="A250" s="3"/>
      <c r="B250" s="24" t="s">
        <v>191</v>
      </c>
      <c r="C250" s="23"/>
      <c r="D250" s="30"/>
      <c r="E250" s="30">
        <f>$E$244/$D$243/2</f>
        <v>75000</v>
      </c>
      <c r="F250" s="30">
        <f t="shared" ref="F250:N250" si="189">$E$244/$D$243</f>
        <v>150000</v>
      </c>
      <c r="G250" s="30">
        <f t="shared" si="189"/>
        <v>150000</v>
      </c>
      <c r="H250" s="30">
        <f t="shared" si="189"/>
        <v>150000</v>
      </c>
      <c r="I250" s="30">
        <f t="shared" si="189"/>
        <v>150000</v>
      </c>
      <c r="J250" s="30">
        <f t="shared" si="189"/>
        <v>150000</v>
      </c>
      <c r="K250" s="30">
        <f t="shared" si="189"/>
        <v>150000</v>
      </c>
      <c r="L250" s="30">
        <f t="shared" si="189"/>
        <v>150000</v>
      </c>
      <c r="M250" s="30">
        <f t="shared" si="189"/>
        <v>150000</v>
      </c>
      <c r="N250" s="30">
        <f t="shared" si="189"/>
        <v>150000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0" customHeight="1">
      <c r="A251" s="3"/>
      <c r="B251" s="24" t="s">
        <v>192</v>
      </c>
      <c r="C251" s="23"/>
      <c r="D251" s="30"/>
      <c r="E251" s="30"/>
      <c r="F251" s="30">
        <f>$F$244/$D$243/2</f>
        <v>75000</v>
      </c>
      <c r="G251" s="30">
        <f t="shared" ref="G251:N251" si="190">$F$244/$D$243</f>
        <v>150000</v>
      </c>
      <c r="H251" s="30">
        <f t="shared" si="190"/>
        <v>150000</v>
      </c>
      <c r="I251" s="30">
        <f t="shared" si="190"/>
        <v>150000</v>
      </c>
      <c r="J251" s="30">
        <f t="shared" si="190"/>
        <v>150000</v>
      </c>
      <c r="K251" s="30">
        <f t="shared" si="190"/>
        <v>150000</v>
      </c>
      <c r="L251" s="30">
        <f t="shared" si="190"/>
        <v>150000</v>
      </c>
      <c r="M251" s="30">
        <f t="shared" si="190"/>
        <v>150000</v>
      </c>
      <c r="N251" s="30">
        <f t="shared" si="190"/>
        <v>150000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0" customHeight="1">
      <c r="A252" s="3"/>
      <c r="B252" s="24" t="s">
        <v>193</v>
      </c>
      <c r="C252" s="24"/>
      <c r="D252" s="30"/>
      <c r="E252" s="30"/>
      <c r="F252" s="30"/>
      <c r="G252" s="30">
        <f>$G$244/$D$243/2</f>
        <v>50000</v>
      </c>
      <c r="H252" s="30">
        <f t="shared" ref="H252:N252" si="191">$G$244/$D$243</f>
        <v>100000</v>
      </c>
      <c r="I252" s="30">
        <f t="shared" si="191"/>
        <v>100000</v>
      </c>
      <c r="J252" s="30">
        <f t="shared" si="191"/>
        <v>100000</v>
      </c>
      <c r="K252" s="30">
        <f t="shared" si="191"/>
        <v>100000</v>
      </c>
      <c r="L252" s="30">
        <f t="shared" si="191"/>
        <v>100000</v>
      </c>
      <c r="M252" s="30">
        <f t="shared" si="191"/>
        <v>100000</v>
      </c>
      <c r="N252" s="30">
        <f t="shared" si="191"/>
        <v>100000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0" customHeight="1">
      <c r="A253" s="3"/>
      <c r="B253" s="24" t="s">
        <v>194</v>
      </c>
      <c r="C253" s="23"/>
      <c r="D253" s="30"/>
      <c r="E253" s="30"/>
      <c r="F253" s="30"/>
      <c r="G253" s="30"/>
      <c r="H253" s="30">
        <f>$H$244/$D$243/2</f>
        <v>50000</v>
      </c>
      <c r="I253" s="30">
        <f t="shared" ref="I253:N253" si="192">$H$244/$D$243</f>
        <v>100000</v>
      </c>
      <c r="J253" s="30">
        <f t="shared" si="192"/>
        <v>100000</v>
      </c>
      <c r="K253" s="30">
        <f t="shared" si="192"/>
        <v>100000</v>
      </c>
      <c r="L253" s="30">
        <f t="shared" si="192"/>
        <v>100000</v>
      </c>
      <c r="M253" s="30">
        <f t="shared" si="192"/>
        <v>100000</v>
      </c>
      <c r="N253" s="30">
        <f t="shared" si="192"/>
        <v>100000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0" customHeight="1">
      <c r="A254" s="3"/>
      <c r="B254" s="24" t="s">
        <v>195</v>
      </c>
      <c r="C254" s="23"/>
      <c r="D254" s="30"/>
      <c r="E254" s="30"/>
      <c r="F254" s="30"/>
      <c r="G254" s="30"/>
      <c r="H254" s="30"/>
      <c r="I254" s="30">
        <f>$I$244/$D$243/2</f>
        <v>50000</v>
      </c>
      <c r="J254" s="30">
        <f t="shared" ref="J254:N254" si="193">$I$244/$D$243</f>
        <v>100000</v>
      </c>
      <c r="K254" s="30">
        <f t="shared" si="193"/>
        <v>100000</v>
      </c>
      <c r="L254" s="30">
        <f t="shared" si="193"/>
        <v>100000</v>
      </c>
      <c r="M254" s="30">
        <f t="shared" si="193"/>
        <v>100000</v>
      </c>
      <c r="N254" s="30">
        <f t="shared" si="193"/>
        <v>100000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0" customHeight="1">
      <c r="A255" s="3"/>
      <c r="B255" s="24" t="s">
        <v>196</v>
      </c>
      <c r="C255" s="24"/>
      <c r="D255" s="30"/>
      <c r="E255" s="30"/>
      <c r="F255" s="30"/>
      <c r="G255" s="30"/>
      <c r="H255" s="30"/>
      <c r="I255" s="30"/>
      <c r="J255" s="30">
        <f>$J$244/$D$243/2</f>
        <v>50000</v>
      </c>
      <c r="K255" s="30">
        <f t="shared" ref="K255:N255" si="194">$J$244/$D$243</f>
        <v>100000</v>
      </c>
      <c r="L255" s="30">
        <f t="shared" si="194"/>
        <v>100000</v>
      </c>
      <c r="M255" s="30">
        <f t="shared" si="194"/>
        <v>100000</v>
      </c>
      <c r="N255" s="30">
        <f t="shared" si="194"/>
        <v>100000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0" customHeight="1">
      <c r="A256" s="3"/>
      <c r="B256" s="24" t="s">
        <v>197</v>
      </c>
      <c r="C256" s="23"/>
      <c r="D256" s="30"/>
      <c r="E256" s="30"/>
      <c r="F256" s="30"/>
      <c r="G256" s="30"/>
      <c r="H256" s="30"/>
      <c r="I256" s="30"/>
      <c r="J256" s="30"/>
      <c r="K256" s="30">
        <f>$K$244/$D$243/2</f>
        <v>50000</v>
      </c>
      <c r="L256" s="30">
        <f t="shared" ref="L256:N256" si="195">$K$244/$D$243</f>
        <v>100000</v>
      </c>
      <c r="M256" s="30">
        <f t="shared" si="195"/>
        <v>100000</v>
      </c>
      <c r="N256" s="30">
        <f t="shared" si="195"/>
        <v>100000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0" customHeight="1">
      <c r="A257" s="3"/>
      <c r="B257" s="24" t="s">
        <v>198</v>
      </c>
      <c r="C257" s="23"/>
      <c r="D257" s="30"/>
      <c r="E257" s="30"/>
      <c r="F257" s="30"/>
      <c r="G257" s="30"/>
      <c r="H257" s="30"/>
      <c r="I257" s="30"/>
      <c r="J257" s="30"/>
      <c r="K257" s="30"/>
      <c r="L257" s="30">
        <f>$L$244/$D$243/2</f>
        <v>50000</v>
      </c>
      <c r="M257" s="30">
        <f t="shared" ref="M257:N257" si="196">$L$244/$D$243</f>
        <v>100000</v>
      </c>
      <c r="N257" s="30">
        <f t="shared" si="196"/>
        <v>100000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0" customHeight="1">
      <c r="A258" s="3"/>
      <c r="B258" s="24" t="s">
        <v>199</v>
      </c>
      <c r="C258" s="24"/>
      <c r="D258" s="30"/>
      <c r="E258" s="30"/>
      <c r="F258" s="30"/>
      <c r="G258" s="30"/>
      <c r="H258" s="30"/>
      <c r="I258" s="30"/>
      <c r="J258" s="30"/>
      <c r="K258" s="30"/>
      <c r="L258" s="30"/>
      <c r="M258" s="30">
        <f>$M$244/$D$243/2</f>
        <v>50000</v>
      </c>
      <c r="N258" s="30">
        <f>$M$244/$D$243</f>
        <v>100000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0" customHeight="1">
      <c r="A259" s="3"/>
      <c r="B259" s="24" t="s">
        <v>200</v>
      </c>
      <c r="C259" s="23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>
        <f>$N$244/$D$243/2</f>
        <v>50000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0" customHeight="1">
      <c r="A260" s="3"/>
      <c r="B260" s="24" t="s">
        <v>201</v>
      </c>
      <c r="C260" s="23"/>
      <c r="D260" s="30">
        <f t="shared" ref="D260:N260" si="197">SUM(D249:D259)</f>
        <v>100000</v>
      </c>
      <c r="E260" s="30">
        <f t="shared" si="197"/>
        <v>275000</v>
      </c>
      <c r="F260" s="30">
        <f t="shared" si="197"/>
        <v>425000</v>
      </c>
      <c r="G260" s="30">
        <f t="shared" si="197"/>
        <v>550000</v>
      </c>
      <c r="H260" s="30">
        <f t="shared" si="197"/>
        <v>650000</v>
      </c>
      <c r="I260" s="30">
        <f t="shared" si="197"/>
        <v>750000</v>
      </c>
      <c r="J260" s="30">
        <f t="shared" si="197"/>
        <v>850000</v>
      </c>
      <c r="K260" s="30">
        <f t="shared" si="197"/>
        <v>950000</v>
      </c>
      <c r="L260" s="30">
        <f t="shared" si="197"/>
        <v>1050000</v>
      </c>
      <c r="M260" s="30">
        <f t="shared" si="197"/>
        <v>1150000</v>
      </c>
      <c r="N260" s="30">
        <f t="shared" si="197"/>
        <v>1150000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0" customHeight="1">
      <c r="A261" s="3"/>
      <c r="B261" s="24" t="s">
        <v>224</v>
      </c>
      <c r="C261" s="24"/>
      <c r="D261" s="30">
        <f t="shared" ref="D261:N261" si="198">D260</f>
        <v>100000</v>
      </c>
      <c r="E261" s="30">
        <f t="shared" si="198"/>
        <v>275000</v>
      </c>
      <c r="F261" s="30">
        <f t="shared" si="198"/>
        <v>425000</v>
      </c>
      <c r="G261" s="30">
        <f t="shared" si="198"/>
        <v>550000</v>
      </c>
      <c r="H261" s="30">
        <f t="shared" si="198"/>
        <v>650000</v>
      </c>
      <c r="I261" s="30">
        <f t="shared" si="198"/>
        <v>750000</v>
      </c>
      <c r="J261" s="30">
        <f t="shared" si="198"/>
        <v>850000</v>
      </c>
      <c r="K261" s="30">
        <f t="shared" si="198"/>
        <v>950000</v>
      </c>
      <c r="L261" s="30">
        <f t="shared" si="198"/>
        <v>1050000</v>
      </c>
      <c r="M261" s="30">
        <f t="shared" si="198"/>
        <v>1150000</v>
      </c>
      <c r="N261" s="30">
        <f t="shared" si="198"/>
        <v>1150000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0" customHeight="1">
      <c r="A262" s="3"/>
      <c r="B262" s="24" t="s">
        <v>225</v>
      </c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0" customHeight="1">
      <c r="A263" s="3"/>
      <c r="B263" s="24" t="s">
        <v>190</v>
      </c>
      <c r="C263" s="23"/>
      <c r="D263" s="30">
        <f>$D$245/$D$243/2</f>
        <v>100000</v>
      </c>
      <c r="E263" s="30">
        <f t="shared" ref="E263:M263" si="199">$D$245/$D$243</f>
        <v>200000</v>
      </c>
      <c r="F263" s="30">
        <f t="shared" si="199"/>
        <v>200000</v>
      </c>
      <c r="G263" s="30">
        <f t="shared" si="199"/>
        <v>200000</v>
      </c>
      <c r="H263" s="30">
        <f t="shared" si="199"/>
        <v>200000</v>
      </c>
      <c r="I263" s="30">
        <f t="shared" si="199"/>
        <v>200000</v>
      </c>
      <c r="J263" s="30">
        <f t="shared" si="199"/>
        <v>200000</v>
      </c>
      <c r="K263" s="30">
        <f t="shared" si="199"/>
        <v>200000</v>
      </c>
      <c r="L263" s="30">
        <f t="shared" si="199"/>
        <v>200000</v>
      </c>
      <c r="M263" s="30">
        <f t="shared" si="199"/>
        <v>200000</v>
      </c>
      <c r="N263" s="30">
        <f>$D$245/$D$243/2</f>
        <v>100000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0" customHeight="1">
      <c r="A264" s="3"/>
      <c r="B264" s="24" t="s">
        <v>191</v>
      </c>
      <c r="C264" s="24"/>
      <c r="D264" s="30"/>
      <c r="E264" s="30">
        <f>$E$245/$D$243/2</f>
        <v>50000</v>
      </c>
      <c r="F264" s="30">
        <f t="shared" ref="F264:N264" si="200">$E$245/$D$243</f>
        <v>100000</v>
      </c>
      <c r="G264" s="30">
        <f t="shared" si="200"/>
        <v>100000</v>
      </c>
      <c r="H264" s="30">
        <f t="shared" si="200"/>
        <v>100000</v>
      </c>
      <c r="I264" s="30">
        <f t="shared" si="200"/>
        <v>100000</v>
      </c>
      <c r="J264" s="30">
        <f t="shared" si="200"/>
        <v>100000</v>
      </c>
      <c r="K264" s="30">
        <f t="shared" si="200"/>
        <v>100000</v>
      </c>
      <c r="L264" s="30">
        <f t="shared" si="200"/>
        <v>100000</v>
      </c>
      <c r="M264" s="30">
        <f t="shared" si="200"/>
        <v>100000</v>
      </c>
      <c r="N264" s="30">
        <f t="shared" si="200"/>
        <v>100000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0" customHeight="1">
      <c r="A265" s="3"/>
      <c r="B265" s="24" t="s">
        <v>192</v>
      </c>
      <c r="C265" s="23"/>
      <c r="D265" s="30"/>
      <c r="E265" s="30"/>
      <c r="F265" s="30">
        <f>$F$245/$D$243/2</f>
        <v>50000</v>
      </c>
      <c r="G265" s="30">
        <f t="shared" ref="G265:N265" si="201">$F$245/$D$243</f>
        <v>100000</v>
      </c>
      <c r="H265" s="30">
        <f t="shared" si="201"/>
        <v>100000</v>
      </c>
      <c r="I265" s="30">
        <f t="shared" si="201"/>
        <v>100000</v>
      </c>
      <c r="J265" s="30">
        <f t="shared" si="201"/>
        <v>100000</v>
      </c>
      <c r="K265" s="30">
        <f t="shared" si="201"/>
        <v>100000</v>
      </c>
      <c r="L265" s="30">
        <f t="shared" si="201"/>
        <v>100000</v>
      </c>
      <c r="M265" s="30">
        <f t="shared" si="201"/>
        <v>100000</v>
      </c>
      <c r="N265" s="30">
        <f t="shared" si="201"/>
        <v>100000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0" customHeight="1">
      <c r="A266" s="3"/>
      <c r="B266" s="24" t="s">
        <v>193</v>
      </c>
      <c r="C266" s="23"/>
      <c r="D266" s="30"/>
      <c r="E266" s="30"/>
      <c r="F266" s="30"/>
      <c r="G266" s="30">
        <f>$G$245/$D$243/2</f>
        <v>25000</v>
      </c>
      <c r="H266" s="30">
        <f t="shared" ref="H266:N266" si="202">$G$245/$D$243</f>
        <v>50000</v>
      </c>
      <c r="I266" s="30">
        <f t="shared" si="202"/>
        <v>50000</v>
      </c>
      <c r="J266" s="30">
        <f t="shared" si="202"/>
        <v>50000</v>
      </c>
      <c r="K266" s="30">
        <f t="shared" si="202"/>
        <v>50000</v>
      </c>
      <c r="L266" s="30">
        <f t="shared" si="202"/>
        <v>50000</v>
      </c>
      <c r="M266" s="30">
        <f t="shared" si="202"/>
        <v>50000</v>
      </c>
      <c r="N266" s="30">
        <f t="shared" si="202"/>
        <v>50000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0" customHeight="1">
      <c r="A267" s="3"/>
      <c r="B267" s="24" t="s">
        <v>194</v>
      </c>
      <c r="C267" s="24"/>
      <c r="D267" s="30"/>
      <c r="E267" s="30"/>
      <c r="F267" s="30"/>
      <c r="G267" s="30"/>
      <c r="H267" s="30">
        <f>$H$245/$D$243/2</f>
        <v>25000</v>
      </c>
      <c r="I267" s="30">
        <f t="shared" ref="I267:N267" si="203">$H$245/$D$243</f>
        <v>50000</v>
      </c>
      <c r="J267" s="30">
        <f t="shared" si="203"/>
        <v>50000</v>
      </c>
      <c r="K267" s="30">
        <f t="shared" si="203"/>
        <v>50000</v>
      </c>
      <c r="L267" s="30">
        <f t="shared" si="203"/>
        <v>50000</v>
      </c>
      <c r="M267" s="30">
        <f t="shared" si="203"/>
        <v>50000</v>
      </c>
      <c r="N267" s="30">
        <f t="shared" si="203"/>
        <v>50000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0" customHeight="1">
      <c r="A268" s="3"/>
      <c r="B268" s="24" t="s">
        <v>195</v>
      </c>
      <c r="C268" s="23"/>
      <c r="D268" s="30"/>
      <c r="E268" s="30"/>
      <c r="F268" s="30"/>
      <c r="G268" s="30"/>
      <c r="H268" s="30"/>
      <c r="I268" s="30">
        <f>$I$245/$D$243/2</f>
        <v>25000</v>
      </c>
      <c r="J268" s="30">
        <f t="shared" ref="J268:N268" si="204">$I$245/$D$243</f>
        <v>50000</v>
      </c>
      <c r="K268" s="30">
        <f t="shared" si="204"/>
        <v>50000</v>
      </c>
      <c r="L268" s="30">
        <f t="shared" si="204"/>
        <v>50000</v>
      </c>
      <c r="M268" s="30">
        <f t="shared" si="204"/>
        <v>50000</v>
      </c>
      <c r="N268" s="30">
        <f t="shared" si="204"/>
        <v>50000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0" customHeight="1">
      <c r="A269" s="3"/>
      <c r="B269" s="24" t="s">
        <v>196</v>
      </c>
      <c r="C269" s="23"/>
      <c r="D269" s="30"/>
      <c r="E269" s="30"/>
      <c r="F269" s="30"/>
      <c r="G269" s="30"/>
      <c r="H269" s="30"/>
      <c r="I269" s="30"/>
      <c r="J269" s="30">
        <f>$J$245/$D$243/2</f>
        <v>25000</v>
      </c>
      <c r="K269" s="30">
        <f t="shared" ref="K269:N269" si="205">$J$245/$D$243</f>
        <v>50000</v>
      </c>
      <c r="L269" s="30">
        <f t="shared" si="205"/>
        <v>50000</v>
      </c>
      <c r="M269" s="30">
        <f t="shared" si="205"/>
        <v>50000</v>
      </c>
      <c r="N269" s="30">
        <f t="shared" si="205"/>
        <v>50000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0" customHeight="1">
      <c r="A270" s="3"/>
      <c r="B270" s="24" t="s">
        <v>197</v>
      </c>
      <c r="C270" s="24"/>
      <c r="D270" s="30"/>
      <c r="E270" s="30"/>
      <c r="F270" s="30"/>
      <c r="G270" s="30"/>
      <c r="H270" s="30"/>
      <c r="I270" s="30"/>
      <c r="J270" s="30"/>
      <c r="K270" s="30">
        <f>$K$245/$D$243/2</f>
        <v>25000</v>
      </c>
      <c r="L270" s="30">
        <f t="shared" ref="L270:N270" si="206">$K$245/$D$243</f>
        <v>50000</v>
      </c>
      <c r="M270" s="30">
        <f t="shared" si="206"/>
        <v>50000</v>
      </c>
      <c r="N270" s="30">
        <f t="shared" si="206"/>
        <v>50000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0" customHeight="1">
      <c r="A271" s="3"/>
      <c r="B271" s="24" t="s">
        <v>198</v>
      </c>
      <c r="C271" s="23"/>
      <c r="D271" s="30"/>
      <c r="E271" s="30"/>
      <c r="F271" s="30"/>
      <c r="G271" s="30"/>
      <c r="H271" s="30"/>
      <c r="I271" s="30"/>
      <c r="J271" s="30"/>
      <c r="K271" s="30"/>
      <c r="L271" s="30">
        <f>$L$245/$D$243/2</f>
        <v>25000</v>
      </c>
      <c r="M271" s="30">
        <f t="shared" ref="M271:N271" si="207">$L$245/$D$243</f>
        <v>50000</v>
      </c>
      <c r="N271" s="30">
        <f t="shared" si="207"/>
        <v>50000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0" customHeight="1">
      <c r="A272" s="3"/>
      <c r="B272" s="24" t="s">
        <v>199</v>
      </c>
      <c r="C272" s="23"/>
      <c r="D272" s="30"/>
      <c r="E272" s="30"/>
      <c r="F272" s="30"/>
      <c r="G272" s="30"/>
      <c r="H272" s="30"/>
      <c r="I272" s="30"/>
      <c r="J272" s="30"/>
      <c r="K272" s="30"/>
      <c r="L272" s="30"/>
      <c r="M272" s="30">
        <f>$M$245/$D$243/2</f>
        <v>25000</v>
      </c>
      <c r="N272" s="30">
        <f>$M$245/$D$243</f>
        <v>50000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0" customHeight="1">
      <c r="A273" s="3"/>
      <c r="B273" s="24" t="s">
        <v>200</v>
      </c>
      <c r="C273" s="24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>
        <f>$N$245/$D$243/2</f>
        <v>25000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0" customHeight="1">
      <c r="A274" s="3"/>
      <c r="B274" s="24" t="s">
        <v>201</v>
      </c>
      <c r="C274" s="23"/>
      <c r="D274" s="30">
        <f t="shared" ref="D274:N274" si="208">SUM(D263:D273)</f>
        <v>100000</v>
      </c>
      <c r="E274" s="30">
        <f t="shared" si="208"/>
        <v>250000</v>
      </c>
      <c r="F274" s="30">
        <f t="shared" si="208"/>
        <v>350000</v>
      </c>
      <c r="G274" s="30">
        <f t="shared" si="208"/>
        <v>425000</v>
      </c>
      <c r="H274" s="30">
        <f t="shared" si="208"/>
        <v>475000</v>
      </c>
      <c r="I274" s="30">
        <f t="shared" si="208"/>
        <v>525000</v>
      </c>
      <c r="J274" s="30">
        <f t="shared" si="208"/>
        <v>575000</v>
      </c>
      <c r="K274" s="30">
        <f t="shared" si="208"/>
        <v>625000</v>
      </c>
      <c r="L274" s="30">
        <f t="shared" si="208"/>
        <v>675000</v>
      </c>
      <c r="M274" s="30">
        <f t="shared" si="208"/>
        <v>725000</v>
      </c>
      <c r="N274" s="30">
        <f t="shared" si="208"/>
        <v>675000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0" customHeight="1">
      <c r="A275" s="3"/>
      <c r="B275" s="24" t="s">
        <v>226</v>
      </c>
      <c r="C275" s="24"/>
      <c r="D275" s="30">
        <f t="shared" ref="D275:N275" si="209">D274</f>
        <v>100000</v>
      </c>
      <c r="E275" s="30">
        <f t="shared" si="209"/>
        <v>250000</v>
      </c>
      <c r="F275" s="30">
        <f t="shared" si="209"/>
        <v>350000</v>
      </c>
      <c r="G275" s="30">
        <f t="shared" si="209"/>
        <v>425000</v>
      </c>
      <c r="H275" s="30">
        <f t="shared" si="209"/>
        <v>475000</v>
      </c>
      <c r="I275" s="30">
        <f t="shared" si="209"/>
        <v>525000</v>
      </c>
      <c r="J275" s="30">
        <f t="shared" si="209"/>
        <v>575000</v>
      </c>
      <c r="K275" s="30">
        <f t="shared" si="209"/>
        <v>625000</v>
      </c>
      <c r="L275" s="30">
        <f t="shared" si="209"/>
        <v>675000</v>
      </c>
      <c r="M275" s="30">
        <f t="shared" si="209"/>
        <v>725000</v>
      </c>
      <c r="N275" s="30">
        <f t="shared" si="209"/>
        <v>675000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0" customHeight="1">
      <c r="A276" s="3"/>
      <c r="B276" s="24" t="s">
        <v>227</v>
      </c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24" t="s">
        <v>190</v>
      </c>
      <c r="C277" s="23"/>
      <c r="D277" s="30">
        <f>$D$246/$D$243/2</f>
        <v>75000</v>
      </c>
      <c r="E277" s="30">
        <f t="shared" ref="E277:M277" si="210">$D$246/$D$243</f>
        <v>150000</v>
      </c>
      <c r="F277" s="30">
        <f t="shared" si="210"/>
        <v>150000</v>
      </c>
      <c r="G277" s="30">
        <f t="shared" si="210"/>
        <v>150000</v>
      </c>
      <c r="H277" s="30">
        <f t="shared" si="210"/>
        <v>150000</v>
      </c>
      <c r="I277" s="30">
        <f t="shared" si="210"/>
        <v>150000</v>
      </c>
      <c r="J277" s="30">
        <f t="shared" si="210"/>
        <v>150000</v>
      </c>
      <c r="K277" s="30">
        <f t="shared" si="210"/>
        <v>150000</v>
      </c>
      <c r="L277" s="30">
        <f t="shared" si="210"/>
        <v>150000</v>
      </c>
      <c r="M277" s="30">
        <f t="shared" si="210"/>
        <v>150000</v>
      </c>
      <c r="N277" s="30">
        <f>$D$246/$D$243/2</f>
        <v>75000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0" customHeight="1">
      <c r="A278" s="3"/>
      <c r="B278" s="24" t="s">
        <v>191</v>
      </c>
      <c r="C278" s="23"/>
      <c r="D278" s="30"/>
      <c r="E278" s="30">
        <f>$E$246/$D$243/2</f>
        <v>40000</v>
      </c>
      <c r="F278" s="30">
        <f t="shared" ref="F278:N278" si="211">$E$246/$D$243</f>
        <v>80000</v>
      </c>
      <c r="G278" s="30">
        <f t="shared" si="211"/>
        <v>80000</v>
      </c>
      <c r="H278" s="30">
        <f t="shared" si="211"/>
        <v>80000</v>
      </c>
      <c r="I278" s="30">
        <f t="shared" si="211"/>
        <v>80000</v>
      </c>
      <c r="J278" s="30">
        <f t="shared" si="211"/>
        <v>80000</v>
      </c>
      <c r="K278" s="30">
        <f t="shared" si="211"/>
        <v>80000</v>
      </c>
      <c r="L278" s="30">
        <f t="shared" si="211"/>
        <v>80000</v>
      </c>
      <c r="M278" s="30">
        <f t="shared" si="211"/>
        <v>80000</v>
      </c>
      <c r="N278" s="30">
        <f t="shared" si="211"/>
        <v>80000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0" customHeight="1">
      <c r="A279" s="3"/>
      <c r="B279" s="24" t="s">
        <v>192</v>
      </c>
      <c r="C279" s="23"/>
      <c r="D279" s="30"/>
      <c r="E279" s="30"/>
      <c r="F279" s="30">
        <f>$F$246/$D$243/2</f>
        <v>40000</v>
      </c>
      <c r="G279" s="30">
        <f t="shared" ref="G279:N279" si="212">$F$246/$D$243</f>
        <v>80000</v>
      </c>
      <c r="H279" s="30">
        <f t="shared" si="212"/>
        <v>80000</v>
      </c>
      <c r="I279" s="30">
        <f t="shared" si="212"/>
        <v>80000</v>
      </c>
      <c r="J279" s="30">
        <f t="shared" si="212"/>
        <v>80000</v>
      </c>
      <c r="K279" s="30">
        <f t="shared" si="212"/>
        <v>80000</v>
      </c>
      <c r="L279" s="30">
        <f t="shared" si="212"/>
        <v>80000</v>
      </c>
      <c r="M279" s="30">
        <f t="shared" si="212"/>
        <v>80000</v>
      </c>
      <c r="N279" s="30">
        <f t="shared" si="212"/>
        <v>80000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0" customHeight="1">
      <c r="A280" s="3"/>
      <c r="B280" s="24" t="s">
        <v>193</v>
      </c>
      <c r="C280" s="23"/>
      <c r="D280" s="30"/>
      <c r="E280" s="30"/>
      <c r="F280" s="30"/>
      <c r="G280" s="30">
        <f>$G$246/$D$243/2</f>
        <v>25000</v>
      </c>
      <c r="H280" s="30">
        <f t="shared" ref="H280:N280" si="213">$G$246/$D$243</f>
        <v>50000</v>
      </c>
      <c r="I280" s="30">
        <f t="shared" si="213"/>
        <v>50000</v>
      </c>
      <c r="J280" s="30">
        <f t="shared" si="213"/>
        <v>50000</v>
      </c>
      <c r="K280" s="30">
        <f t="shared" si="213"/>
        <v>50000</v>
      </c>
      <c r="L280" s="30">
        <f t="shared" si="213"/>
        <v>50000</v>
      </c>
      <c r="M280" s="30">
        <f t="shared" si="213"/>
        <v>50000</v>
      </c>
      <c r="N280" s="30">
        <f t="shared" si="213"/>
        <v>50000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0" customHeight="1">
      <c r="A281" s="3"/>
      <c r="B281" s="24" t="s">
        <v>194</v>
      </c>
      <c r="C281" s="24"/>
      <c r="D281" s="30"/>
      <c r="E281" s="30"/>
      <c r="F281" s="30"/>
      <c r="G281" s="30"/>
      <c r="H281" s="30">
        <f>$H$246/$D$243/2</f>
        <v>25000</v>
      </c>
      <c r="I281" s="30">
        <f t="shared" ref="I281:N281" si="214">$H$246/$D$243</f>
        <v>50000</v>
      </c>
      <c r="J281" s="30">
        <f t="shared" si="214"/>
        <v>50000</v>
      </c>
      <c r="K281" s="30">
        <f t="shared" si="214"/>
        <v>50000</v>
      </c>
      <c r="L281" s="30">
        <f t="shared" si="214"/>
        <v>50000</v>
      </c>
      <c r="M281" s="30">
        <f t="shared" si="214"/>
        <v>50000</v>
      </c>
      <c r="N281" s="30">
        <f t="shared" si="214"/>
        <v>50000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0" customHeight="1">
      <c r="A282" s="3"/>
      <c r="B282" s="24" t="s">
        <v>195</v>
      </c>
      <c r="C282" s="23"/>
      <c r="D282" s="30"/>
      <c r="E282" s="30"/>
      <c r="F282" s="30"/>
      <c r="G282" s="30"/>
      <c r="H282" s="30"/>
      <c r="I282" s="30">
        <f>$I$246/$D$243/2</f>
        <v>25000</v>
      </c>
      <c r="J282" s="30">
        <f t="shared" ref="J282:N282" si="215">$I$246/$D$243</f>
        <v>50000</v>
      </c>
      <c r="K282" s="30">
        <f t="shared" si="215"/>
        <v>50000</v>
      </c>
      <c r="L282" s="30">
        <f t="shared" si="215"/>
        <v>50000</v>
      </c>
      <c r="M282" s="30">
        <f t="shared" si="215"/>
        <v>50000</v>
      </c>
      <c r="N282" s="30">
        <f t="shared" si="215"/>
        <v>50000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0" customHeight="1">
      <c r="A283" s="3"/>
      <c r="B283" s="24" t="s">
        <v>196</v>
      </c>
      <c r="C283" s="23"/>
      <c r="D283" s="30"/>
      <c r="E283" s="30"/>
      <c r="F283" s="30"/>
      <c r="G283" s="30"/>
      <c r="H283" s="30"/>
      <c r="I283" s="30"/>
      <c r="J283" s="30">
        <f>$J$246/$D$243/2</f>
        <v>25000</v>
      </c>
      <c r="K283" s="30">
        <f t="shared" ref="K283:N283" si="216">$J$246/$D$243</f>
        <v>50000</v>
      </c>
      <c r="L283" s="30">
        <f t="shared" si="216"/>
        <v>50000</v>
      </c>
      <c r="M283" s="30">
        <f t="shared" si="216"/>
        <v>50000</v>
      </c>
      <c r="N283" s="30">
        <f t="shared" si="216"/>
        <v>50000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0" customHeight="1">
      <c r="A284" s="3"/>
      <c r="B284" s="24" t="s">
        <v>197</v>
      </c>
      <c r="C284" s="24"/>
      <c r="D284" s="30"/>
      <c r="E284" s="30"/>
      <c r="F284" s="30"/>
      <c r="G284" s="30"/>
      <c r="H284" s="30"/>
      <c r="I284" s="30"/>
      <c r="J284" s="30"/>
      <c r="K284" s="30">
        <f>$K$246/$D$243/2</f>
        <v>25000</v>
      </c>
      <c r="L284" s="30">
        <f t="shared" ref="L284:N284" si="217">$K$246/$D$243</f>
        <v>50000</v>
      </c>
      <c r="M284" s="30">
        <f t="shared" si="217"/>
        <v>50000</v>
      </c>
      <c r="N284" s="30">
        <f t="shared" si="217"/>
        <v>50000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0" customHeight="1">
      <c r="A285" s="3"/>
      <c r="B285" s="24" t="s">
        <v>198</v>
      </c>
      <c r="C285" s="23"/>
      <c r="D285" s="30"/>
      <c r="E285" s="30"/>
      <c r="F285" s="30"/>
      <c r="G285" s="30"/>
      <c r="H285" s="30"/>
      <c r="I285" s="30"/>
      <c r="J285" s="30"/>
      <c r="K285" s="30"/>
      <c r="L285" s="30">
        <f>$L$246/$D$243/2</f>
        <v>25000</v>
      </c>
      <c r="M285" s="30">
        <f t="shared" ref="M285:N285" si="218">$L$246/$D$243</f>
        <v>50000</v>
      </c>
      <c r="N285" s="30">
        <f t="shared" si="218"/>
        <v>50000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0" customHeight="1">
      <c r="A286" s="3"/>
      <c r="B286" s="24" t="s">
        <v>199</v>
      </c>
      <c r="C286" s="23"/>
      <c r="D286" s="30"/>
      <c r="E286" s="30"/>
      <c r="F286" s="30"/>
      <c r="G286" s="30"/>
      <c r="H286" s="30"/>
      <c r="I286" s="30"/>
      <c r="J286" s="30"/>
      <c r="K286" s="30"/>
      <c r="L286" s="30"/>
      <c r="M286" s="30">
        <f>$M$246/$D$243/2</f>
        <v>25000</v>
      </c>
      <c r="N286" s="30">
        <f>$M$246/$D$243</f>
        <v>50000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0" customHeight="1">
      <c r="A287" s="3"/>
      <c r="B287" s="24" t="s">
        <v>200</v>
      </c>
      <c r="C287" s="24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>
        <f>$N$246/$D$243/2</f>
        <v>25000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0" customHeight="1">
      <c r="A288" s="3"/>
      <c r="B288" s="24" t="s">
        <v>228</v>
      </c>
      <c r="C288" s="23"/>
      <c r="D288" s="30">
        <f t="shared" ref="D288:N288" si="219">SUM(D277:D287)</f>
        <v>75000</v>
      </c>
      <c r="E288" s="30">
        <f t="shared" si="219"/>
        <v>190000</v>
      </c>
      <c r="F288" s="30">
        <f t="shared" si="219"/>
        <v>270000</v>
      </c>
      <c r="G288" s="30">
        <f t="shared" si="219"/>
        <v>335000</v>
      </c>
      <c r="H288" s="30">
        <f t="shared" si="219"/>
        <v>385000</v>
      </c>
      <c r="I288" s="30">
        <f t="shared" si="219"/>
        <v>435000</v>
      </c>
      <c r="J288" s="30">
        <f t="shared" si="219"/>
        <v>485000</v>
      </c>
      <c r="K288" s="30">
        <f t="shared" si="219"/>
        <v>535000</v>
      </c>
      <c r="L288" s="30">
        <f t="shared" si="219"/>
        <v>585000</v>
      </c>
      <c r="M288" s="30">
        <f t="shared" si="219"/>
        <v>635000</v>
      </c>
      <c r="N288" s="30">
        <f t="shared" si="219"/>
        <v>610000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24" t="s">
        <v>229</v>
      </c>
      <c r="C289" s="23"/>
      <c r="D289" s="30">
        <f t="shared" ref="D289:N289" si="220">D288</f>
        <v>75000</v>
      </c>
      <c r="E289" s="30">
        <f t="shared" si="220"/>
        <v>190000</v>
      </c>
      <c r="F289" s="30">
        <f t="shared" si="220"/>
        <v>270000</v>
      </c>
      <c r="G289" s="30">
        <f t="shared" si="220"/>
        <v>335000</v>
      </c>
      <c r="H289" s="30">
        <f t="shared" si="220"/>
        <v>385000</v>
      </c>
      <c r="I289" s="30">
        <f t="shared" si="220"/>
        <v>435000</v>
      </c>
      <c r="J289" s="30">
        <f t="shared" si="220"/>
        <v>485000</v>
      </c>
      <c r="K289" s="30">
        <f t="shared" si="220"/>
        <v>535000</v>
      </c>
      <c r="L289" s="30">
        <f t="shared" si="220"/>
        <v>585000</v>
      </c>
      <c r="M289" s="30">
        <f t="shared" si="220"/>
        <v>635000</v>
      </c>
      <c r="N289" s="30">
        <f t="shared" si="220"/>
        <v>610000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0" customHeight="1">
      <c r="A290" s="3"/>
      <c r="B290" s="24" t="s">
        <v>230</v>
      </c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0" customHeight="1">
      <c r="A291" s="3"/>
      <c r="B291" s="24" t="s">
        <v>190</v>
      </c>
      <c r="C291" s="23"/>
      <c r="D291" s="30">
        <f>$D$247/$D$243/2</f>
        <v>40000</v>
      </c>
      <c r="E291" s="30">
        <f t="shared" ref="E291:M291" si="221">$D$247/$D$243</f>
        <v>80000</v>
      </c>
      <c r="F291" s="30">
        <f t="shared" si="221"/>
        <v>80000</v>
      </c>
      <c r="G291" s="30">
        <f t="shared" si="221"/>
        <v>80000</v>
      </c>
      <c r="H291" s="30">
        <f t="shared" si="221"/>
        <v>80000</v>
      </c>
      <c r="I291" s="30">
        <f t="shared" si="221"/>
        <v>80000</v>
      </c>
      <c r="J291" s="30">
        <f t="shared" si="221"/>
        <v>80000</v>
      </c>
      <c r="K291" s="30">
        <f t="shared" si="221"/>
        <v>80000</v>
      </c>
      <c r="L291" s="30">
        <f t="shared" si="221"/>
        <v>80000</v>
      </c>
      <c r="M291" s="30">
        <f t="shared" si="221"/>
        <v>80000</v>
      </c>
      <c r="N291" s="30">
        <f>$D$247/$D$243/2</f>
        <v>40000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0" customHeight="1">
      <c r="A292" s="3"/>
      <c r="B292" s="24" t="s">
        <v>191</v>
      </c>
      <c r="C292" s="24"/>
      <c r="D292" s="30"/>
      <c r="E292" s="30">
        <f>$E$247/$D$243/2</f>
        <v>20000</v>
      </c>
      <c r="F292" s="30">
        <f t="shared" ref="F292:N292" si="222">$E$247/$D$243</f>
        <v>40000</v>
      </c>
      <c r="G292" s="30">
        <f t="shared" si="222"/>
        <v>40000</v>
      </c>
      <c r="H292" s="30">
        <f t="shared" si="222"/>
        <v>40000</v>
      </c>
      <c r="I292" s="30">
        <f t="shared" si="222"/>
        <v>40000</v>
      </c>
      <c r="J292" s="30">
        <f t="shared" si="222"/>
        <v>40000</v>
      </c>
      <c r="K292" s="30">
        <f t="shared" si="222"/>
        <v>40000</v>
      </c>
      <c r="L292" s="30">
        <f t="shared" si="222"/>
        <v>40000</v>
      </c>
      <c r="M292" s="30">
        <f t="shared" si="222"/>
        <v>40000</v>
      </c>
      <c r="N292" s="30">
        <f t="shared" si="222"/>
        <v>40000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0" customHeight="1">
      <c r="A293" s="3"/>
      <c r="B293" s="24" t="s">
        <v>192</v>
      </c>
      <c r="C293" s="23"/>
      <c r="D293" s="30"/>
      <c r="E293" s="30"/>
      <c r="F293" s="30">
        <f>$F$247/$D$243/2</f>
        <v>20000</v>
      </c>
      <c r="G293" s="30">
        <f t="shared" ref="G293:N293" si="223">$F$247/$D$243</f>
        <v>40000</v>
      </c>
      <c r="H293" s="30">
        <f t="shared" si="223"/>
        <v>40000</v>
      </c>
      <c r="I293" s="30">
        <f t="shared" si="223"/>
        <v>40000</v>
      </c>
      <c r="J293" s="30">
        <f t="shared" si="223"/>
        <v>40000</v>
      </c>
      <c r="K293" s="30">
        <f t="shared" si="223"/>
        <v>40000</v>
      </c>
      <c r="L293" s="30">
        <f t="shared" si="223"/>
        <v>40000</v>
      </c>
      <c r="M293" s="30">
        <f t="shared" si="223"/>
        <v>40000</v>
      </c>
      <c r="N293" s="30">
        <f t="shared" si="223"/>
        <v>40000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0" customHeight="1">
      <c r="A294" s="3"/>
      <c r="B294" s="24" t="s">
        <v>193</v>
      </c>
      <c r="C294" s="24"/>
      <c r="D294" s="30"/>
      <c r="E294" s="30"/>
      <c r="F294" s="30"/>
      <c r="G294" s="30">
        <f>$G$247/$D$243/2</f>
        <v>15000</v>
      </c>
      <c r="H294" s="30">
        <f t="shared" ref="H294:N294" si="224">$G$247/$D$243</f>
        <v>30000</v>
      </c>
      <c r="I294" s="30">
        <f t="shared" si="224"/>
        <v>30000</v>
      </c>
      <c r="J294" s="30">
        <f t="shared" si="224"/>
        <v>30000</v>
      </c>
      <c r="K294" s="30">
        <f t="shared" si="224"/>
        <v>30000</v>
      </c>
      <c r="L294" s="30">
        <f t="shared" si="224"/>
        <v>30000</v>
      </c>
      <c r="M294" s="30">
        <f t="shared" si="224"/>
        <v>30000</v>
      </c>
      <c r="N294" s="30">
        <f t="shared" si="224"/>
        <v>30000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0" customHeight="1">
      <c r="A295" s="3"/>
      <c r="B295" s="24" t="s">
        <v>194</v>
      </c>
      <c r="C295" s="23"/>
      <c r="D295" s="30"/>
      <c r="E295" s="30"/>
      <c r="F295" s="30"/>
      <c r="G295" s="30"/>
      <c r="H295" s="30">
        <f>$H$247/$D$243/2</f>
        <v>15000</v>
      </c>
      <c r="I295" s="30">
        <f t="shared" ref="I295:N295" si="225">$H$247/$D$243</f>
        <v>30000</v>
      </c>
      <c r="J295" s="30">
        <f t="shared" si="225"/>
        <v>30000</v>
      </c>
      <c r="K295" s="30">
        <f t="shared" si="225"/>
        <v>30000</v>
      </c>
      <c r="L295" s="30">
        <f t="shared" si="225"/>
        <v>30000</v>
      </c>
      <c r="M295" s="30">
        <f t="shared" si="225"/>
        <v>30000</v>
      </c>
      <c r="N295" s="30">
        <f t="shared" si="225"/>
        <v>30000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0" customHeight="1">
      <c r="A296" s="3"/>
      <c r="B296" s="24" t="s">
        <v>195</v>
      </c>
      <c r="C296" s="24"/>
      <c r="D296" s="30"/>
      <c r="E296" s="30"/>
      <c r="F296" s="30"/>
      <c r="G296" s="30"/>
      <c r="H296" s="30"/>
      <c r="I296" s="30">
        <f>$I$247/$D$243/2</f>
        <v>15000</v>
      </c>
      <c r="J296" s="30">
        <f t="shared" ref="J296:N296" si="226">$I$247/$D$243</f>
        <v>30000</v>
      </c>
      <c r="K296" s="30">
        <f t="shared" si="226"/>
        <v>30000</v>
      </c>
      <c r="L296" s="30">
        <f t="shared" si="226"/>
        <v>30000</v>
      </c>
      <c r="M296" s="30">
        <f t="shared" si="226"/>
        <v>30000</v>
      </c>
      <c r="N296" s="30">
        <f t="shared" si="226"/>
        <v>30000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0" customHeight="1">
      <c r="A297" s="3"/>
      <c r="B297" s="24" t="s">
        <v>196</v>
      </c>
      <c r="C297" s="23"/>
      <c r="D297" s="30"/>
      <c r="E297" s="30"/>
      <c r="F297" s="30"/>
      <c r="G297" s="30"/>
      <c r="H297" s="30"/>
      <c r="I297" s="30"/>
      <c r="J297" s="30">
        <f>$J$247/$D$243/2</f>
        <v>15000</v>
      </c>
      <c r="K297" s="30">
        <f t="shared" ref="K297:N297" si="227">$J$247/$D$243</f>
        <v>30000</v>
      </c>
      <c r="L297" s="30">
        <f t="shared" si="227"/>
        <v>30000</v>
      </c>
      <c r="M297" s="30">
        <f t="shared" si="227"/>
        <v>30000</v>
      </c>
      <c r="N297" s="30">
        <f t="shared" si="227"/>
        <v>30000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0" customHeight="1">
      <c r="A298" s="3"/>
      <c r="B298" s="24" t="s">
        <v>197</v>
      </c>
      <c r="C298" s="24"/>
      <c r="D298" s="30"/>
      <c r="E298" s="30"/>
      <c r="F298" s="30"/>
      <c r="G298" s="30"/>
      <c r="H298" s="30"/>
      <c r="I298" s="30"/>
      <c r="J298" s="30"/>
      <c r="K298" s="30">
        <f>$K$247/$D$243/2</f>
        <v>15000</v>
      </c>
      <c r="L298" s="30">
        <f t="shared" ref="L298:N298" si="228">$K$247/$D$243</f>
        <v>30000</v>
      </c>
      <c r="M298" s="30">
        <f t="shared" si="228"/>
        <v>30000</v>
      </c>
      <c r="N298" s="30">
        <f t="shared" si="228"/>
        <v>30000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0" customHeight="1">
      <c r="A299" s="3"/>
      <c r="B299" s="24" t="s">
        <v>198</v>
      </c>
      <c r="C299" s="23"/>
      <c r="D299" s="30"/>
      <c r="E299" s="30"/>
      <c r="F299" s="30"/>
      <c r="G299" s="30"/>
      <c r="H299" s="30"/>
      <c r="I299" s="30"/>
      <c r="J299" s="30"/>
      <c r="K299" s="30"/>
      <c r="L299" s="30">
        <f>$L$247/$D$243/2</f>
        <v>15000</v>
      </c>
      <c r="M299" s="30">
        <f t="shared" ref="M299:N299" si="229">$L$247/$D$243</f>
        <v>30000</v>
      </c>
      <c r="N299" s="30">
        <f t="shared" si="229"/>
        <v>30000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0" customHeight="1">
      <c r="A300" s="3"/>
      <c r="B300" s="24" t="s">
        <v>199</v>
      </c>
      <c r="C300" s="24"/>
      <c r="D300" s="30"/>
      <c r="E300" s="30"/>
      <c r="F300" s="30"/>
      <c r="G300" s="30"/>
      <c r="H300" s="30"/>
      <c r="I300" s="30"/>
      <c r="J300" s="30"/>
      <c r="K300" s="30"/>
      <c r="L300" s="30"/>
      <c r="M300" s="30">
        <f>$M$247/$D$243/2</f>
        <v>15000</v>
      </c>
      <c r="N300" s="30">
        <f>$M$247/$D$243</f>
        <v>30000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0" customHeight="1">
      <c r="A301" s="3"/>
      <c r="B301" s="24" t="s">
        <v>200</v>
      </c>
      <c r="C301" s="23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>
        <f>$N$247/$D$243/2</f>
        <v>15000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0" customHeight="1">
      <c r="A302" s="3"/>
      <c r="B302" s="24" t="s">
        <v>228</v>
      </c>
      <c r="C302" s="24"/>
      <c r="D302" s="30">
        <f t="shared" ref="D302:N302" si="230">SUM(D291:D301)</f>
        <v>40000</v>
      </c>
      <c r="E302" s="30">
        <f t="shared" si="230"/>
        <v>100000</v>
      </c>
      <c r="F302" s="30">
        <f t="shared" si="230"/>
        <v>140000</v>
      </c>
      <c r="G302" s="30">
        <f t="shared" si="230"/>
        <v>175000</v>
      </c>
      <c r="H302" s="30">
        <f t="shared" si="230"/>
        <v>205000</v>
      </c>
      <c r="I302" s="30">
        <f t="shared" si="230"/>
        <v>235000</v>
      </c>
      <c r="J302" s="30">
        <f t="shared" si="230"/>
        <v>265000</v>
      </c>
      <c r="K302" s="30">
        <f t="shared" si="230"/>
        <v>295000</v>
      </c>
      <c r="L302" s="30">
        <f t="shared" si="230"/>
        <v>325000</v>
      </c>
      <c r="M302" s="30">
        <f t="shared" si="230"/>
        <v>355000</v>
      </c>
      <c r="N302" s="30">
        <f t="shared" si="230"/>
        <v>345000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0" customHeight="1">
      <c r="A303" s="3"/>
      <c r="B303" s="24" t="s">
        <v>231</v>
      </c>
      <c r="C303" s="23"/>
      <c r="D303" s="30">
        <f t="shared" ref="D303:N303" si="231">D302</f>
        <v>40000</v>
      </c>
      <c r="E303" s="30">
        <f t="shared" si="231"/>
        <v>100000</v>
      </c>
      <c r="F303" s="30">
        <f t="shared" si="231"/>
        <v>140000</v>
      </c>
      <c r="G303" s="30">
        <f t="shared" si="231"/>
        <v>175000</v>
      </c>
      <c r="H303" s="30">
        <f t="shared" si="231"/>
        <v>205000</v>
      </c>
      <c r="I303" s="30">
        <f t="shared" si="231"/>
        <v>235000</v>
      </c>
      <c r="J303" s="30">
        <f t="shared" si="231"/>
        <v>265000</v>
      </c>
      <c r="K303" s="30">
        <f t="shared" si="231"/>
        <v>295000</v>
      </c>
      <c r="L303" s="30">
        <f t="shared" si="231"/>
        <v>325000</v>
      </c>
      <c r="M303" s="30">
        <f t="shared" si="231"/>
        <v>355000</v>
      </c>
      <c r="N303" s="30">
        <f t="shared" si="231"/>
        <v>345000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0" customHeight="1">
      <c r="A304" s="3"/>
      <c r="B304" s="24" t="s">
        <v>232</v>
      </c>
      <c r="C304" s="24"/>
      <c r="D304" s="30">
        <f t="shared" ref="D304:N304" si="232">D261+D275+D289+D303</f>
        <v>315000</v>
      </c>
      <c r="E304" s="30">
        <f t="shared" si="232"/>
        <v>815000</v>
      </c>
      <c r="F304" s="30">
        <f t="shared" si="232"/>
        <v>1185000</v>
      </c>
      <c r="G304" s="30">
        <f t="shared" si="232"/>
        <v>1485000</v>
      </c>
      <c r="H304" s="30">
        <f t="shared" si="232"/>
        <v>1715000</v>
      </c>
      <c r="I304" s="30">
        <f t="shared" si="232"/>
        <v>1945000</v>
      </c>
      <c r="J304" s="30">
        <f t="shared" si="232"/>
        <v>2175000</v>
      </c>
      <c r="K304" s="30">
        <f t="shared" si="232"/>
        <v>2405000</v>
      </c>
      <c r="L304" s="30">
        <f t="shared" si="232"/>
        <v>2635000</v>
      </c>
      <c r="M304" s="30">
        <f t="shared" si="232"/>
        <v>2865000</v>
      </c>
      <c r="N304" s="30">
        <f t="shared" si="232"/>
        <v>2780000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0" customHeight="1">
      <c r="A305" s="3"/>
      <c r="B305" s="24" t="s">
        <v>233</v>
      </c>
      <c r="C305" s="23"/>
      <c r="D305" s="30">
        <f t="shared" ref="D305:N305" si="233">D244+D245+D246+D247</f>
        <v>6300000</v>
      </c>
      <c r="E305" s="30">
        <f t="shared" si="233"/>
        <v>3700000</v>
      </c>
      <c r="F305" s="30">
        <f t="shared" si="233"/>
        <v>3700000</v>
      </c>
      <c r="G305" s="30">
        <f t="shared" si="233"/>
        <v>2300000</v>
      </c>
      <c r="H305" s="30">
        <f t="shared" si="233"/>
        <v>2300000</v>
      </c>
      <c r="I305" s="30">
        <f t="shared" si="233"/>
        <v>2300000</v>
      </c>
      <c r="J305" s="30">
        <f t="shared" si="233"/>
        <v>2300000</v>
      </c>
      <c r="K305" s="30">
        <f t="shared" si="233"/>
        <v>2300000</v>
      </c>
      <c r="L305" s="30">
        <f t="shared" si="233"/>
        <v>2300000</v>
      </c>
      <c r="M305" s="30">
        <f t="shared" si="233"/>
        <v>2300000</v>
      </c>
      <c r="N305" s="30">
        <f t="shared" si="233"/>
        <v>2300000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0" customHeight="1">
      <c r="A306" s="3"/>
      <c r="B306" s="24" t="s">
        <v>234</v>
      </c>
      <c r="C306" s="24"/>
      <c r="D306" s="30">
        <f t="shared" ref="D306:N306" si="234">SUM($D305:D305)-SUM($D304:D304)</f>
        <v>5985000</v>
      </c>
      <c r="E306" s="30">
        <f t="shared" si="234"/>
        <v>8870000</v>
      </c>
      <c r="F306" s="30">
        <f t="shared" si="234"/>
        <v>11385000</v>
      </c>
      <c r="G306" s="30">
        <f t="shared" si="234"/>
        <v>12200000</v>
      </c>
      <c r="H306" s="30">
        <f t="shared" si="234"/>
        <v>12785000</v>
      </c>
      <c r="I306" s="30">
        <f t="shared" si="234"/>
        <v>13140000</v>
      </c>
      <c r="J306" s="30">
        <f t="shared" si="234"/>
        <v>13265000</v>
      </c>
      <c r="K306" s="30">
        <f t="shared" si="234"/>
        <v>13160000</v>
      </c>
      <c r="L306" s="30">
        <f t="shared" si="234"/>
        <v>12825000</v>
      </c>
      <c r="M306" s="30">
        <f t="shared" si="234"/>
        <v>12260000</v>
      </c>
      <c r="N306" s="30">
        <f t="shared" si="234"/>
        <v>11780000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0" customHeight="1">
      <c r="A307" s="3"/>
      <c r="B307" s="8"/>
      <c r="C307" s="27"/>
      <c r="D307" s="2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0" customHeight="1">
      <c r="A308" s="3"/>
      <c r="B308" s="20" t="s">
        <v>235</v>
      </c>
      <c r="C308" s="20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0" customHeight="1">
      <c r="A309" s="3"/>
      <c r="B309" s="24" t="s">
        <v>236</v>
      </c>
      <c r="C309" s="23"/>
      <c r="D309" s="29">
        <v>7.0</v>
      </c>
      <c r="E309" s="30">
        <f t="shared" ref="E309:N309" si="235">D309</f>
        <v>7</v>
      </c>
      <c r="F309" s="30">
        <f t="shared" si="235"/>
        <v>7</v>
      </c>
      <c r="G309" s="30">
        <f t="shared" si="235"/>
        <v>7</v>
      </c>
      <c r="H309" s="30">
        <f t="shared" si="235"/>
        <v>7</v>
      </c>
      <c r="I309" s="30">
        <f t="shared" si="235"/>
        <v>7</v>
      </c>
      <c r="J309" s="30">
        <f t="shared" si="235"/>
        <v>7</v>
      </c>
      <c r="K309" s="30">
        <f t="shared" si="235"/>
        <v>7</v>
      </c>
      <c r="L309" s="30">
        <f t="shared" si="235"/>
        <v>7</v>
      </c>
      <c r="M309" s="30">
        <f t="shared" si="235"/>
        <v>7</v>
      </c>
      <c r="N309" s="30">
        <f t="shared" si="235"/>
        <v>7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24" t="s">
        <v>237</v>
      </c>
      <c r="C310" s="23"/>
      <c r="D310" s="29">
        <v>15.0</v>
      </c>
      <c r="E310" s="30">
        <f t="shared" ref="E310:N310" si="236">D310</f>
        <v>15</v>
      </c>
      <c r="F310" s="30">
        <f t="shared" si="236"/>
        <v>15</v>
      </c>
      <c r="G310" s="30">
        <f t="shared" si="236"/>
        <v>15</v>
      </c>
      <c r="H310" s="30">
        <f t="shared" si="236"/>
        <v>15</v>
      </c>
      <c r="I310" s="30">
        <f t="shared" si="236"/>
        <v>15</v>
      </c>
      <c r="J310" s="30">
        <f t="shared" si="236"/>
        <v>15</v>
      </c>
      <c r="K310" s="30">
        <f t="shared" si="236"/>
        <v>15</v>
      </c>
      <c r="L310" s="30">
        <f t="shared" si="236"/>
        <v>15</v>
      </c>
      <c r="M310" s="30">
        <f t="shared" si="236"/>
        <v>15</v>
      </c>
      <c r="N310" s="30">
        <f t="shared" si="236"/>
        <v>15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0" customHeight="1">
      <c r="A311" s="3"/>
      <c r="B311" s="24" t="s">
        <v>238</v>
      </c>
      <c r="C311" s="23"/>
      <c r="D311" s="29">
        <v>35.0</v>
      </c>
      <c r="E311" s="30">
        <f t="shared" ref="E311:N311" si="237">D311</f>
        <v>35</v>
      </c>
      <c r="F311" s="30">
        <f t="shared" si="237"/>
        <v>35</v>
      </c>
      <c r="G311" s="30">
        <f t="shared" si="237"/>
        <v>35</v>
      </c>
      <c r="H311" s="30">
        <f t="shared" si="237"/>
        <v>35</v>
      </c>
      <c r="I311" s="30">
        <f t="shared" si="237"/>
        <v>35</v>
      </c>
      <c r="J311" s="30">
        <f t="shared" si="237"/>
        <v>35</v>
      </c>
      <c r="K311" s="30">
        <f t="shared" si="237"/>
        <v>35</v>
      </c>
      <c r="L311" s="30">
        <f t="shared" si="237"/>
        <v>35</v>
      </c>
      <c r="M311" s="30">
        <f t="shared" si="237"/>
        <v>35</v>
      </c>
      <c r="N311" s="30">
        <f t="shared" si="237"/>
        <v>35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0" customHeight="1">
      <c r="A312" s="3"/>
      <c r="B312" s="24" t="s">
        <v>239</v>
      </c>
      <c r="C312" s="23"/>
      <c r="D312" s="29">
        <v>0.0</v>
      </c>
      <c r="E312" s="30">
        <f t="shared" ref="E312:N312" si="238">D312</f>
        <v>0</v>
      </c>
      <c r="F312" s="30">
        <f t="shared" si="238"/>
        <v>0</v>
      </c>
      <c r="G312" s="30">
        <f t="shared" si="238"/>
        <v>0</v>
      </c>
      <c r="H312" s="30">
        <f t="shared" si="238"/>
        <v>0</v>
      </c>
      <c r="I312" s="30">
        <f t="shared" si="238"/>
        <v>0</v>
      </c>
      <c r="J312" s="30">
        <f t="shared" si="238"/>
        <v>0</v>
      </c>
      <c r="K312" s="30">
        <f t="shared" si="238"/>
        <v>0</v>
      </c>
      <c r="L312" s="30">
        <f t="shared" si="238"/>
        <v>0</v>
      </c>
      <c r="M312" s="30">
        <f t="shared" si="238"/>
        <v>0</v>
      </c>
      <c r="N312" s="30">
        <f t="shared" si="238"/>
        <v>0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0" customHeight="1">
      <c r="A313" s="3"/>
      <c r="B313" s="8"/>
      <c r="C313" s="27"/>
      <c r="D313" s="2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0" customHeight="1">
      <c r="A314" s="3"/>
      <c r="B314" s="20" t="s">
        <v>240</v>
      </c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0" customHeight="1">
      <c r="A315" s="3"/>
      <c r="B315" s="24" t="s">
        <v>241</v>
      </c>
      <c r="C315" s="23" t="s">
        <v>242</v>
      </c>
      <c r="D315" s="25">
        <v>0.25</v>
      </c>
      <c r="E315" s="26">
        <f t="shared" ref="E315:N315" si="239">D315</f>
        <v>0.25</v>
      </c>
      <c r="F315" s="26">
        <f t="shared" si="239"/>
        <v>0.25</v>
      </c>
      <c r="G315" s="26">
        <f t="shared" si="239"/>
        <v>0.25</v>
      </c>
      <c r="H315" s="26">
        <f t="shared" si="239"/>
        <v>0.25</v>
      </c>
      <c r="I315" s="26">
        <f t="shared" si="239"/>
        <v>0.25</v>
      </c>
      <c r="J315" s="26">
        <f t="shared" si="239"/>
        <v>0.25</v>
      </c>
      <c r="K315" s="26">
        <f t="shared" si="239"/>
        <v>0.25</v>
      </c>
      <c r="L315" s="26">
        <f t="shared" si="239"/>
        <v>0.25</v>
      </c>
      <c r="M315" s="26">
        <f t="shared" si="239"/>
        <v>0.25</v>
      </c>
      <c r="N315" s="26">
        <f t="shared" si="239"/>
        <v>0.25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0" customHeight="1">
      <c r="A316" s="3"/>
      <c r="B316" s="24" t="s">
        <v>243</v>
      </c>
      <c r="C316" s="23" t="s">
        <v>244</v>
      </c>
      <c r="D316" s="34">
        <v>61.4</v>
      </c>
      <c r="E316" s="35">
        <f t="shared" ref="E316:N316" si="240">D316</f>
        <v>61.4</v>
      </c>
      <c r="F316" s="35">
        <f t="shared" si="240"/>
        <v>61.4</v>
      </c>
      <c r="G316" s="35">
        <f t="shared" si="240"/>
        <v>61.4</v>
      </c>
      <c r="H316" s="35">
        <f t="shared" si="240"/>
        <v>61.4</v>
      </c>
      <c r="I316" s="35">
        <f t="shared" si="240"/>
        <v>61.4</v>
      </c>
      <c r="J316" s="35">
        <f t="shared" si="240"/>
        <v>61.4</v>
      </c>
      <c r="K316" s="35">
        <f t="shared" si="240"/>
        <v>61.4</v>
      </c>
      <c r="L316" s="35">
        <f t="shared" si="240"/>
        <v>61.4</v>
      </c>
      <c r="M316" s="35">
        <f t="shared" si="240"/>
        <v>61.4</v>
      </c>
      <c r="N316" s="35">
        <f t="shared" si="240"/>
        <v>61.4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0" customHeight="1">
      <c r="A317" s="3"/>
      <c r="B317" s="24" t="s">
        <v>245</v>
      </c>
      <c r="C317" s="23"/>
      <c r="D317" s="29">
        <v>6.5E8</v>
      </c>
      <c r="E317" s="29">
        <v>0.0</v>
      </c>
      <c r="F317" s="29">
        <v>3.5E8</v>
      </c>
      <c r="G317" s="29"/>
      <c r="H317" s="29">
        <v>0.0</v>
      </c>
      <c r="I317" s="29">
        <v>0.0</v>
      </c>
      <c r="J317" s="29">
        <v>0.0</v>
      </c>
      <c r="K317" s="29">
        <v>0.0</v>
      </c>
      <c r="L317" s="29">
        <v>0.0</v>
      </c>
      <c r="M317" s="29">
        <v>0.0</v>
      </c>
      <c r="N317" s="29">
        <v>0.0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0" customHeight="1">
      <c r="A318" s="3"/>
      <c r="B318" s="24" t="s">
        <v>246</v>
      </c>
      <c r="C318" s="23"/>
      <c r="D318" s="29">
        <v>0.0</v>
      </c>
      <c r="E318" s="29">
        <v>0.0</v>
      </c>
      <c r="F318" s="29">
        <v>0.0</v>
      </c>
      <c r="G318" s="29">
        <v>0.0</v>
      </c>
      <c r="H318" s="29">
        <v>0.0</v>
      </c>
      <c r="I318" s="29">
        <v>0.0</v>
      </c>
      <c r="J318" s="29">
        <v>0.0</v>
      </c>
      <c r="K318" s="29">
        <v>0.0</v>
      </c>
      <c r="L318" s="29">
        <v>0.0</v>
      </c>
      <c r="M318" s="29">
        <v>0.0</v>
      </c>
      <c r="N318" s="29">
        <v>0.0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0" customHeight="1">
      <c r="A319" s="3"/>
      <c r="B319" s="24" t="s">
        <v>247</v>
      </c>
      <c r="C319" s="23"/>
      <c r="D319" s="29">
        <v>0.0</v>
      </c>
      <c r="E319" s="29">
        <v>0.0</v>
      </c>
      <c r="F319" s="29">
        <v>0.0</v>
      </c>
      <c r="G319" s="29">
        <v>0.0</v>
      </c>
      <c r="H319" s="29">
        <v>0.0</v>
      </c>
      <c r="I319" s="29">
        <v>0.0</v>
      </c>
      <c r="J319" s="29">
        <v>0.0</v>
      </c>
      <c r="K319" s="29">
        <v>0.0</v>
      </c>
      <c r="L319" s="29">
        <v>0.0</v>
      </c>
      <c r="M319" s="29">
        <v>0.0</v>
      </c>
      <c r="N319" s="29">
        <v>0.0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0" customHeight="1">
      <c r="A320" s="3"/>
      <c r="B320" s="24" t="s">
        <v>248</v>
      </c>
      <c r="C320" s="24" t="s">
        <v>48</v>
      </c>
      <c r="D320" s="25">
        <v>0.066</v>
      </c>
      <c r="E320" s="26">
        <f t="shared" ref="E320:N320" si="241">D320</f>
        <v>0.066</v>
      </c>
      <c r="F320" s="26">
        <f t="shared" si="241"/>
        <v>0.066</v>
      </c>
      <c r="G320" s="26">
        <f t="shared" si="241"/>
        <v>0.066</v>
      </c>
      <c r="H320" s="26">
        <f t="shared" si="241"/>
        <v>0.066</v>
      </c>
      <c r="I320" s="26">
        <f t="shared" si="241"/>
        <v>0.066</v>
      </c>
      <c r="J320" s="26">
        <f t="shared" si="241"/>
        <v>0.066</v>
      </c>
      <c r="K320" s="26">
        <f t="shared" si="241"/>
        <v>0.066</v>
      </c>
      <c r="L320" s="26">
        <f t="shared" si="241"/>
        <v>0.066</v>
      </c>
      <c r="M320" s="26">
        <f t="shared" si="241"/>
        <v>0.066</v>
      </c>
      <c r="N320" s="26">
        <f t="shared" si="241"/>
        <v>0.066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24" t="s">
        <v>249</v>
      </c>
      <c r="C321" s="23"/>
      <c r="D321" s="29">
        <v>0.0</v>
      </c>
      <c r="E321" s="30">
        <f t="shared" ref="E321:N321" si="242">D322</f>
        <v>0</v>
      </c>
      <c r="F321" s="30">
        <f t="shared" si="242"/>
        <v>0</v>
      </c>
      <c r="G321" s="30">
        <f t="shared" si="242"/>
        <v>0</v>
      </c>
      <c r="H321" s="30">
        <f t="shared" si="242"/>
        <v>0</v>
      </c>
      <c r="I321" s="30">
        <f t="shared" si="242"/>
        <v>0</v>
      </c>
      <c r="J321" s="30">
        <f t="shared" si="242"/>
        <v>0</v>
      </c>
      <c r="K321" s="30">
        <f t="shared" si="242"/>
        <v>0</v>
      </c>
      <c r="L321" s="30">
        <f t="shared" si="242"/>
        <v>0</v>
      </c>
      <c r="M321" s="30">
        <f t="shared" si="242"/>
        <v>0</v>
      </c>
      <c r="N321" s="30">
        <f t="shared" si="242"/>
        <v>0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24" t="s">
        <v>250</v>
      </c>
      <c r="C322" s="23"/>
      <c r="D322" s="30">
        <f t="shared" ref="D322:N322" si="243">D321+D318-D319</f>
        <v>0</v>
      </c>
      <c r="E322" s="30">
        <f t="shared" si="243"/>
        <v>0</v>
      </c>
      <c r="F322" s="30">
        <f t="shared" si="243"/>
        <v>0</v>
      </c>
      <c r="G322" s="30">
        <f t="shared" si="243"/>
        <v>0</v>
      </c>
      <c r="H322" s="30">
        <f t="shared" si="243"/>
        <v>0</v>
      </c>
      <c r="I322" s="30">
        <f t="shared" si="243"/>
        <v>0</v>
      </c>
      <c r="J322" s="30">
        <f t="shared" si="243"/>
        <v>0</v>
      </c>
      <c r="K322" s="30">
        <f t="shared" si="243"/>
        <v>0</v>
      </c>
      <c r="L322" s="30">
        <f t="shared" si="243"/>
        <v>0</v>
      </c>
      <c r="M322" s="30">
        <f t="shared" si="243"/>
        <v>0</v>
      </c>
      <c r="N322" s="30">
        <f t="shared" si="243"/>
        <v>0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24" t="s">
        <v>251</v>
      </c>
      <c r="C323" s="23"/>
      <c r="D323" s="30">
        <f t="shared" ref="D323:N323" si="244">AVERAGE(D321,D322)*D320</f>
        <v>0</v>
      </c>
      <c r="E323" s="30">
        <f t="shared" si="244"/>
        <v>0</v>
      </c>
      <c r="F323" s="30">
        <f t="shared" si="244"/>
        <v>0</v>
      </c>
      <c r="G323" s="30">
        <f t="shared" si="244"/>
        <v>0</v>
      </c>
      <c r="H323" s="30">
        <f t="shared" si="244"/>
        <v>0</v>
      </c>
      <c r="I323" s="30">
        <f t="shared" si="244"/>
        <v>0</v>
      </c>
      <c r="J323" s="30">
        <f t="shared" si="244"/>
        <v>0</v>
      </c>
      <c r="K323" s="30">
        <f t="shared" si="244"/>
        <v>0</v>
      </c>
      <c r="L323" s="30">
        <f t="shared" si="244"/>
        <v>0</v>
      </c>
      <c r="M323" s="30">
        <f t="shared" si="244"/>
        <v>0</v>
      </c>
      <c r="N323" s="30">
        <f t="shared" si="244"/>
        <v>0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2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 outlineLevel="1">
      <c r="A330" s="3"/>
      <c r="B330" s="46" t="s">
        <v>252</v>
      </c>
      <c r="C330" s="46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 outlineLevel="1">
      <c r="A331" s="3"/>
      <c r="B331" s="48" t="s">
        <v>253</v>
      </c>
      <c r="C331" s="49"/>
      <c r="D331" s="50">
        <f t="shared" ref="D331:D338" si="246">0</f>
        <v>0</v>
      </c>
      <c r="E331" s="50">
        <f t="shared" ref="E331:N331" si="245">E7</f>
        <v>0.5</v>
      </c>
      <c r="F331" s="50">
        <f t="shared" si="245"/>
        <v>0.45</v>
      </c>
      <c r="G331" s="50">
        <f t="shared" si="245"/>
        <v>0.31</v>
      </c>
      <c r="H331" s="50">
        <f t="shared" si="245"/>
        <v>0.17</v>
      </c>
      <c r="I331" s="50">
        <f t="shared" si="245"/>
        <v>0.18</v>
      </c>
      <c r="J331" s="50">
        <f t="shared" si="245"/>
        <v>0.25</v>
      </c>
      <c r="K331" s="50">
        <f t="shared" si="245"/>
        <v>0.182</v>
      </c>
      <c r="L331" s="50">
        <f t="shared" si="245"/>
        <v>0.094</v>
      </c>
      <c r="M331" s="50">
        <f t="shared" si="245"/>
        <v>0.086</v>
      </c>
      <c r="N331" s="50">
        <f t="shared" si="245"/>
        <v>0.079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 outlineLevel="1">
      <c r="A332" s="3"/>
      <c r="B332" s="48" t="s">
        <v>254</v>
      </c>
      <c r="C332" s="49"/>
      <c r="D332" s="50">
        <f t="shared" si="246"/>
        <v>0</v>
      </c>
      <c r="E332" s="50">
        <f t="shared" ref="E332:N332" si="247">E7</f>
        <v>0.5</v>
      </c>
      <c r="F332" s="50">
        <f t="shared" si="247"/>
        <v>0.45</v>
      </c>
      <c r="G332" s="50">
        <f t="shared" si="247"/>
        <v>0.31</v>
      </c>
      <c r="H332" s="50">
        <f t="shared" si="247"/>
        <v>0.17</v>
      </c>
      <c r="I332" s="50">
        <f t="shared" si="247"/>
        <v>0.18</v>
      </c>
      <c r="J332" s="50">
        <f t="shared" si="247"/>
        <v>0.25</v>
      </c>
      <c r="K332" s="50">
        <f t="shared" si="247"/>
        <v>0.182</v>
      </c>
      <c r="L332" s="50">
        <f t="shared" si="247"/>
        <v>0.094</v>
      </c>
      <c r="M332" s="50">
        <f t="shared" si="247"/>
        <v>0.086</v>
      </c>
      <c r="N332" s="50">
        <f t="shared" si="247"/>
        <v>0.079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 outlineLevel="1">
      <c r="A333" s="3"/>
      <c r="B333" s="48" t="s">
        <v>255</v>
      </c>
      <c r="C333" s="49"/>
      <c r="D333" s="50">
        <f t="shared" si="246"/>
        <v>0</v>
      </c>
      <c r="E333" s="50">
        <f t="shared" ref="E333:N333" si="248">E8</f>
        <v>0.6</v>
      </c>
      <c r="F333" s="50">
        <f t="shared" si="248"/>
        <v>0.6</v>
      </c>
      <c r="G333" s="50">
        <f t="shared" si="248"/>
        <v>0.4</v>
      </c>
      <c r="H333" s="50">
        <f t="shared" si="248"/>
        <v>0.25</v>
      </c>
      <c r="I333" s="50">
        <f t="shared" si="248"/>
        <v>0.2</v>
      </c>
      <c r="J333" s="50">
        <f t="shared" si="248"/>
        <v>0.25</v>
      </c>
      <c r="K333" s="50">
        <f t="shared" si="248"/>
        <v>0.2</v>
      </c>
      <c r="L333" s="50">
        <f t="shared" si="248"/>
        <v>0.111</v>
      </c>
      <c r="M333" s="50">
        <f t="shared" si="248"/>
        <v>0.1</v>
      </c>
      <c r="N333" s="50">
        <f t="shared" si="248"/>
        <v>0.0909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 outlineLevel="1">
      <c r="A334" s="3"/>
      <c r="B334" s="48" t="s">
        <v>256</v>
      </c>
      <c r="C334" s="49"/>
      <c r="D334" s="50">
        <f t="shared" si="246"/>
        <v>0</v>
      </c>
      <c r="E334" s="50">
        <f t="shared" ref="E334:N334" si="249">E8</f>
        <v>0.6</v>
      </c>
      <c r="F334" s="50">
        <f t="shared" si="249"/>
        <v>0.6</v>
      </c>
      <c r="G334" s="50">
        <f t="shared" si="249"/>
        <v>0.4</v>
      </c>
      <c r="H334" s="50">
        <f t="shared" si="249"/>
        <v>0.25</v>
      </c>
      <c r="I334" s="50">
        <f t="shared" si="249"/>
        <v>0.2</v>
      </c>
      <c r="J334" s="50">
        <f t="shared" si="249"/>
        <v>0.25</v>
      </c>
      <c r="K334" s="50">
        <f t="shared" si="249"/>
        <v>0.2</v>
      </c>
      <c r="L334" s="50">
        <f t="shared" si="249"/>
        <v>0.111</v>
      </c>
      <c r="M334" s="50">
        <f t="shared" si="249"/>
        <v>0.1</v>
      </c>
      <c r="N334" s="50">
        <f t="shared" si="249"/>
        <v>0.0909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 outlineLevel="1">
      <c r="A335" s="3"/>
      <c r="B335" s="48" t="s">
        <v>257</v>
      </c>
      <c r="C335" s="49"/>
      <c r="D335" s="50">
        <f t="shared" si="246"/>
        <v>0</v>
      </c>
      <c r="E335" s="50">
        <f t="shared" ref="E335:N335" si="250">E9</f>
        <v>0.4</v>
      </c>
      <c r="F335" s="50">
        <f t="shared" si="250"/>
        <v>0.3</v>
      </c>
      <c r="G335" s="50">
        <f t="shared" si="250"/>
        <v>0.3</v>
      </c>
      <c r="H335" s="50">
        <f t="shared" si="250"/>
        <v>0.3</v>
      </c>
      <c r="I335" s="50">
        <f t="shared" si="250"/>
        <v>0.3</v>
      </c>
      <c r="J335" s="50">
        <f t="shared" si="250"/>
        <v>0.3</v>
      </c>
      <c r="K335" s="50">
        <f t="shared" si="250"/>
        <v>0.3</v>
      </c>
      <c r="L335" s="50">
        <f t="shared" si="250"/>
        <v>0.3</v>
      </c>
      <c r="M335" s="50">
        <f t="shared" si="250"/>
        <v>0.3</v>
      </c>
      <c r="N335" s="50">
        <f t="shared" si="250"/>
        <v>0.3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 outlineLevel="1">
      <c r="A336" s="3"/>
      <c r="B336" s="48" t="s">
        <v>258</v>
      </c>
      <c r="C336" s="49"/>
      <c r="D336" s="50">
        <f t="shared" si="246"/>
        <v>0</v>
      </c>
      <c r="E336" s="50">
        <f t="shared" ref="E336:N336" si="251">E9</f>
        <v>0.4</v>
      </c>
      <c r="F336" s="50">
        <f t="shared" si="251"/>
        <v>0.3</v>
      </c>
      <c r="G336" s="50">
        <f t="shared" si="251"/>
        <v>0.3</v>
      </c>
      <c r="H336" s="50">
        <f t="shared" si="251"/>
        <v>0.3</v>
      </c>
      <c r="I336" s="50">
        <f t="shared" si="251"/>
        <v>0.3</v>
      </c>
      <c r="J336" s="50">
        <f t="shared" si="251"/>
        <v>0.3</v>
      </c>
      <c r="K336" s="50">
        <f t="shared" si="251"/>
        <v>0.3</v>
      </c>
      <c r="L336" s="50">
        <f t="shared" si="251"/>
        <v>0.3</v>
      </c>
      <c r="M336" s="50">
        <f t="shared" si="251"/>
        <v>0.3</v>
      </c>
      <c r="N336" s="50">
        <f t="shared" si="251"/>
        <v>0.3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 outlineLevel="1">
      <c r="A337" s="3"/>
      <c r="B337" s="48" t="s">
        <v>259</v>
      </c>
      <c r="C337" s="49"/>
      <c r="D337" s="50">
        <f t="shared" si="246"/>
        <v>0</v>
      </c>
      <c r="E337" s="50">
        <f t="shared" ref="E337:N337" si="252">E9</f>
        <v>0.4</v>
      </c>
      <c r="F337" s="50">
        <f t="shared" si="252"/>
        <v>0.3</v>
      </c>
      <c r="G337" s="50">
        <f t="shared" si="252"/>
        <v>0.3</v>
      </c>
      <c r="H337" s="50">
        <f t="shared" si="252"/>
        <v>0.3</v>
      </c>
      <c r="I337" s="50">
        <f t="shared" si="252"/>
        <v>0.3</v>
      </c>
      <c r="J337" s="50">
        <f t="shared" si="252"/>
        <v>0.3</v>
      </c>
      <c r="K337" s="50">
        <f t="shared" si="252"/>
        <v>0.3</v>
      </c>
      <c r="L337" s="50">
        <f t="shared" si="252"/>
        <v>0.3</v>
      </c>
      <c r="M337" s="50">
        <f t="shared" si="252"/>
        <v>0.3</v>
      </c>
      <c r="N337" s="50">
        <f t="shared" si="252"/>
        <v>0.3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 outlineLevel="1">
      <c r="A338" s="3"/>
      <c r="B338" s="48" t="s">
        <v>260</v>
      </c>
      <c r="C338" s="49"/>
      <c r="D338" s="50">
        <f t="shared" si="246"/>
        <v>0</v>
      </c>
      <c r="E338" s="50">
        <f t="shared" ref="E338:N338" si="253">E9</f>
        <v>0.4</v>
      </c>
      <c r="F338" s="50">
        <f t="shared" si="253"/>
        <v>0.3</v>
      </c>
      <c r="G338" s="50">
        <f t="shared" si="253"/>
        <v>0.3</v>
      </c>
      <c r="H338" s="50">
        <f t="shared" si="253"/>
        <v>0.3</v>
      </c>
      <c r="I338" s="50">
        <f t="shared" si="253"/>
        <v>0.3</v>
      </c>
      <c r="J338" s="50">
        <f t="shared" si="253"/>
        <v>0.3</v>
      </c>
      <c r="K338" s="50">
        <f t="shared" si="253"/>
        <v>0.3</v>
      </c>
      <c r="L338" s="50">
        <f t="shared" si="253"/>
        <v>0.3</v>
      </c>
      <c r="M338" s="50">
        <f t="shared" si="253"/>
        <v>0.3</v>
      </c>
      <c r="N338" s="50">
        <f t="shared" si="253"/>
        <v>0.3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 outlineLevel="1">
      <c r="A339" s="3"/>
      <c r="B339" s="46" t="s">
        <v>261</v>
      </c>
      <c r="C339" s="46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 outlineLevel="1">
      <c r="A340" s="3"/>
      <c r="B340" s="48" t="s">
        <v>262</v>
      </c>
      <c r="C340" s="49"/>
      <c r="D340" s="51">
        <f>ROUND(2416*$D$32,0)</f>
        <v>483</v>
      </c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 outlineLevel="1">
      <c r="A341" s="3"/>
      <c r="B341" s="48" t="s">
        <v>263</v>
      </c>
      <c r="C341" s="49"/>
      <c r="D341" s="51">
        <v>1733.0</v>
      </c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 outlineLevel="1">
      <c r="A342" s="3"/>
      <c r="B342" s="48" t="s">
        <v>264</v>
      </c>
      <c r="C342" s="49"/>
      <c r="D342" s="51">
        <f>ROUND(1200*$D$53,0)</f>
        <v>240</v>
      </c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 outlineLevel="1">
      <c r="A343" s="3"/>
      <c r="B343" s="48" t="s">
        <v>265</v>
      </c>
      <c r="C343" s="49"/>
      <c r="D343" s="51">
        <f>1200-D342</f>
        <v>960</v>
      </c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 outlineLevel="1">
      <c r="A344" s="3"/>
      <c r="B344" s="48" t="s">
        <v>266</v>
      </c>
      <c r="C344" s="49"/>
      <c r="D344" s="51">
        <f>ROUND(200*$D$22,0)</f>
        <v>40</v>
      </c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 outlineLevel="1">
      <c r="A345" s="3"/>
      <c r="B345" s="48" t="s">
        <v>267</v>
      </c>
      <c r="C345" s="49"/>
      <c r="D345" s="51">
        <f>200-D344</f>
        <v>160</v>
      </c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 outlineLevel="1">
      <c r="A346" s="3"/>
      <c r="B346" s="48" t="s">
        <v>268</v>
      </c>
      <c r="C346" s="49"/>
      <c r="D346" s="51">
        <v>0.0</v>
      </c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 outlineLevel="1">
      <c r="A347" s="3"/>
      <c r="B347" s="48" t="s">
        <v>269</v>
      </c>
      <c r="C347" s="49"/>
      <c r="D347" s="51">
        <v>0.0</v>
      </c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 outlineLevel="1">
      <c r="A348" s="3"/>
      <c r="B348" s="46" t="s">
        <v>270</v>
      </c>
      <c r="C348" s="46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 outlineLevel="1">
      <c r="A349" s="3"/>
      <c r="B349" s="48" t="s">
        <v>271</v>
      </c>
      <c r="C349" s="49" t="s">
        <v>50</v>
      </c>
      <c r="D349" s="51">
        <f t="shared" ref="D349:D350" si="255">0</f>
        <v>0</v>
      </c>
      <c r="E349" s="51">
        <f t="shared" ref="E349:N349" si="254">D355</f>
        <v>483</v>
      </c>
      <c r="F349" s="51">
        <f t="shared" si="254"/>
        <v>1171</v>
      </c>
      <c r="G349" s="51">
        <f t="shared" si="254"/>
        <v>2155</v>
      </c>
      <c r="H349" s="51">
        <f t="shared" si="254"/>
        <v>3426</v>
      </c>
      <c r="I349" s="51">
        <f t="shared" si="254"/>
        <v>4885</v>
      </c>
      <c r="J349" s="51">
        <f t="shared" si="254"/>
        <v>6582</v>
      </c>
      <c r="K349" s="51">
        <f t="shared" si="254"/>
        <v>8689</v>
      </c>
      <c r="L349" s="51">
        <f t="shared" si="254"/>
        <v>11152</v>
      </c>
      <c r="M349" s="51">
        <f t="shared" si="254"/>
        <v>13797</v>
      </c>
      <c r="N349" s="51">
        <f t="shared" si="254"/>
        <v>16619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 outlineLevel="1">
      <c r="A350" s="3"/>
      <c r="B350" s="48" t="s">
        <v>272</v>
      </c>
      <c r="C350" s="49" t="s">
        <v>50</v>
      </c>
      <c r="D350" s="51">
        <f t="shared" si="255"/>
        <v>0</v>
      </c>
      <c r="E350" s="51">
        <f t="shared" ref="E350:N350" si="256">D356</f>
        <v>1733</v>
      </c>
      <c r="F350" s="51">
        <f t="shared" si="256"/>
        <v>4203</v>
      </c>
      <c r="G350" s="51">
        <f t="shared" si="256"/>
        <v>7733</v>
      </c>
      <c r="H350" s="51">
        <f t="shared" si="256"/>
        <v>12291</v>
      </c>
      <c r="I350" s="51">
        <f t="shared" si="256"/>
        <v>17527</v>
      </c>
      <c r="J350" s="51">
        <f t="shared" si="256"/>
        <v>23615</v>
      </c>
      <c r="K350" s="51">
        <f t="shared" si="256"/>
        <v>31174</v>
      </c>
      <c r="L350" s="51">
        <f t="shared" si="256"/>
        <v>40011</v>
      </c>
      <c r="M350" s="51">
        <f t="shared" si="256"/>
        <v>49502</v>
      </c>
      <c r="N350" s="51">
        <f t="shared" si="256"/>
        <v>59627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 outlineLevel="1">
      <c r="A351" s="3"/>
      <c r="B351" s="48" t="s">
        <v>273</v>
      </c>
      <c r="C351" s="49" t="s">
        <v>50</v>
      </c>
      <c r="D351" s="51">
        <f>$D$340</f>
        <v>483</v>
      </c>
      <c r="E351" s="51">
        <f t="shared" ref="E351:N351" si="257">ROUND(D351*(1+E331),0)</f>
        <v>725</v>
      </c>
      <c r="F351" s="51">
        <f t="shared" si="257"/>
        <v>1051</v>
      </c>
      <c r="G351" s="51">
        <f t="shared" si="257"/>
        <v>1377</v>
      </c>
      <c r="H351" s="51">
        <f t="shared" si="257"/>
        <v>1611</v>
      </c>
      <c r="I351" s="51">
        <f t="shared" si="257"/>
        <v>1901</v>
      </c>
      <c r="J351" s="51">
        <f t="shared" si="257"/>
        <v>2376</v>
      </c>
      <c r="K351" s="51">
        <f t="shared" si="257"/>
        <v>2808</v>
      </c>
      <c r="L351" s="51">
        <f t="shared" si="257"/>
        <v>3072</v>
      </c>
      <c r="M351" s="51">
        <f t="shared" si="257"/>
        <v>3336</v>
      </c>
      <c r="N351" s="51">
        <f t="shared" si="257"/>
        <v>3600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 outlineLevel="1">
      <c r="A352" s="3"/>
      <c r="B352" s="48" t="s">
        <v>274</v>
      </c>
      <c r="C352" s="49" t="s">
        <v>50</v>
      </c>
      <c r="D352" s="51">
        <f>$D$341</f>
        <v>1733</v>
      </c>
      <c r="E352" s="51">
        <f t="shared" ref="E352:N352" si="258">ROUND(D352*(1+E332),0)</f>
        <v>2600</v>
      </c>
      <c r="F352" s="51">
        <f t="shared" si="258"/>
        <v>3770</v>
      </c>
      <c r="G352" s="51">
        <f t="shared" si="258"/>
        <v>4939</v>
      </c>
      <c r="H352" s="51">
        <f t="shared" si="258"/>
        <v>5779</v>
      </c>
      <c r="I352" s="51">
        <f t="shared" si="258"/>
        <v>6819</v>
      </c>
      <c r="J352" s="51">
        <f t="shared" si="258"/>
        <v>8524</v>
      </c>
      <c r="K352" s="51">
        <f t="shared" si="258"/>
        <v>10075</v>
      </c>
      <c r="L352" s="51">
        <f t="shared" si="258"/>
        <v>11022</v>
      </c>
      <c r="M352" s="51">
        <f t="shared" si="258"/>
        <v>11970</v>
      </c>
      <c r="N352" s="51">
        <f t="shared" si="258"/>
        <v>12916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 outlineLevel="1">
      <c r="A353" s="3"/>
      <c r="B353" s="48" t="s">
        <v>275</v>
      </c>
      <c r="C353" s="49" t="s">
        <v>50</v>
      </c>
      <c r="D353" s="51">
        <f t="shared" ref="D353:N353" si="259">-ROUNDUP((D349+D351)*D10,0)</f>
        <v>0</v>
      </c>
      <c r="E353" s="51">
        <f t="shared" si="259"/>
        <v>-37</v>
      </c>
      <c r="F353" s="51">
        <f t="shared" si="259"/>
        <v>-67</v>
      </c>
      <c r="G353" s="51">
        <f t="shared" si="259"/>
        <v>-106</v>
      </c>
      <c r="H353" s="51">
        <f t="shared" si="259"/>
        <v>-152</v>
      </c>
      <c r="I353" s="51">
        <f t="shared" si="259"/>
        <v>-204</v>
      </c>
      <c r="J353" s="51">
        <f t="shared" si="259"/>
        <v>-269</v>
      </c>
      <c r="K353" s="51">
        <f t="shared" si="259"/>
        <v>-345</v>
      </c>
      <c r="L353" s="51">
        <f t="shared" si="259"/>
        <v>-427</v>
      </c>
      <c r="M353" s="51">
        <f t="shared" si="259"/>
        <v>-514</v>
      </c>
      <c r="N353" s="51">
        <f t="shared" si="259"/>
        <v>-607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 outlineLevel="1">
      <c r="A354" s="3"/>
      <c r="B354" s="48" t="s">
        <v>276</v>
      </c>
      <c r="C354" s="49" t="s">
        <v>50</v>
      </c>
      <c r="D354" s="51">
        <f t="shared" ref="D354:N354" si="260">-ROUNDUP((D350+D352)*D10,0)</f>
        <v>0</v>
      </c>
      <c r="E354" s="51">
        <f t="shared" si="260"/>
        <v>-130</v>
      </c>
      <c r="F354" s="51">
        <f t="shared" si="260"/>
        <v>-240</v>
      </c>
      <c r="G354" s="51">
        <f t="shared" si="260"/>
        <v>-381</v>
      </c>
      <c r="H354" s="51">
        <f t="shared" si="260"/>
        <v>-543</v>
      </c>
      <c r="I354" s="51">
        <f t="shared" si="260"/>
        <v>-731</v>
      </c>
      <c r="J354" s="51">
        <f t="shared" si="260"/>
        <v>-965</v>
      </c>
      <c r="K354" s="51">
        <f t="shared" si="260"/>
        <v>-1238</v>
      </c>
      <c r="L354" s="51">
        <f t="shared" si="260"/>
        <v>-1531</v>
      </c>
      <c r="M354" s="51">
        <f t="shared" si="260"/>
        <v>-1845</v>
      </c>
      <c r="N354" s="51">
        <f t="shared" si="260"/>
        <v>-2177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 outlineLevel="1">
      <c r="A355" s="3"/>
      <c r="B355" s="48" t="s">
        <v>277</v>
      </c>
      <c r="C355" s="49" t="s">
        <v>50</v>
      </c>
      <c r="D355" s="51">
        <f t="shared" ref="D355:N355" si="261">D349+D351+D353</f>
        <v>483</v>
      </c>
      <c r="E355" s="51">
        <f t="shared" si="261"/>
        <v>1171</v>
      </c>
      <c r="F355" s="51">
        <f t="shared" si="261"/>
        <v>2155</v>
      </c>
      <c r="G355" s="51">
        <f t="shared" si="261"/>
        <v>3426</v>
      </c>
      <c r="H355" s="51">
        <f t="shared" si="261"/>
        <v>4885</v>
      </c>
      <c r="I355" s="51">
        <f t="shared" si="261"/>
        <v>6582</v>
      </c>
      <c r="J355" s="51">
        <f t="shared" si="261"/>
        <v>8689</v>
      </c>
      <c r="K355" s="51">
        <f t="shared" si="261"/>
        <v>11152</v>
      </c>
      <c r="L355" s="51">
        <f t="shared" si="261"/>
        <v>13797</v>
      </c>
      <c r="M355" s="51">
        <f t="shared" si="261"/>
        <v>16619</v>
      </c>
      <c r="N355" s="51">
        <f t="shared" si="261"/>
        <v>19612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 outlineLevel="1">
      <c r="A356" s="3"/>
      <c r="B356" s="48" t="s">
        <v>278</v>
      </c>
      <c r="C356" s="49" t="s">
        <v>50</v>
      </c>
      <c r="D356" s="51">
        <f t="shared" ref="D356:N356" si="262">D350+D352+D354</f>
        <v>1733</v>
      </c>
      <c r="E356" s="51">
        <f t="shared" si="262"/>
        <v>4203</v>
      </c>
      <c r="F356" s="51">
        <f t="shared" si="262"/>
        <v>7733</v>
      </c>
      <c r="G356" s="51">
        <f t="shared" si="262"/>
        <v>12291</v>
      </c>
      <c r="H356" s="51">
        <f t="shared" si="262"/>
        <v>17527</v>
      </c>
      <c r="I356" s="51">
        <f t="shared" si="262"/>
        <v>23615</v>
      </c>
      <c r="J356" s="51">
        <f t="shared" si="262"/>
        <v>31174</v>
      </c>
      <c r="K356" s="51">
        <f t="shared" si="262"/>
        <v>40011</v>
      </c>
      <c r="L356" s="51">
        <f t="shared" si="262"/>
        <v>49502</v>
      </c>
      <c r="M356" s="51">
        <f t="shared" si="262"/>
        <v>59627</v>
      </c>
      <c r="N356" s="51">
        <f t="shared" si="262"/>
        <v>70366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 outlineLevel="1">
      <c r="A357" s="3"/>
      <c r="B357" s="48" t="s">
        <v>279</v>
      </c>
      <c r="C357" s="49" t="s">
        <v>50</v>
      </c>
      <c r="D357" s="51">
        <f t="shared" ref="D357:N357" si="263">(D349+D355)/2</f>
        <v>241.5</v>
      </c>
      <c r="E357" s="51">
        <f t="shared" si="263"/>
        <v>827</v>
      </c>
      <c r="F357" s="51">
        <f t="shared" si="263"/>
        <v>1663</v>
      </c>
      <c r="G357" s="51">
        <f t="shared" si="263"/>
        <v>2790.5</v>
      </c>
      <c r="H357" s="51">
        <f t="shared" si="263"/>
        <v>4155.5</v>
      </c>
      <c r="I357" s="51">
        <f t="shared" si="263"/>
        <v>5733.5</v>
      </c>
      <c r="J357" s="51">
        <f t="shared" si="263"/>
        <v>7635.5</v>
      </c>
      <c r="K357" s="51">
        <f t="shared" si="263"/>
        <v>9920.5</v>
      </c>
      <c r="L357" s="51">
        <f t="shared" si="263"/>
        <v>12474.5</v>
      </c>
      <c r="M357" s="51">
        <f t="shared" si="263"/>
        <v>15208</v>
      </c>
      <c r="N357" s="51">
        <f t="shared" si="263"/>
        <v>18115.5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 outlineLevel="1">
      <c r="A358" s="3"/>
      <c r="B358" s="48" t="s">
        <v>280</v>
      </c>
      <c r="C358" s="49" t="s">
        <v>50</v>
      </c>
      <c r="D358" s="51">
        <f t="shared" ref="D358:N358" si="264">(D350+D356)/2</f>
        <v>866.5</v>
      </c>
      <c r="E358" s="51">
        <f t="shared" si="264"/>
        <v>2968</v>
      </c>
      <c r="F358" s="51">
        <f t="shared" si="264"/>
        <v>5968</v>
      </c>
      <c r="G358" s="51">
        <f t="shared" si="264"/>
        <v>10012</v>
      </c>
      <c r="H358" s="51">
        <f t="shared" si="264"/>
        <v>14909</v>
      </c>
      <c r="I358" s="51">
        <f t="shared" si="264"/>
        <v>20571</v>
      </c>
      <c r="J358" s="51">
        <f t="shared" si="264"/>
        <v>27394.5</v>
      </c>
      <c r="K358" s="51">
        <f t="shared" si="264"/>
        <v>35592.5</v>
      </c>
      <c r="L358" s="51">
        <f t="shared" si="264"/>
        <v>44756.5</v>
      </c>
      <c r="M358" s="51">
        <f t="shared" si="264"/>
        <v>54564.5</v>
      </c>
      <c r="N358" s="51">
        <f t="shared" si="264"/>
        <v>64996.5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 outlineLevel="1">
      <c r="A359" s="3"/>
      <c r="B359" s="48" t="s">
        <v>281</v>
      </c>
      <c r="C359" s="49" t="s">
        <v>50</v>
      </c>
      <c r="D359" s="51">
        <f>$D$342</f>
        <v>240</v>
      </c>
      <c r="E359" s="51">
        <f t="shared" ref="E359:N359" si="265">ROUND(D359*(1+E333),0)</f>
        <v>384</v>
      </c>
      <c r="F359" s="51">
        <f t="shared" si="265"/>
        <v>614</v>
      </c>
      <c r="G359" s="51">
        <f t="shared" si="265"/>
        <v>860</v>
      </c>
      <c r="H359" s="51">
        <f t="shared" si="265"/>
        <v>1075</v>
      </c>
      <c r="I359" s="51">
        <f t="shared" si="265"/>
        <v>1290</v>
      </c>
      <c r="J359" s="51">
        <f t="shared" si="265"/>
        <v>1613</v>
      </c>
      <c r="K359" s="51">
        <f t="shared" si="265"/>
        <v>1936</v>
      </c>
      <c r="L359" s="51">
        <f t="shared" si="265"/>
        <v>2151</v>
      </c>
      <c r="M359" s="51">
        <f t="shared" si="265"/>
        <v>2366</v>
      </c>
      <c r="N359" s="51">
        <f t="shared" si="265"/>
        <v>2581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 outlineLevel="1">
      <c r="A360" s="3"/>
      <c r="B360" s="48" t="s">
        <v>282</v>
      </c>
      <c r="C360" s="49" t="s">
        <v>50</v>
      </c>
      <c r="D360" s="51">
        <f>$D$343</f>
        <v>960</v>
      </c>
      <c r="E360" s="51">
        <f t="shared" ref="E360:N360" si="266">ROUND(D360*(1+E334),0)</f>
        <v>1536</v>
      </c>
      <c r="F360" s="51">
        <f t="shared" si="266"/>
        <v>2458</v>
      </c>
      <c r="G360" s="51">
        <f t="shared" si="266"/>
        <v>3441</v>
      </c>
      <c r="H360" s="51">
        <f t="shared" si="266"/>
        <v>4301</v>
      </c>
      <c r="I360" s="51">
        <f t="shared" si="266"/>
        <v>5161</v>
      </c>
      <c r="J360" s="51">
        <f t="shared" si="266"/>
        <v>6451</v>
      </c>
      <c r="K360" s="51">
        <f t="shared" si="266"/>
        <v>7741</v>
      </c>
      <c r="L360" s="51">
        <f t="shared" si="266"/>
        <v>8600</v>
      </c>
      <c r="M360" s="51">
        <f t="shared" si="266"/>
        <v>9460</v>
      </c>
      <c r="N360" s="51">
        <f t="shared" si="266"/>
        <v>10320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 outlineLevel="1">
      <c r="A361" s="3"/>
      <c r="B361" s="48" t="s">
        <v>283</v>
      </c>
      <c r="C361" s="49" t="s">
        <v>50</v>
      </c>
      <c r="D361" s="51">
        <f t="shared" ref="D361:D362" si="268">D359</f>
        <v>240</v>
      </c>
      <c r="E361" s="51">
        <f t="shared" ref="E361:N361" si="267">D361+E359</f>
        <v>624</v>
      </c>
      <c r="F361" s="51">
        <f t="shared" si="267"/>
        <v>1238</v>
      </c>
      <c r="G361" s="51">
        <f t="shared" si="267"/>
        <v>2098</v>
      </c>
      <c r="H361" s="51">
        <f t="shared" si="267"/>
        <v>3173</v>
      </c>
      <c r="I361" s="51">
        <f t="shared" si="267"/>
        <v>4463</v>
      </c>
      <c r="J361" s="51">
        <f t="shared" si="267"/>
        <v>6076</v>
      </c>
      <c r="K361" s="51">
        <f t="shared" si="267"/>
        <v>8012</v>
      </c>
      <c r="L361" s="51">
        <f t="shared" si="267"/>
        <v>10163</v>
      </c>
      <c r="M361" s="51">
        <f t="shared" si="267"/>
        <v>12529</v>
      </c>
      <c r="N361" s="51">
        <f t="shared" si="267"/>
        <v>15110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 outlineLevel="1">
      <c r="A362" s="3"/>
      <c r="B362" s="48" t="s">
        <v>284</v>
      </c>
      <c r="C362" s="49" t="s">
        <v>50</v>
      </c>
      <c r="D362" s="51">
        <f t="shared" si="268"/>
        <v>960</v>
      </c>
      <c r="E362" s="51">
        <f t="shared" ref="E362:N362" si="269">D362+E360</f>
        <v>2496</v>
      </c>
      <c r="F362" s="51">
        <f t="shared" si="269"/>
        <v>4954</v>
      </c>
      <c r="G362" s="51">
        <f t="shared" si="269"/>
        <v>8395</v>
      </c>
      <c r="H362" s="51">
        <f t="shared" si="269"/>
        <v>12696</v>
      </c>
      <c r="I362" s="51">
        <f t="shared" si="269"/>
        <v>17857</v>
      </c>
      <c r="J362" s="51">
        <f t="shared" si="269"/>
        <v>24308</v>
      </c>
      <c r="K362" s="51">
        <f t="shared" si="269"/>
        <v>32049</v>
      </c>
      <c r="L362" s="51">
        <f t="shared" si="269"/>
        <v>40649</v>
      </c>
      <c r="M362" s="51">
        <f t="shared" si="269"/>
        <v>50109</v>
      </c>
      <c r="N362" s="51">
        <f t="shared" si="269"/>
        <v>60429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 outlineLevel="1">
      <c r="A363" s="3"/>
      <c r="B363" s="48" t="s">
        <v>285</v>
      </c>
      <c r="C363" s="49" t="s">
        <v>50</v>
      </c>
      <c r="D363" s="51">
        <f>$D$344</f>
        <v>40</v>
      </c>
      <c r="E363" s="51">
        <f t="shared" ref="E363:N363" si="270">ROUND(D363*(1+E335),0)</f>
        <v>56</v>
      </c>
      <c r="F363" s="51">
        <f t="shared" si="270"/>
        <v>73</v>
      </c>
      <c r="G363" s="51">
        <f t="shared" si="270"/>
        <v>95</v>
      </c>
      <c r="H363" s="51">
        <f t="shared" si="270"/>
        <v>124</v>
      </c>
      <c r="I363" s="51">
        <f t="shared" si="270"/>
        <v>161</v>
      </c>
      <c r="J363" s="51">
        <f t="shared" si="270"/>
        <v>209</v>
      </c>
      <c r="K363" s="51">
        <f t="shared" si="270"/>
        <v>272</v>
      </c>
      <c r="L363" s="51">
        <f t="shared" si="270"/>
        <v>354</v>
      </c>
      <c r="M363" s="51">
        <f t="shared" si="270"/>
        <v>460</v>
      </c>
      <c r="N363" s="51">
        <f t="shared" si="270"/>
        <v>598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 outlineLevel="1">
      <c r="A364" s="3"/>
      <c r="B364" s="48" t="s">
        <v>286</v>
      </c>
      <c r="C364" s="49" t="s">
        <v>50</v>
      </c>
      <c r="D364" s="51">
        <f>$D$345</f>
        <v>160</v>
      </c>
      <c r="E364" s="51">
        <f t="shared" ref="E364:N364" si="271">ROUND(D364*(1+E336),0)</f>
        <v>224</v>
      </c>
      <c r="F364" s="51">
        <f t="shared" si="271"/>
        <v>291</v>
      </c>
      <c r="G364" s="51">
        <f t="shared" si="271"/>
        <v>378</v>
      </c>
      <c r="H364" s="51">
        <f t="shared" si="271"/>
        <v>491</v>
      </c>
      <c r="I364" s="51">
        <f t="shared" si="271"/>
        <v>638</v>
      </c>
      <c r="J364" s="51">
        <f t="shared" si="271"/>
        <v>829</v>
      </c>
      <c r="K364" s="51">
        <f t="shared" si="271"/>
        <v>1078</v>
      </c>
      <c r="L364" s="51">
        <f t="shared" si="271"/>
        <v>1401</v>
      </c>
      <c r="M364" s="51">
        <f t="shared" si="271"/>
        <v>1821</v>
      </c>
      <c r="N364" s="51">
        <f t="shared" si="271"/>
        <v>2367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 outlineLevel="1">
      <c r="A365" s="3"/>
      <c r="B365" s="48" t="s">
        <v>287</v>
      </c>
      <c r="C365" s="49" t="s">
        <v>50</v>
      </c>
      <c r="D365" s="51">
        <f t="shared" ref="D365:D366" si="273">D363</f>
        <v>40</v>
      </c>
      <c r="E365" s="51">
        <f t="shared" ref="E365:N365" si="272">D365+E363</f>
        <v>96</v>
      </c>
      <c r="F365" s="51">
        <f t="shared" si="272"/>
        <v>169</v>
      </c>
      <c r="G365" s="51">
        <f t="shared" si="272"/>
        <v>264</v>
      </c>
      <c r="H365" s="51">
        <f t="shared" si="272"/>
        <v>388</v>
      </c>
      <c r="I365" s="51">
        <f t="shared" si="272"/>
        <v>549</v>
      </c>
      <c r="J365" s="51">
        <f t="shared" si="272"/>
        <v>758</v>
      </c>
      <c r="K365" s="51">
        <f t="shared" si="272"/>
        <v>1030</v>
      </c>
      <c r="L365" s="51">
        <f t="shared" si="272"/>
        <v>1384</v>
      </c>
      <c r="M365" s="51">
        <f t="shared" si="272"/>
        <v>1844</v>
      </c>
      <c r="N365" s="51">
        <f t="shared" si="272"/>
        <v>2442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 outlineLevel="1">
      <c r="A366" s="3"/>
      <c r="B366" s="48" t="s">
        <v>288</v>
      </c>
      <c r="C366" s="49" t="s">
        <v>50</v>
      </c>
      <c r="D366" s="51">
        <f t="shared" si="273"/>
        <v>160</v>
      </c>
      <c r="E366" s="51">
        <f t="shared" ref="E366:N366" si="274">D366+E364</f>
        <v>384</v>
      </c>
      <c r="F366" s="51">
        <f t="shared" si="274"/>
        <v>675</v>
      </c>
      <c r="G366" s="51">
        <f t="shared" si="274"/>
        <v>1053</v>
      </c>
      <c r="H366" s="51">
        <f t="shared" si="274"/>
        <v>1544</v>
      </c>
      <c r="I366" s="51">
        <f t="shared" si="274"/>
        <v>2182</v>
      </c>
      <c r="J366" s="51">
        <f t="shared" si="274"/>
        <v>3011</v>
      </c>
      <c r="K366" s="51">
        <f t="shared" si="274"/>
        <v>4089</v>
      </c>
      <c r="L366" s="51">
        <f t="shared" si="274"/>
        <v>5490</v>
      </c>
      <c r="M366" s="51">
        <f t="shared" si="274"/>
        <v>7311</v>
      </c>
      <c r="N366" s="51">
        <f t="shared" si="274"/>
        <v>9678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 outlineLevel="1">
      <c r="A367" s="3"/>
      <c r="B367" s="48" t="s">
        <v>289</v>
      </c>
      <c r="C367" s="49" t="s">
        <v>50</v>
      </c>
      <c r="D367" s="51">
        <f t="shared" ref="D367:D368" si="276">D363</f>
        <v>40</v>
      </c>
      <c r="E367" s="51">
        <f t="shared" ref="E367:E368" si="277">D363+E363</f>
        <v>96</v>
      </c>
      <c r="F367" s="51">
        <f t="shared" ref="F367:N367" si="275">D363+E363+F363</f>
        <v>169</v>
      </c>
      <c r="G367" s="51">
        <f t="shared" si="275"/>
        <v>224</v>
      </c>
      <c r="H367" s="51">
        <f t="shared" si="275"/>
        <v>292</v>
      </c>
      <c r="I367" s="51">
        <f t="shared" si="275"/>
        <v>380</v>
      </c>
      <c r="J367" s="51">
        <f t="shared" si="275"/>
        <v>494</v>
      </c>
      <c r="K367" s="51">
        <f t="shared" si="275"/>
        <v>642</v>
      </c>
      <c r="L367" s="51">
        <f t="shared" si="275"/>
        <v>835</v>
      </c>
      <c r="M367" s="51">
        <f t="shared" si="275"/>
        <v>1086</v>
      </c>
      <c r="N367" s="51">
        <f t="shared" si="275"/>
        <v>1412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 outlineLevel="1">
      <c r="A368" s="3"/>
      <c r="B368" s="48" t="s">
        <v>290</v>
      </c>
      <c r="C368" s="49" t="s">
        <v>50</v>
      </c>
      <c r="D368" s="51">
        <f t="shared" si="276"/>
        <v>160</v>
      </c>
      <c r="E368" s="51">
        <f t="shared" si="277"/>
        <v>384</v>
      </c>
      <c r="F368" s="51">
        <f t="shared" ref="F368:N368" si="278">D364+E364+F364</f>
        <v>675</v>
      </c>
      <c r="G368" s="51">
        <f t="shared" si="278"/>
        <v>893</v>
      </c>
      <c r="H368" s="51">
        <f t="shared" si="278"/>
        <v>1160</v>
      </c>
      <c r="I368" s="51">
        <f t="shared" si="278"/>
        <v>1507</v>
      </c>
      <c r="J368" s="51">
        <f t="shared" si="278"/>
        <v>1958</v>
      </c>
      <c r="K368" s="51">
        <f t="shared" si="278"/>
        <v>2545</v>
      </c>
      <c r="L368" s="51">
        <f t="shared" si="278"/>
        <v>3308</v>
      </c>
      <c r="M368" s="51">
        <f t="shared" si="278"/>
        <v>4300</v>
      </c>
      <c r="N368" s="51">
        <f t="shared" si="278"/>
        <v>5589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 outlineLevel="1">
      <c r="A369" s="3"/>
      <c r="B369" s="48" t="s">
        <v>291</v>
      </c>
      <c r="C369" s="49" t="s">
        <v>50</v>
      </c>
      <c r="D369" s="51">
        <f>$D$346</f>
        <v>0</v>
      </c>
      <c r="E369" s="51">
        <f t="shared" ref="E369:N369" si="279">ROUND(D369*(1+E337),0)</f>
        <v>0</v>
      </c>
      <c r="F369" s="51">
        <f t="shared" si="279"/>
        <v>0</v>
      </c>
      <c r="G369" s="51">
        <f t="shared" si="279"/>
        <v>0</v>
      </c>
      <c r="H369" s="51">
        <f t="shared" si="279"/>
        <v>0</v>
      </c>
      <c r="I369" s="51">
        <f t="shared" si="279"/>
        <v>0</v>
      </c>
      <c r="J369" s="51">
        <f t="shared" si="279"/>
        <v>0</v>
      </c>
      <c r="K369" s="51">
        <f t="shared" si="279"/>
        <v>0</v>
      </c>
      <c r="L369" s="51">
        <f t="shared" si="279"/>
        <v>0</v>
      </c>
      <c r="M369" s="51">
        <f t="shared" si="279"/>
        <v>0</v>
      </c>
      <c r="N369" s="51">
        <f t="shared" si="279"/>
        <v>0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 outlineLevel="1">
      <c r="A370" s="3"/>
      <c r="B370" s="48" t="s">
        <v>292</v>
      </c>
      <c r="C370" s="49" t="s">
        <v>50</v>
      </c>
      <c r="D370" s="51">
        <f>$D$347</f>
        <v>0</v>
      </c>
      <c r="E370" s="51">
        <f t="shared" ref="E370:N370" si="280">ROUND(D370*(1+E338),0)</f>
        <v>0</v>
      </c>
      <c r="F370" s="51">
        <f t="shared" si="280"/>
        <v>0</v>
      </c>
      <c r="G370" s="51">
        <f t="shared" si="280"/>
        <v>0</v>
      </c>
      <c r="H370" s="51">
        <f t="shared" si="280"/>
        <v>0</v>
      </c>
      <c r="I370" s="51">
        <f t="shared" si="280"/>
        <v>0</v>
      </c>
      <c r="J370" s="51">
        <f t="shared" si="280"/>
        <v>0</v>
      </c>
      <c r="K370" s="51">
        <f t="shared" si="280"/>
        <v>0</v>
      </c>
      <c r="L370" s="51">
        <f t="shared" si="280"/>
        <v>0</v>
      </c>
      <c r="M370" s="51">
        <f t="shared" si="280"/>
        <v>0</v>
      </c>
      <c r="N370" s="51">
        <f t="shared" si="280"/>
        <v>0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 outlineLevel="1">
      <c r="A371" s="3"/>
      <c r="B371" s="48" t="s">
        <v>293</v>
      </c>
      <c r="C371" s="49" t="s">
        <v>50</v>
      </c>
      <c r="D371" s="51">
        <f t="shared" ref="D371:N371" si="281">D355+D361+D367+D369</f>
        <v>763</v>
      </c>
      <c r="E371" s="51">
        <f t="shared" si="281"/>
        <v>1891</v>
      </c>
      <c r="F371" s="51">
        <f t="shared" si="281"/>
        <v>3562</v>
      </c>
      <c r="G371" s="51">
        <f t="shared" si="281"/>
        <v>5748</v>
      </c>
      <c r="H371" s="51">
        <f t="shared" si="281"/>
        <v>8350</v>
      </c>
      <c r="I371" s="51">
        <f t="shared" si="281"/>
        <v>11425</v>
      </c>
      <c r="J371" s="51">
        <f t="shared" si="281"/>
        <v>15259</v>
      </c>
      <c r="K371" s="51">
        <f t="shared" si="281"/>
        <v>19806</v>
      </c>
      <c r="L371" s="51">
        <f t="shared" si="281"/>
        <v>24795</v>
      </c>
      <c r="M371" s="51">
        <f t="shared" si="281"/>
        <v>30234</v>
      </c>
      <c r="N371" s="51">
        <f t="shared" si="281"/>
        <v>36134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 outlineLevel="1">
      <c r="A372" s="3"/>
      <c r="B372" s="48" t="s">
        <v>294</v>
      </c>
      <c r="C372" s="49" t="s">
        <v>50</v>
      </c>
      <c r="D372" s="51">
        <f t="shared" ref="D372:N372" si="282">D356+D362+D368+D370</f>
        <v>2853</v>
      </c>
      <c r="E372" s="51">
        <f t="shared" si="282"/>
        <v>7083</v>
      </c>
      <c r="F372" s="51">
        <f t="shared" si="282"/>
        <v>13362</v>
      </c>
      <c r="G372" s="51">
        <f t="shared" si="282"/>
        <v>21579</v>
      </c>
      <c r="H372" s="51">
        <f t="shared" si="282"/>
        <v>31383</v>
      </c>
      <c r="I372" s="51">
        <f t="shared" si="282"/>
        <v>42979</v>
      </c>
      <c r="J372" s="51">
        <f t="shared" si="282"/>
        <v>57440</v>
      </c>
      <c r="K372" s="51">
        <f t="shared" si="282"/>
        <v>74605</v>
      </c>
      <c r="L372" s="51">
        <f t="shared" si="282"/>
        <v>93459</v>
      </c>
      <c r="M372" s="51">
        <f t="shared" si="282"/>
        <v>114036</v>
      </c>
      <c r="N372" s="51">
        <f t="shared" si="282"/>
        <v>136384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 outlineLevel="1">
      <c r="A373" s="3"/>
      <c r="B373" s="48" t="s">
        <v>295</v>
      </c>
      <c r="C373" s="49" t="s">
        <v>50</v>
      </c>
      <c r="D373" s="51">
        <f t="shared" ref="D373:N373" si="283">D371+D372</f>
        <v>3616</v>
      </c>
      <c r="E373" s="51">
        <f t="shared" si="283"/>
        <v>8974</v>
      </c>
      <c r="F373" s="51">
        <f t="shared" si="283"/>
        <v>16924</v>
      </c>
      <c r="G373" s="51">
        <f t="shared" si="283"/>
        <v>27327</v>
      </c>
      <c r="H373" s="51">
        <f t="shared" si="283"/>
        <v>39733</v>
      </c>
      <c r="I373" s="51">
        <f t="shared" si="283"/>
        <v>54404</v>
      </c>
      <c r="J373" s="51">
        <f t="shared" si="283"/>
        <v>72699</v>
      </c>
      <c r="K373" s="51">
        <f t="shared" si="283"/>
        <v>94411</v>
      </c>
      <c r="L373" s="51">
        <f t="shared" si="283"/>
        <v>118254</v>
      </c>
      <c r="M373" s="51">
        <f t="shared" si="283"/>
        <v>144270</v>
      </c>
      <c r="N373" s="51">
        <f t="shared" si="283"/>
        <v>172518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 outlineLevel="1">
      <c r="A374" s="3"/>
      <c r="B374" s="48" t="s">
        <v>296</v>
      </c>
      <c r="C374" s="49" t="s">
        <v>50</v>
      </c>
      <c r="D374" s="51">
        <f t="shared" ref="D374:N374" si="284">D351+D359+D363+D369</f>
        <v>763</v>
      </c>
      <c r="E374" s="51">
        <f t="shared" si="284"/>
        <v>1165</v>
      </c>
      <c r="F374" s="51">
        <f t="shared" si="284"/>
        <v>1738</v>
      </c>
      <c r="G374" s="51">
        <f t="shared" si="284"/>
        <v>2332</v>
      </c>
      <c r="H374" s="51">
        <f t="shared" si="284"/>
        <v>2810</v>
      </c>
      <c r="I374" s="51">
        <f t="shared" si="284"/>
        <v>3352</v>
      </c>
      <c r="J374" s="51">
        <f t="shared" si="284"/>
        <v>4198</v>
      </c>
      <c r="K374" s="51">
        <f t="shared" si="284"/>
        <v>5016</v>
      </c>
      <c r="L374" s="51">
        <f t="shared" si="284"/>
        <v>5577</v>
      </c>
      <c r="M374" s="51">
        <f t="shared" si="284"/>
        <v>6162</v>
      </c>
      <c r="N374" s="51">
        <f t="shared" si="284"/>
        <v>6779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 outlineLevel="1">
      <c r="A375" s="3"/>
      <c r="B375" s="48" t="s">
        <v>297</v>
      </c>
      <c r="C375" s="49" t="s">
        <v>50</v>
      </c>
      <c r="D375" s="51">
        <f t="shared" ref="D375:N375" si="285">D352+D360+D364+D370</f>
        <v>2853</v>
      </c>
      <c r="E375" s="51">
        <f t="shared" si="285"/>
        <v>4360</v>
      </c>
      <c r="F375" s="51">
        <f t="shared" si="285"/>
        <v>6519</v>
      </c>
      <c r="G375" s="51">
        <f t="shared" si="285"/>
        <v>8758</v>
      </c>
      <c r="H375" s="51">
        <f t="shared" si="285"/>
        <v>10571</v>
      </c>
      <c r="I375" s="51">
        <f t="shared" si="285"/>
        <v>12618</v>
      </c>
      <c r="J375" s="51">
        <f t="shared" si="285"/>
        <v>15804</v>
      </c>
      <c r="K375" s="51">
        <f t="shared" si="285"/>
        <v>18894</v>
      </c>
      <c r="L375" s="51">
        <f t="shared" si="285"/>
        <v>21023</v>
      </c>
      <c r="M375" s="51">
        <f t="shared" si="285"/>
        <v>23251</v>
      </c>
      <c r="N375" s="51">
        <f t="shared" si="285"/>
        <v>25603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 outlineLevel="1">
      <c r="A376" s="3"/>
      <c r="B376" s="48" t="s">
        <v>298</v>
      </c>
      <c r="C376" s="49" t="s">
        <v>50</v>
      </c>
      <c r="D376" s="51">
        <f t="shared" ref="D376:N376" si="286">D374+D375</f>
        <v>3616</v>
      </c>
      <c r="E376" s="51">
        <f t="shared" si="286"/>
        <v>5525</v>
      </c>
      <c r="F376" s="51">
        <f t="shared" si="286"/>
        <v>8257</v>
      </c>
      <c r="G376" s="51">
        <f t="shared" si="286"/>
        <v>11090</v>
      </c>
      <c r="H376" s="51">
        <f t="shared" si="286"/>
        <v>13381</v>
      </c>
      <c r="I376" s="51">
        <f t="shared" si="286"/>
        <v>15970</v>
      </c>
      <c r="J376" s="51">
        <f t="shared" si="286"/>
        <v>20002</v>
      </c>
      <c r="K376" s="51">
        <f t="shared" si="286"/>
        <v>23910</v>
      </c>
      <c r="L376" s="51">
        <f t="shared" si="286"/>
        <v>26600</v>
      </c>
      <c r="M376" s="51">
        <f t="shared" si="286"/>
        <v>29413</v>
      </c>
      <c r="N376" s="51">
        <f t="shared" si="286"/>
        <v>32382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 outlineLevel="1">
      <c r="A377" s="3"/>
      <c r="B377" s="48"/>
      <c r="C377" s="49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 outlineLevel="1">
      <c r="A378" s="3"/>
      <c r="B378" s="46" t="s">
        <v>299</v>
      </c>
      <c r="C378" s="46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 outlineLevel="1">
      <c r="A379" s="3"/>
      <c r="B379" s="48" t="s">
        <v>300</v>
      </c>
      <c r="C379" s="49" t="s">
        <v>301</v>
      </c>
      <c r="D379" s="51">
        <f t="shared" ref="D379:N379" si="287">D30</f>
        <v>196.4285714</v>
      </c>
      <c r="E379" s="51">
        <f t="shared" si="287"/>
        <v>196.4285714</v>
      </c>
      <c r="F379" s="51">
        <f t="shared" si="287"/>
        <v>196.4285714</v>
      </c>
      <c r="G379" s="51">
        <f t="shared" si="287"/>
        <v>196.4285714</v>
      </c>
      <c r="H379" s="51">
        <f t="shared" si="287"/>
        <v>196.4285714</v>
      </c>
      <c r="I379" s="51">
        <f t="shared" si="287"/>
        <v>196.4285714</v>
      </c>
      <c r="J379" s="51">
        <f t="shared" si="287"/>
        <v>196.4285714</v>
      </c>
      <c r="K379" s="51">
        <f t="shared" si="287"/>
        <v>196.4285714</v>
      </c>
      <c r="L379" s="51">
        <f t="shared" si="287"/>
        <v>196.4285714</v>
      </c>
      <c r="M379" s="51">
        <f t="shared" si="287"/>
        <v>196.4285714</v>
      </c>
      <c r="N379" s="51">
        <f t="shared" si="287"/>
        <v>196.4285714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 outlineLevel="1">
      <c r="A380" s="3"/>
      <c r="B380" s="48" t="s">
        <v>302</v>
      </c>
      <c r="C380" s="49" t="s">
        <v>303</v>
      </c>
      <c r="D380" s="51">
        <f t="shared" ref="D380:N380" si="288">D31</f>
        <v>245.5357143</v>
      </c>
      <c r="E380" s="51">
        <f t="shared" si="288"/>
        <v>245.5357143</v>
      </c>
      <c r="F380" s="51">
        <f t="shared" si="288"/>
        <v>245.5357143</v>
      </c>
      <c r="G380" s="51">
        <f t="shared" si="288"/>
        <v>245.5357143</v>
      </c>
      <c r="H380" s="51">
        <f t="shared" si="288"/>
        <v>245.5357143</v>
      </c>
      <c r="I380" s="51">
        <f t="shared" si="288"/>
        <v>245.5357143</v>
      </c>
      <c r="J380" s="51">
        <f t="shared" si="288"/>
        <v>245.5357143</v>
      </c>
      <c r="K380" s="51">
        <f t="shared" si="288"/>
        <v>245.5357143</v>
      </c>
      <c r="L380" s="51">
        <f t="shared" si="288"/>
        <v>245.5357143</v>
      </c>
      <c r="M380" s="51">
        <f t="shared" si="288"/>
        <v>245.5357143</v>
      </c>
      <c r="N380" s="51">
        <f t="shared" si="288"/>
        <v>245.5357143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 outlineLevel="1">
      <c r="A381" s="3"/>
      <c r="B381" s="48" t="s">
        <v>304</v>
      </c>
      <c r="C381" s="49" t="s">
        <v>305</v>
      </c>
      <c r="D381" s="51">
        <f>D379*30-'Energy Drivers (RideBox)'!D135</f>
        <v>3437.5</v>
      </c>
      <c r="E381" s="51">
        <f>E379*30-'Energy Drivers (RideBox)'!E135</f>
        <v>3437.5</v>
      </c>
      <c r="F381" s="51">
        <f>F379*30-'Energy Drivers (RideBox)'!F135</f>
        <v>3437.5</v>
      </c>
      <c r="G381" s="51">
        <f>G379*30-'Energy Drivers (RideBox)'!G135</f>
        <v>3437.5</v>
      </c>
      <c r="H381" s="51">
        <f>H379*30-'Energy Drivers (RideBox)'!H135</f>
        <v>3437.5</v>
      </c>
      <c r="I381" s="51">
        <f>I379*30-'Energy Drivers (RideBox)'!I135</f>
        <v>3437.5</v>
      </c>
      <c r="J381" s="51">
        <f>J379*30-'Energy Drivers (RideBox)'!J135</f>
        <v>3437.5</v>
      </c>
      <c r="K381" s="51">
        <f>K379*30-'Energy Drivers (RideBox)'!K135</f>
        <v>3437.5</v>
      </c>
      <c r="L381" s="51">
        <f>L379*30-'Energy Drivers (RideBox)'!L135</f>
        <v>3437.5</v>
      </c>
      <c r="M381" s="51">
        <f>M379*30-'Energy Drivers (RideBox)'!M135</f>
        <v>3437.5</v>
      </c>
      <c r="N381" s="51">
        <f>N379*30-'Energy Drivers (RideBox)'!N135</f>
        <v>3437.5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 outlineLevel="1">
      <c r="A382" s="3"/>
      <c r="B382" s="48" t="s">
        <v>306</v>
      </c>
      <c r="C382" s="49" t="s">
        <v>307</v>
      </c>
      <c r="D382" s="51">
        <f>D380*30-'Energy Drivers (RideBox)'!D136</f>
        <v>4910.714286</v>
      </c>
      <c r="E382" s="51">
        <f>E380*30-'Energy Drivers (RideBox)'!E136</f>
        <v>4910.714286</v>
      </c>
      <c r="F382" s="51">
        <f>F380*30-'Energy Drivers (RideBox)'!F136</f>
        <v>4910.714286</v>
      </c>
      <c r="G382" s="51">
        <f>G380*30-'Energy Drivers (RideBox)'!G136</f>
        <v>4910.714286</v>
      </c>
      <c r="H382" s="51">
        <f>H380*30-'Energy Drivers (RideBox)'!H136</f>
        <v>4910.714286</v>
      </c>
      <c r="I382" s="51">
        <f>I380*30-'Energy Drivers (RideBox)'!I136</f>
        <v>4910.714286</v>
      </c>
      <c r="J382" s="51">
        <f>J380*30-'Energy Drivers (RideBox)'!J136</f>
        <v>4910.714286</v>
      </c>
      <c r="K382" s="51">
        <f>K380*30-'Energy Drivers (RideBox)'!K136</f>
        <v>4910.714286</v>
      </c>
      <c r="L382" s="51">
        <f>L380*30-'Energy Drivers (RideBox)'!L136</f>
        <v>4910.714286</v>
      </c>
      <c r="M382" s="51">
        <f>M380*30-'Energy Drivers (RideBox)'!M136</f>
        <v>4910.714286</v>
      </c>
      <c r="N382" s="51">
        <f>N380*30-'Energy Drivers (RideBox)'!N136</f>
        <v>4910.714286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 outlineLevel="1">
      <c r="A383" s="3"/>
      <c r="B383" s="48" t="s">
        <v>308</v>
      </c>
      <c r="C383" s="49" t="s">
        <v>309</v>
      </c>
      <c r="D383" s="51">
        <f t="shared" ref="D383:N383" si="289">D23</f>
        <v>5803.571429</v>
      </c>
      <c r="E383" s="51">
        <f t="shared" si="289"/>
        <v>5803.571429</v>
      </c>
      <c r="F383" s="51">
        <f t="shared" si="289"/>
        <v>5803.571429</v>
      </c>
      <c r="G383" s="51">
        <f t="shared" si="289"/>
        <v>5803.571429</v>
      </c>
      <c r="H383" s="51">
        <f t="shared" si="289"/>
        <v>5803.571429</v>
      </c>
      <c r="I383" s="51">
        <f t="shared" si="289"/>
        <v>5803.571429</v>
      </c>
      <c r="J383" s="51">
        <f t="shared" si="289"/>
        <v>5803.571429</v>
      </c>
      <c r="K383" s="51">
        <f t="shared" si="289"/>
        <v>5803.571429</v>
      </c>
      <c r="L383" s="51">
        <f t="shared" si="289"/>
        <v>5803.571429</v>
      </c>
      <c r="M383" s="51">
        <f t="shared" si="289"/>
        <v>5803.571429</v>
      </c>
      <c r="N383" s="51">
        <f t="shared" si="289"/>
        <v>5803.571429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 outlineLevel="1">
      <c r="A384" s="3"/>
      <c r="B384" s="48" t="s">
        <v>310</v>
      </c>
      <c r="C384" s="49" t="s">
        <v>311</v>
      </c>
      <c r="D384" s="51">
        <f t="shared" ref="D384:N384" si="290">D24</f>
        <v>8035.714286</v>
      </c>
      <c r="E384" s="51">
        <f t="shared" si="290"/>
        <v>8035.714286</v>
      </c>
      <c r="F384" s="51">
        <f t="shared" si="290"/>
        <v>8035.714286</v>
      </c>
      <c r="G384" s="51">
        <f t="shared" si="290"/>
        <v>8035.714286</v>
      </c>
      <c r="H384" s="51">
        <f t="shared" si="290"/>
        <v>8035.714286</v>
      </c>
      <c r="I384" s="51">
        <f t="shared" si="290"/>
        <v>8035.714286</v>
      </c>
      <c r="J384" s="51">
        <f t="shared" si="290"/>
        <v>8035.714286</v>
      </c>
      <c r="K384" s="51">
        <f t="shared" si="290"/>
        <v>8035.714286</v>
      </c>
      <c r="L384" s="51">
        <f t="shared" si="290"/>
        <v>8035.714286</v>
      </c>
      <c r="M384" s="51">
        <f t="shared" si="290"/>
        <v>8035.714286</v>
      </c>
      <c r="N384" s="51">
        <f t="shared" si="290"/>
        <v>8035.714286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 outlineLevel="1">
      <c r="A385" s="3"/>
      <c r="B385" s="48" t="s">
        <v>312</v>
      </c>
      <c r="C385" s="49" t="s">
        <v>313</v>
      </c>
      <c r="D385" s="51">
        <v>0.0</v>
      </c>
      <c r="E385" s="51">
        <v>0.0</v>
      </c>
      <c r="F385" s="51">
        <v>0.0</v>
      </c>
      <c r="G385" s="51">
        <v>0.0</v>
      </c>
      <c r="H385" s="51">
        <v>0.0</v>
      </c>
      <c r="I385" s="51">
        <v>0.0</v>
      </c>
      <c r="J385" s="51">
        <v>0.0</v>
      </c>
      <c r="K385" s="51">
        <v>0.0</v>
      </c>
      <c r="L385" s="51">
        <v>0.0</v>
      </c>
      <c r="M385" s="51">
        <v>0.0</v>
      </c>
      <c r="N385" s="51">
        <v>0.0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 outlineLevel="1">
      <c r="A386" s="3"/>
      <c r="B386" s="48" t="s">
        <v>314</v>
      </c>
      <c r="C386" s="49" t="s">
        <v>313</v>
      </c>
      <c r="D386" s="51">
        <v>0.0</v>
      </c>
      <c r="E386" s="51">
        <v>0.0</v>
      </c>
      <c r="F386" s="51">
        <v>0.0</v>
      </c>
      <c r="G386" s="51">
        <v>0.0</v>
      </c>
      <c r="H386" s="51">
        <v>0.0</v>
      </c>
      <c r="I386" s="51">
        <v>0.0</v>
      </c>
      <c r="J386" s="51">
        <v>0.0</v>
      </c>
      <c r="K386" s="51">
        <v>0.0</v>
      </c>
      <c r="L386" s="51">
        <v>0.0</v>
      </c>
      <c r="M386" s="51">
        <v>0.0</v>
      </c>
      <c r="N386" s="51">
        <v>0.0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 outlineLevel="1">
      <c r="A387" s="3"/>
      <c r="B387" s="48" t="s">
        <v>315</v>
      </c>
      <c r="C387" s="49" t="s">
        <v>316</v>
      </c>
      <c r="D387" s="51">
        <f t="shared" ref="D387:N387" si="291">D71</f>
        <v>132829.676</v>
      </c>
      <c r="E387" s="51">
        <f t="shared" si="291"/>
        <v>132829.676</v>
      </c>
      <c r="F387" s="51">
        <f t="shared" si="291"/>
        <v>132829.676</v>
      </c>
      <c r="G387" s="51">
        <f t="shared" si="291"/>
        <v>132829.676</v>
      </c>
      <c r="H387" s="51">
        <f t="shared" si="291"/>
        <v>132829.676</v>
      </c>
      <c r="I387" s="51">
        <f t="shared" si="291"/>
        <v>132829.676</v>
      </c>
      <c r="J387" s="51">
        <f t="shared" si="291"/>
        <v>132829.676</v>
      </c>
      <c r="K387" s="51">
        <f t="shared" si="291"/>
        <v>132829.676</v>
      </c>
      <c r="L387" s="51">
        <f t="shared" si="291"/>
        <v>132829.676</v>
      </c>
      <c r="M387" s="51">
        <f t="shared" si="291"/>
        <v>132829.676</v>
      </c>
      <c r="N387" s="51">
        <f t="shared" si="291"/>
        <v>132829.676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 outlineLevel="1">
      <c r="A388" s="3"/>
      <c r="B388" s="48" t="s">
        <v>317</v>
      </c>
      <c r="C388" s="49" t="s">
        <v>318</v>
      </c>
      <c r="D388" s="51">
        <f t="shared" ref="D388:N388" si="292">D72</f>
        <v>185540.348</v>
      </c>
      <c r="E388" s="51">
        <f t="shared" si="292"/>
        <v>185540.348</v>
      </c>
      <c r="F388" s="51">
        <f t="shared" si="292"/>
        <v>185540.348</v>
      </c>
      <c r="G388" s="51">
        <f t="shared" si="292"/>
        <v>185540.348</v>
      </c>
      <c r="H388" s="51">
        <f t="shared" si="292"/>
        <v>185540.348</v>
      </c>
      <c r="I388" s="51">
        <f t="shared" si="292"/>
        <v>185540.348</v>
      </c>
      <c r="J388" s="51">
        <f t="shared" si="292"/>
        <v>185540.348</v>
      </c>
      <c r="K388" s="51">
        <f t="shared" si="292"/>
        <v>185540.348</v>
      </c>
      <c r="L388" s="51">
        <f t="shared" si="292"/>
        <v>185540.348</v>
      </c>
      <c r="M388" s="51">
        <f t="shared" si="292"/>
        <v>185540.348</v>
      </c>
      <c r="N388" s="51">
        <f t="shared" si="292"/>
        <v>185540.348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 outlineLevel="1">
      <c r="A389" s="3"/>
      <c r="B389" s="48" t="s">
        <v>319</v>
      </c>
      <c r="C389" s="49" t="s">
        <v>320</v>
      </c>
      <c r="D389" s="51">
        <f t="shared" ref="D389:N389" si="293">D387*(1-D73)</f>
        <v>119546.7084</v>
      </c>
      <c r="E389" s="51">
        <f t="shared" si="293"/>
        <v>119546.7084</v>
      </c>
      <c r="F389" s="51">
        <f t="shared" si="293"/>
        <v>119546.7084</v>
      </c>
      <c r="G389" s="51">
        <f t="shared" si="293"/>
        <v>119546.7084</v>
      </c>
      <c r="H389" s="51">
        <f t="shared" si="293"/>
        <v>119546.7084</v>
      </c>
      <c r="I389" s="51">
        <f t="shared" si="293"/>
        <v>119546.7084</v>
      </c>
      <c r="J389" s="51">
        <f t="shared" si="293"/>
        <v>119546.7084</v>
      </c>
      <c r="K389" s="51">
        <f t="shared" si="293"/>
        <v>119546.7084</v>
      </c>
      <c r="L389" s="51">
        <f t="shared" si="293"/>
        <v>119546.7084</v>
      </c>
      <c r="M389" s="51">
        <f t="shared" si="293"/>
        <v>119546.7084</v>
      </c>
      <c r="N389" s="51">
        <f t="shared" si="293"/>
        <v>119546.7084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 outlineLevel="1">
      <c r="A390" s="3"/>
      <c r="B390" s="48" t="s">
        <v>321</v>
      </c>
      <c r="C390" s="49" t="s">
        <v>320</v>
      </c>
      <c r="D390" s="51">
        <f t="shared" ref="D390:N390" si="294">D388*(1-D73)</f>
        <v>166986.3132</v>
      </c>
      <c r="E390" s="51">
        <f t="shared" si="294"/>
        <v>166986.3132</v>
      </c>
      <c r="F390" s="51">
        <f t="shared" si="294"/>
        <v>166986.3132</v>
      </c>
      <c r="G390" s="51">
        <f t="shared" si="294"/>
        <v>166986.3132</v>
      </c>
      <c r="H390" s="51">
        <f t="shared" si="294"/>
        <v>166986.3132</v>
      </c>
      <c r="I390" s="51">
        <f t="shared" si="294"/>
        <v>166986.3132</v>
      </c>
      <c r="J390" s="51">
        <f t="shared" si="294"/>
        <v>166986.3132</v>
      </c>
      <c r="K390" s="51">
        <f t="shared" si="294"/>
        <v>166986.3132</v>
      </c>
      <c r="L390" s="51">
        <f t="shared" si="294"/>
        <v>166986.3132</v>
      </c>
      <c r="M390" s="51">
        <f t="shared" si="294"/>
        <v>166986.3132</v>
      </c>
      <c r="N390" s="51">
        <f t="shared" si="294"/>
        <v>166986.3132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 outlineLevel="1">
      <c r="A391" s="3"/>
      <c r="B391" s="48" t="s">
        <v>322</v>
      </c>
      <c r="C391" s="49" t="s">
        <v>323</v>
      </c>
      <c r="D391" s="51">
        <f t="shared" ref="D391:N391" si="295">D45</f>
        <v>45487.12</v>
      </c>
      <c r="E391" s="51">
        <f t="shared" si="295"/>
        <v>45487.12</v>
      </c>
      <c r="F391" s="51">
        <f t="shared" si="295"/>
        <v>45487.12</v>
      </c>
      <c r="G391" s="51">
        <f t="shared" si="295"/>
        <v>45487.12</v>
      </c>
      <c r="H391" s="51">
        <f t="shared" si="295"/>
        <v>45487.12</v>
      </c>
      <c r="I391" s="51">
        <f t="shared" si="295"/>
        <v>45487.12</v>
      </c>
      <c r="J391" s="51">
        <f t="shared" si="295"/>
        <v>45487.12</v>
      </c>
      <c r="K391" s="51">
        <f t="shared" si="295"/>
        <v>45487.12</v>
      </c>
      <c r="L391" s="51">
        <f t="shared" si="295"/>
        <v>45487.12</v>
      </c>
      <c r="M391" s="51">
        <f t="shared" si="295"/>
        <v>45487.12</v>
      </c>
      <c r="N391" s="51">
        <f t="shared" si="295"/>
        <v>45487.12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 outlineLevel="1">
      <c r="A392" s="3"/>
      <c r="B392" s="48" t="s">
        <v>324</v>
      </c>
      <c r="C392" s="49" t="s">
        <v>325</v>
      </c>
      <c r="D392" s="51">
        <f t="shared" ref="D392:N392" si="296">D52</f>
        <v>83137.6</v>
      </c>
      <c r="E392" s="51">
        <f t="shared" si="296"/>
        <v>83137.6</v>
      </c>
      <c r="F392" s="51">
        <f t="shared" si="296"/>
        <v>83137.6</v>
      </c>
      <c r="G392" s="51">
        <f t="shared" si="296"/>
        <v>83137.6</v>
      </c>
      <c r="H392" s="51">
        <f t="shared" si="296"/>
        <v>83137.6</v>
      </c>
      <c r="I392" s="51">
        <f t="shared" si="296"/>
        <v>83137.6</v>
      </c>
      <c r="J392" s="51">
        <f t="shared" si="296"/>
        <v>83137.6</v>
      </c>
      <c r="K392" s="51">
        <f t="shared" si="296"/>
        <v>83137.6</v>
      </c>
      <c r="L392" s="51">
        <f t="shared" si="296"/>
        <v>83137.6</v>
      </c>
      <c r="M392" s="51">
        <f t="shared" si="296"/>
        <v>83137.6</v>
      </c>
      <c r="N392" s="51">
        <f t="shared" si="296"/>
        <v>83137.6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 outlineLevel="1">
      <c r="A393" s="3"/>
      <c r="B393" s="48" t="s">
        <v>101</v>
      </c>
      <c r="C393" s="49" t="s">
        <v>326</v>
      </c>
      <c r="D393" s="51">
        <f t="shared" ref="D393:N393" si="297">D63</f>
        <v>24695.61</v>
      </c>
      <c r="E393" s="51">
        <f t="shared" si="297"/>
        <v>24695.61</v>
      </c>
      <c r="F393" s="51">
        <f t="shared" si="297"/>
        <v>24695.61</v>
      </c>
      <c r="G393" s="51">
        <f t="shared" si="297"/>
        <v>24695.61</v>
      </c>
      <c r="H393" s="51">
        <f t="shared" si="297"/>
        <v>24695.61</v>
      </c>
      <c r="I393" s="51">
        <f t="shared" si="297"/>
        <v>24695.61</v>
      </c>
      <c r="J393" s="51">
        <f t="shared" si="297"/>
        <v>24695.61</v>
      </c>
      <c r="K393" s="51">
        <f t="shared" si="297"/>
        <v>24695.61</v>
      </c>
      <c r="L393" s="51">
        <f t="shared" si="297"/>
        <v>24695.61</v>
      </c>
      <c r="M393" s="51">
        <f t="shared" si="297"/>
        <v>24695.61</v>
      </c>
      <c r="N393" s="51">
        <f t="shared" si="297"/>
        <v>24695.61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 outlineLevel="1">
      <c r="A394" s="3"/>
      <c r="B394" s="48" t="s">
        <v>327</v>
      </c>
      <c r="C394" s="49" t="s">
        <v>328</v>
      </c>
      <c r="D394" s="51">
        <f t="shared" ref="D394:N394" si="298">D57</f>
        <v>2</v>
      </c>
      <c r="E394" s="51">
        <f t="shared" si="298"/>
        <v>2</v>
      </c>
      <c r="F394" s="51">
        <f t="shared" si="298"/>
        <v>2</v>
      </c>
      <c r="G394" s="51">
        <f t="shared" si="298"/>
        <v>2</v>
      </c>
      <c r="H394" s="51">
        <f t="shared" si="298"/>
        <v>2</v>
      </c>
      <c r="I394" s="51">
        <f t="shared" si="298"/>
        <v>2</v>
      </c>
      <c r="J394" s="51">
        <f t="shared" si="298"/>
        <v>2</v>
      </c>
      <c r="K394" s="51">
        <f t="shared" si="298"/>
        <v>2</v>
      </c>
      <c r="L394" s="51">
        <f t="shared" si="298"/>
        <v>2</v>
      </c>
      <c r="M394" s="51">
        <f t="shared" si="298"/>
        <v>2</v>
      </c>
      <c r="N394" s="51">
        <f t="shared" si="298"/>
        <v>2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 outlineLevel="1">
      <c r="A395" s="3"/>
      <c r="B395" s="48" t="s">
        <v>329</v>
      </c>
      <c r="C395" s="49" t="s">
        <v>328</v>
      </c>
      <c r="D395" s="51">
        <f t="shared" ref="D395:N395" si="299">D57</f>
        <v>2</v>
      </c>
      <c r="E395" s="51">
        <f t="shared" si="299"/>
        <v>2</v>
      </c>
      <c r="F395" s="51">
        <f t="shared" si="299"/>
        <v>2</v>
      </c>
      <c r="G395" s="51">
        <f t="shared" si="299"/>
        <v>2</v>
      </c>
      <c r="H395" s="51">
        <f t="shared" si="299"/>
        <v>2</v>
      </c>
      <c r="I395" s="51">
        <f t="shared" si="299"/>
        <v>2</v>
      </c>
      <c r="J395" s="51">
        <f t="shared" si="299"/>
        <v>2</v>
      </c>
      <c r="K395" s="51">
        <f t="shared" si="299"/>
        <v>2</v>
      </c>
      <c r="L395" s="51">
        <f t="shared" si="299"/>
        <v>2</v>
      </c>
      <c r="M395" s="51">
        <f t="shared" si="299"/>
        <v>2</v>
      </c>
      <c r="N395" s="51">
        <f t="shared" si="299"/>
        <v>2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 outlineLevel="1">
      <c r="A396" s="3"/>
      <c r="B396" s="48" t="s">
        <v>330</v>
      </c>
      <c r="C396" s="49" t="s">
        <v>331</v>
      </c>
      <c r="D396" s="51">
        <f t="shared" ref="D396:N396" si="300">D391+D394*D393</f>
        <v>94878.34</v>
      </c>
      <c r="E396" s="51">
        <f t="shared" si="300"/>
        <v>94878.34</v>
      </c>
      <c r="F396" s="51">
        <f t="shared" si="300"/>
        <v>94878.34</v>
      </c>
      <c r="G396" s="51">
        <f t="shared" si="300"/>
        <v>94878.34</v>
      </c>
      <c r="H396" s="51">
        <f t="shared" si="300"/>
        <v>94878.34</v>
      </c>
      <c r="I396" s="51">
        <f t="shared" si="300"/>
        <v>94878.34</v>
      </c>
      <c r="J396" s="51">
        <f t="shared" si="300"/>
        <v>94878.34</v>
      </c>
      <c r="K396" s="51">
        <f t="shared" si="300"/>
        <v>94878.34</v>
      </c>
      <c r="L396" s="51">
        <f t="shared" si="300"/>
        <v>94878.34</v>
      </c>
      <c r="M396" s="51">
        <f t="shared" si="300"/>
        <v>94878.34</v>
      </c>
      <c r="N396" s="51">
        <f t="shared" si="300"/>
        <v>94878.34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 outlineLevel="1">
      <c r="A397" s="3"/>
      <c r="B397" s="48" t="s">
        <v>332</v>
      </c>
      <c r="C397" s="49" t="s">
        <v>331</v>
      </c>
      <c r="D397" s="51">
        <f t="shared" ref="D397:N397" si="301">D392+D395*D393</f>
        <v>132528.82</v>
      </c>
      <c r="E397" s="51">
        <f t="shared" si="301"/>
        <v>132528.82</v>
      </c>
      <c r="F397" s="51">
        <f t="shared" si="301"/>
        <v>132528.82</v>
      </c>
      <c r="G397" s="51">
        <f t="shared" si="301"/>
        <v>132528.82</v>
      </c>
      <c r="H397" s="51">
        <f t="shared" si="301"/>
        <v>132528.82</v>
      </c>
      <c r="I397" s="51">
        <f t="shared" si="301"/>
        <v>132528.82</v>
      </c>
      <c r="J397" s="51">
        <f t="shared" si="301"/>
        <v>132528.82</v>
      </c>
      <c r="K397" s="51">
        <f t="shared" si="301"/>
        <v>132528.82</v>
      </c>
      <c r="L397" s="51">
        <f t="shared" si="301"/>
        <v>132528.82</v>
      </c>
      <c r="M397" s="51">
        <f t="shared" si="301"/>
        <v>132528.82</v>
      </c>
      <c r="N397" s="51">
        <f t="shared" si="301"/>
        <v>132528.82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 outlineLevel="1">
      <c r="A398" s="3"/>
      <c r="B398" s="48"/>
      <c r="C398" s="49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 outlineLevel="1">
      <c r="A399" s="3"/>
      <c r="B399" s="46" t="s">
        <v>333</v>
      </c>
      <c r="C399" s="46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 outlineLevel="1">
      <c r="A400" s="3"/>
      <c r="B400" s="48" t="s">
        <v>334</v>
      </c>
      <c r="C400" s="49" t="s">
        <v>335</v>
      </c>
      <c r="D400" s="51">
        <f t="shared" ref="D400:N400" si="302">D351*D391</f>
        <v>21970278.96</v>
      </c>
      <c r="E400" s="51">
        <f t="shared" si="302"/>
        <v>32978162</v>
      </c>
      <c r="F400" s="51">
        <f t="shared" si="302"/>
        <v>47806963.12</v>
      </c>
      <c r="G400" s="51">
        <f t="shared" si="302"/>
        <v>62635764.24</v>
      </c>
      <c r="H400" s="51">
        <f t="shared" si="302"/>
        <v>73279750.32</v>
      </c>
      <c r="I400" s="51">
        <f t="shared" si="302"/>
        <v>86471015.12</v>
      </c>
      <c r="J400" s="51">
        <f t="shared" si="302"/>
        <v>108077397.1</v>
      </c>
      <c r="K400" s="51">
        <f t="shared" si="302"/>
        <v>127727833</v>
      </c>
      <c r="L400" s="51">
        <f t="shared" si="302"/>
        <v>139736432.6</v>
      </c>
      <c r="M400" s="51">
        <f t="shared" si="302"/>
        <v>151745032.3</v>
      </c>
      <c r="N400" s="51">
        <f t="shared" si="302"/>
        <v>163753632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 outlineLevel="1">
      <c r="A401" s="3"/>
      <c r="B401" s="48" t="s">
        <v>336</v>
      </c>
      <c r="C401" s="49" t="s">
        <v>335</v>
      </c>
      <c r="D401" s="51">
        <f t="shared" ref="D401:N401" si="303">D352*D392</f>
        <v>144077460.8</v>
      </c>
      <c r="E401" s="51">
        <f t="shared" si="303"/>
        <v>216157760</v>
      </c>
      <c r="F401" s="51">
        <f t="shared" si="303"/>
        <v>313428752</v>
      </c>
      <c r="G401" s="51">
        <f t="shared" si="303"/>
        <v>410616606.4</v>
      </c>
      <c r="H401" s="51">
        <f t="shared" si="303"/>
        <v>480452190.4</v>
      </c>
      <c r="I401" s="51">
        <f t="shared" si="303"/>
        <v>566915294.4</v>
      </c>
      <c r="J401" s="51">
        <f t="shared" si="303"/>
        <v>708664902.4</v>
      </c>
      <c r="K401" s="51">
        <f t="shared" si="303"/>
        <v>837611320</v>
      </c>
      <c r="L401" s="51">
        <f t="shared" si="303"/>
        <v>916342627.2</v>
      </c>
      <c r="M401" s="51">
        <f t="shared" si="303"/>
        <v>995157072</v>
      </c>
      <c r="N401" s="51">
        <f t="shared" si="303"/>
        <v>1073805242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 outlineLevel="1">
      <c r="A402" s="3"/>
      <c r="B402" s="48" t="s">
        <v>337</v>
      </c>
      <c r="C402" s="49" t="s">
        <v>338</v>
      </c>
      <c r="D402" s="51">
        <f t="shared" ref="D402:N402" si="304">D400+D401</f>
        <v>166047739.8</v>
      </c>
      <c r="E402" s="51">
        <f t="shared" si="304"/>
        <v>249135922</v>
      </c>
      <c r="F402" s="51">
        <f t="shared" si="304"/>
        <v>361235715.1</v>
      </c>
      <c r="G402" s="51">
        <f t="shared" si="304"/>
        <v>473252370.6</v>
      </c>
      <c r="H402" s="51">
        <f t="shared" si="304"/>
        <v>553731940.7</v>
      </c>
      <c r="I402" s="51">
        <f t="shared" si="304"/>
        <v>653386309.5</v>
      </c>
      <c r="J402" s="51">
        <f t="shared" si="304"/>
        <v>816742299.5</v>
      </c>
      <c r="K402" s="51">
        <f t="shared" si="304"/>
        <v>965339153</v>
      </c>
      <c r="L402" s="51">
        <f t="shared" si="304"/>
        <v>1056079060</v>
      </c>
      <c r="M402" s="51">
        <f t="shared" si="304"/>
        <v>1146902104</v>
      </c>
      <c r="N402" s="51">
        <f t="shared" si="304"/>
        <v>1237558874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 outlineLevel="1">
      <c r="A403" s="3"/>
      <c r="B403" s="48" t="s">
        <v>339</v>
      </c>
      <c r="C403" s="49" t="s">
        <v>340</v>
      </c>
      <c r="D403" s="51">
        <f t="shared" ref="D403:N403" si="305">D359*D396</f>
        <v>22770801.6</v>
      </c>
      <c r="E403" s="51">
        <f t="shared" si="305"/>
        <v>36433282.56</v>
      </c>
      <c r="F403" s="51">
        <f t="shared" si="305"/>
        <v>58255300.76</v>
      </c>
      <c r="G403" s="51">
        <f t="shared" si="305"/>
        <v>81595372.4</v>
      </c>
      <c r="H403" s="51">
        <f t="shared" si="305"/>
        <v>101994215.5</v>
      </c>
      <c r="I403" s="51">
        <f t="shared" si="305"/>
        <v>122393058.6</v>
      </c>
      <c r="J403" s="51">
        <f t="shared" si="305"/>
        <v>153038762.4</v>
      </c>
      <c r="K403" s="51">
        <f t="shared" si="305"/>
        <v>183684466.2</v>
      </c>
      <c r="L403" s="51">
        <f t="shared" si="305"/>
        <v>204083309.3</v>
      </c>
      <c r="M403" s="51">
        <f t="shared" si="305"/>
        <v>224482152.4</v>
      </c>
      <c r="N403" s="51">
        <f t="shared" si="305"/>
        <v>244880995.5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 outlineLevel="1">
      <c r="A404" s="3"/>
      <c r="B404" s="48" t="s">
        <v>341</v>
      </c>
      <c r="C404" s="49" t="s">
        <v>340</v>
      </c>
      <c r="D404" s="51">
        <f t="shared" ref="D404:N404" si="306">D360*D397</f>
        <v>127227667.2</v>
      </c>
      <c r="E404" s="51">
        <f t="shared" si="306"/>
        <v>203564267.5</v>
      </c>
      <c r="F404" s="51">
        <f t="shared" si="306"/>
        <v>325755839.6</v>
      </c>
      <c r="G404" s="51">
        <f t="shared" si="306"/>
        <v>456031669.6</v>
      </c>
      <c r="H404" s="51">
        <f t="shared" si="306"/>
        <v>570006454.8</v>
      </c>
      <c r="I404" s="51">
        <f t="shared" si="306"/>
        <v>683981240</v>
      </c>
      <c r="J404" s="51">
        <f t="shared" si="306"/>
        <v>854943417.8</v>
      </c>
      <c r="K404" s="51">
        <f t="shared" si="306"/>
        <v>1025905596</v>
      </c>
      <c r="L404" s="51">
        <f t="shared" si="306"/>
        <v>1139747852</v>
      </c>
      <c r="M404" s="51">
        <f t="shared" si="306"/>
        <v>1253722637</v>
      </c>
      <c r="N404" s="51">
        <f t="shared" si="306"/>
        <v>1367697422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 outlineLevel="1">
      <c r="A405" s="3"/>
      <c r="B405" s="48" t="s">
        <v>342</v>
      </c>
      <c r="C405" s="49" t="s">
        <v>338</v>
      </c>
      <c r="D405" s="51">
        <f t="shared" ref="D405:N405" si="307">D403+D404</f>
        <v>149998468.8</v>
      </c>
      <c r="E405" s="51">
        <f t="shared" si="307"/>
        <v>239997550.1</v>
      </c>
      <c r="F405" s="51">
        <f t="shared" si="307"/>
        <v>384011140.3</v>
      </c>
      <c r="G405" s="51">
        <f t="shared" si="307"/>
        <v>537627042</v>
      </c>
      <c r="H405" s="51">
        <f t="shared" si="307"/>
        <v>672000670.3</v>
      </c>
      <c r="I405" s="51">
        <f t="shared" si="307"/>
        <v>806374298.6</v>
      </c>
      <c r="J405" s="51">
        <f t="shared" si="307"/>
        <v>1007982180</v>
      </c>
      <c r="K405" s="51">
        <f t="shared" si="307"/>
        <v>1209590062</v>
      </c>
      <c r="L405" s="51">
        <f t="shared" si="307"/>
        <v>1343831161</v>
      </c>
      <c r="M405" s="51">
        <f t="shared" si="307"/>
        <v>1478204790</v>
      </c>
      <c r="N405" s="51">
        <f t="shared" si="307"/>
        <v>1612578418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 outlineLevel="1">
      <c r="A406" s="3"/>
      <c r="B406" s="48" t="s">
        <v>343</v>
      </c>
      <c r="C406" s="49" t="s">
        <v>344</v>
      </c>
      <c r="D406" s="51">
        <f t="shared" ref="D406:N406" si="308">D363*D396</f>
        <v>3795133.6</v>
      </c>
      <c r="E406" s="51">
        <f t="shared" si="308"/>
        <v>5313187.04</v>
      </c>
      <c r="F406" s="51">
        <f t="shared" si="308"/>
        <v>6926118.82</v>
      </c>
      <c r="G406" s="51">
        <f t="shared" si="308"/>
        <v>9013442.3</v>
      </c>
      <c r="H406" s="51">
        <f t="shared" si="308"/>
        <v>11764914.16</v>
      </c>
      <c r="I406" s="51">
        <f t="shared" si="308"/>
        <v>15275412.74</v>
      </c>
      <c r="J406" s="51">
        <f t="shared" si="308"/>
        <v>19829573.06</v>
      </c>
      <c r="K406" s="51">
        <f t="shared" si="308"/>
        <v>25806908.48</v>
      </c>
      <c r="L406" s="51">
        <f t="shared" si="308"/>
        <v>33586932.36</v>
      </c>
      <c r="M406" s="51">
        <f t="shared" si="308"/>
        <v>43644036.4</v>
      </c>
      <c r="N406" s="51">
        <f t="shared" si="308"/>
        <v>56737247.32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 outlineLevel="1">
      <c r="A407" s="3"/>
      <c r="B407" s="48" t="s">
        <v>345</v>
      </c>
      <c r="C407" s="49" t="s">
        <v>344</v>
      </c>
      <c r="D407" s="51">
        <f t="shared" ref="D407:N407" si="309">D364*D397</f>
        <v>21204611.2</v>
      </c>
      <c r="E407" s="51">
        <f t="shared" si="309"/>
        <v>29686455.68</v>
      </c>
      <c r="F407" s="51">
        <f t="shared" si="309"/>
        <v>38565886.62</v>
      </c>
      <c r="G407" s="51">
        <f t="shared" si="309"/>
        <v>50095893.96</v>
      </c>
      <c r="H407" s="51">
        <f t="shared" si="309"/>
        <v>65071650.62</v>
      </c>
      <c r="I407" s="51">
        <f t="shared" si="309"/>
        <v>84553387.16</v>
      </c>
      <c r="J407" s="51">
        <f t="shared" si="309"/>
        <v>109866391.8</v>
      </c>
      <c r="K407" s="51">
        <f t="shared" si="309"/>
        <v>142866068</v>
      </c>
      <c r="L407" s="51">
        <f t="shared" si="309"/>
        <v>185672876.8</v>
      </c>
      <c r="M407" s="51">
        <f t="shared" si="309"/>
        <v>241334981.2</v>
      </c>
      <c r="N407" s="51">
        <f t="shared" si="309"/>
        <v>313695716.9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 outlineLevel="1">
      <c r="A408" s="3"/>
      <c r="B408" s="48" t="s">
        <v>346</v>
      </c>
      <c r="C408" s="49" t="s">
        <v>338</v>
      </c>
      <c r="D408" s="51">
        <f t="shared" ref="D408:N408" si="310">D406+D407</f>
        <v>24999744.8</v>
      </c>
      <c r="E408" s="51">
        <f t="shared" si="310"/>
        <v>34999642.72</v>
      </c>
      <c r="F408" s="51">
        <f t="shared" si="310"/>
        <v>45492005.44</v>
      </c>
      <c r="G408" s="51">
        <f t="shared" si="310"/>
        <v>59109336.26</v>
      </c>
      <c r="H408" s="51">
        <f t="shared" si="310"/>
        <v>76836564.78</v>
      </c>
      <c r="I408" s="51">
        <f t="shared" si="310"/>
        <v>99828799.9</v>
      </c>
      <c r="J408" s="51">
        <f t="shared" si="310"/>
        <v>129695964.8</v>
      </c>
      <c r="K408" s="51">
        <f t="shared" si="310"/>
        <v>168672976.4</v>
      </c>
      <c r="L408" s="51">
        <f t="shared" si="310"/>
        <v>219259809.2</v>
      </c>
      <c r="M408" s="51">
        <f t="shared" si="310"/>
        <v>284979017.6</v>
      </c>
      <c r="N408" s="51">
        <f t="shared" si="310"/>
        <v>370432964.3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 outlineLevel="1">
      <c r="A409" s="3"/>
      <c r="B409" s="48" t="s">
        <v>347</v>
      </c>
      <c r="C409" s="49" t="s">
        <v>348</v>
      </c>
      <c r="D409" s="51">
        <f t="shared" ref="D409:N409" si="311">D355*D394</f>
        <v>966</v>
      </c>
      <c r="E409" s="51">
        <f t="shared" si="311"/>
        <v>2342</v>
      </c>
      <c r="F409" s="51">
        <f t="shared" si="311"/>
        <v>4310</v>
      </c>
      <c r="G409" s="51">
        <f t="shared" si="311"/>
        <v>6852</v>
      </c>
      <c r="H409" s="51">
        <f t="shared" si="311"/>
        <v>9770</v>
      </c>
      <c r="I409" s="51">
        <f t="shared" si="311"/>
        <v>13164</v>
      </c>
      <c r="J409" s="51">
        <f t="shared" si="311"/>
        <v>17378</v>
      </c>
      <c r="K409" s="51">
        <f t="shared" si="311"/>
        <v>22304</v>
      </c>
      <c r="L409" s="51">
        <f t="shared" si="311"/>
        <v>27594</v>
      </c>
      <c r="M409" s="51">
        <f t="shared" si="311"/>
        <v>33238</v>
      </c>
      <c r="N409" s="51">
        <f t="shared" si="311"/>
        <v>39224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 outlineLevel="1">
      <c r="A410" s="3"/>
      <c r="B410" s="48" t="s">
        <v>349</v>
      </c>
      <c r="C410" s="49" t="s">
        <v>348</v>
      </c>
      <c r="D410" s="51">
        <f t="shared" ref="D410:N410" si="312">D356*D395</f>
        <v>3466</v>
      </c>
      <c r="E410" s="51">
        <f t="shared" si="312"/>
        <v>8406</v>
      </c>
      <c r="F410" s="51">
        <f t="shared" si="312"/>
        <v>15466</v>
      </c>
      <c r="G410" s="51">
        <f t="shared" si="312"/>
        <v>24582</v>
      </c>
      <c r="H410" s="51">
        <f t="shared" si="312"/>
        <v>35054</v>
      </c>
      <c r="I410" s="51">
        <f t="shared" si="312"/>
        <v>47230</v>
      </c>
      <c r="J410" s="51">
        <f t="shared" si="312"/>
        <v>62348</v>
      </c>
      <c r="K410" s="51">
        <f t="shared" si="312"/>
        <v>80022</v>
      </c>
      <c r="L410" s="51">
        <f t="shared" si="312"/>
        <v>99004</v>
      </c>
      <c r="M410" s="51">
        <f t="shared" si="312"/>
        <v>119254</v>
      </c>
      <c r="N410" s="51">
        <f t="shared" si="312"/>
        <v>140732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 outlineLevel="1">
      <c r="A411" s="3"/>
      <c r="B411" s="48" t="s">
        <v>350</v>
      </c>
      <c r="C411" s="49" t="s">
        <v>351</v>
      </c>
      <c r="D411" s="51">
        <f t="shared" ref="D411:N411" si="313">D409+D410</f>
        <v>4432</v>
      </c>
      <c r="E411" s="51">
        <f t="shared" si="313"/>
        <v>10748</v>
      </c>
      <c r="F411" s="51">
        <f t="shared" si="313"/>
        <v>19776</v>
      </c>
      <c r="G411" s="51">
        <f t="shared" si="313"/>
        <v>31434</v>
      </c>
      <c r="H411" s="51">
        <f t="shared" si="313"/>
        <v>44824</v>
      </c>
      <c r="I411" s="51">
        <f t="shared" si="313"/>
        <v>60394</v>
      </c>
      <c r="J411" s="51">
        <f t="shared" si="313"/>
        <v>79726</v>
      </c>
      <c r="K411" s="51">
        <f t="shared" si="313"/>
        <v>102326</v>
      </c>
      <c r="L411" s="51">
        <f t="shared" si="313"/>
        <v>126598</v>
      </c>
      <c r="M411" s="51">
        <f t="shared" si="313"/>
        <v>152492</v>
      </c>
      <c r="N411" s="51">
        <f t="shared" si="313"/>
        <v>179956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 outlineLevel="1">
      <c r="A412" s="3"/>
      <c r="B412" s="48" t="s">
        <v>352</v>
      </c>
      <c r="C412" s="49" t="s">
        <v>353</v>
      </c>
      <c r="D412" s="51">
        <f>D411</f>
        <v>4432</v>
      </c>
      <c r="E412" s="51">
        <f t="shared" ref="E412:N412" si="314">MAX(E411-D411,0)</f>
        <v>6316</v>
      </c>
      <c r="F412" s="51">
        <f t="shared" si="314"/>
        <v>9028</v>
      </c>
      <c r="G412" s="51">
        <f t="shared" si="314"/>
        <v>11658</v>
      </c>
      <c r="H412" s="51">
        <f t="shared" si="314"/>
        <v>13390</v>
      </c>
      <c r="I412" s="51">
        <f t="shared" si="314"/>
        <v>15570</v>
      </c>
      <c r="J412" s="51">
        <f t="shared" si="314"/>
        <v>19332</v>
      </c>
      <c r="K412" s="51">
        <f t="shared" si="314"/>
        <v>22600</v>
      </c>
      <c r="L412" s="51">
        <f t="shared" si="314"/>
        <v>24272</v>
      </c>
      <c r="M412" s="51">
        <f t="shared" si="314"/>
        <v>25894</v>
      </c>
      <c r="N412" s="51">
        <f t="shared" si="314"/>
        <v>27464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 outlineLevel="1">
      <c r="A413" s="3"/>
      <c r="B413" s="48" t="s">
        <v>354</v>
      </c>
      <c r="C413" s="49" t="s">
        <v>355</v>
      </c>
      <c r="D413" s="51">
        <f t="shared" ref="D413:N413" si="315">D412*D393</f>
        <v>109450943.5</v>
      </c>
      <c r="E413" s="51">
        <f t="shared" si="315"/>
        <v>155977472.8</v>
      </c>
      <c r="F413" s="51">
        <f t="shared" si="315"/>
        <v>222951967.1</v>
      </c>
      <c r="G413" s="51">
        <f t="shared" si="315"/>
        <v>287901421.4</v>
      </c>
      <c r="H413" s="51">
        <f t="shared" si="315"/>
        <v>330674217.9</v>
      </c>
      <c r="I413" s="51">
        <f t="shared" si="315"/>
        <v>384510647.7</v>
      </c>
      <c r="J413" s="51">
        <f t="shared" si="315"/>
        <v>477415532.5</v>
      </c>
      <c r="K413" s="51">
        <f t="shared" si="315"/>
        <v>558120786</v>
      </c>
      <c r="L413" s="51">
        <f t="shared" si="315"/>
        <v>599411845.9</v>
      </c>
      <c r="M413" s="51">
        <f t="shared" si="315"/>
        <v>639468125.3</v>
      </c>
      <c r="N413" s="51">
        <f t="shared" si="315"/>
        <v>678240233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2.0"/>
    <col customWidth="1" min="2" max="2" width="38.0"/>
    <col customWidth="1" min="3" max="3" width="32.57"/>
    <col customWidth="1" min="4" max="14" width="13.0"/>
    <col customWidth="1" min="15" max="17" width="8.71"/>
  </cols>
  <sheetData>
    <row r="1" ht="15.0" customHeight="1">
      <c r="A1" s="3"/>
      <c r="B1" s="3"/>
      <c r="C1" s="5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3"/>
      <c r="Q1" s="2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3"/>
      <c r="B2" s="53" t="s">
        <v>356</v>
      </c>
      <c r="C2" s="5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  <c r="P2" s="23"/>
      <c r="Q2" s="2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18" t="s">
        <v>40</v>
      </c>
      <c r="C3" s="52"/>
      <c r="D3" s="1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3"/>
      <c r="Q3" s="2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5" t="s">
        <v>41</v>
      </c>
      <c r="D4" s="6">
        <v>2026.0</v>
      </c>
      <c r="E4" s="6">
        <v>2027.0</v>
      </c>
      <c r="F4" s="6">
        <v>2028.0</v>
      </c>
      <c r="G4" s="6">
        <v>2029.0</v>
      </c>
      <c r="H4" s="6">
        <v>2030.0</v>
      </c>
      <c r="I4" s="6">
        <v>2031.0</v>
      </c>
      <c r="J4" s="6">
        <v>2032.0</v>
      </c>
      <c r="K4" s="6">
        <v>2033.0</v>
      </c>
      <c r="L4" s="6">
        <v>2034.0</v>
      </c>
      <c r="M4" s="6">
        <v>2035.0</v>
      </c>
      <c r="N4" s="6">
        <v>2036.0</v>
      </c>
      <c r="O4" s="3"/>
      <c r="P4" s="23"/>
      <c r="Q4" s="2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20" t="s">
        <v>42</v>
      </c>
      <c r="C5" s="55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3"/>
      <c r="P5" s="23"/>
      <c r="Q5" s="2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20" t="s">
        <v>357</v>
      </c>
      <c r="C6" s="56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3"/>
      <c r="P6" s="23"/>
      <c r="Q6" s="2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24" t="s">
        <v>358</v>
      </c>
      <c r="C7" s="57" t="s">
        <v>50</v>
      </c>
      <c r="D7" s="29">
        <f t="shared" ref="D7:N7" si="1">D157</f>
        <v>363</v>
      </c>
      <c r="E7" s="29">
        <f t="shared" si="1"/>
        <v>536</v>
      </c>
      <c r="F7" s="29">
        <f t="shared" si="1"/>
        <v>795</v>
      </c>
      <c r="G7" s="29">
        <f t="shared" si="1"/>
        <v>1039</v>
      </c>
      <c r="H7" s="29">
        <f t="shared" si="1"/>
        <v>1241</v>
      </c>
      <c r="I7" s="29">
        <f t="shared" si="1"/>
        <v>1467</v>
      </c>
      <c r="J7" s="29">
        <f t="shared" si="1"/>
        <v>1829</v>
      </c>
      <c r="K7" s="29">
        <f t="shared" si="1"/>
        <v>2172</v>
      </c>
      <c r="L7" s="29">
        <f t="shared" si="1"/>
        <v>2384</v>
      </c>
      <c r="M7" s="29">
        <f t="shared" si="1"/>
        <v>2602</v>
      </c>
      <c r="N7" s="29">
        <f t="shared" si="1"/>
        <v>2825</v>
      </c>
      <c r="O7" s="3"/>
      <c r="P7" s="23"/>
      <c r="Q7" s="2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24" t="s">
        <v>359</v>
      </c>
      <c r="C8" s="57" t="s">
        <v>50</v>
      </c>
      <c r="D8" s="30">
        <f t="shared" ref="D8:N8" si="2">D158</f>
        <v>363</v>
      </c>
      <c r="E8" s="30">
        <f t="shared" si="2"/>
        <v>899</v>
      </c>
      <c r="F8" s="30">
        <f t="shared" si="2"/>
        <v>1694</v>
      </c>
      <c r="G8" s="30">
        <f t="shared" si="2"/>
        <v>2733</v>
      </c>
      <c r="H8" s="30">
        <f t="shared" si="2"/>
        <v>3974</v>
      </c>
      <c r="I8" s="30">
        <f t="shared" si="2"/>
        <v>5441</v>
      </c>
      <c r="J8" s="30">
        <f t="shared" si="2"/>
        <v>7270</v>
      </c>
      <c r="K8" s="30">
        <f t="shared" si="2"/>
        <v>9442</v>
      </c>
      <c r="L8" s="30">
        <f t="shared" si="2"/>
        <v>11826</v>
      </c>
      <c r="M8" s="30">
        <f t="shared" si="2"/>
        <v>14428</v>
      </c>
      <c r="N8" s="30">
        <f t="shared" si="2"/>
        <v>17253</v>
      </c>
      <c r="O8" s="3"/>
      <c r="P8" s="23"/>
      <c r="Q8" s="2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7"/>
      <c r="C9" s="5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3"/>
      <c r="Q9" s="2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20" t="s">
        <v>360</v>
      </c>
      <c r="C10" s="55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3"/>
      <c r="P10" s="23"/>
      <c r="Q10" s="2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24" t="s">
        <v>361</v>
      </c>
      <c r="C11" s="57" t="s">
        <v>123</v>
      </c>
      <c r="D11" s="29">
        <f t="shared" ref="D11:E11" si="3">2750/1.12</f>
        <v>2455.357143</v>
      </c>
      <c r="E11" s="58">
        <f t="shared" si="3"/>
        <v>2455.357143</v>
      </c>
      <c r="F11" s="30">
        <f t="shared" ref="F11:N11" si="4">E11</f>
        <v>2455.357143</v>
      </c>
      <c r="G11" s="30">
        <f t="shared" si="4"/>
        <v>2455.357143</v>
      </c>
      <c r="H11" s="30">
        <f t="shared" si="4"/>
        <v>2455.357143</v>
      </c>
      <c r="I11" s="30">
        <f t="shared" si="4"/>
        <v>2455.357143</v>
      </c>
      <c r="J11" s="30">
        <f t="shared" si="4"/>
        <v>2455.357143</v>
      </c>
      <c r="K11" s="30">
        <f t="shared" si="4"/>
        <v>2455.357143</v>
      </c>
      <c r="L11" s="30">
        <f t="shared" si="4"/>
        <v>2455.357143</v>
      </c>
      <c r="M11" s="30">
        <f t="shared" si="4"/>
        <v>2455.357143</v>
      </c>
      <c r="N11" s="30">
        <f t="shared" si="4"/>
        <v>2455.357143</v>
      </c>
      <c r="O11" s="3"/>
      <c r="P11" s="23"/>
      <c r="Q11" s="2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24" t="s">
        <v>362</v>
      </c>
      <c r="C12" s="57" t="s">
        <v>123</v>
      </c>
      <c r="D12" s="29">
        <f t="shared" ref="D12:E12" si="5">880/1.12</f>
        <v>785.7142857</v>
      </c>
      <c r="E12" s="31">
        <f t="shared" si="5"/>
        <v>785.7142857</v>
      </c>
      <c r="F12" s="30">
        <f t="shared" ref="F12:N12" si="6">E12</f>
        <v>785.7142857</v>
      </c>
      <c r="G12" s="30">
        <f t="shared" si="6"/>
        <v>785.7142857</v>
      </c>
      <c r="H12" s="30">
        <f t="shared" si="6"/>
        <v>785.7142857</v>
      </c>
      <c r="I12" s="30">
        <f t="shared" si="6"/>
        <v>785.7142857</v>
      </c>
      <c r="J12" s="30">
        <f t="shared" si="6"/>
        <v>785.7142857</v>
      </c>
      <c r="K12" s="30">
        <f t="shared" si="6"/>
        <v>785.7142857</v>
      </c>
      <c r="L12" s="30">
        <f t="shared" si="6"/>
        <v>785.7142857</v>
      </c>
      <c r="M12" s="30">
        <f t="shared" si="6"/>
        <v>785.7142857</v>
      </c>
      <c r="N12" s="30">
        <f t="shared" si="6"/>
        <v>785.7142857</v>
      </c>
      <c r="O12" s="3"/>
      <c r="P12" s="23"/>
      <c r="Q12" s="2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24" t="s">
        <v>363</v>
      </c>
      <c r="C13" s="57" t="s">
        <v>61</v>
      </c>
      <c r="D13" s="25">
        <v>0.03</v>
      </c>
      <c r="E13" s="26">
        <f t="shared" ref="E13:N13" si="7">D13</f>
        <v>0.03</v>
      </c>
      <c r="F13" s="26">
        <f t="shared" si="7"/>
        <v>0.03</v>
      </c>
      <c r="G13" s="26">
        <f t="shared" si="7"/>
        <v>0.03</v>
      </c>
      <c r="H13" s="26">
        <f t="shared" si="7"/>
        <v>0.03</v>
      </c>
      <c r="I13" s="26">
        <f t="shared" si="7"/>
        <v>0.03</v>
      </c>
      <c r="J13" s="26">
        <f t="shared" si="7"/>
        <v>0.03</v>
      </c>
      <c r="K13" s="26">
        <f t="shared" si="7"/>
        <v>0.03</v>
      </c>
      <c r="L13" s="26">
        <f t="shared" si="7"/>
        <v>0.03</v>
      </c>
      <c r="M13" s="26">
        <f t="shared" si="7"/>
        <v>0.03</v>
      </c>
      <c r="N13" s="26">
        <f t="shared" si="7"/>
        <v>0.03</v>
      </c>
      <c r="O13" s="3"/>
      <c r="P13" s="23"/>
      <c r="Q13" s="2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24" t="s">
        <v>364</v>
      </c>
      <c r="C14" s="57" t="s">
        <v>123</v>
      </c>
      <c r="D14" s="29">
        <f>100/1.12</f>
        <v>89.28571429</v>
      </c>
      <c r="E14" s="30">
        <f t="shared" ref="E14:N14" si="8">D14</f>
        <v>89.28571429</v>
      </c>
      <c r="F14" s="30">
        <f t="shared" si="8"/>
        <v>89.28571429</v>
      </c>
      <c r="G14" s="30">
        <f t="shared" si="8"/>
        <v>89.28571429</v>
      </c>
      <c r="H14" s="30">
        <f t="shared" si="8"/>
        <v>89.28571429</v>
      </c>
      <c r="I14" s="30">
        <f t="shared" si="8"/>
        <v>89.28571429</v>
      </c>
      <c r="J14" s="30">
        <f t="shared" si="8"/>
        <v>89.28571429</v>
      </c>
      <c r="K14" s="30">
        <f t="shared" si="8"/>
        <v>89.28571429</v>
      </c>
      <c r="L14" s="30">
        <f t="shared" si="8"/>
        <v>89.28571429</v>
      </c>
      <c r="M14" s="30">
        <f t="shared" si="8"/>
        <v>89.28571429</v>
      </c>
      <c r="N14" s="30">
        <f t="shared" si="8"/>
        <v>89.28571429</v>
      </c>
      <c r="O14" s="3"/>
      <c r="P14" s="23"/>
      <c r="Q14" s="2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7"/>
      <c r="C15" s="5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3"/>
      <c r="Q15" s="2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20" t="s">
        <v>365</v>
      </c>
      <c r="C16" s="55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3"/>
      <c r="P16" s="23"/>
      <c r="Q16" s="2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20" t="s">
        <v>366</v>
      </c>
      <c r="C17" s="56"/>
      <c r="D17" s="28"/>
      <c r="E17" s="8"/>
      <c r="F17" s="8"/>
      <c r="G17" s="8"/>
      <c r="H17" s="8"/>
      <c r="I17" s="8"/>
      <c r="J17" s="8"/>
      <c r="K17" s="8"/>
      <c r="L17" s="8"/>
      <c r="M17" s="8"/>
      <c r="N17" s="8"/>
      <c r="O17" s="3"/>
      <c r="P17" s="23"/>
      <c r="Q17" s="2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24" t="s">
        <v>367</v>
      </c>
      <c r="C18" s="57" t="s">
        <v>368</v>
      </c>
      <c r="D18" s="34">
        <f t="shared" ref="D18:N18" si="9">73.6*26/1000</f>
        <v>1.9136</v>
      </c>
      <c r="E18" s="35">
        <f t="shared" si="9"/>
        <v>1.9136</v>
      </c>
      <c r="F18" s="35">
        <f t="shared" si="9"/>
        <v>1.9136</v>
      </c>
      <c r="G18" s="35">
        <f t="shared" si="9"/>
        <v>1.9136</v>
      </c>
      <c r="H18" s="35">
        <f t="shared" si="9"/>
        <v>1.9136</v>
      </c>
      <c r="I18" s="35">
        <f t="shared" si="9"/>
        <v>1.9136</v>
      </c>
      <c r="J18" s="35">
        <f t="shared" si="9"/>
        <v>1.9136</v>
      </c>
      <c r="K18" s="35">
        <f t="shared" si="9"/>
        <v>1.9136</v>
      </c>
      <c r="L18" s="35">
        <f t="shared" si="9"/>
        <v>1.9136</v>
      </c>
      <c r="M18" s="35">
        <f t="shared" si="9"/>
        <v>1.9136</v>
      </c>
      <c r="N18" s="35">
        <f t="shared" si="9"/>
        <v>1.9136</v>
      </c>
      <c r="O18" s="3"/>
      <c r="P18" s="23"/>
      <c r="Q18" s="2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24" t="s">
        <v>369</v>
      </c>
      <c r="C19" s="57" t="s">
        <v>86</v>
      </c>
      <c r="D19" s="34">
        <f>14.33/1.12</f>
        <v>12.79464286</v>
      </c>
      <c r="E19" s="35">
        <f t="shared" ref="E19:N19" si="10">D19</f>
        <v>12.79464286</v>
      </c>
      <c r="F19" s="35">
        <f t="shared" si="10"/>
        <v>12.79464286</v>
      </c>
      <c r="G19" s="35">
        <f t="shared" si="10"/>
        <v>12.79464286</v>
      </c>
      <c r="H19" s="35">
        <f t="shared" si="10"/>
        <v>12.79464286</v>
      </c>
      <c r="I19" s="35">
        <f t="shared" si="10"/>
        <v>12.79464286</v>
      </c>
      <c r="J19" s="35">
        <f t="shared" si="10"/>
        <v>12.79464286</v>
      </c>
      <c r="K19" s="35">
        <f t="shared" si="10"/>
        <v>12.79464286</v>
      </c>
      <c r="L19" s="35">
        <f t="shared" si="10"/>
        <v>12.79464286</v>
      </c>
      <c r="M19" s="35">
        <f t="shared" si="10"/>
        <v>12.79464286</v>
      </c>
      <c r="N19" s="35">
        <f t="shared" si="10"/>
        <v>12.79464286</v>
      </c>
      <c r="O19" s="3"/>
      <c r="P19" s="23"/>
      <c r="Q19" s="2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24" t="s">
        <v>370</v>
      </c>
      <c r="C20" s="57" t="s">
        <v>371</v>
      </c>
      <c r="D20" s="29">
        <v>14.0</v>
      </c>
      <c r="E20" s="30">
        <f t="shared" ref="E20:N20" si="11">D20</f>
        <v>14</v>
      </c>
      <c r="F20" s="30">
        <f t="shared" si="11"/>
        <v>14</v>
      </c>
      <c r="G20" s="30">
        <f t="shared" si="11"/>
        <v>14</v>
      </c>
      <c r="H20" s="30">
        <f t="shared" si="11"/>
        <v>14</v>
      </c>
      <c r="I20" s="30">
        <f t="shared" si="11"/>
        <v>14</v>
      </c>
      <c r="J20" s="30">
        <f t="shared" si="11"/>
        <v>14</v>
      </c>
      <c r="K20" s="30">
        <f t="shared" si="11"/>
        <v>14</v>
      </c>
      <c r="L20" s="30">
        <f t="shared" si="11"/>
        <v>14</v>
      </c>
      <c r="M20" s="30">
        <f t="shared" si="11"/>
        <v>14</v>
      </c>
      <c r="N20" s="30">
        <f t="shared" si="11"/>
        <v>14</v>
      </c>
      <c r="O20" s="3"/>
      <c r="P20" s="23"/>
      <c r="Q20" s="2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/>
      <c r="B21" s="24" t="s">
        <v>372</v>
      </c>
      <c r="C21" s="57" t="s">
        <v>373</v>
      </c>
      <c r="D21" s="25">
        <v>0.0</v>
      </c>
      <c r="E21" s="26">
        <f t="shared" ref="E21:N21" si="12">2/6</f>
        <v>0.3333333333</v>
      </c>
      <c r="F21" s="26">
        <f t="shared" si="12"/>
        <v>0.3333333333</v>
      </c>
      <c r="G21" s="26">
        <f t="shared" si="12"/>
        <v>0.3333333333</v>
      </c>
      <c r="H21" s="26">
        <f t="shared" si="12"/>
        <v>0.3333333333</v>
      </c>
      <c r="I21" s="26">
        <f t="shared" si="12"/>
        <v>0.3333333333</v>
      </c>
      <c r="J21" s="26">
        <f t="shared" si="12"/>
        <v>0.3333333333</v>
      </c>
      <c r="K21" s="26">
        <f t="shared" si="12"/>
        <v>0.3333333333</v>
      </c>
      <c r="L21" s="26">
        <f t="shared" si="12"/>
        <v>0.3333333333</v>
      </c>
      <c r="M21" s="26">
        <f t="shared" si="12"/>
        <v>0.3333333333</v>
      </c>
      <c r="N21" s="26">
        <f t="shared" si="12"/>
        <v>0.3333333333</v>
      </c>
      <c r="O21" s="3"/>
      <c r="P21" s="23"/>
      <c r="Q21" s="2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3"/>
      <c r="B22" s="24" t="s">
        <v>374</v>
      </c>
      <c r="C22" s="57" t="s">
        <v>371</v>
      </c>
      <c r="D22" s="29">
        <v>5.0</v>
      </c>
      <c r="E22" s="30">
        <f t="shared" ref="E22:N22" si="13">D22</f>
        <v>5</v>
      </c>
      <c r="F22" s="30">
        <f t="shared" si="13"/>
        <v>5</v>
      </c>
      <c r="G22" s="30">
        <f t="shared" si="13"/>
        <v>5</v>
      </c>
      <c r="H22" s="30">
        <f t="shared" si="13"/>
        <v>5</v>
      </c>
      <c r="I22" s="30">
        <f t="shared" si="13"/>
        <v>5</v>
      </c>
      <c r="J22" s="30">
        <f t="shared" si="13"/>
        <v>5</v>
      </c>
      <c r="K22" s="30">
        <f t="shared" si="13"/>
        <v>5</v>
      </c>
      <c r="L22" s="30">
        <f t="shared" si="13"/>
        <v>5</v>
      </c>
      <c r="M22" s="30">
        <f t="shared" si="13"/>
        <v>5</v>
      </c>
      <c r="N22" s="30">
        <f t="shared" si="13"/>
        <v>5</v>
      </c>
      <c r="O22" s="3"/>
      <c r="P22" s="23"/>
      <c r="Q22" s="2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4" t="s">
        <v>375</v>
      </c>
      <c r="C23" s="57" t="s">
        <v>376</v>
      </c>
      <c r="D23" s="35">
        <f t="shared" ref="D23:N23" si="14">(1-D21)*D22</f>
        <v>5</v>
      </c>
      <c r="E23" s="35">
        <f t="shared" si="14"/>
        <v>3.333333333</v>
      </c>
      <c r="F23" s="35">
        <f t="shared" si="14"/>
        <v>3.333333333</v>
      </c>
      <c r="G23" s="35">
        <f t="shared" si="14"/>
        <v>3.333333333</v>
      </c>
      <c r="H23" s="35">
        <f t="shared" si="14"/>
        <v>3.333333333</v>
      </c>
      <c r="I23" s="35">
        <f t="shared" si="14"/>
        <v>3.333333333</v>
      </c>
      <c r="J23" s="35">
        <f t="shared" si="14"/>
        <v>3.333333333</v>
      </c>
      <c r="K23" s="35">
        <f t="shared" si="14"/>
        <v>3.333333333</v>
      </c>
      <c r="L23" s="35">
        <f t="shared" si="14"/>
        <v>3.333333333</v>
      </c>
      <c r="M23" s="35">
        <f t="shared" si="14"/>
        <v>3.333333333</v>
      </c>
      <c r="N23" s="35">
        <f t="shared" si="14"/>
        <v>3.333333333</v>
      </c>
      <c r="O23" s="3"/>
      <c r="P23" s="23"/>
      <c r="Q23" s="2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3"/>
      <c r="B24" s="24" t="s">
        <v>377</v>
      </c>
      <c r="C24" s="57"/>
      <c r="D24" s="30">
        <f t="shared" ref="D24:N24" si="15">ROUNDDOWN(D20/D23,0)</f>
        <v>2</v>
      </c>
      <c r="E24" s="30">
        <f t="shared" si="15"/>
        <v>4</v>
      </c>
      <c r="F24" s="30">
        <f t="shared" si="15"/>
        <v>4</v>
      </c>
      <c r="G24" s="30">
        <f t="shared" si="15"/>
        <v>4</v>
      </c>
      <c r="H24" s="30">
        <f t="shared" si="15"/>
        <v>4</v>
      </c>
      <c r="I24" s="30">
        <f t="shared" si="15"/>
        <v>4</v>
      </c>
      <c r="J24" s="30">
        <f t="shared" si="15"/>
        <v>4</v>
      </c>
      <c r="K24" s="30">
        <f t="shared" si="15"/>
        <v>4</v>
      </c>
      <c r="L24" s="30">
        <f t="shared" si="15"/>
        <v>4</v>
      </c>
      <c r="M24" s="30">
        <f t="shared" si="15"/>
        <v>4</v>
      </c>
      <c r="N24" s="30">
        <f t="shared" si="15"/>
        <v>4</v>
      </c>
      <c r="O24" s="3"/>
      <c r="P24" s="23"/>
      <c r="Q24" s="2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3"/>
      <c r="B25" s="24" t="s">
        <v>378</v>
      </c>
      <c r="C25" s="57" t="s">
        <v>379</v>
      </c>
      <c r="D25" s="35">
        <f t="shared" ref="D25:N25" si="16">4*D24*0.5</f>
        <v>4</v>
      </c>
      <c r="E25" s="35">
        <f t="shared" si="16"/>
        <v>8</v>
      </c>
      <c r="F25" s="35">
        <f t="shared" si="16"/>
        <v>8</v>
      </c>
      <c r="G25" s="35">
        <f t="shared" si="16"/>
        <v>8</v>
      </c>
      <c r="H25" s="35">
        <f t="shared" si="16"/>
        <v>8</v>
      </c>
      <c r="I25" s="35">
        <f t="shared" si="16"/>
        <v>8</v>
      </c>
      <c r="J25" s="35">
        <f t="shared" si="16"/>
        <v>8</v>
      </c>
      <c r="K25" s="35">
        <f t="shared" si="16"/>
        <v>8</v>
      </c>
      <c r="L25" s="35">
        <f t="shared" si="16"/>
        <v>8</v>
      </c>
      <c r="M25" s="35">
        <f t="shared" si="16"/>
        <v>8</v>
      </c>
      <c r="N25" s="35">
        <f t="shared" si="16"/>
        <v>8</v>
      </c>
      <c r="O25" s="3"/>
      <c r="P25" s="23"/>
      <c r="Q25" s="2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3"/>
      <c r="B26" s="24" t="s">
        <v>380</v>
      </c>
      <c r="C26" s="57"/>
      <c r="D26" s="35">
        <f t="shared" ref="D26:N26" si="17">D18*D25*(1-D21)</f>
        <v>7.6544</v>
      </c>
      <c r="E26" s="35">
        <f t="shared" si="17"/>
        <v>10.20586667</v>
      </c>
      <c r="F26" s="35">
        <f t="shared" si="17"/>
        <v>10.20586667</v>
      </c>
      <c r="G26" s="35">
        <f t="shared" si="17"/>
        <v>10.20586667</v>
      </c>
      <c r="H26" s="35">
        <f t="shared" si="17"/>
        <v>10.20586667</v>
      </c>
      <c r="I26" s="35">
        <f t="shared" si="17"/>
        <v>10.20586667</v>
      </c>
      <c r="J26" s="35">
        <f t="shared" si="17"/>
        <v>10.20586667</v>
      </c>
      <c r="K26" s="35">
        <f t="shared" si="17"/>
        <v>10.20586667</v>
      </c>
      <c r="L26" s="35">
        <f t="shared" si="17"/>
        <v>10.20586667</v>
      </c>
      <c r="M26" s="35">
        <f t="shared" si="17"/>
        <v>10.20586667</v>
      </c>
      <c r="N26" s="35">
        <f t="shared" si="17"/>
        <v>10.20586667</v>
      </c>
      <c r="O26" s="3"/>
      <c r="P26" s="23"/>
      <c r="Q26" s="2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3"/>
      <c r="B27" s="8"/>
      <c r="C27" s="56"/>
      <c r="D27" s="28"/>
      <c r="E27" s="8"/>
      <c r="F27" s="8"/>
      <c r="G27" s="8"/>
      <c r="H27" s="8"/>
      <c r="I27" s="8"/>
      <c r="J27" s="8"/>
      <c r="K27" s="8"/>
      <c r="L27" s="8"/>
      <c r="M27" s="8"/>
      <c r="N27" s="8"/>
      <c r="O27" s="3"/>
      <c r="P27" s="23"/>
      <c r="Q27" s="2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/>
      <c r="B28" s="20" t="s">
        <v>381</v>
      </c>
      <c r="C28" s="56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3"/>
      <c r="P28" s="23"/>
      <c r="Q28" s="2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3"/>
      <c r="B29" s="24" t="s">
        <v>382</v>
      </c>
      <c r="C29" s="57" t="s">
        <v>86</v>
      </c>
      <c r="D29" s="29">
        <f>5000/1.12</f>
        <v>4464.285714</v>
      </c>
      <c r="E29" s="30">
        <f t="shared" ref="E29:N29" si="18">D29</f>
        <v>4464.285714</v>
      </c>
      <c r="F29" s="30">
        <f t="shared" si="18"/>
        <v>4464.285714</v>
      </c>
      <c r="G29" s="30">
        <f t="shared" si="18"/>
        <v>4464.285714</v>
      </c>
      <c r="H29" s="30">
        <f t="shared" si="18"/>
        <v>4464.285714</v>
      </c>
      <c r="I29" s="30">
        <f t="shared" si="18"/>
        <v>4464.285714</v>
      </c>
      <c r="J29" s="30">
        <f t="shared" si="18"/>
        <v>4464.285714</v>
      </c>
      <c r="K29" s="30">
        <f t="shared" si="18"/>
        <v>4464.285714</v>
      </c>
      <c r="L29" s="30">
        <f t="shared" si="18"/>
        <v>4464.285714</v>
      </c>
      <c r="M29" s="30">
        <f t="shared" si="18"/>
        <v>4464.285714</v>
      </c>
      <c r="N29" s="30">
        <f t="shared" si="18"/>
        <v>4464.285714</v>
      </c>
      <c r="O29" s="3"/>
      <c r="P29" s="23"/>
      <c r="Q29" s="2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3"/>
      <c r="B30" s="24" t="s">
        <v>383</v>
      </c>
      <c r="C30" s="57" t="s">
        <v>86</v>
      </c>
      <c r="D30" s="29">
        <f>100/1.12</f>
        <v>89.28571429</v>
      </c>
      <c r="E30" s="30">
        <f t="shared" ref="E30:N30" si="19">D30</f>
        <v>89.28571429</v>
      </c>
      <c r="F30" s="30">
        <f t="shared" si="19"/>
        <v>89.28571429</v>
      </c>
      <c r="G30" s="30">
        <f t="shared" si="19"/>
        <v>89.28571429</v>
      </c>
      <c r="H30" s="30">
        <f t="shared" si="19"/>
        <v>89.28571429</v>
      </c>
      <c r="I30" s="30">
        <f t="shared" si="19"/>
        <v>89.28571429</v>
      </c>
      <c r="J30" s="30">
        <f t="shared" si="19"/>
        <v>89.28571429</v>
      </c>
      <c r="K30" s="30">
        <f t="shared" si="19"/>
        <v>89.28571429</v>
      </c>
      <c r="L30" s="30">
        <f t="shared" si="19"/>
        <v>89.28571429</v>
      </c>
      <c r="M30" s="30">
        <f t="shared" si="19"/>
        <v>89.28571429</v>
      </c>
      <c r="N30" s="30">
        <f t="shared" si="19"/>
        <v>89.28571429</v>
      </c>
      <c r="O30" s="3"/>
      <c r="P30" s="23"/>
      <c r="Q30" s="2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3"/>
      <c r="B31" s="24" t="s">
        <v>384</v>
      </c>
      <c r="C31" s="57" t="s">
        <v>86</v>
      </c>
      <c r="D31" s="29">
        <f>200/1.12</f>
        <v>178.5714286</v>
      </c>
      <c r="E31" s="30">
        <f t="shared" ref="E31:N31" si="20">D31</f>
        <v>178.5714286</v>
      </c>
      <c r="F31" s="30">
        <f t="shared" si="20"/>
        <v>178.5714286</v>
      </c>
      <c r="G31" s="30">
        <f t="shared" si="20"/>
        <v>178.5714286</v>
      </c>
      <c r="H31" s="30">
        <f t="shared" si="20"/>
        <v>178.5714286</v>
      </c>
      <c r="I31" s="30">
        <f t="shared" si="20"/>
        <v>178.5714286</v>
      </c>
      <c r="J31" s="30">
        <f t="shared" si="20"/>
        <v>178.5714286</v>
      </c>
      <c r="K31" s="30">
        <f t="shared" si="20"/>
        <v>178.5714286</v>
      </c>
      <c r="L31" s="30">
        <f t="shared" si="20"/>
        <v>178.5714286</v>
      </c>
      <c r="M31" s="30">
        <f t="shared" si="20"/>
        <v>178.5714286</v>
      </c>
      <c r="N31" s="30">
        <f t="shared" si="20"/>
        <v>178.5714286</v>
      </c>
      <c r="O31" s="3"/>
      <c r="P31" s="23"/>
      <c r="Q31" s="23"/>
      <c r="R31" s="3"/>
      <c r="S31" s="3"/>
      <c r="T31" s="3"/>
      <c r="U31" s="3"/>
      <c r="V31" s="3"/>
      <c r="W31" s="3"/>
      <c r="X31" s="3"/>
      <c r="Y31" s="3"/>
      <c r="Z31" s="3"/>
    </row>
    <row r="32" ht="15.0" hidden="1" customHeight="1">
      <c r="A32" s="3"/>
      <c r="B32" s="24" t="s">
        <v>385</v>
      </c>
      <c r="C32" s="57" t="s">
        <v>86</v>
      </c>
      <c r="D32" s="29">
        <v>0.0</v>
      </c>
      <c r="E32" s="30">
        <f t="shared" ref="E32:N32" si="21">D32</f>
        <v>0</v>
      </c>
      <c r="F32" s="30">
        <f t="shared" si="21"/>
        <v>0</v>
      </c>
      <c r="G32" s="30">
        <f t="shared" si="21"/>
        <v>0</v>
      </c>
      <c r="H32" s="30">
        <f t="shared" si="21"/>
        <v>0</v>
      </c>
      <c r="I32" s="30">
        <f t="shared" si="21"/>
        <v>0</v>
      </c>
      <c r="J32" s="30">
        <f t="shared" si="21"/>
        <v>0</v>
      </c>
      <c r="K32" s="30">
        <f t="shared" si="21"/>
        <v>0</v>
      </c>
      <c r="L32" s="30">
        <f t="shared" si="21"/>
        <v>0</v>
      </c>
      <c r="M32" s="30">
        <f t="shared" si="21"/>
        <v>0</v>
      </c>
      <c r="N32" s="30">
        <f t="shared" si="21"/>
        <v>0</v>
      </c>
      <c r="O32" s="3"/>
      <c r="P32" s="23"/>
      <c r="Q32" s="23"/>
      <c r="R32" s="3"/>
      <c r="S32" s="3"/>
      <c r="T32" s="3"/>
      <c r="U32" s="3"/>
      <c r="V32" s="3"/>
      <c r="W32" s="3"/>
      <c r="X32" s="3"/>
      <c r="Y32" s="3"/>
      <c r="Z32" s="3"/>
    </row>
    <row r="33" ht="15.0" hidden="1" customHeight="1">
      <c r="A33" s="3"/>
      <c r="B33" s="24" t="s">
        <v>386</v>
      </c>
      <c r="C33" s="57" t="s">
        <v>86</v>
      </c>
      <c r="D33" s="29">
        <v>0.0</v>
      </c>
      <c r="E33" s="30">
        <f t="shared" ref="E33:N33" si="22">D33</f>
        <v>0</v>
      </c>
      <c r="F33" s="30">
        <f t="shared" si="22"/>
        <v>0</v>
      </c>
      <c r="G33" s="30">
        <f t="shared" si="22"/>
        <v>0</v>
      </c>
      <c r="H33" s="30">
        <f t="shared" si="22"/>
        <v>0</v>
      </c>
      <c r="I33" s="30">
        <f t="shared" si="22"/>
        <v>0</v>
      </c>
      <c r="J33" s="30">
        <f t="shared" si="22"/>
        <v>0</v>
      </c>
      <c r="K33" s="30">
        <f t="shared" si="22"/>
        <v>0</v>
      </c>
      <c r="L33" s="30">
        <f t="shared" si="22"/>
        <v>0</v>
      </c>
      <c r="M33" s="30">
        <f t="shared" si="22"/>
        <v>0</v>
      </c>
      <c r="N33" s="30">
        <f t="shared" si="22"/>
        <v>0</v>
      </c>
      <c r="O33" s="3"/>
      <c r="P33" s="23"/>
      <c r="Q33" s="23"/>
      <c r="R33" s="3"/>
      <c r="S33" s="3"/>
      <c r="T33" s="3"/>
      <c r="U33" s="3"/>
      <c r="V33" s="3"/>
      <c r="W33" s="3"/>
      <c r="X33" s="3"/>
      <c r="Y33" s="3"/>
      <c r="Z33" s="3"/>
    </row>
    <row r="34" ht="15.75" hidden="1" customHeight="1">
      <c r="A34" s="3"/>
      <c r="B34" s="24" t="s">
        <v>387</v>
      </c>
      <c r="C34" s="57" t="s">
        <v>86</v>
      </c>
      <c r="D34" s="29">
        <v>0.0</v>
      </c>
      <c r="E34" s="30">
        <f t="shared" ref="E34:N34" si="23">D34</f>
        <v>0</v>
      </c>
      <c r="F34" s="30">
        <f t="shared" si="23"/>
        <v>0</v>
      </c>
      <c r="G34" s="30">
        <f t="shared" si="23"/>
        <v>0</v>
      </c>
      <c r="H34" s="30">
        <f t="shared" si="23"/>
        <v>0</v>
      </c>
      <c r="I34" s="30">
        <f t="shared" si="23"/>
        <v>0</v>
      </c>
      <c r="J34" s="30">
        <f t="shared" si="23"/>
        <v>0</v>
      </c>
      <c r="K34" s="30">
        <f t="shared" si="23"/>
        <v>0</v>
      </c>
      <c r="L34" s="30">
        <f t="shared" si="23"/>
        <v>0</v>
      </c>
      <c r="M34" s="30">
        <f t="shared" si="23"/>
        <v>0</v>
      </c>
      <c r="N34" s="30">
        <f t="shared" si="23"/>
        <v>0</v>
      </c>
      <c r="O34" s="3"/>
      <c r="P34" s="23"/>
      <c r="Q34" s="23"/>
      <c r="R34" s="3"/>
      <c r="S34" s="3"/>
      <c r="T34" s="3"/>
      <c r="U34" s="3"/>
      <c r="V34" s="3"/>
      <c r="W34" s="3"/>
      <c r="X34" s="3"/>
      <c r="Y34" s="3"/>
      <c r="Z34" s="3"/>
    </row>
    <row r="35" ht="15.0" hidden="1" customHeight="1">
      <c r="A35" s="3"/>
      <c r="B35" s="24" t="s">
        <v>388</v>
      </c>
      <c r="C35" s="57" t="s">
        <v>86</v>
      </c>
      <c r="D35" s="29">
        <v>0.0</v>
      </c>
      <c r="E35" s="30">
        <f t="shared" ref="E35:N35" si="24">D35</f>
        <v>0</v>
      </c>
      <c r="F35" s="30">
        <f t="shared" si="24"/>
        <v>0</v>
      </c>
      <c r="G35" s="30">
        <f t="shared" si="24"/>
        <v>0</v>
      </c>
      <c r="H35" s="30">
        <f t="shared" si="24"/>
        <v>0</v>
      </c>
      <c r="I35" s="30">
        <f t="shared" si="24"/>
        <v>0</v>
      </c>
      <c r="J35" s="30">
        <f t="shared" si="24"/>
        <v>0</v>
      </c>
      <c r="K35" s="30">
        <f t="shared" si="24"/>
        <v>0</v>
      </c>
      <c r="L35" s="30">
        <f t="shared" si="24"/>
        <v>0</v>
      </c>
      <c r="M35" s="30">
        <f t="shared" si="24"/>
        <v>0</v>
      </c>
      <c r="N35" s="30">
        <f t="shared" si="24"/>
        <v>0</v>
      </c>
      <c r="O35" s="3"/>
      <c r="P35" s="23"/>
      <c r="Q35" s="2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/>
      <c r="B36" s="23"/>
      <c r="C36" s="57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3"/>
      <c r="P36" s="23"/>
      <c r="Q36" s="2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20" t="s">
        <v>128</v>
      </c>
      <c r="C37" s="55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3"/>
      <c r="P37" s="23"/>
      <c r="Q37" s="2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20" t="s">
        <v>130</v>
      </c>
      <c r="C38" s="57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3"/>
      <c r="P38" s="23"/>
      <c r="Q38" s="2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24" t="s">
        <v>131</v>
      </c>
      <c r="C39" s="59">
        <v>0.1</v>
      </c>
      <c r="D39" s="28"/>
      <c r="E39" s="8"/>
      <c r="F39" s="8"/>
      <c r="G39" s="8"/>
      <c r="H39" s="8"/>
      <c r="I39" s="8"/>
      <c r="J39" s="8"/>
      <c r="K39" s="8"/>
      <c r="L39" s="8"/>
      <c r="M39" s="8"/>
      <c r="N39" s="8"/>
      <c r="O39" s="3"/>
      <c r="P39" s="23"/>
      <c r="Q39" s="2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24" t="s">
        <v>389</v>
      </c>
      <c r="C40" s="57" t="s">
        <v>390</v>
      </c>
      <c r="D40" s="29">
        <v>0.0</v>
      </c>
      <c r="E40" s="30">
        <f t="shared" ref="E40:N40" si="25">D40</f>
        <v>0</v>
      </c>
      <c r="F40" s="30">
        <f t="shared" si="25"/>
        <v>0</v>
      </c>
      <c r="G40" s="30">
        <f t="shared" si="25"/>
        <v>0</v>
      </c>
      <c r="H40" s="30">
        <f t="shared" si="25"/>
        <v>0</v>
      </c>
      <c r="I40" s="30">
        <f t="shared" si="25"/>
        <v>0</v>
      </c>
      <c r="J40" s="30">
        <f t="shared" si="25"/>
        <v>0</v>
      </c>
      <c r="K40" s="30">
        <f t="shared" si="25"/>
        <v>0</v>
      </c>
      <c r="L40" s="30">
        <f t="shared" si="25"/>
        <v>0</v>
      </c>
      <c r="M40" s="30">
        <f t="shared" si="25"/>
        <v>0</v>
      </c>
      <c r="N40" s="30">
        <f t="shared" si="25"/>
        <v>0</v>
      </c>
      <c r="O40" s="3"/>
      <c r="P40" s="23"/>
      <c r="Q40" s="2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/>
      <c r="B41" s="24" t="s">
        <v>391</v>
      </c>
      <c r="C41" s="57" t="s">
        <v>390</v>
      </c>
      <c r="D41" s="29">
        <v>0.0</v>
      </c>
      <c r="E41" s="30">
        <f t="shared" ref="E41:N41" si="26">D41</f>
        <v>0</v>
      </c>
      <c r="F41" s="30">
        <f t="shared" si="26"/>
        <v>0</v>
      </c>
      <c r="G41" s="30">
        <f t="shared" si="26"/>
        <v>0</v>
      </c>
      <c r="H41" s="30">
        <f t="shared" si="26"/>
        <v>0</v>
      </c>
      <c r="I41" s="30">
        <f t="shared" si="26"/>
        <v>0</v>
      </c>
      <c r="J41" s="30">
        <f t="shared" si="26"/>
        <v>0</v>
      </c>
      <c r="K41" s="30">
        <f t="shared" si="26"/>
        <v>0</v>
      </c>
      <c r="L41" s="30">
        <f t="shared" si="26"/>
        <v>0</v>
      </c>
      <c r="M41" s="30">
        <f t="shared" si="26"/>
        <v>0</v>
      </c>
      <c r="N41" s="30">
        <f t="shared" si="26"/>
        <v>0</v>
      </c>
      <c r="O41" s="3"/>
      <c r="P41" s="23"/>
      <c r="Q41" s="2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/>
      <c r="B42" s="60" t="s">
        <v>392</v>
      </c>
      <c r="C42" s="52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3"/>
      <c r="P42" s="23"/>
      <c r="Q42" s="2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24" t="s">
        <v>133</v>
      </c>
      <c r="C43" s="57" t="s">
        <v>134</v>
      </c>
      <c r="D43" s="29">
        <v>2.0</v>
      </c>
      <c r="E43" s="42">
        <f t="shared" ref="E43:N43" si="27">D43*(1+$C$39)</f>
        <v>2.2</v>
      </c>
      <c r="F43" s="42">
        <f t="shared" si="27"/>
        <v>2.42</v>
      </c>
      <c r="G43" s="42">
        <f t="shared" si="27"/>
        <v>2.662</v>
      </c>
      <c r="H43" s="42">
        <f t="shared" si="27"/>
        <v>2.9282</v>
      </c>
      <c r="I43" s="42">
        <f t="shared" si="27"/>
        <v>3.22102</v>
      </c>
      <c r="J43" s="42">
        <f t="shared" si="27"/>
        <v>3.543122</v>
      </c>
      <c r="K43" s="42">
        <f t="shared" si="27"/>
        <v>3.8974342</v>
      </c>
      <c r="L43" s="42">
        <f t="shared" si="27"/>
        <v>4.28717762</v>
      </c>
      <c r="M43" s="42">
        <f t="shared" si="27"/>
        <v>4.715895382</v>
      </c>
      <c r="N43" s="42">
        <f t="shared" si="27"/>
        <v>5.18748492</v>
      </c>
      <c r="O43" s="3"/>
      <c r="P43" s="23"/>
      <c r="Q43" s="2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24"/>
      <c r="C44" s="57" t="s">
        <v>123</v>
      </c>
      <c r="D44" s="43">
        <v>108250.0</v>
      </c>
      <c r="E44" s="30">
        <f>D44*(1+'MC Drivers (NRD)'!E89)</f>
        <v>113662.5</v>
      </c>
      <c r="F44" s="30">
        <f>E44*(1+'MC Drivers (NRD)'!F89)</f>
        <v>119345.625</v>
      </c>
      <c r="G44" s="30">
        <f>F44*(1+'MC Drivers (NRD)'!G89)</f>
        <v>125312.9063</v>
      </c>
      <c r="H44" s="30">
        <f>G44*(1+'MC Drivers (NRD)'!H89)</f>
        <v>131578.5516</v>
      </c>
      <c r="I44" s="30">
        <f>H44*(1+'MC Drivers (NRD)'!I89)</f>
        <v>138157.4791</v>
      </c>
      <c r="J44" s="30">
        <f>I44*(1+'MC Drivers (NRD)'!J89)</f>
        <v>145065.3531</v>
      </c>
      <c r="K44" s="30">
        <f>J44*(1+'MC Drivers (NRD)'!K89)</f>
        <v>152318.6208</v>
      </c>
      <c r="L44" s="30">
        <f>K44*(1+'MC Drivers (NRD)'!L89)</f>
        <v>159934.5518</v>
      </c>
      <c r="M44" s="30">
        <f>L44*(1+'MC Drivers (NRD)'!M89)</f>
        <v>167931.2794</v>
      </c>
      <c r="N44" s="30">
        <f>M44*(1+'MC Drivers (NRD)'!N89)</f>
        <v>176327.8433</v>
      </c>
      <c r="O44" s="3"/>
      <c r="P44" s="23"/>
      <c r="Q44" s="2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24"/>
      <c r="C45" s="61">
        <v>13.0</v>
      </c>
      <c r="D45" s="30">
        <f t="shared" ref="D45:N45" si="28">D43*D44*$C45</f>
        <v>2814500</v>
      </c>
      <c r="E45" s="30">
        <f t="shared" si="28"/>
        <v>3250747.5</v>
      </c>
      <c r="F45" s="30">
        <f t="shared" si="28"/>
        <v>3754613.363</v>
      </c>
      <c r="G45" s="30">
        <f t="shared" si="28"/>
        <v>4336578.434</v>
      </c>
      <c r="H45" s="30">
        <f t="shared" si="28"/>
        <v>5008748.091</v>
      </c>
      <c r="I45" s="30">
        <f t="shared" si="28"/>
        <v>5785104.045</v>
      </c>
      <c r="J45" s="30">
        <f t="shared" si="28"/>
        <v>6681795.172</v>
      </c>
      <c r="K45" s="30">
        <f t="shared" si="28"/>
        <v>7717473.424</v>
      </c>
      <c r="L45" s="30">
        <f t="shared" si="28"/>
        <v>8913681.804</v>
      </c>
      <c r="M45" s="30">
        <f t="shared" si="28"/>
        <v>10295302.48</v>
      </c>
      <c r="N45" s="30">
        <f t="shared" si="28"/>
        <v>11891074.37</v>
      </c>
      <c r="O45" s="3"/>
      <c r="P45" s="23"/>
      <c r="Q45" s="2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/>
      <c r="B46" s="24" t="s">
        <v>135</v>
      </c>
      <c r="C46" s="57" t="s">
        <v>134</v>
      </c>
      <c r="D46" s="29">
        <v>1.0</v>
      </c>
      <c r="E46" s="42">
        <f t="shared" ref="E46:N46" si="29">D46*(1+$C$39)</f>
        <v>1.1</v>
      </c>
      <c r="F46" s="42">
        <f t="shared" si="29"/>
        <v>1.21</v>
      </c>
      <c r="G46" s="42">
        <f t="shared" si="29"/>
        <v>1.331</v>
      </c>
      <c r="H46" s="42">
        <f t="shared" si="29"/>
        <v>1.4641</v>
      </c>
      <c r="I46" s="42">
        <f t="shared" si="29"/>
        <v>1.61051</v>
      </c>
      <c r="J46" s="42">
        <f t="shared" si="29"/>
        <v>1.771561</v>
      </c>
      <c r="K46" s="42">
        <f t="shared" si="29"/>
        <v>1.9487171</v>
      </c>
      <c r="L46" s="42">
        <f t="shared" si="29"/>
        <v>2.14358881</v>
      </c>
      <c r="M46" s="42">
        <f t="shared" si="29"/>
        <v>2.357947691</v>
      </c>
      <c r="N46" s="42">
        <f t="shared" si="29"/>
        <v>2.59374246</v>
      </c>
      <c r="O46" s="3"/>
      <c r="P46" s="23"/>
      <c r="Q46" s="2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/>
      <c r="B47" s="24"/>
      <c r="C47" s="57" t="s">
        <v>123</v>
      </c>
      <c r="D47" s="43">
        <v>25646.0</v>
      </c>
      <c r="E47" s="30">
        <f>D47*(1+'MC Drivers (NRD)'!E89)</f>
        <v>26928.3</v>
      </c>
      <c r="F47" s="30">
        <f>E47*(1+'MC Drivers (NRD)'!F89)</f>
        <v>28274.715</v>
      </c>
      <c r="G47" s="30">
        <f>F47*(1+'MC Drivers (NRD)'!G89)</f>
        <v>29688.45075</v>
      </c>
      <c r="H47" s="30">
        <f>G47*(1+'MC Drivers (NRD)'!H89)</f>
        <v>31172.87329</v>
      </c>
      <c r="I47" s="30">
        <f>H47*(1+'MC Drivers (NRD)'!I89)</f>
        <v>32731.51695</v>
      </c>
      <c r="J47" s="30">
        <f>I47*(1+'MC Drivers (NRD)'!J89)</f>
        <v>34368.0928</v>
      </c>
      <c r="K47" s="30">
        <f>J47*(1+'MC Drivers (NRD)'!K89)</f>
        <v>36086.49744</v>
      </c>
      <c r="L47" s="30">
        <f>K47*(1+'MC Drivers (NRD)'!L89)</f>
        <v>37890.82231</v>
      </c>
      <c r="M47" s="30">
        <f>L47*(1+'MC Drivers (NRD)'!M89)</f>
        <v>39785.36343</v>
      </c>
      <c r="N47" s="30">
        <f>M47*(1+'MC Drivers (NRD)'!N89)</f>
        <v>41774.6316</v>
      </c>
      <c r="O47" s="3"/>
      <c r="P47" s="23"/>
      <c r="Q47" s="2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/>
      <c r="B48" s="24"/>
      <c r="C48" s="61">
        <v>13.0</v>
      </c>
      <c r="D48" s="30">
        <f t="shared" ref="D48:N48" si="30">D46*D47*$C48</f>
        <v>333398</v>
      </c>
      <c r="E48" s="30">
        <f t="shared" si="30"/>
        <v>385074.69</v>
      </c>
      <c r="F48" s="30">
        <f t="shared" si="30"/>
        <v>444761.267</v>
      </c>
      <c r="G48" s="30">
        <f t="shared" si="30"/>
        <v>513699.2633</v>
      </c>
      <c r="H48" s="30">
        <f t="shared" si="30"/>
        <v>593322.6491</v>
      </c>
      <c r="I48" s="30">
        <f t="shared" si="30"/>
        <v>685287.6598</v>
      </c>
      <c r="J48" s="30">
        <f t="shared" si="30"/>
        <v>791507.247</v>
      </c>
      <c r="K48" s="30">
        <f t="shared" si="30"/>
        <v>914190.8703</v>
      </c>
      <c r="L48" s="30">
        <f t="shared" si="30"/>
        <v>1055890.455</v>
      </c>
      <c r="M48" s="30">
        <f t="shared" si="30"/>
        <v>1219553.476</v>
      </c>
      <c r="N48" s="30">
        <f t="shared" si="30"/>
        <v>1408584.265</v>
      </c>
      <c r="O48" s="3"/>
      <c r="P48" s="23"/>
      <c r="Q48" s="2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3"/>
      <c r="B49" s="24" t="s">
        <v>136</v>
      </c>
      <c r="C49" s="57" t="s">
        <v>134</v>
      </c>
      <c r="D49" s="29">
        <v>2.0</v>
      </c>
      <c r="E49" s="42">
        <f t="shared" ref="E49:N49" si="31">D49*(1+$C$39)</f>
        <v>2.2</v>
      </c>
      <c r="F49" s="42">
        <f t="shared" si="31"/>
        <v>2.42</v>
      </c>
      <c r="G49" s="42">
        <f t="shared" si="31"/>
        <v>2.662</v>
      </c>
      <c r="H49" s="42">
        <f t="shared" si="31"/>
        <v>2.9282</v>
      </c>
      <c r="I49" s="42">
        <f t="shared" si="31"/>
        <v>3.22102</v>
      </c>
      <c r="J49" s="42">
        <f t="shared" si="31"/>
        <v>3.543122</v>
      </c>
      <c r="K49" s="42">
        <f t="shared" si="31"/>
        <v>3.8974342</v>
      </c>
      <c r="L49" s="42">
        <f t="shared" si="31"/>
        <v>4.28717762</v>
      </c>
      <c r="M49" s="42">
        <f t="shared" si="31"/>
        <v>4.715895382</v>
      </c>
      <c r="N49" s="42">
        <f t="shared" si="31"/>
        <v>5.18748492</v>
      </c>
      <c r="O49" s="3"/>
      <c r="P49" s="23"/>
      <c r="Q49" s="2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3"/>
      <c r="B50" s="24"/>
      <c r="C50" s="57" t="s">
        <v>123</v>
      </c>
      <c r="D50" s="43">
        <v>29040.0</v>
      </c>
      <c r="E50" s="30">
        <f>D50*(1+'MC Drivers (NRD)'!E89)</f>
        <v>30492</v>
      </c>
      <c r="F50" s="30">
        <f>E50*(1+'MC Drivers (NRD)'!F89)</f>
        <v>32016.6</v>
      </c>
      <c r="G50" s="30">
        <f>F50*(1+'MC Drivers (NRD)'!G89)</f>
        <v>33617.43</v>
      </c>
      <c r="H50" s="30">
        <f>G50*(1+'MC Drivers (NRD)'!H89)</f>
        <v>35298.3015</v>
      </c>
      <c r="I50" s="30">
        <f>H50*(1+'MC Drivers (NRD)'!I89)</f>
        <v>37063.21658</v>
      </c>
      <c r="J50" s="30">
        <f>I50*(1+'MC Drivers (NRD)'!J89)</f>
        <v>38916.3774</v>
      </c>
      <c r="K50" s="30">
        <f>J50*(1+'MC Drivers (NRD)'!K89)</f>
        <v>40862.19627</v>
      </c>
      <c r="L50" s="30">
        <f>K50*(1+'MC Drivers (NRD)'!L89)</f>
        <v>42905.30609</v>
      </c>
      <c r="M50" s="30">
        <f>L50*(1+'MC Drivers (NRD)'!M89)</f>
        <v>45050.57139</v>
      </c>
      <c r="N50" s="30">
        <f>M50*(1+'MC Drivers (NRD)'!N89)</f>
        <v>47303.09996</v>
      </c>
      <c r="O50" s="3"/>
      <c r="P50" s="23"/>
      <c r="Q50" s="2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3"/>
      <c r="B51" s="24"/>
      <c r="C51" s="61">
        <v>13.0</v>
      </c>
      <c r="D51" s="30">
        <f t="shared" ref="D51:N51" si="32">D49*D50*$C51</f>
        <v>755040</v>
      </c>
      <c r="E51" s="30">
        <f t="shared" si="32"/>
        <v>872071.2</v>
      </c>
      <c r="F51" s="30">
        <f t="shared" si="32"/>
        <v>1007242.236</v>
      </c>
      <c r="G51" s="30">
        <f t="shared" si="32"/>
        <v>1163364.783</v>
      </c>
      <c r="H51" s="30">
        <f t="shared" si="32"/>
        <v>1343686.324</v>
      </c>
      <c r="I51" s="30">
        <f t="shared" si="32"/>
        <v>1551957.704</v>
      </c>
      <c r="J51" s="30">
        <f t="shared" si="32"/>
        <v>1792511.148</v>
      </c>
      <c r="K51" s="30">
        <f t="shared" si="32"/>
        <v>2070350.376</v>
      </c>
      <c r="L51" s="30">
        <f t="shared" si="32"/>
        <v>2391254.684</v>
      </c>
      <c r="M51" s="30">
        <f t="shared" si="32"/>
        <v>2761899.161</v>
      </c>
      <c r="N51" s="30">
        <f t="shared" si="32"/>
        <v>3189993.53</v>
      </c>
      <c r="O51" s="3"/>
      <c r="P51" s="23"/>
      <c r="Q51" s="2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3"/>
      <c r="B52" s="24" t="s">
        <v>137</v>
      </c>
      <c r="C52" s="57" t="s">
        <v>134</v>
      </c>
      <c r="D52" s="29">
        <v>2.0</v>
      </c>
      <c r="E52" s="42">
        <f t="shared" ref="E52:N52" si="33">D52*(1+$C$39)</f>
        <v>2.2</v>
      </c>
      <c r="F52" s="42">
        <f t="shared" si="33"/>
        <v>2.42</v>
      </c>
      <c r="G52" s="42">
        <f t="shared" si="33"/>
        <v>2.662</v>
      </c>
      <c r="H52" s="42">
        <f t="shared" si="33"/>
        <v>2.9282</v>
      </c>
      <c r="I52" s="42">
        <f t="shared" si="33"/>
        <v>3.22102</v>
      </c>
      <c r="J52" s="42">
        <f t="shared" si="33"/>
        <v>3.543122</v>
      </c>
      <c r="K52" s="42">
        <f t="shared" si="33"/>
        <v>3.8974342</v>
      </c>
      <c r="L52" s="42">
        <f t="shared" si="33"/>
        <v>4.28717762</v>
      </c>
      <c r="M52" s="42">
        <f t="shared" si="33"/>
        <v>4.715895382</v>
      </c>
      <c r="N52" s="42">
        <f t="shared" si="33"/>
        <v>5.18748492</v>
      </c>
      <c r="O52" s="3"/>
      <c r="P52" s="23"/>
      <c r="Q52" s="2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3"/>
      <c r="B53" s="24"/>
      <c r="C53" s="57" t="s">
        <v>123</v>
      </c>
      <c r="D53" s="43">
        <v>30208.0</v>
      </c>
      <c r="E53" s="30">
        <f>D53*(1+'MC Drivers (NRD)'!E89)</f>
        <v>31718.4</v>
      </c>
      <c r="F53" s="30">
        <f>E53*(1+'MC Drivers (NRD)'!F89)</f>
        <v>33304.32</v>
      </c>
      <c r="G53" s="30">
        <f>F53*(1+'MC Drivers (NRD)'!G89)</f>
        <v>34969.536</v>
      </c>
      <c r="H53" s="30">
        <f>G53*(1+'MC Drivers (NRD)'!H89)</f>
        <v>36718.0128</v>
      </c>
      <c r="I53" s="30">
        <f>H53*(1+'MC Drivers (NRD)'!I89)</f>
        <v>38553.91344</v>
      </c>
      <c r="J53" s="30">
        <f>I53*(1+'MC Drivers (NRD)'!J89)</f>
        <v>40481.60911</v>
      </c>
      <c r="K53" s="30">
        <f>J53*(1+'MC Drivers (NRD)'!K89)</f>
        <v>42505.68957</v>
      </c>
      <c r="L53" s="30">
        <f>K53*(1+'MC Drivers (NRD)'!L89)</f>
        <v>44630.97405</v>
      </c>
      <c r="M53" s="30">
        <f>L53*(1+'MC Drivers (NRD)'!M89)</f>
        <v>46862.52275</v>
      </c>
      <c r="N53" s="30">
        <f>M53*(1+'MC Drivers (NRD)'!N89)</f>
        <v>49205.64889</v>
      </c>
      <c r="O53" s="3"/>
      <c r="P53" s="23"/>
      <c r="Q53" s="2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3"/>
      <c r="B54" s="24"/>
      <c r="C54" s="61">
        <v>13.0</v>
      </c>
      <c r="D54" s="30">
        <f t="shared" ref="D54:N54" si="34">D52*D53*$C54</f>
        <v>785408</v>
      </c>
      <c r="E54" s="30">
        <f t="shared" si="34"/>
        <v>907146.24</v>
      </c>
      <c r="F54" s="30">
        <f t="shared" si="34"/>
        <v>1047753.907</v>
      </c>
      <c r="G54" s="30">
        <f t="shared" si="34"/>
        <v>1210155.763</v>
      </c>
      <c r="H54" s="30">
        <f t="shared" si="34"/>
        <v>1397729.906</v>
      </c>
      <c r="I54" s="30">
        <f t="shared" si="34"/>
        <v>1614378.041</v>
      </c>
      <c r="J54" s="30">
        <f t="shared" si="34"/>
        <v>1864606.638</v>
      </c>
      <c r="K54" s="30">
        <f t="shared" si="34"/>
        <v>2153620.667</v>
      </c>
      <c r="L54" s="30">
        <f t="shared" si="34"/>
        <v>2487431.87</v>
      </c>
      <c r="M54" s="30">
        <f t="shared" si="34"/>
        <v>2872983.81</v>
      </c>
      <c r="N54" s="30">
        <f t="shared" si="34"/>
        <v>3318296.301</v>
      </c>
      <c r="O54" s="3"/>
      <c r="P54" s="23"/>
      <c r="Q54" s="2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3"/>
      <c r="B55" s="24" t="s">
        <v>138</v>
      </c>
      <c r="C55" s="57" t="s">
        <v>134</v>
      </c>
      <c r="D55" s="29">
        <v>7.0</v>
      </c>
      <c r="E55" s="42">
        <f t="shared" ref="E55:N55" si="35">D55*(1+$C$39)</f>
        <v>7.7</v>
      </c>
      <c r="F55" s="42">
        <f t="shared" si="35"/>
        <v>8.47</v>
      </c>
      <c r="G55" s="42">
        <f t="shared" si="35"/>
        <v>9.317</v>
      </c>
      <c r="H55" s="42">
        <f t="shared" si="35"/>
        <v>10.2487</v>
      </c>
      <c r="I55" s="42">
        <f t="shared" si="35"/>
        <v>11.27357</v>
      </c>
      <c r="J55" s="42">
        <f t="shared" si="35"/>
        <v>12.400927</v>
      </c>
      <c r="K55" s="42">
        <f t="shared" si="35"/>
        <v>13.6410197</v>
      </c>
      <c r="L55" s="42">
        <f t="shared" si="35"/>
        <v>15.00512167</v>
      </c>
      <c r="M55" s="42">
        <f t="shared" si="35"/>
        <v>16.50563384</v>
      </c>
      <c r="N55" s="42">
        <f t="shared" si="35"/>
        <v>18.15619722</v>
      </c>
      <c r="O55" s="3"/>
      <c r="P55" s="23"/>
      <c r="Q55" s="2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3"/>
      <c r="B56" s="24"/>
      <c r="C56" s="57" t="s">
        <v>123</v>
      </c>
      <c r="D56" s="43">
        <v>35345.0</v>
      </c>
      <c r="E56" s="30">
        <f>D56*(1+'MC Drivers (NRD)'!E89)</f>
        <v>37112.25</v>
      </c>
      <c r="F56" s="30">
        <f>E56*(1+'MC Drivers (NRD)'!F89)</f>
        <v>38967.8625</v>
      </c>
      <c r="G56" s="30">
        <f>F56*(1+'MC Drivers (NRD)'!G89)</f>
        <v>40916.25563</v>
      </c>
      <c r="H56" s="30">
        <f>G56*(1+'MC Drivers (NRD)'!H89)</f>
        <v>42962.06841</v>
      </c>
      <c r="I56" s="30">
        <f>H56*(1+'MC Drivers (NRD)'!I89)</f>
        <v>45110.17183</v>
      </c>
      <c r="J56" s="30">
        <f>I56*(1+'MC Drivers (NRD)'!J89)</f>
        <v>47365.68042</v>
      </c>
      <c r="K56" s="30">
        <f>J56*(1+'MC Drivers (NRD)'!K89)</f>
        <v>49733.96444</v>
      </c>
      <c r="L56" s="30">
        <f>K56*(1+'MC Drivers (NRD)'!L89)</f>
        <v>52220.66266</v>
      </c>
      <c r="M56" s="30">
        <f>L56*(1+'MC Drivers (NRD)'!M89)</f>
        <v>54831.69579</v>
      </c>
      <c r="N56" s="30">
        <f>M56*(1+'MC Drivers (NRD)'!N89)</f>
        <v>57573.28058</v>
      </c>
      <c r="O56" s="3"/>
      <c r="P56" s="23"/>
      <c r="Q56" s="2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3"/>
      <c r="B57" s="24"/>
      <c r="C57" s="61">
        <v>13.0</v>
      </c>
      <c r="D57" s="30">
        <f t="shared" ref="D57:N57" si="36">D55*D56*$C57</f>
        <v>3216395</v>
      </c>
      <c r="E57" s="30">
        <f t="shared" si="36"/>
        <v>3714936.225</v>
      </c>
      <c r="F57" s="30">
        <f t="shared" si="36"/>
        <v>4290751.34</v>
      </c>
      <c r="G57" s="30">
        <f t="shared" si="36"/>
        <v>4955817.798</v>
      </c>
      <c r="H57" s="30">
        <f t="shared" si="36"/>
        <v>5723969.556</v>
      </c>
      <c r="I57" s="30">
        <f t="shared" si="36"/>
        <v>6611184.837</v>
      </c>
      <c r="J57" s="30">
        <f t="shared" si="36"/>
        <v>7635918.487</v>
      </c>
      <c r="K57" s="30">
        <f t="shared" si="36"/>
        <v>8819485.853</v>
      </c>
      <c r="L57" s="30">
        <f t="shared" si="36"/>
        <v>10186506.16</v>
      </c>
      <c r="M57" s="30">
        <f t="shared" si="36"/>
        <v>11765414.61</v>
      </c>
      <c r="N57" s="30">
        <f t="shared" si="36"/>
        <v>13589053.88</v>
      </c>
      <c r="O57" s="3"/>
      <c r="P57" s="23"/>
      <c r="Q57" s="2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3"/>
      <c r="B58" s="24" t="s">
        <v>139</v>
      </c>
      <c r="C58" s="57" t="s">
        <v>134</v>
      </c>
      <c r="D58" s="29">
        <v>5.0</v>
      </c>
      <c r="E58" s="42">
        <f t="shared" ref="E58:N58" si="37">D58*(1+$C$39)</f>
        <v>5.5</v>
      </c>
      <c r="F58" s="42">
        <f t="shared" si="37"/>
        <v>6.05</v>
      </c>
      <c r="G58" s="42">
        <f t="shared" si="37"/>
        <v>6.655</v>
      </c>
      <c r="H58" s="42">
        <f t="shared" si="37"/>
        <v>7.3205</v>
      </c>
      <c r="I58" s="42">
        <f t="shared" si="37"/>
        <v>8.05255</v>
      </c>
      <c r="J58" s="42">
        <f t="shared" si="37"/>
        <v>8.857805</v>
      </c>
      <c r="K58" s="42">
        <f t="shared" si="37"/>
        <v>9.7435855</v>
      </c>
      <c r="L58" s="42">
        <f t="shared" si="37"/>
        <v>10.71794405</v>
      </c>
      <c r="M58" s="42">
        <f t="shared" si="37"/>
        <v>11.78973846</v>
      </c>
      <c r="N58" s="42">
        <f t="shared" si="37"/>
        <v>12.9687123</v>
      </c>
      <c r="O58" s="3"/>
      <c r="P58" s="23"/>
      <c r="Q58" s="2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3"/>
      <c r="B59" s="24"/>
      <c r="C59" s="57" t="s">
        <v>123</v>
      </c>
      <c r="D59" s="43">
        <v>35345.0</v>
      </c>
      <c r="E59" s="30">
        <f>D59*(1+'MC Drivers (NRD)'!E89)</f>
        <v>37112.25</v>
      </c>
      <c r="F59" s="30">
        <f>E59*(1+'MC Drivers (NRD)'!F89)</f>
        <v>38967.8625</v>
      </c>
      <c r="G59" s="30">
        <f>F59*(1+'MC Drivers (NRD)'!G89)</f>
        <v>40916.25563</v>
      </c>
      <c r="H59" s="30">
        <f>G59*(1+'MC Drivers (NRD)'!H89)</f>
        <v>42962.06841</v>
      </c>
      <c r="I59" s="30">
        <f>H59*(1+'MC Drivers (NRD)'!I89)</f>
        <v>45110.17183</v>
      </c>
      <c r="J59" s="30">
        <f>I59*(1+'MC Drivers (NRD)'!J89)</f>
        <v>47365.68042</v>
      </c>
      <c r="K59" s="30">
        <f>J59*(1+'MC Drivers (NRD)'!K89)</f>
        <v>49733.96444</v>
      </c>
      <c r="L59" s="30">
        <f>K59*(1+'MC Drivers (NRD)'!L89)</f>
        <v>52220.66266</v>
      </c>
      <c r="M59" s="30">
        <f>L59*(1+'MC Drivers (NRD)'!M89)</f>
        <v>54831.69579</v>
      </c>
      <c r="N59" s="30">
        <f>M59*(1+'MC Drivers (NRD)'!N89)</f>
        <v>57573.28058</v>
      </c>
      <c r="O59" s="3"/>
      <c r="P59" s="23"/>
      <c r="Q59" s="2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3"/>
      <c r="B60" s="24"/>
      <c r="C60" s="61">
        <v>13.0</v>
      </c>
      <c r="D60" s="30">
        <f t="shared" ref="D60:N60" si="38">D58*D59*$C60</f>
        <v>2297425</v>
      </c>
      <c r="E60" s="30">
        <f t="shared" si="38"/>
        <v>2653525.875</v>
      </c>
      <c r="F60" s="30">
        <f t="shared" si="38"/>
        <v>3064822.386</v>
      </c>
      <c r="G60" s="30">
        <f t="shared" si="38"/>
        <v>3539869.855</v>
      </c>
      <c r="H60" s="30">
        <f t="shared" si="38"/>
        <v>4088549.683</v>
      </c>
      <c r="I60" s="30">
        <f t="shared" si="38"/>
        <v>4722274.884</v>
      </c>
      <c r="J60" s="30">
        <f t="shared" si="38"/>
        <v>5454227.491</v>
      </c>
      <c r="K60" s="30">
        <f t="shared" si="38"/>
        <v>6299632.752</v>
      </c>
      <c r="L60" s="30">
        <f t="shared" si="38"/>
        <v>7276075.828</v>
      </c>
      <c r="M60" s="30">
        <f t="shared" si="38"/>
        <v>8403867.582</v>
      </c>
      <c r="N60" s="30">
        <f t="shared" si="38"/>
        <v>9706467.057</v>
      </c>
      <c r="O60" s="3"/>
      <c r="P60" s="23"/>
      <c r="Q60" s="2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3"/>
      <c r="B61" s="24" t="s">
        <v>140</v>
      </c>
      <c r="C61" s="57" t="s">
        <v>134</v>
      </c>
      <c r="D61" s="29">
        <v>4.0</v>
      </c>
      <c r="E61" s="42">
        <f t="shared" ref="E61:N61" si="39">D61*(1+$C$39)</f>
        <v>4.4</v>
      </c>
      <c r="F61" s="42">
        <f t="shared" si="39"/>
        <v>4.84</v>
      </c>
      <c r="G61" s="42">
        <f t="shared" si="39"/>
        <v>5.324</v>
      </c>
      <c r="H61" s="42">
        <f t="shared" si="39"/>
        <v>5.8564</v>
      </c>
      <c r="I61" s="42">
        <f t="shared" si="39"/>
        <v>6.44204</v>
      </c>
      <c r="J61" s="42">
        <f t="shared" si="39"/>
        <v>7.086244</v>
      </c>
      <c r="K61" s="42">
        <f t="shared" si="39"/>
        <v>7.7948684</v>
      </c>
      <c r="L61" s="42">
        <f t="shared" si="39"/>
        <v>8.57435524</v>
      </c>
      <c r="M61" s="42">
        <f t="shared" si="39"/>
        <v>9.431790764</v>
      </c>
      <c r="N61" s="42">
        <f t="shared" si="39"/>
        <v>10.37496984</v>
      </c>
      <c r="O61" s="3"/>
      <c r="P61" s="23"/>
      <c r="Q61" s="2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3"/>
      <c r="B62" s="24"/>
      <c r="C62" s="57" t="s">
        <v>123</v>
      </c>
      <c r="D62" s="43">
        <v>35345.0</v>
      </c>
      <c r="E62" s="30">
        <f>D62*(1+'MC Drivers (NRD)'!E89)</f>
        <v>37112.25</v>
      </c>
      <c r="F62" s="30">
        <f>E62*(1+'MC Drivers (NRD)'!F89)</f>
        <v>38967.8625</v>
      </c>
      <c r="G62" s="30">
        <f>F62*(1+'MC Drivers (NRD)'!G89)</f>
        <v>40916.25563</v>
      </c>
      <c r="H62" s="30">
        <f>G62*(1+'MC Drivers (NRD)'!H89)</f>
        <v>42962.06841</v>
      </c>
      <c r="I62" s="30">
        <f>H62*(1+'MC Drivers (NRD)'!I89)</f>
        <v>45110.17183</v>
      </c>
      <c r="J62" s="30">
        <f>I62*(1+'MC Drivers (NRD)'!J89)</f>
        <v>47365.68042</v>
      </c>
      <c r="K62" s="30">
        <f>J62*(1+'MC Drivers (NRD)'!K89)</f>
        <v>49733.96444</v>
      </c>
      <c r="L62" s="30">
        <f>K62*(1+'MC Drivers (NRD)'!L89)</f>
        <v>52220.66266</v>
      </c>
      <c r="M62" s="30">
        <f>L62*(1+'MC Drivers (NRD)'!M89)</f>
        <v>54831.69579</v>
      </c>
      <c r="N62" s="30">
        <f>M62*(1+'MC Drivers (NRD)'!N89)</f>
        <v>57573.28058</v>
      </c>
      <c r="O62" s="3"/>
      <c r="P62" s="23"/>
      <c r="Q62" s="2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3"/>
      <c r="B63" s="24"/>
      <c r="C63" s="61">
        <v>13.0</v>
      </c>
      <c r="D63" s="30">
        <f t="shared" ref="D63:N63" si="40">D61*D62*$C63</f>
        <v>1837940</v>
      </c>
      <c r="E63" s="30">
        <f t="shared" si="40"/>
        <v>2122820.7</v>
      </c>
      <c r="F63" s="30">
        <f t="shared" si="40"/>
        <v>2451857.909</v>
      </c>
      <c r="G63" s="30">
        <f t="shared" si="40"/>
        <v>2831895.884</v>
      </c>
      <c r="H63" s="30">
        <f t="shared" si="40"/>
        <v>3270839.746</v>
      </c>
      <c r="I63" s="30">
        <f t="shared" si="40"/>
        <v>3777819.907</v>
      </c>
      <c r="J63" s="30">
        <f t="shared" si="40"/>
        <v>4363381.993</v>
      </c>
      <c r="K63" s="30">
        <f t="shared" si="40"/>
        <v>5039706.202</v>
      </c>
      <c r="L63" s="30">
        <f t="shared" si="40"/>
        <v>5820860.663</v>
      </c>
      <c r="M63" s="30">
        <f t="shared" si="40"/>
        <v>6723094.066</v>
      </c>
      <c r="N63" s="30">
        <f t="shared" si="40"/>
        <v>7765173.646</v>
      </c>
      <c r="O63" s="3"/>
      <c r="P63" s="23"/>
      <c r="Q63" s="2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3"/>
      <c r="B64" s="24" t="s">
        <v>141</v>
      </c>
      <c r="C64" s="57" t="s">
        <v>134</v>
      </c>
      <c r="D64" s="29">
        <v>6.0</v>
      </c>
      <c r="E64" s="42">
        <f t="shared" ref="E64:N64" si="41">D64*(1+$C$39)</f>
        <v>6.6</v>
      </c>
      <c r="F64" s="42">
        <f t="shared" si="41"/>
        <v>7.26</v>
      </c>
      <c r="G64" s="42">
        <f t="shared" si="41"/>
        <v>7.986</v>
      </c>
      <c r="H64" s="42">
        <f t="shared" si="41"/>
        <v>8.7846</v>
      </c>
      <c r="I64" s="42">
        <f t="shared" si="41"/>
        <v>9.66306</v>
      </c>
      <c r="J64" s="42">
        <f t="shared" si="41"/>
        <v>10.629366</v>
      </c>
      <c r="K64" s="42">
        <f t="shared" si="41"/>
        <v>11.6923026</v>
      </c>
      <c r="L64" s="42">
        <f t="shared" si="41"/>
        <v>12.86153286</v>
      </c>
      <c r="M64" s="42">
        <f t="shared" si="41"/>
        <v>14.14768615</v>
      </c>
      <c r="N64" s="42">
        <f t="shared" si="41"/>
        <v>15.56245476</v>
      </c>
      <c r="O64" s="3"/>
      <c r="P64" s="23"/>
      <c r="Q64" s="2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3"/>
      <c r="B65" s="24"/>
      <c r="C65" s="57" t="s">
        <v>123</v>
      </c>
      <c r="D65" s="43">
        <v>35345.0</v>
      </c>
      <c r="E65" s="30">
        <f>D65*(1+'MC Drivers (NRD)'!E89)</f>
        <v>37112.25</v>
      </c>
      <c r="F65" s="30">
        <f>E65*(1+'MC Drivers (NRD)'!F89)</f>
        <v>38967.8625</v>
      </c>
      <c r="G65" s="30">
        <f>F65*(1+'MC Drivers (NRD)'!G89)</f>
        <v>40916.25563</v>
      </c>
      <c r="H65" s="30">
        <f>G65*(1+'MC Drivers (NRD)'!H89)</f>
        <v>42962.06841</v>
      </c>
      <c r="I65" s="30">
        <f>H65*(1+'MC Drivers (NRD)'!I89)</f>
        <v>45110.17183</v>
      </c>
      <c r="J65" s="30">
        <f>I65*(1+'MC Drivers (NRD)'!J89)</f>
        <v>47365.68042</v>
      </c>
      <c r="K65" s="30">
        <f>J65*(1+'MC Drivers (NRD)'!K89)</f>
        <v>49733.96444</v>
      </c>
      <c r="L65" s="30">
        <f>K65*(1+'MC Drivers (NRD)'!L89)</f>
        <v>52220.66266</v>
      </c>
      <c r="M65" s="30">
        <f>L65*(1+'MC Drivers (NRD)'!M89)</f>
        <v>54831.69579</v>
      </c>
      <c r="N65" s="30">
        <f>M65*(1+'MC Drivers (NRD)'!N89)</f>
        <v>57573.28058</v>
      </c>
      <c r="O65" s="3"/>
      <c r="P65" s="23"/>
      <c r="Q65" s="2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3"/>
      <c r="B66" s="24"/>
      <c r="C66" s="61">
        <v>13.0</v>
      </c>
      <c r="D66" s="30">
        <f t="shared" ref="D66:N66" si="42">D64*D65*$C66</f>
        <v>2756910</v>
      </c>
      <c r="E66" s="30">
        <f t="shared" si="42"/>
        <v>3184231.05</v>
      </c>
      <c r="F66" s="30">
        <f t="shared" si="42"/>
        <v>3677786.863</v>
      </c>
      <c r="G66" s="30">
        <f t="shared" si="42"/>
        <v>4247843.826</v>
      </c>
      <c r="H66" s="30">
        <f t="shared" si="42"/>
        <v>4906259.62</v>
      </c>
      <c r="I66" s="30">
        <f t="shared" si="42"/>
        <v>5666729.861</v>
      </c>
      <c r="J66" s="30">
        <f t="shared" si="42"/>
        <v>6545072.989</v>
      </c>
      <c r="K66" s="30">
        <f t="shared" si="42"/>
        <v>7559559.302</v>
      </c>
      <c r="L66" s="30">
        <f t="shared" si="42"/>
        <v>8731290.994</v>
      </c>
      <c r="M66" s="30">
        <f t="shared" si="42"/>
        <v>10084641.1</v>
      </c>
      <c r="N66" s="30">
        <f t="shared" si="42"/>
        <v>11647760.47</v>
      </c>
      <c r="O66" s="3"/>
      <c r="P66" s="23"/>
      <c r="Q66" s="2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3"/>
      <c r="B67" s="24" t="s">
        <v>142</v>
      </c>
      <c r="C67" s="57" t="s">
        <v>134</v>
      </c>
      <c r="D67" s="29">
        <v>0.0</v>
      </c>
      <c r="E67" s="42">
        <f t="shared" ref="E67:N67" si="43">D67*(1+$C$39)</f>
        <v>0</v>
      </c>
      <c r="F67" s="42">
        <f t="shared" si="43"/>
        <v>0</v>
      </c>
      <c r="G67" s="42">
        <f t="shared" si="43"/>
        <v>0</v>
      </c>
      <c r="H67" s="42">
        <f t="shared" si="43"/>
        <v>0</v>
      </c>
      <c r="I67" s="42">
        <f t="shared" si="43"/>
        <v>0</v>
      </c>
      <c r="J67" s="42">
        <f t="shared" si="43"/>
        <v>0</v>
      </c>
      <c r="K67" s="42">
        <f t="shared" si="43"/>
        <v>0</v>
      </c>
      <c r="L67" s="42">
        <f t="shared" si="43"/>
        <v>0</v>
      </c>
      <c r="M67" s="42">
        <f t="shared" si="43"/>
        <v>0</v>
      </c>
      <c r="N67" s="42">
        <f t="shared" si="43"/>
        <v>0</v>
      </c>
      <c r="O67" s="3"/>
      <c r="P67" s="23"/>
      <c r="Q67" s="2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3"/>
      <c r="B68" s="24"/>
      <c r="C68" s="57" t="s">
        <v>123</v>
      </c>
      <c r="D68" s="43">
        <v>60660.0</v>
      </c>
      <c r="E68" s="30">
        <f>D68*(1+'MC Drivers (NRD)'!E89)</f>
        <v>63693</v>
      </c>
      <c r="F68" s="30">
        <f>E68*(1+'MC Drivers (NRD)'!F89)</f>
        <v>66877.65</v>
      </c>
      <c r="G68" s="30">
        <f>F68*(1+'MC Drivers (NRD)'!G89)</f>
        <v>70221.5325</v>
      </c>
      <c r="H68" s="30">
        <f>G68*(1+'MC Drivers (NRD)'!H89)</f>
        <v>73732.60913</v>
      </c>
      <c r="I68" s="30">
        <f>H68*(1+'MC Drivers (NRD)'!I89)</f>
        <v>77419.23958</v>
      </c>
      <c r="J68" s="30">
        <f>I68*(1+'MC Drivers (NRD)'!J89)</f>
        <v>81290.20156</v>
      </c>
      <c r="K68" s="30">
        <f>J68*(1+'MC Drivers (NRD)'!K89)</f>
        <v>85354.71164</v>
      </c>
      <c r="L68" s="30">
        <f>K68*(1+'MC Drivers (NRD)'!L89)</f>
        <v>89622.44722</v>
      </c>
      <c r="M68" s="30">
        <f>L68*(1+'MC Drivers (NRD)'!M89)</f>
        <v>94103.56958</v>
      </c>
      <c r="N68" s="30">
        <f>M68*(1+'MC Drivers (NRD)'!N89)</f>
        <v>98808.74806</v>
      </c>
      <c r="O68" s="3"/>
      <c r="P68" s="23"/>
      <c r="Q68" s="2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3"/>
      <c r="B69" s="24"/>
      <c r="C69" s="61">
        <v>13.0</v>
      </c>
      <c r="D69" s="30">
        <f t="shared" ref="D69:N69" si="44">D67*D68*$C69</f>
        <v>0</v>
      </c>
      <c r="E69" s="30">
        <f t="shared" si="44"/>
        <v>0</v>
      </c>
      <c r="F69" s="30">
        <f t="shared" si="44"/>
        <v>0</v>
      </c>
      <c r="G69" s="30">
        <f t="shared" si="44"/>
        <v>0</v>
      </c>
      <c r="H69" s="30">
        <f t="shared" si="44"/>
        <v>0</v>
      </c>
      <c r="I69" s="30">
        <f t="shared" si="44"/>
        <v>0</v>
      </c>
      <c r="J69" s="30">
        <f t="shared" si="44"/>
        <v>0</v>
      </c>
      <c r="K69" s="30">
        <f t="shared" si="44"/>
        <v>0</v>
      </c>
      <c r="L69" s="30">
        <f t="shared" si="44"/>
        <v>0</v>
      </c>
      <c r="M69" s="30">
        <f t="shared" si="44"/>
        <v>0</v>
      </c>
      <c r="N69" s="30">
        <f t="shared" si="44"/>
        <v>0</v>
      </c>
      <c r="O69" s="3"/>
      <c r="P69" s="23"/>
      <c r="Q69" s="23"/>
      <c r="R69" s="3"/>
      <c r="S69" s="3"/>
      <c r="T69" s="3"/>
      <c r="U69" s="3"/>
      <c r="V69" s="3"/>
      <c r="W69" s="3"/>
      <c r="X69" s="3"/>
      <c r="Y69" s="3"/>
      <c r="Z69" s="3"/>
    </row>
    <row r="70" ht="15.0" customHeight="1">
      <c r="A70" s="3"/>
      <c r="B70" s="24" t="s">
        <v>143</v>
      </c>
      <c r="C70" s="57" t="s">
        <v>134</v>
      </c>
      <c r="D70" s="29">
        <v>0.0</v>
      </c>
      <c r="E70" s="42">
        <f t="shared" ref="E70:N70" si="45">D70*(1+$C$39)</f>
        <v>0</v>
      </c>
      <c r="F70" s="42">
        <f t="shared" si="45"/>
        <v>0</v>
      </c>
      <c r="G70" s="42">
        <f t="shared" si="45"/>
        <v>0</v>
      </c>
      <c r="H70" s="42">
        <f t="shared" si="45"/>
        <v>0</v>
      </c>
      <c r="I70" s="42">
        <f t="shared" si="45"/>
        <v>0</v>
      </c>
      <c r="J70" s="42">
        <f t="shared" si="45"/>
        <v>0</v>
      </c>
      <c r="K70" s="42">
        <f t="shared" si="45"/>
        <v>0</v>
      </c>
      <c r="L70" s="42">
        <f t="shared" si="45"/>
        <v>0</v>
      </c>
      <c r="M70" s="42">
        <f t="shared" si="45"/>
        <v>0</v>
      </c>
      <c r="N70" s="42">
        <f t="shared" si="45"/>
        <v>0</v>
      </c>
      <c r="O70" s="3"/>
      <c r="P70" s="23"/>
      <c r="Q70" s="2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3"/>
      <c r="B71" s="24"/>
      <c r="C71" s="57" t="s">
        <v>123</v>
      </c>
      <c r="D71" s="43">
        <v>60660.0</v>
      </c>
      <c r="E71" s="30">
        <f>D71*(1+'MC Drivers (NRD)'!E89)</f>
        <v>63693</v>
      </c>
      <c r="F71" s="30">
        <f>E71*(1+'MC Drivers (NRD)'!F89)</f>
        <v>66877.65</v>
      </c>
      <c r="G71" s="30">
        <f>F71*(1+'MC Drivers (NRD)'!G89)</f>
        <v>70221.5325</v>
      </c>
      <c r="H71" s="30">
        <f>G71*(1+'MC Drivers (NRD)'!H89)</f>
        <v>73732.60913</v>
      </c>
      <c r="I71" s="30">
        <f>H71*(1+'MC Drivers (NRD)'!I89)</f>
        <v>77419.23958</v>
      </c>
      <c r="J71" s="30">
        <f>I71*(1+'MC Drivers (NRD)'!J89)</f>
        <v>81290.20156</v>
      </c>
      <c r="K71" s="30">
        <f>J71*(1+'MC Drivers (NRD)'!K89)</f>
        <v>85354.71164</v>
      </c>
      <c r="L71" s="30">
        <f>K71*(1+'MC Drivers (NRD)'!L89)</f>
        <v>89622.44722</v>
      </c>
      <c r="M71" s="30">
        <f>L71*(1+'MC Drivers (NRD)'!M89)</f>
        <v>94103.56958</v>
      </c>
      <c r="N71" s="30">
        <f>M71*(1+'MC Drivers (NRD)'!N89)</f>
        <v>98808.74806</v>
      </c>
      <c r="O71" s="3"/>
      <c r="P71" s="23"/>
      <c r="Q71" s="23"/>
      <c r="R71" s="3"/>
      <c r="S71" s="3"/>
      <c r="T71" s="3"/>
      <c r="U71" s="3"/>
      <c r="V71" s="3"/>
      <c r="W71" s="3"/>
      <c r="X71" s="3"/>
      <c r="Y71" s="3"/>
      <c r="Z71" s="3"/>
    </row>
    <row r="72" ht="15.0" customHeight="1">
      <c r="A72" s="3"/>
      <c r="B72" s="24"/>
      <c r="C72" s="61">
        <v>13.0</v>
      </c>
      <c r="D72" s="30">
        <f t="shared" ref="D72:N72" si="46">D70*D71*$C72</f>
        <v>0</v>
      </c>
      <c r="E72" s="30">
        <f t="shared" si="46"/>
        <v>0</v>
      </c>
      <c r="F72" s="30">
        <f t="shared" si="46"/>
        <v>0</v>
      </c>
      <c r="G72" s="30">
        <f t="shared" si="46"/>
        <v>0</v>
      </c>
      <c r="H72" s="30">
        <f t="shared" si="46"/>
        <v>0</v>
      </c>
      <c r="I72" s="30">
        <f t="shared" si="46"/>
        <v>0</v>
      </c>
      <c r="J72" s="30">
        <f t="shared" si="46"/>
        <v>0</v>
      </c>
      <c r="K72" s="30">
        <f t="shared" si="46"/>
        <v>0</v>
      </c>
      <c r="L72" s="30">
        <f t="shared" si="46"/>
        <v>0</v>
      </c>
      <c r="M72" s="30">
        <f t="shared" si="46"/>
        <v>0</v>
      </c>
      <c r="N72" s="30">
        <f t="shared" si="46"/>
        <v>0</v>
      </c>
      <c r="O72" s="3"/>
      <c r="P72" s="23"/>
      <c r="Q72" s="23"/>
      <c r="R72" s="3"/>
      <c r="S72" s="3"/>
      <c r="T72" s="3"/>
      <c r="U72" s="3"/>
      <c r="V72" s="3"/>
      <c r="W72" s="3"/>
      <c r="X72" s="3"/>
      <c r="Y72" s="3"/>
      <c r="Z72" s="3"/>
    </row>
    <row r="73" ht="15.0" customHeight="1">
      <c r="A73" s="3"/>
      <c r="B73" s="24" t="s">
        <v>144</v>
      </c>
      <c r="C73" s="57" t="s">
        <v>134</v>
      </c>
      <c r="D73" s="29">
        <v>0.0</v>
      </c>
      <c r="E73" s="42">
        <f t="shared" ref="E73:N73" si="47">D73*(1+$C$39)</f>
        <v>0</v>
      </c>
      <c r="F73" s="42">
        <f t="shared" si="47"/>
        <v>0</v>
      </c>
      <c r="G73" s="42">
        <f t="shared" si="47"/>
        <v>0</v>
      </c>
      <c r="H73" s="42">
        <f t="shared" si="47"/>
        <v>0</v>
      </c>
      <c r="I73" s="42">
        <f t="shared" si="47"/>
        <v>0</v>
      </c>
      <c r="J73" s="42">
        <f t="shared" si="47"/>
        <v>0</v>
      </c>
      <c r="K73" s="42">
        <f t="shared" si="47"/>
        <v>0</v>
      </c>
      <c r="L73" s="42">
        <f t="shared" si="47"/>
        <v>0</v>
      </c>
      <c r="M73" s="42">
        <f t="shared" si="47"/>
        <v>0</v>
      </c>
      <c r="N73" s="42">
        <f t="shared" si="47"/>
        <v>0</v>
      </c>
      <c r="O73" s="3"/>
      <c r="P73" s="23"/>
      <c r="Q73" s="23"/>
      <c r="R73" s="3"/>
      <c r="S73" s="3"/>
      <c r="T73" s="3"/>
      <c r="U73" s="3"/>
      <c r="V73" s="3"/>
      <c r="W73" s="3"/>
      <c r="X73" s="3"/>
      <c r="Y73" s="3"/>
      <c r="Z73" s="3"/>
    </row>
    <row r="74" ht="15.0" customHeight="1">
      <c r="A74" s="3"/>
      <c r="B74" s="24"/>
      <c r="C74" s="57" t="s">
        <v>123</v>
      </c>
      <c r="D74" s="43">
        <v>60660.0</v>
      </c>
      <c r="E74" s="30">
        <f>D74*(1+'MC Drivers (NRD)'!E89)</f>
        <v>63693</v>
      </c>
      <c r="F74" s="30">
        <f>E74*(1+'MC Drivers (NRD)'!F89)</f>
        <v>66877.65</v>
      </c>
      <c r="G74" s="30">
        <f>F74*(1+'MC Drivers (NRD)'!G89)</f>
        <v>70221.5325</v>
      </c>
      <c r="H74" s="30">
        <f>G74*(1+'MC Drivers (NRD)'!H89)</f>
        <v>73732.60913</v>
      </c>
      <c r="I74" s="30">
        <f>H74*(1+'MC Drivers (NRD)'!I89)</f>
        <v>77419.23958</v>
      </c>
      <c r="J74" s="30">
        <f>I74*(1+'MC Drivers (NRD)'!J89)</f>
        <v>81290.20156</v>
      </c>
      <c r="K74" s="30">
        <f>J74*(1+'MC Drivers (NRD)'!K89)</f>
        <v>85354.71164</v>
      </c>
      <c r="L74" s="30">
        <f>K74*(1+'MC Drivers (NRD)'!L89)</f>
        <v>89622.44722</v>
      </c>
      <c r="M74" s="30">
        <f>L74*(1+'MC Drivers (NRD)'!M89)</f>
        <v>94103.56958</v>
      </c>
      <c r="N74" s="30">
        <f>M74*(1+'MC Drivers (NRD)'!N89)</f>
        <v>98808.74806</v>
      </c>
      <c r="O74" s="3"/>
      <c r="P74" s="23"/>
      <c r="Q74" s="23"/>
      <c r="R74" s="3"/>
      <c r="S74" s="3"/>
      <c r="T74" s="3"/>
      <c r="U74" s="3"/>
      <c r="V74" s="3"/>
      <c r="W74" s="3"/>
      <c r="X74" s="3"/>
      <c r="Y74" s="3"/>
      <c r="Z74" s="3"/>
    </row>
    <row r="75" ht="15.0" customHeight="1">
      <c r="A75" s="3"/>
      <c r="B75" s="24"/>
      <c r="C75" s="61">
        <v>13.0</v>
      </c>
      <c r="D75" s="30">
        <f t="shared" ref="D75:N75" si="48">D73*D74*$C75</f>
        <v>0</v>
      </c>
      <c r="E75" s="30">
        <f t="shared" si="48"/>
        <v>0</v>
      </c>
      <c r="F75" s="30">
        <f t="shared" si="48"/>
        <v>0</v>
      </c>
      <c r="G75" s="30">
        <f t="shared" si="48"/>
        <v>0</v>
      </c>
      <c r="H75" s="30">
        <f t="shared" si="48"/>
        <v>0</v>
      </c>
      <c r="I75" s="30">
        <f t="shared" si="48"/>
        <v>0</v>
      </c>
      <c r="J75" s="30">
        <f t="shared" si="48"/>
        <v>0</v>
      </c>
      <c r="K75" s="30">
        <f t="shared" si="48"/>
        <v>0</v>
      </c>
      <c r="L75" s="30">
        <f t="shared" si="48"/>
        <v>0</v>
      </c>
      <c r="M75" s="30">
        <f t="shared" si="48"/>
        <v>0</v>
      </c>
      <c r="N75" s="30">
        <f t="shared" si="48"/>
        <v>0</v>
      </c>
      <c r="O75" s="3"/>
      <c r="P75" s="23"/>
      <c r="Q75" s="23"/>
      <c r="R75" s="3"/>
      <c r="S75" s="3"/>
      <c r="T75" s="3"/>
      <c r="U75" s="3"/>
      <c r="V75" s="3"/>
      <c r="W75" s="3"/>
      <c r="X75" s="3"/>
      <c r="Y75" s="3"/>
      <c r="Z75" s="3"/>
    </row>
    <row r="76" ht="15.0" customHeight="1">
      <c r="A76" s="3"/>
      <c r="B76" s="24" t="s">
        <v>145</v>
      </c>
      <c r="C76" s="57" t="s">
        <v>134</v>
      </c>
      <c r="D76" s="29">
        <v>2.0</v>
      </c>
      <c r="E76" s="42">
        <f t="shared" ref="E76:N76" si="49">D76*(1+$C$39)</f>
        <v>2.2</v>
      </c>
      <c r="F76" s="42">
        <f t="shared" si="49"/>
        <v>2.42</v>
      </c>
      <c r="G76" s="42">
        <f t="shared" si="49"/>
        <v>2.662</v>
      </c>
      <c r="H76" s="42">
        <f t="shared" si="49"/>
        <v>2.9282</v>
      </c>
      <c r="I76" s="42">
        <f t="shared" si="49"/>
        <v>3.22102</v>
      </c>
      <c r="J76" s="42">
        <f t="shared" si="49"/>
        <v>3.543122</v>
      </c>
      <c r="K76" s="42">
        <f t="shared" si="49"/>
        <v>3.8974342</v>
      </c>
      <c r="L76" s="42">
        <f t="shared" si="49"/>
        <v>4.28717762</v>
      </c>
      <c r="M76" s="42">
        <f t="shared" si="49"/>
        <v>4.715895382</v>
      </c>
      <c r="N76" s="42">
        <f t="shared" si="49"/>
        <v>5.18748492</v>
      </c>
      <c r="O76" s="3"/>
      <c r="P76" s="23"/>
      <c r="Q76" s="23"/>
      <c r="R76" s="3"/>
      <c r="S76" s="3"/>
      <c r="T76" s="3"/>
      <c r="U76" s="3"/>
      <c r="V76" s="3"/>
      <c r="W76" s="3"/>
      <c r="X76" s="3"/>
      <c r="Y76" s="3"/>
      <c r="Z76" s="3"/>
    </row>
    <row r="77" ht="15.0" customHeight="1">
      <c r="A77" s="3"/>
      <c r="B77" s="24"/>
      <c r="C77" s="57" t="s">
        <v>123</v>
      </c>
      <c r="D77" s="43">
        <v>70000.0</v>
      </c>
      <c r="E77" s="30">
        <f>D77*(1+'MC Drivers (NRD)'!E89)</f>
        <v>73500</v>
      </c>
      <c r="F77" s="30">
        <f>E77*(1+'MC Drivers (NRD)'!F89)</f>
        <v>77175</v>
      </c>
      <c r="G77" s="30">
        <f>F77*(1+'MC Drivers (NRD)'!G89)</f>
        <v>81033.75</v>
      </c>
      <c r="H77" s="30">
        <f>G77*(1+'MC Drivers (NRD)'!H89)</f>
        <v>85085.4375</v>
      </c>
      <c r="I77" s="30">
        <f>H77*(1+'MC Drivers (NRD)'!I89)</f>
        <v>89339.70938</v>
      </c>
      <c r="J77" s="30">
        <f>I77*(1+'MC Drivers (NRD)'!J89)</f>
        <v>93806.69484</v>
      </c>
      <c r="K77" s="30">
        <f>J77*(1+'MC Drivers (NRD)'!K89)</f>
        <v>98497.02959</v>
      </c>
      <c r="L77" s="30">
        <f>K77*(1+'MC Drivers (NRD)'!L89)</f>
        <v>103421.8811</v>
      </c>
      <c r="M77" s="30">
        <f>L77*(1+'MC Drivers (NRD)'!M89)</f>
        <v>108592.9751</v>
      </c>
      <c r="N77" s="30">
        <f>M77*(1+'MC Drivers (NRD)'!N89)</f>
        <v>114022.6239</v>
      </c>
      <c r="O77" s="3"/>
      <c r="P77" s="23"/>
      <c r="Q77" s="23"/>
      <c r="R77" s="3"/>
      <c r="S77" s="3"/>
      <c r="T77" s="3"/>
      <c r="U77" s="3"/>
      <c r="V77" s="3"/>
      <c r="W77" s="3"/>
      <c r="X77" s="3"/>
      <c r="Y77" s="3"/>
      <c r="Z77" s="3"/>
    </row>
    <row r="78" ht="15.0" customHeight="1">
      <c r="A78" s="3"/>
      <c r="B78" s="24"/>
      <c r="C78" s="61">
        <v>13.0</v>
      </c>
      <c r="D78" s="30">
        <f t="shared" ref="D78:N78" si="50">D76*D77*$C78</f>
        <v>1820000</v>
      </c>
      <c r="E78" s="30">
        <f t="shared" si="50"/>
        <v>2102100</v>
      </c>
      <c r="F78" s="30">
        <f t="shared" si="50"/>
        <v>2427925.5</v>
      </c>
      <c r="G78" s="30">
        <f t="shared" si="50"/>
        <v>2804253.953</v>
      </c>
      <c r="H78" s="30">
        <f t="shared" si="50"/>
        <v>3238913.315</v>
      </c>
      <c r="I78" s="30">
        <f t="shared" si="50"/>
        <v>3740944.879</v>
      </c>
      <c r="J78" s="30">
        <f t="shared" si="50"/>
        <v>4320791.335</v>
      </c>
      <c r="K78" s="30">
        <f t="shared" si="50"/>
        <v>4990513.992</v>
      </c>
      <c r="L78" s="30">
        <f t="shared" si="50"/>
        <v>5764043.661</v>
      </c>
      <c r="M78" s="30">
        <f t="shared" si="50"/>
        <v>6657470.428</v>
      </c>
      <c r="N78" s="30">
        <f t="shared" si="50"/>
        <v>7689378.345</v>
      </c>
      <c r="O78" s="3"/>
      <c r="P78" s="23"/>
      <c r="Q78" s="23"/>
      <c r="R78" s="3"/>
      <c r="S78" s="3"/>
      <c r="T78" s="3"/>
      <c r="U78" s="3"/>
      <c r="V78" s="3"/>
      <c r="W78" s="3"/>
      <c r="X78" s="3"/>
      <c r="Y78" s="3"/>
      <c r="Z78" s="3"/>
    </row>
    <row r="79" ht="15.0" customHeight="1">
      <c r="A79" s="3"/>
      <c r="B79" s="24" t="s">
        <v>146</v>
      </c>
      <c r="C79" s="57" t="s">
        <v>134</v>
      </c>
      <c r="D79" s="29">
        <v>0.0</v>
      </c>
      <c r="E79" s="42">
        <f t="shared" ref="E79:N79" si="51">D79*(1+$C$39)</f>
        <v>0</v>
      </c>
      <c r="F79" s="42">
        <f t="shared" si="51"/>
        <v>0</v>
      </c>
      <c r="G79" s="42">
        <f t="shared" si="51"/>
        <v>0</v>
      </c>
      <c r="H79" s="42">
        <f t="shared" si="51"/>
        <v>0</v>
      </c>
      <c r="I79" s="42">
        <f t="shared" si="51"/>
        <v>0</v>
      </c>
      <c r="J79" s="42">
        <f t="shared" si="51"/>
        <v>0</v>
      </c>
      <c r="K79" s="42">
        <f t="shared" si="51"/>
        <v>0</v>
      </c>
      <c r="L79" s="42">
        <f t="shared" si="51"/>
        <v>0</v>
      </c>
      <c r="M79" s="42">
        <f t="shared" si="51"/>
        <v>0</v>
      </c>
      <c r="N79" s="42">
        <f t="shared" si="51"/>
        <v>0</v>
      </c>
      <c r="O79" s="3"/>
      <c r="P79" s="23"/>
      <c r="Q79" s="23"/>
      <c r="R79" s="3"/>
      <c r="S79" s="3"/>
      <c r="T79" s="3"/>
      <c r="U79" s="3"/>
      <c r="V79" s="3"/>
      <c r="W79" s="3"/>
      <c r="X79" s="3"/>
      <c r="Y79" s="3"/>
      <c r="Z79" s="3"/>
    </row>
    <row r="80" ht="15.0" customHeight="1">
      <c r="A80" s="3"/>
      <c r="B80" s="24"/>
      <c r="C80" s="57" t="s">
        <v>123</v>
      </c>
      <c r="D80" s="43">
        <v>50333.0</v>
      </c>
      <c r="E80" s="30">
        <f>D80*(1+'MC Drivers (NRD)'!E89)</f>
        <v>52849.65</v>
      </c>
      <c r="F80" s="30">
        <f>E80*(1+'MC Drivers (NRD)'!F89)</f>
        <v>55492.1325</v>
      </c>
      <c r="G80" s="30">
        <f>F80*(1+'MC Drivers (NRD)'!G89)</f>
        <v>58266.73913</v>
      </c>
      <c r="H80" s="30">
        <f>G80*(1+'MC Drivers (NRD)'!H89)</f>
        <v>61180.07608</v>
      </c>
      <c r="I80" s="30">
        <f>H80*(1+'MC Drivers (NRD)'!I89)</f>
        <v>64239.07989</v>
      </c>
      <c r="J80" s="30">
        <f>I80*(1+'MC Drivers (NRD)'!J89)</f>
        <v>67451.03388</v>
      </c>
      <c r="K80" s="30">
        <f>J80*(1+'MC Drivers (NRD)'!K89)</f>
        <v>70823.58557</v>
      </c>
      <c r="L80" s="30">
        <f>K80*(1+'MC Drivers (NRD)'!L89)</f>
        <v>74364.76485</v>
      </c>
      <c r="M80" s="30">
        <f>L80*(1+'MC Drivers (NRD)'!M89)</f>
        <v>78083.00309</v>
      </c>
      <c r="N80" s="30">
        <f>M80*(1+'MC Drivers (NRD)'!N89)</f>
        <v>81987.15325</v>
      </c>
      <c r="O80" s="3"/>
      <c r="P80" s="23"/>
      <c r="Q80" s="23"/>
      <c r="R80" s="3"/>
      <c r="S80" s="3"/>
      <c r="T80" s="3"/>
      <c r="U80" s="3"/>
      <c r="V80" s="3"/>
      <c r="W80" s="3"/>
      <c r="X80" s="3"/>
      <c r="Y80" s="3"/>
      <c r="Z80" s="3"/>
    </row>
    <row r="81" ht="15.0" customHeight="1">
      <c r="A81" s="3"/>
      <c r="B81" s="24"/>
      <c r="C81" s="61">
        <v>13.0</v>
      </c>
      <c r="D81" s="30">
        <f t="shared" ref="D81:N81" si="52">D79*D80*$C81</f>
        <v>0</v>
      </c>
      <c r="E81" s="30">
        <f t="shared" si="52"/>
        <v>0</v>
      </c>
      <c r="F81" s="30">
        <f t="shared" si="52"/>
        <v>0</v>
      </c>
      <c r="G81" s="30">
        <f t="shared" si="52"/>
        <v>0</v>
      </c>
      <c r="H81" s="30">
        <f t="shared" si="52"/>
        <v>0</v>
      </c>
      <c r="I81" s="30">
        <f t="shared" si="52"/>
        <v>0</v>
      </c>
      <c r="J81" s="30">
        <f t="shared" si="52"/>
        <v>0</v>
      </c>
      <c r="K81" s="30">
        <f t="shared" si="52"/>
        <v>0</v>
      </c>
      <c r="L81" s="30">
        <f t="shared" si="52"/>
        <v>0</v>
      </c>
      <c r="M81" s="30">
        <f t="shared" si="52"/>
        <v>0</v>
      </c>
      <c r="N81" s="30">
        <f t="shared" si="52"/>
        <v>0</v>
      </c>
      <c r="O81" s="3"/>
      <c r="P81" s="23"/>
      <c r="Q81" s="23"/>
      <c r="R81" s="3"/>
      <c r="S81" s="3"/>
      <c r="T81" s="3"/>
      <c r="U81" s="3"/>
      <c r="V81" s="3"/>
      <c r="W81" s="3"/>
      <c r="X81" s="3"/>
      <c r="Y81" s="3"/>
      <c r="Z81" s="3"/>
    </row>
    <row r="82" ht="15.0" customHeight="1">
      <c r="A82" s="3"/>
      <c r="B82" s="24" t="s">
        <v>147</v>
      </c>
      <c r="C82" s="57" t="s">
        <v>134</v>
      </c>
      <c r="D82" s="29">
        <v>1.0</v>
      </c>
      <c r="E82" s="42">
        <f t="shared" ref="E82:N82" si="53">D82*(1+$C$39)</f>
        <v>1.1</v>
      </c>
      <c r="F82" s="42">
        <f t="shared" si="53"/>
        <v>1.21</v>
      </c>
      <c r="G82" s="42">
        <f t="shared" si="53"/>
        <v>1.331</v>
      </c>
      <c r="H82" s="42">
        <f t="shared" si="53"/>
        <v>1.4641</v>
      </c>
      <c r="I82" s="42">
        <f t="shared" si="53"/>
        <v>1.61051</v>
      </c>
      <c r="J82" s="42">
        <f t="shared" si="53"/>
        <v>1.771561</v>
      </c>
      <c r="K82" s="42">
        <f t="shared" si="53"/>
        <v>1.9487171</v>
      </c>
      <c r="L82" s="42">
        <f t="shared" si="53"/>
        <v>2.14358881</v>
      </c>
      <c r="M82" s="42">
        <f t="shared" si="53"/>
        <v>2.357947691</v>
      </c>
      <c r="N82" s="42">
        <f t="shared" si="53"/>
        <v>2.59374246</v>
      </c>
      <c r="O82" s="3"/>
      <c r="P82" s="23"/>
      <c r="Q82" s="23"/>
      <c r="R82" s="3"/>
      <c r="S82" s="3"/>
      <c r="T82" s="3"/>
      <c r="U82" s="3"/>
      <c r="V82" s="3"/>
      <c r="W82" s="3"/>
      <c r="X82" s="3"/>
      <c r="Y82" s="3"/>
      <c r="Z82" s="3"/>
    </row>
    <row r="83" ht="15.0" customHeight="1">
      <c r="A83" s="3"/>
      <c r="B83" s="24"/>
      <c r="C83" s="57" t="s">
        <v>123</v>
      </c>
      <c r="D83" s="43">
        <v>50333.0</v>
      </c>
      <c r="E83" s="30">
        <f>D83*(1+'MC Drivers (NRD)'!E89)</f>
        <v>52849.65</v>
      </c>
      <c r="F83" s="30">
        <f>E83*(1+'MC Drivers (NRD)'!F89)</f>
        <v>55492.1325</v>
      </c>
      <c r="G83" s="30">
        <f>F83*(1+'MC Drivers (NRD)'!G89)</f>
        <v>58266.73913</v>
      </c>
      <c r="H83" s="30">
        <f>G83*(1+'MC Drivers (NRD)'!H89)</f>
        <v>61180.07608</v>
      </c>
      <c r="I83" s="30">
        <f>H83*(1+'MC Drivers (NRD)'!I89)</f>
        <v>64239.07989</v>
      </c>
      <c r="J83" s="30">
        <f>I83*(1+'MC Drivers (NRD)'!J89)</f>
        <v>67451.03388</v>
      </c>
      <c r="K83" s="30">
        <f>J83*(1+'MC Drivers (NRD)'!K89)</f>
        <v>70823.58557</v>
      </c>
      <c r="L83" s="30">
        <f>K83*(1+'MC Drivers (NRD)'!L89)</f>
        <v>74364.76485</v>
      </c>
      <c r="M83" s="30">
        <f>L83*(1+'MC Drivers (NRD)'!M89)</f>
        <v>78083.00309</v>
      </c>
      <c r="N83" s="30">
        <f>M83*(1+'MC Drivers (NRD)'!N89)</f>
        <v>81987.15325</v>
      </c>
      <c r="O83" s="3"/>
      <c r="P83" s="23"/>
      <c r="Q83" s="23"/>
      <c r="R83" s="3"/>
      <c r="S83" s="3"/>
      <c r="T83" s="3"/>
      <c r="U83" s="3"/>
      <c r="V83" s="3"/>
      <c r="W83" s="3"/>
      <c r="X83" s="3"/>
      <c r="Y83" s="3"/>
      <c r="Z83" s="3"/>
    </row>
    <row r="84" ht="15.0" customHeight="1">
      <c r="A84" s="3"/>
      <c r="B84" s="24"/>
      <c r="C84" s="61">
        <v>13.0</v>
      </c>
      <c r="D84" s="30">
        <f t="shared" ref="D84:N84" si="54">D82*D83*$C84</f>
        <v>654329</v>
      </c>
      <c r="E84" s="30">
        <f t="shared" si="54"/>
        <v>755749.995</v>
      </c>
      <c r="F84" s="30">
        <f t="shared" si="54"/>
        <v>872891.2442</v>
      </c>
      <c r="G84" s="30">
        <f t="shared" si="54"/>
        <v>1008189.387</v>
      </c>
      <c r="H84" s="30">
        <f t="shared" si="54"/>
        <v>1164458.742</v>
      </c>
      <c r="I84" s="30">
        <f t="shared" si="54"/>
        <v>1344949.847</v>
      </c>
      <c r="J84" s="30">
        <f t="shared" si="54"/>
        <v>1553417.073</v>
      </c>
      <c r="K84" s="30">
        <f t="shared" si="54"/>
        <v>1794196.72</v>
      </c>
      <c r="L84" s="30">
        <f t="shared" si="54"/>
        <v>2072297.211</v>
      </c>
      <c r="M84" s="30">
        <f t="shared" si="54"/>
        <v>2393503.279</v>
      </c>
      <c r="N84" s="30">
        <f t="shared" si="54"/>
        <v>2764496.287</v>
      </c>
      <c r="O84" s="3"/>
      <c r="P84" s="23"/>
      <c r="Q84" s="23"/>
      <c r="R84" s="3"/>
      <c r="S84" s="3"/>
      <c r="T84" s="3"/>
      <c r="U84" s="3"/>
      <c r="V84" s="3"/>
      <c r="W84" s="3"/>
      <c r="X84" s="3"/>
      <c r="Y84" s="3"/>
      <c r="Z84" s="3"/>
    </row>
    <row r="85" ht="15.0" customHeight="1">
      <c r="A85" s="3"/>
      <c r="B85" s="24" t="s">
        <v>148</v>
      </c>
      <c r="C85" s="57" t="s">
        <v>134</v>
      </c>
      <c r="D85" s="29">
        <v>1.0</v>
      </c>
      <c r="E85" s="42">
        <f t="shared" ref="E85:N85" si="55">D85*(1+$C$39)</f>
        <v>1.1</v>
      </c>
      <c r="F85" s="42">
        <f t="shared" si="55"/>
        <v>1.21</v>
      </c>
      <c r="G85" s="42">
        <f t="shared" si="55"/>
        <v>1.331</v>
      </c>
      <c r="H85" s="42">
        <f t="shared" si="55"/>
        <v>1.4641</v>
      </c>
      <c r="I85" s="42">
        <f t="shared" si="55"/>
        <v>1.61051</v>
      </c>
      <c r="J85" s="42">
        <f t="shared" si="55"/>
        <v>1.771561</v>
      </c>
      <c r="K85" s="42">
        <f t="shared" si="55"/>
        <v>1.9487171</v>
      </c>
      <c r="L85" s="42">
        <f t="shared" si="55"/>
        <v>2.14358881</v>
      </c>
      <c r="M85" s="42">
        <f t="shared" si="55"/>
        <v>2.357947691</v>
      </c>
      <c r="N85" s="42">
        <f t="shared" si="55"/>
        <v>2.59374246</v>
      </c>
      <c r="O85" s="3"/>
      <c r="P85" s="23"/>
      <c r="Q85" s="23"/>
      <c r="R85" s="3"/>
      <c r="S85" s="3"/>
      <c r="T85" s="3"/>
      <c r="U85" s="3"/>
      <c r="V85" s="3"/>
      <c r="W85" s="3"/>
      <c r="X85" s="3"/>
      <c r="Y85" s="3"/>
      <c r="Z85" s="3"/>
    </row>
    <row r="86" ht="15.0" customHeight="1">
      <c r="A86" s="3"/>
      <c r="B86" s="24"/>
      <c r="C86" s="57" t="s">
        <v>123</v>
      </c>
      <c r="D86" s="43">
        <v>50333.0</v>
      </c>
      <c r="E86" s="30">
        <f>D86*(1+'MC Drivers (NRD)'!E89)</f>
        <v>52849.65</v>
      </c>
      <c r="F86" s="30">
        <f>E86*(1+'MC Drivers (NRD)'!F89)</f>
        <v>55492.1325</v>
      </c>
      <c r="G86" s="30">
        <f>F86*(1+'MC Drivers (NRD)'!G89)</f>
        <v>58266.73913</v>
      </c>
      <c r="H86" s="30">
        <f>G86*(1+'MC Drivers (NRD)'!H89)</f>
        <v>61180.07608</v>
      </c>
      <c r="I86" s="30">
        <f>H86*(1+'MC Drivers (NRD)'!I89)</f>
        <v>64239.07989</v>
      </c>
      <c r="J86" s="30">
        <f>I86*(1+'MC Drivers (NRD)'!J89)</f>
        <v>67451.03388</v>
      </c>
      <c r="K86" s="30">
        <f>J86*(1+'MC Drivers (NRD)'!K89)</f>
        <v>70823.58557</v>
      </c>
      <c r="L86" s="30">
        <f>K86*(1+'MC Drivers (NRD)'!L89)</f>
        <v>74364.76485</v>
      </c>
      <c r="M86" s="30">
        <f>L86*(1+'MC Drivers (NRD)'!M89)</f>
        <v>78083.00309</v>
      </c>
      <c r="N86" s="30">
        <f>M86*(1+'MC Drivers (NRD)'!N89)</f>
        <v>81987.15325</v>
      </c>
      <c r="O86" s="3"/>
      <c r="P86" s="23"/>
      <c r="Q86" s="23"/>
      <c r="R86" s="3"/>
      <c r="S86" s="3"/>
      <c r="T86" s="3"/>
      <c r="U86" s="3"/>
      <c r="V86" s="3"/>
      <c r="W86" s="3"/>
      <c r="X86" s="3"/>
      <c r="Y86" s="3"/>
      <c r="Z86" s="3"/>
    </row>
    <row r="87" ht="15.0" customHeight="1">
      <c r="A87" s="3"/>
      <c r="B87" s="24"/>
      <c r="C87" s="61">
        <v>13.0</v>
      </c>
      <c r="D87" s="30">
        <f t="shared" ref="D87:N87" si="56">D85*D86*$C87</f>
        <v>654329</v>
      </c>
      <c r="E87" s="30">
        <f t="shared" si="56"/>
        <v>755749.995</v>
      </c>
      <c r="F87" s="30">
        <f t="shared" si="56"/>
        <v>872891.2442</v>
      </c>
      <c r="G87" s="30">
        <f t="shared" si="56"/>
        <v>1008189.387</v>
      </c>
      <c r="H87" s="30">
        <f t="shared" si="56"/>
        <v>1164458.742</v>
      </c>
      <c r="I87" s="30">
        <f t="shared" si="56"/>
        <v>1344949.847</v>
      </c>
      <c r="J87" s="30">
        <f t="shared" si="56"/>
        <v>1553417.073</v>
      </c>
      <c r="K87" s="30">
        <f t="shared" si="56"/>
        <v>1794196.72</v>
      </c>
      <c r="L87" s="30">
        <f t="shared" si="56"/>
        <v>2072297.211</v>
      </c>
      <c r="M87" s="30">
        <f t="shared" si="56"/>
        <v>2393503.279</v>
      </c>
      <c r="N87" s="30">
        <f t="shared" si="56"/>
        <v>2764496.287</v>
      </c>
      <c r="O87" s="3"/>
      <c r="P87" s="23"/>
      <c r="Q87" s="23"/>
      <c r="R87" s="3"/>
      <c r="S87" s="3"/>
      <c r="T87" s="3"/>
      <c r="U87" s="3"/>
      <c r="V87" s="3"/>
      <c r="W87" s="3"/>
      <c r="X87" s="3"/>
      <c r="Y87" s="3"/>
      <c r="Z87" s="3"/>
    </row>
    <row r="88" ht="15.0" customHeight="1">
      <c r="A88" s="3"/>
      <c r="B88" s="24" t="s">
        <v>393</v>
      </c>
      <c r="C88" s="57"/>
      <c r="D88" s="30">
        <f t="shared" ref="D88:N88" si="57">D45+D48+D51+D54+D57+D60+D63+D66+D69+D72+D75+D78+D81+D84+D87</f>
        <v>17925674</v>
      </c>
      <c r="E88" s="30">
        <f t="shared" si="57"/>
        <v>20704153.47</v>
      </c>
      <c r="F88" s="30">
        <f t="shared" si="57"/>
        <v>23913297.26</v>
      </c>
      <c r="G88" s="30">
        <f t="shared" si="57"/>
        <v>27619858.33</v>
      </c>
      <c r="H88" s="30">
        <f t="shared" si="57"/>
        <v>31900936.37</v>
      </c>
      <c r="I88" s="30">
        <f t="shared" si="57"/>
        <v>36845581.51</v>
      </c>
      <c r="J88" s="30">
        <f t="shared" si="57"/>
        <v>42556646.65</v>
      </c>
      <c r="K88" s="30">
        <f t="shared" si="57"/>
        <v>49152926.88</v>
      </c>
      <c r="L88" s="30">
        <f t="shared" si="57"/>
        <v>56771630.54</v>
      </c>
      <c r="M88" s="30">
        <f t="shared" si="57"/>
        <v>65571233.28</v>
      </c>
      <c r="N88" s="30">
        <f t="shared" si="57"/>
        <v>75734774.44</v>
      </c>
      <c r="O88" s="3"/>
      <c r="P88" s="23"/>
      <c r="Q88" s="23"/>
      <c r="R88" s="3"/>
      <c r="S88" s="3"/>
      <c r="T88" s="3"/>
      <c r="U88" s="3"/>
      <c r="V88" s="3"/>
      <c r="W88" s="3"/>
      <c r="X88" s="3"/>
      <c r="Y88" s="3"/>
      <c r="Z88" s="3"/>
    </row>
    <row r="89" ht="15.0" customHeight="1">
      <c r="A89" s="3"/>
      <c r="B89" s="24" t="s">
        <v>150</v>
      </c>
      <c r="C89" s="62">
        <v>0.1</v>
      </c>
      <c r="D89" s="30">
        <f t="shared" ref="D89:N89" si="58">D88*$C89</f>
        <v>1792567.4</v>
      </c>
      <c r="E89" s="30">
        <f t="shared" si="58"/>
        <v>2070415.347</v>
      </c>
      <c r="F89" s="30">
        <f t="shared" si="58"/>
        <v>2391329.726</v>
      </c>
      <c r="G89" s="30">
        <f t="shared" si="58"/>
        <v>2761985.833</v>
      </c>
      <c r="H89" s="30">
        <f t="shared" si="58"/>
        <v>3190093.637</v>
      </c>
      <c r="I89" s="30">
        <f t="shared" si="58"/>
        <v>3684558.151</v>
      </c>
      <c r="J89" s="30">
        <f t="shared" si="58"/>
        <v>4255664.665</v>
      </c>
      <c r="K89" s="30">
        <f t="shared" si="58"/>
        <v>4915292.688</v>
      </c>
      <c r="L89" s="30">
        <f t="shared" si="58"/>
        <v>5677163.054</v>
      </c>
      <c r="M89" s="30">
        <f t="shared" si="58"/>
        <v>6557123.328</v>
      </c>
      <c r="N89" s="30">
        <f t="shared" si="58"/>
        <v>7573477.444</v>
      </c>
      <c r="O89" s="3"/>
      <c r="P89" s="23"/>
      <c r="Q89" s="23"/>
      <c r="R89" s="3"/>
      <c r="S89" s="3"/>
      <c r="T89" s="3"/>
      <c r="U89" s="3"/>
      <c r="V89" s="3"/>
      <c r="W89" s="3"/>
      <c r="X89" s="3"/>
      <c r="Y89" s="3"/>
      <c r="Z89" s="3"/>
    </row>
    <row r="90" ht="15.0" customHeight="1">
      <c r="A90" s="3"/>
      <c r="B90" s="24" t="s">
        <v>394</v>
      </c>
      <c r="C90" s="57"/>
      <c r="D90" s="30">
        <f t="shared" ref="D90:N90" si="59">D43+D46+D49+D52+D55+D58+D61+D64+D67+D70+D73+D76+D79+D82+D85</f>
        <v>33</v>
      </c>
      <c r="E90" s="30">
        <f t="shared" si="59"/>
        <v>36.3</v>
      </c>
      <c r="F90" s="30">
        <f t="shared" si="59"/>
        <v>39.93</v>
      </c>
      <c r="G90" s="30">
        <f t="shared" si="59"/>
        <v>43.923</v>
      </c>
      <c r="H90" s="30">
        <f t="shared" si="59"/>
        <v>48.3153</v>
      </c>
      <c r="I90" s="30">
        <f t="shared" si="59"/>
        <v>53.14683</v>
      </c>
      <c r="J90" s="30">
        <f t="shared" si="59"/>
        <v>58.461513</v>
      </c>
      <c r="K90" s="30">
        <f t="shared" si="59"/>
        <v>64.3076643</v>
      </c>
      <c r="L90" s="30">
        <f t="shared" si="59"/>
        <v>70.73843073</v>
      </c>
      <c r="M90" s="30">
        <f t="shared" si="59"/>
        <v>77.8122738</v>
      </c>
      <c r="N90" s="30">
        <f t="shared" si="59"/>
        <v>85.59350118</v>
      </c>
      <c r="O90" s="3"/>
      <c r="P90" s="23"/>
      <c r="Q90" s="23"/>
      <c r="R90" s="3"/>
      <c r="S90" s="3"/>
      <c r="T90" s="3"/>
      <c r="U90" s="3"/>
      <c r="V90" s="3"/>
      <c r="W90" s="3"/>
      <c r="X90" s="3"/>
      <c r="Y90" s="3"/>
      <c r="Z90" s="3"/>
    </row>
    <row r="91" ht="15.0" customHeight="1">
      <c r="A91" s="3"/>
      <c r="B91" s="27"/>
      <c r="C91" s="52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3"/>
      <c r="P91" s="23"/>
      <c r="Q91" s="23"/>
      <c r="R91" s="3"/>
      <c r="S91" s="3"/>
      <c r="T91" s="3"/>
      <c r="U91" s="3"/>
      <c r="V91" s="3"/>
      <c r="W91" s="3"/>
      <c r="X91" s="3"/>
      <c r="Y91" s="3"/>
      <c r="Z91" s="3"/>
    </row>
    <row r="92" ht="15.0" customHeight="1">
      <c r="A92" s="3"/>
      <c r="B92" s="20" t="s">
        <v>184</v>
      </c>
      <c r="C92" s="55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3"/>
      <c r="P92" s="23"/>
      <c r="Q92" s="23"/>
      <c r="R92" s="3"/>
      <c r="S92" s="3"/>
      <c r="T92" s="3"/>
      <c r="U92" s="3"/>
      <c r="V92" s="3"/>
      <c r="W92" s="3"/>
      <c r="X92" s="3"/>
      <c r="Y92" s="3"/>
      <c r="Z92" s="3"/>
    </row>
    <row r="93" ht="15.0" customHeight="1">
      <c r="A93" s="3"/>
      <c r="B93" s="20" t="s">
        <v>395</v>
      </c>
      <c r="C93" s="52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3"/>
      <c r="P93" s="23"/>
      <c r="Q93" s="23"/>
      <c r="R93" s="3"/>
      <c r="S93" s="3"/>
      <c r="T93" s="3"/>
      <c r="U93" s="3"/>
      <c r="V93" s="3"/>
      <c r="W93" s="3"/>
      <c r="X93" s="3"/>
      <c r="Y93" s="3"/>
      <c r="Z93" s="3"/>
    </row>
    <row r="94" ht="15.0" customHeight="1">
      <c r="A94" s="3"/>
      <c r="B94" s="24" t="s">
        <v>396</v>
      </c>
      <c r="C94" s="57" t="s">
        <v>83</v>
      </c>
      <c r="D94" s="34">
        <v>1138.0</v>
      </c>
      <c r="E94" s="35">
        <f t="shared" ref="E94:N94" si="60">D94</f>
        <v>1138</v>
      </c>
      <c r="F94" s="35">
        <f t="shared" si="60"/>
        <v>1138</v>
      </c>
      <c r="G94" s="35">
        <f t="shared" si="60"/>
        <v>1138</v>
      </c>
      <c r="H94" s="35">
        <f t="shared" si="60"/>
        <v>1138</v>
      </c>
      <c r="I94" s="35">
        <f t="shared" si="60"/>
        <v>1138</v>
      </c>
      <c r="J94" s="35">
        <f t="shared" si="60"/>
        <v>1138</v>
      </c>
      <c r="K94" s="35">
        <f t="shared" si="60"/>
        <v>1138</v>
      </c>
      <c r="L94" s="35">
        <f t="shared" si="60"/>
        <v>1138</v>
      </c>
      <c r="M94" s="35">
        <f t="shared" si="60"/>
        <v>1138</v>
      </c>
      <c r="N94" s="35">
        <f t="shared" si="60"/>
        <v>1138</v>
      </c>
      <c r="O94" s="3"/>
      <c r="P94" s="23"/>
      <c r="Q94" s="23"/>
      <c r="R94" s="3"/>
      <c r="S94" s="3"/>
      <c r="T94" s="3"/>
      <c r="U94" s="3"/>
      <c r="V94" s="3"/>
      <c r="W94" s="3"/>
      <c r="X94" s="3"/>
      <c r="Y94" s="3"/>
      <c r="Z94" s="3"/>
    </row>
    <row r="95" ht="15.0" customHeight="1">
      <c r="A95" s="3"/>
      <c r="B95" s="24" t="s">
        <v>397</v>
      </c>
      <c r="C95" s="57"/>
      <c r="D95" s="30">
        <f>D94*'MC Drivers (NRD)'!D316</f>
        <v>69873.2</v>
      </c>
      <c r="E95" s="30">
        <f>E94*'MC Drivers (NRD)'!E316</f>
        <v>69873.2</v>
      </c>
      <c r="F95" s="30">
        <f>F94*'MC Drivers (NRD)'!F316</f>
        <v>69873.2</v>
      </c>
      <c r="G95" s="30">
        <f>G94*'MC Drivers (NRD)'!G316</f>
        <v>69873.2</v>
      </c>
      <c r="H95" s="30">
        <f>H94*'MC Drivers (NRD)'!H316</f>
        <v>69873.2</v>
      </c>
      <c r="I95" s="30">
        <f>I94*'MC Drivers (NRD)'!I316</f>
        <v>69873.2</v>
      </c>
      <c r="J95" s="30">
        <f>J94*'MC Drivers (NRD)'!J316</f>
        <v>69873.2</v>
      </c>
      <c r="K95" s="30">
        <f>K94*'MC Drivers (NRD)'!K316</f>
        <v>69873.2</v>
      </c>
      <c r="L95" s="30">
        <f>L94*'MC Drivers (NRD)'!L316</f>
        <v>69873.2</v>
      </c>
      <c r="M95" s="30">
        <f>M94*'MC Drivers (NRD)'!M316</f>
        <v>69873.2</v>
      </c>
      <c r="N95" s="30">
        <f>N94*'MC Drivers (NRD)'!N316</f>
        <v>69873.2</v>
      </c>
      <c r="O95" s="3"/>
      <c r="P95" s="23"/>
      <c r="Q95" s="23"/>
      <c r="R95" s="3"/>
      <c r="S95" s="3"/>
      <c r="T95" s="3"/>
      <c r="U95" s="3"/>
      <c r="V95" s="3"/>
      <c r="W95" s="3"/>
      <c r="X95" s="3"/>
      <c r="Y95" s="3"/>
      <c r="Z95" s="3"/>
    </row>
    <row r="96" ht="15.0" customHeight="1">
      <c r="A96" s="3"/>
      <c r="B96" s="24" t="s">
        <v>398</v>
      </c>
      <c r="C96" s="57" t="s">
        <v>86</v>
      </c>
      <c r="D96" s="29">
        <v>1800.0</v>
      </c>
      <c r="E96" s="30">
        <f t="shared" ref="E96:N96" si="61">D96</f>
        <v>1800</v>
      </c>
      <c r="F96" s="30">
        <f t="shared" si="61"/>
        <v>1800</v>
      </c>
      <c r="G96" s="30">
        <f t="shared" si="61"/>
        <v>1800</v>
      </c>
      <c r="H96" s="30">
        <f t="shared" si="61"/>
        <v>1800</v>
      </c>
      <c r="I96" s="30">
        <f t="shared" si="61"/>
        <v>1800</v>
      </c>
      <c r="J96" s="30">
        <f t="shared" si="61"/>
        <v>1800</v>
      </c>
      <c r="K96" s="30">
        <f t="shared" si="61"/>
        <v>1800</v>
      </c>
      <c r="L96" s="30">
        <f t="shared" si="61"/>
        <v>1800</v>
      </c>
      <c r="M96" s="30">
        <f t="shared" si="61"/>
        <v>1800</v>
      </c>
      <c r="N96" s="30">
        <f t="shared" si="61"/>
        <v>1800</v>
      </c>
      <c r="O96" s="3"/>
      <c r="P96" s="23"/>
      <c r="Q96" s="23"/>
      <c r="R96" s="3"/>
      <c r="S96" s="3"/>
      <c r="T96" s="3"/>
      <c r="U96" s="3"/>
      <c r="V96" s="3"/>
      <c r="W96" s="3"/>
      <c r="X96" s="3"/>
      <c r="Y96" s="3"/>
      <c r="Z96" s="3"/>
    </row>
    <row r="97" ht="15.0" customHeight="1">
      <c r="A97" s="3"/>
      <c r="B97" s="24" t="s">
        <v>399</v>
      </c>
      <c r="C97" s="57" t="s">
        <v>86</v>
      </c>
      <c r="D97" s="29">
        <f>45000/1.12</f>
        <v>40178.57143</v>
      </c>
      <c r="E97" s="30">
        <f t="shared" ref="E97:N97" si="62">D97</f>
        <v>40178.57143</v>
      </c>
      <c r="F97" s="30">
        <f t="shared" si="62"/>
        <v>40178.57143</v>
      </c>
      <c r="G97" s="30">
        <f t="shared" si="62"/>
        <v>40178.57143</v>
      </c>
      <c r="H97" s="30">
        <f t="shared" si="62"/>
        <v>40178.57143</v>
      </c>
      <c r="I97" s="30">
        <f t="shared" si="62"/>
        <v>40178.57143</v>
      </c>
      <c r="J97" s="30">
        <f t="shared" si="62"/>
        <v>40178.57143</v>
      </c>
      <c r="K97" s="30">
        <f t="shared" si="62"/>
        <v>40178.57143</v>
      </c>
      <c r="L97" s="30">
        <f t="shared" si="62"/>
        <v>40178.57143</v>
      </c>
      <c r="M97" s="30">
        <f t="shared" si="62"/>
        <v>40178.57143</v>
      </c>
      <c r="N97" s="30">
        <f t="shared" si="62"/>
        <v>40178.57143</v>
      </c>
      <c r="O97" s="3"/>
      <c r="P97" s="23"/>
      <c r="Q97" s="23"/>
      <c r="R97" s="3"/>
      <c r="S97" s="3"/>
      <c r="T97" s="3"/>
      <c r="U97" s="3"/>
      <c r="V97" s="3"/>
      <c r="W97" s="3"/>
      <c r="X97" s="3"/>
      <c r="Y97" s="3"/>
      <c r="Z97" s="3"/>
    </row>
    <row r="98" ht="15.0" customHeight="1">
      <c r="A98" s="3"/>
      <c r="B98" s="24" t="s">
        <v>400</v>
      </c>
      <c r="C98" s="57" t="s">
        <v>86</v>
      </c>
      <c r="D98" s="29">
        <v>600.0</v>
      </c>
      <c r="E98" s="30">
        <f t="shared" ref="E98:N98" si="63">D98</f>
        <v>600</v>
      </c>
      <c r="F98" s="30">
        <f t="shared" si="63"/>
        <v>600</v>
      </c>
      <c r="G98" s="30">
        <f t="shared" si="63"/>
        <v>600</v>
      </c>
      <c r="H98" s="30">
        <f t="shared" si="63"/>
        <v>600</v>
      </c>
      <c r="I98" s="30">
        <f t="shared" si="63"/>
        <v>600</v>
      </c>
      <c r="J98" s="30">
        <f t="shared" si="63"/>
        <v>600</v>
      </c>
      <c r="K98" s="30">
        <f t="shared" si="63"/>
        <v>600</v>
      </c>
      <c r="L98" s="30">
        <f t="shared" si="63"/>
        <v>600</v>
      </c>
      <c r="M98" s="30">
        <f t="shared" si="63"/>
        <v>600</v>
      </c>
      <c r="N98" s="30">
        <f t="shared" si="63"/>
        <v>600</v>
      </c>
      <c r="O98" s="3"/>
      <c r="P98" s="23"/>
      <c r="Q98" s="2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24" t="s">
        <v>401</v>
      </c>
      <c r="C99" s="57" t="s">
        <v>86</v>
      </c>
      <c r="D99" s="29">
        <v>806.0</v>
      </c>
      <c r="E99" s="30">
        <f t="shared" ref="E99:N99" si="64">D99</f>
        <v>806</v>
      </c>
      <c r="F99" s="30">
        <f t="shared" si="64"/>
        <v>806</v>
      </c>
      <c r="G99" s="30">
        <f t="shared" si="64"/>
        <v>806</v>
      </c>
      <c r="H99" s="30">
        <f t="shared" si="64"/>
        <v>806</v>
      </c>
      <c r="I99" s="30">
        <f t="shared" si="64"/>
        <v>806</v>
      </c>
      <c r="J99" s="30">
        <f t="shared" si="64"/>
        <v>806</v>
      </c>
      <c r="K99" s="30">
        <f t="shared" si="64"/>
        <v>806</v>
      </c>
      <c r="L99" s="30">
        <f t="shared" si="64"/>
        <v>806</v>
      </c>
      <c r="M99" s="30">
        <f t="shared" si="64"/>
        <v>806</v>
      </c>
      <c r="N99" s="30">
        <f t="shared" si="64"/>
        <v>806</v>
      </c>
      <c r="O99" s="3"/>
      <c r="P99" s="23"/>
      <c r="Q99" s="23"/>
      <c r="R99" s="3"/>
      <c r="S99" s="3"/>
      <c r="T99" s="3"/>
      <c r="U99" s="3"/>
      <c r="V99" s="3"/>
      <c r="W99" s="3"/>
      <c r="X99" s="3"/>
      <c r="Y99" s="3"/>
      <c r="Z99" s="3"/>
    </row>
    <row r="100" ht="15.0" customHeight="1">
      <c r="A100" s="3"/>
      <c r="B100" s="24" t="s">
        <v>402</v>
      </c>
      <c r="C100" s="57"/>
      <c r="D100" s="30">
        <f t="shared" ref="D100:N100" si="65">D95+D96+D97+D98+D99</f>
        <v>113257.7714</v>
      </c>
      <c r="E100" s="30">
        <f t="shared" si="65"/>
        <v>113257.7714</v>
      </c>
      <c r="F100" s="30">
        <f t="shared" si="65"/>
        <v>113257.7714</v>
      </c>
      <c r="G100" s="30">
        <f t="shared" si="65"/>
        <v>113257.7714</v>
      </c>
      <c r="H100" s="30">
        <f t="shared" si="65"/>
        <v>113257.7714</v>
      </c>
      <c r="I100" s="30">
        <f t="shared" si="65"/>
        <v>113257.7714</v>
      </c>
      <c r="J100" s="30">
        <f t="shared" si="65"/>
        <v>113257.7714</v>
      </c>
      <c r="K100" s="30">
        <f t="shared" si="65"/>
        <v>113257.7714</v>
      </c>
      <c r="L100" s="30">
        <f t="shared" si="65"/>
        <v>113257.7714</v>
      </c>
      <c r="M100" s="30">
        <f t="shared" si="65"/>
        <v>113257.7714</v>
      </c>
      <c r="N100" s="30">
        <f t="shared" si="65"/>
        <v>113257.7714</v>
      </c>
      <c r="O100" s="3"/>
      <c r="P100" s="23"/>
      <c r="Q100" s="23"/>
      <c r="R100" s="3"/>
      <c r="S100" s="3"/>
      <c r="T100" s="3"/>
      <c r="U100" s="3"/>
      <c r="V100" s="3"/>
      <c r="W100" s="3"/>
      <c r="X100" s="3"/>
      <c r="Y100" s="3"/>
      <c r="Z100" s="3"/>
    </row>
    <row r="101" ht="15.0" customHeight="1">
      <c r="A101" s="3"/>
      <c r="B101" s="8"/>
      <c r="C101" s="56"/>
      <c r="D101" s="2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3"/>
      <c r="P101" s="23"/>
      <c r="Q101" s="23"/>
      <c r="R101" s="3"/>
      <c r="S101" s="3"/>
      <c r="T101" s="3"/>
      <c r="U101" s="3"/>
      <c r="V101" s="3"/>
      <c r="W101" s="3"/>
      <c r="X101" s="3"/>
      <c r="Y101" s="3"/>
      <c r="Z101" s="3"/>
    </row>
    <row r="102" ht="15.0" customHeight="1">
      <c r="A102" s="3"/>
      <c r="B102" s="20" t="s">
        <v>403</v>
      </c>
      <c r="C102" s="56"/>
      <c r="D102" s="2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3"/>
      <c r="P102" s="23"/>
      <c r="Q102" s="23"/>
      <c r="R102" s="3"/>
      <c r="S102" s="3"/>
      <c r="T102" s="3"/>
      <c r="U102" s="3"/>
      <c r="V102" s="3"/>
      <c r="W102" s="3"/>
      <c r="X102" s="3"/>
      <c r="Y102" s="3"/>
      <c r="Z102" s="3"/>
    </row>
    <row r="103" ht="15.0" customHeight="1">
      <c r="A103" s="3"/>
      <c r="B103" s="24" t="s">
        <v>404</v>
      </c>
      <c r="C103" s="63" t="s">
        <v>187</v>
      </c>
      <c r="D103" s="29">
        <v>10.0</v>
      </c>
      <c r="E103" s="30">
        <f t="shared" ref="E103:N103" si="66">D103</f>
        <v>10</v>
      </c>
      <c r="F103" s="30">
        <f t="shared" si="66"/>
        <v>10</v>
      </c>
      <c r="G103" s="30">
        <f t="shared" si="66"/>
        <v>10</v>
      </c>
      <c r="H103" s="30">
        <f t="shared" si="66"/>
        <v>10</v>
      </c>
      <c r="I103" s="30">
        <f t="shared" si="66"/>
        <v>10</v>
      </c>
      <c r="J103" s="30">
        <f t="shared" si="66"/>
        <v>10</v>
      </c>
      <c r="K103" s="30">
        <f t="shared" si="66"/>
        <v>10</v>
      </c>
      <c r="L103" s="30">
        <f t="shared" si="66"/>
        <v>10</v>
      </c>
      <c r="M103" s="30">
        <f t="shared" si="66"/>
        <v>10</v>
      </c>
      <c r="N103" s="30">
        <f t="shared" si="66"/>
        <v>10</v>
      </c>
      <c r="O103" s="3"/>
      <c r="P103" s="23"/>
      <c r="Q103" s="23"/>
      <c r="R103" s="3"/>
      <c r="S103" s="3"/>
      <c r="T103" s="3"/>
      <c r="U103" s="3"/>
      <c r="V103" s="3"/>
      <c r="W103" s="3"/>
      <c r="X103" s="3"/>
      <c r="Y103" s="3"/>
      <c r="Z103" s="3"/>
    </row>
    <row r="104" ht="15.0" customHeight="1">
      <c r="A104" s="3"/>
      <c r="B104" s="24" t="s">
        <v>405</v>
      </c>
      <c r="C104" s="57" t="s">
        <v>61</v>
      </c>
      <c r="D104" s="25">
        <v>0.02</v>
      </c>
      <c r="E104" s="26">
        <f t="shared" ref="E104:N104" si="67">D104</f>
        <v>0.02</v>
      </c>
      <c r="F104" s="26">
        <f t="shared" si="67"/>
        <v>0.02</v>
      </c>
      <c r="G104" s="26">
        <f t="shared" si="67"/>
        <v>0.02</v>
      </c>
      <c r="H104" s="26">
        <f t="shared" si="67"/>
        <v>0.02</v>
      </c>
      <c r="I104" s="26">
        <f t="shared" si="67"/>
        <v>0.02</v>
      </c>
      <c r="J104" s="26">
        <f t="shared" si="67"/>
        <v>0.02</v>
      </c>
      <c r="K104" s="26">
        <f t="shared" si="67"/>
        <v>0.02</v>
      </c>
      <c r="L104" s="26">
        <f t="shared" si="67"/>
        <v>0.02</v>
      </c>
      <c r="M104" s="26">
        <f t="shared" si="67"/>
        <v>0.02</v>
      </c>
      <c r="N104" s="26">
        <f t="shared" si="67"/>
        <v>0.02</v>
      </c>
      <c r="O104" s="3"/>
      <c r="P104" s="23"/>
      <c r="Q104" s="23"/>
      <c r="R104" s="3"/>
      <c r="S104" s="3"/>
      <c r="T104" s="3"/>
      <c r="U104" s="3"/>
      <c r="V104" s="3"/>
      <c r="W104" s="3"/>
      <c r="X104" s="3"/>
      <c r="Y104" s="3"/>
      <c r="Z104" s="3"/>
    </row>
    <row r="105" ht="15.0" customHeight="1">
      <c r="A105" s="3"/>
      <c r="B105" s="24" t="s">
        <v>406</v>
      </c>
      <c r="C105" s="63"/>
      <c r="D105" s="30">
        <f t="shared" ref="D105:N105" si="68">D157*D100</f>
        <v>41112571.03</v>
      </c>
      <c r="E105" s="30">
        <f t="shared" si="68"/>
        <v>60706165.49</v>
      </c>
      <c r="F105" s="30">
        <f t="shared" si="68"/>
        <v>90039928.29</v>
      </c>
      <c r="G105" s="30">
        <f t="shared" si="68"/>
        <v>117674824.5</v>
      </c>
      <c r="H105" s="30">
        <f t="shared" si="68"/>
        <v>140552894.3</v>
      </c>
      <c r="I105" s="30">
        <f t="shared" si="68"/>
        <v>166149150.7</v>
      </c>
      <c r="J105" s="30">
        <f t="shared" si="68"/>
        <v>207148463.9</v>
      </c>
      <c r="K105" s="30">
        <f t="shared" si="68"/>
        <v>245995879.5</v>
      </c>
      <c r="L105" s="30">
        <f t="shared" si="68"/>
        <v>270006527.1</v>
      </c>
      <c r="M105" s="30">
        <f t="shared" si="68"/>
        <v>294696721.3</v>
      </c>
      <c r="N105" s="30">
        <f t="shared" si="68"/>
        <v>319953204.3</v>
      </c>
      <c r="O105" s="3"/>
      <c r="P105" s="23"/>
      <c r="Q105" s="23"/>
      <c r="R105" s="3"/>
      <c r="S105" s="3"/>
      <c r="T105" s="3"/>
      <c r="U105" s="3"/>
      <c r="V105" s="3"/>
      <c r="W105" s="3"/>
      <c r="X105" s="3"/>
      <c r="Y105" s="3"/>
      <c r="Z105" s="3"/>
    </row>
    <row r="106" ht="15.0" customHeight="1">
      <c r="A106" s="3"/>
      <c r="B106" s="24" t="s">
        <v>407</v>
      </c>
      <c r="C106" s="63"/>
      <c r="D106" s="30">
        <f t="shared" ref="D106:N106" si="69">D105</f>
        <v>41112571.03</v>
      </c>
      <c r="E106" s="30">
        <f t="shared" si="69"/>
        <v>60706165.49</v>
      </c>
      <c r="F106" s="30">
        <f t="shared" si="69"/>
        <v>90039928.29</v>
      </c>
      <c r="G106" s="30">
        <f t="shared" si="69"/>
        <v>117674824.5</v>
      </c>
      <c r="H106" s="30">
        <f t="shared" si="69"/>
        <v>140552894.3</v>
      </c>
      <c r="I106" s="30">
        <f t="shared" si="69"/>
        <v>166149150.7</v>
      </c>
      <c r="J106" s="30">
        <f t="shared" si="69"/>
        <v>207148463.9</v>
      </c>
      <c r="K106" s="30">
        <f t="shared" si="69"/>
        <v>245995879.5</v>
      </c>
      <c r="L106" s="30">
        <f t="shared" si="69"/>
        <v>270006527.1</v>
      </c>
      <c r="M106" s="30">
        <f t="shared" si="69"/>
        <v>294696721.3</v>
      </c>
      <c r="N106" s="30">
        <f t="shared" si="69"/>
        <v>319953204.3</v>
      </c>
      <c r="O106" s="3"/>
      <c r="P106" s="23"/>
      <c r="Q106" s="23"/>
      <c r="R106" s="3"/>
      <c r="S106" s="3"/>
      <c r="T106" s="3"/>
      <c r="U106" s="3"/>
      <c r="V106" s="3"/>
      <c r="W106" s="3"/>
      <c r="X106" s="3"/>
      <c r="Y106" s="3"/>
      <c r="Z106" s="3"/>
    </row>
    <row r="107" ht="15.0" customHeight="1">
      <c r="A107" s="3"/>
      <c r="B107" s="24" t="s">
        <v>408</v>
      </c>
      <c r="C107" s="57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3"/>
      <c r="P107" s="23"/>
      <c r="Q107" s="23"/>
      <c r="R107" s="3"/>
      <c r="S107" s="3"/>
      <c r="T107" s="3"/>
      <c r="U107" s="3"/>
      <c r="V107" s="3"/>
      <c r="W107" s="3"/>
      <c r="X107" s="3"/>
      <c r="Y107" s="3"/>
      <c r="Z107" s="3"/>
    </row>
    <row r="108" ht="15.0" customHeight="1">
      <c r="A108" s="3"/>
      <c r="B108" s="24" t="s">
        <v>409</v>
      </c>
      <c r="C108" s="57"/>
      <c r="D108" s="30">
        <f>$D$105/$D$103/2</f>
        <v>2055628.551</v>
      </c>
      <c r="E108" s="30">
        <f t="shared" ref="E108:M108" si="70">$D$105/$D$103</f>
        <v>4111257.103</v>
      </c>
      <c r="F108" s="30">
        <f t="shared" si="70"/>
        <v>4111257.103</v>
      </c>
      <c r="G108" s="30">
        <f t="shared" si="70"/>
        <v>4111257.103</v>
      </c>
      <c r="H108" s="30">
        <f t="shared" si="70"/>
        <v>4111257.103</v>
      </c>
      <c r="I108" s="30">
        <f t="shared" si="70"/>
        <v>4111257.103</v>
      </c>
      <c r="J108" s="30">
        <f t="shared" si="70"/>
        <v>4111257.103</v>
      </c>
      <c r="K108" s="30">
        <f t="shared" si="70"/>
        <v>4111257.103</v>
      </c>
      <c r="L108" s="30">
        <f t="shared" si="70"/>
        <v>4111257.103</v>
      </c>
      <c r="M108" s="30">
        <f t="shared" si="70"/>
        <v>4111257.103</v>
      </c>
      <c r="N108" s="30">
        <f>$D$105/$D$103/2</f>
        <v>2055628.551</v>
      </c>
      <c r="O108" s="3"/>
      <c r="P108" s="23"/>
      <c r="Q108" s="23"/>
      <c r="R108" s="3"/>
      <c r="S108" s="3"/>
      <c r="T108" s="3"/>
      <c r="U108" s="3"/>
      <c r="V108" s="3"/>
      <c r="W108" s="3"/>
      <c r="X108" s="3"/>
      <c r="Y108" s="3"/>
      <c r="Z108" s="3"/>
    </row>
    <row r="109" ht="15.0" customHeight="1">
      <c r="A109" s="3"/>
      <c r="B109" s="24" t="s">
        <v>410</v>
      </c>
      <c r="C109" s="63"/>
      <c r="D109" s="30"/>
      <c r="E109" s="30">
        <f>$E$105/$D$103/2</f>
        <v>3035308.274</v>
      </c>
      <c r="F109" s="30">
        <f t="shared" ref="F109:N109" si="71">$E$105/$D$103</f>
        <v>6070616.549</v>
      </c>
      <c r="G109" s="30">
        <f t="shared" si="71"/>
        <v>6070616.549</v>
      </c>
      <c r="H109" s="30">
        <f t="shared" si="71"/>
        <v>6070616.549</v>
      </c>
      <c r="I109" s="30">
        <f t="shared" si="71"/>
        <v>6070616.549</v>
      </c>
      <c r="J109" s="30">
        <f t="shared" si="71"/>
        <v>6070616.549</v>
      </c>
      <c r="K109" s="30">
        <f t="shared" si="71"/>
        <v>6070616.549</v>
      </c>
      <c r="L109" s="30">
        <f t="shared" si="71"/>
        <v>6070616.549</v>
      </c>
      <c r="M109" s="30">
        <f t="shared" si="71"/>
        <v>6070616.549</v>
      </c>
      <c r="N109" s="30">
        <f t="shared" si="71"/>
        <v>6070616.549</v>
      </c>
      <c r="O109" s="3"/>
      <c r="P109" s="23"/>
      <c r="Q109" s="23"/>
      <c r="R109" s="3"/>
      <c r="S109" s="3"/>
      <c r="T109" s="3"/>
      <c r="U109" s="3"/>
      <c r="V109" s="3"/>
      <c r="W109" s="3"/>
      <c r="X109" s="3"/>
      <c r="Y109" s="3"/>
      <c r="Z109" s="3"/>
    </row>
    <row r="110" ht="15.0" customHeight="1">
      <c r="A110" s="3"/>
      <c r="B110" s="24" t="s">
        <v>411</v>
      </c>
      <c r="C110" s="57"/>
      <c r="D110" s="30"/>
      <c r="E110" s="30"/>
      <c r="F110" s="30">
        <f>$F$105/$D$103/2</f>
        <v>4501996.414</v>
      </c>
      <c r="G110" s="30">
        <f t="shared" ref="G110:N110" si="72">$F$105/$D$103</f>
        <v>9003992.829</v>
      </c>
      <c r="H110" s="30">
        <f t="shared" si="72"/>
        <v>9003992.829</v>
      </c>
      <c r="I110" s="30">
        <f t="shared" si="72"/>
        <v>9003992.829</v>
      </c>
      <c r="J110" s="30">
        <f t="shared" si="72"/>
        <v>9003992.829</v>
      </c>
      <c r="K110" s="30">
        <f t="shared" si="72"/>
        <v>9003992.829</v>
      </c>
      <c r="L110" s="30">
        <f t="shared" si="72"/>
        <v>9003992.829</v>
      </c>
      <c r="M110" s="30">
        <f t="shared" si="72"/>
        <v>9003992.829</v>
      </c>
      <c r="N110" s="30">
        <f t="shared" si="72"/>
        <v>9003992.829</v>
      </c>
      <c r="O110" s="3"/>
      <c r="P110" s="23"/>
      <c r="Q110" s="23"/>
      <c r="R110" s="3"/>
      <c r="S110" s="3"/>
      <c r="T110" s="3"/>
      <c r="U110" s="3"/>
      <c r="V110" s="3"/>
      <c r="W110" s="3"/>
      <c r="X110" s="3"/>
      <c r="Y110" s="3"/>
      <c r="Z110" s="3"/>
    </row>
    <row r="111" ht="15.0" customHeight="1">
      <c r="A111" s="3"/>
      <c r="B111" s="24" t="s">
        <v>412</v>
      </c>
      <c r="C111" s="57"/>
      <c r="D111" s="30"/>
      <c r="E111" s="30"/>
      <c r="F111" s="30"/>
      <c r="G111" s="30">
        <f>$G$105/$D$103/2</f>
        <v>5883741.226</v>
      </c>
      <c r="H111" s="30">
        <f t="shared" ref="H111:N111" si="73">$G$105/$D$103</f>
        <v>11767482.45</v>
      </c>
      <c r="I111" s="30">
        <f t="shared" si="73"/>
        <v>11767482.45</v>
      </c>
      <c r="J111" s="30">
        <f t="shared" si="73"/>
        <v>11767482.45</v>
      </c>
      <c r="K111" s="30">
        <f t="shared" si="73"/>
        <v>11767482.45</v>
      </c>
      <c r="L111" s="30">
        <f t="shared" si="73"/>
        <v>11767482.45</v>
      </c>
      <c r="M111" s="30">
        <f t="shared" si="73"/>
        <v>11767482.45</v>
      </c>
      <c r="N111" s="30">
        <f t="shared" si="73"/>
        <v>11767482.45</v>
      </c>
      <c r="O111" s="3"/>
      <c r="P111" s="23"/>
      <c r="Q111" s="23"/>
      <c r="R111" s="3"/>
      <c r="S111" s="3"/>
      <c r="T111" s="3"/>
      <c r="U111" s="3"/>
      <c r="V111" s="3"/>
      <c r="W111" s="3"/>
      <c r="X111" s="3"/>
      <c r="Y111" s="3"/>
      <c r="Z111" s="3"/>
    </row>
    <row r="112" ht="15.0" customHeight="1">
      <c r="A112" s="3"/>
      <c r="B112" s="24" t="s">
        <v>413</v>
      </c>
      <c r="C112" s="63"/>
      <c r="D112" s="30"/>
      <c r="E112" s="30"/>
      <c r="F112" s="30"/>
      <c r="G112" s="30"/>
      <c r="H112" s="30">
        <f>$H$105/$D$103/2</f>
        <v>7027644.717</v>
      </c>
      <c r="I112" s="30">
        <f t="shared" ref="I112:N112" si="74">$H$105/$D$103</f>
        <v>14055289.43</v>
      </c>
      <c r="J112" s="30">
        <f t="shared" si="74"/>
        <v>14055289.43</v>
      </c>
      <c r="K112" s="30">
        <f t="shared" si="74"/>
        <v>14055289.43</v>
      </c>
      <c r="L112" s="30">
        <f t="shared" si="74"/>
        <v>14055289.43</v>
      </c>
      <c r="M112" s="30">
        <f t="shared" si="74"/>
        <v>14055289.43</v>
      </c>
      <c r="N112" s="30">
        <f t="shared" si="74"/>
        <v>14055289.43</v>
      </c>
      <c r="O112" s="3"/>
      <c r="P112" s="23"/>
      <c r="Q112" s="23"/>
      <c r="R112" s="3"/>
      <c r="S112" s="3"/>
      <c r="T112" s="3"/>
      <c r="U112" s="3"/>
      <c r="V112" s="3"/>
      <c r="W112" s="3"/>
      <c r="X112" s="3"/>
      <c r="Y112" s="3"/>
      <c r="Z112" s="3"/>
    </row>
    <row r="113" ht="15.0" customHeight="1">
      <c r="A113" s="3"/>
      <c r="B113" s="24" t="s">
        <v>414</v>
      </c>
      <c r="C113" s="57"/>
      <c r="D113" s="30"/>
      <c r="E113" s="30"/>
      <c r="F113" s="30"/>
      <c r="G113" s="30"/>
      <c r="H113" s="30"/>
      <c r="I113" s="30">
        <f>$I$105/$D$103/2</f>
        <v>8307457.534</v>
      </c>
      <c r="J113" s="30">
        <f t="shared" ref="J113:N113" si="75">$I$105/$D$103</f>
        <v>16614915.07</v>
      </c>
      <c r="K113" s="30">
        <f t="shared" si="75"/>
        <v>16614915.07</v>
      </c>
      <c r="L113" s="30">
        <f t="shared" si="75"/>
        <v>16614915.07</v>
      </c>
      <c r="M113" s="30">
        <f t="shared" si="75"/>
        <v>16614915.07</v>
      </c>
      <c r="N113" s="30">
        <f t="shared" si="75"/>
        <v>16614915.07</v>
      </c>
      <c r="O113" s="3"/>
      <c r="P113" s="23"/>
      <c r="Q113" s="23"/>
      <c r="R113" s="3"/>
      <c r="S113" s="3"/>
      <c r="T113" s="3"/>
      <c r="U113" s="3"/>
      <c r="V113" s="3"/>
      <c r="W113" s="3"/>
      <c r="X113" s="3"/>
      <c r="Y113" s="3"/>
      <c r="Z113" s="3"/>
    </row>
    <row r="114" ht="15.0" customHeight="1">
      <c r="A114" s="3"/>
      <c r="B114" s="24" t="s">
        <v>415</v>
      </c>
      <c r="C114" s="57"/>
      <c r="D114" s="30"/>
      <c r="E114" s="30"/>
      <c r="F114" s="30"/>
      <c r="G114" s="30"/>
      <c r="H114" s="30"/>
      <c r="I114" s="30"/>
      <c r="J114" s="30">
        <f>$J$105/$D$103/2</f>
        <v>10357423.2</v>
      </c>
      <c r="K114" s="30">
        <f t="shared" ref="K114:N114" si="76">$J$105/$D$103</f>
        <v>20714846.39</v>
      </c>
      <c r="L114" s="30">
        <f t="shared" si="76"/>
        <v>20714846.39</v>
      </c>
      <c r="M114" s="30">
        <f t="shared" si="76"/>
        <v>20714846.39</v>
      </c>
      <c r="N114" s="30">
        <f t="shared" si="76"/>
        <v>20714846.39</v>
      </c>
      <c r="O114" s="3"/>
      <c r="P114" s="23"/>
      <c r="Q114" s="23"/>
      <c r="R114" s="3"/>
      <c r="S114" s="3"/>
      <c r="T114" s="3"/>
      <c r="U114" s="3"/>
      <c r="V114" s="3"/>
      <c r="W114" s="3"/>
      <c r="X114" s="3"/>
      <c r="Y114" s="3"/>
      <c r="Z114" s="3"/>
    </row>
    <row r="115" ht="15.0" customHeight="1">
      <c r="A115" s="3"/>
      <c r="B115" s="24" t="s">
        <v>416</v>
      </c>
      <c r="C115" s="63"/>
      <c r="D115" s="30"/>
      <c r="E115" s="30"/>
      <c r="F115" s="30"/>
      <c r="G115" s="30"/>
      <c r="H115" s="30"/>
      <c r="I115" s="30"/>
      <c r="J115" s="30"/>
      <c r="K115" s="30">
        <f>$K$105/$D$103/2</f>
        <v>12299793.98</v>
      </c>
      <c r="L115" s="30">
        <f t="shared" ref="L115:N115" si="77">$K$105/$D$103</f>
        <v>24599587.95</v>
      </c>
      <c r="M115" s="30">
        <f t="shared" si="77"/>
        <v>24599587.95</v>
      </c>
      <c r="N115" s="30">
        <f t="shared" si="77"/>
        <v>24599587.95</v>
      </c>
      <c r="O115" s="3"/>
      <c r="P115" s="23"/>
      <c r="Q115" s="23"/>
      <c r="R115" s="3"/>
      <c r="S115" s="3"/>
      <c r="T115" s="3"/>
      <c r="U115" s="3"/>
      <c r="V115" s="3"/>
      <c r="W115" s="3"/>
      <c r="X115" s="3"/>
      <c r="Y115" s="3"/>
      <c r="Z115" s="3"/>
    </row>
    <row r="116" ht="15.0" customHeight="1">
      <c r="A116" s="3"/>
      <c r="B116" s="24" t="s">
        <v>417</v>
      </c>
      <c r="C116" s="57"/>
      <c r="D116" s="30"/>
      <c r="E116" s="30"/>
      <c r="F116" s="30"/>
      <c r="G116" s="30"/>
      <c r="H116" s="30"/>
      <c r="I116" s="30"/>
      <c r="J116" s="30"/>
      <c r="K116" s="30"/>
      <c r="L116" s="30">
        <f>$L$105/$D$103/2</f>
        <v>13500326.35</v>
      </c>
      <c r="M116" s="30">
        <f t="shared" ref="M116:N116" si="78">$L$105/$D$103</f>
        <v>27000652.71</v>
      </c>
      <c r="N116" s="30">
        <f t="shared" si="78"/>
        <v>27000652.71</v>
      </c>
      <c r="O116" s="3"/>
      <c r="P116" s="23"/>
      <c r="Q116" s="23"/>
      <c r="R116" s="3"/>
      <c r="S116" s="3"/>
      <c r="T116" s="3"/>
      <c r="U116" s="3"/>
      <c r="V116" s="3"/>
      <c r="W116" s="3"/>
      <c r="X116" s="3"/>
      <c r="Y116" s="3"/>
      <c r="Z116" s="3"/>
    </row>
    <row r="117" ht="15.0" customHeight="1">
      <c r="A117" s="3"/>
      <c r="B117" s="24" t="s">
        <v>418</v>
      </c>
      <c r="C117" s="57"/>
      <c r="D117" s="30"/>
      <c r="E117" s="30"/>
      <c r="F117" s="30"/>
      <c r="G117" s="30"/>
      <c r="H117" s="30"/>
      <c r="I117" s="30"/>
      <c r="J117" s="30"/>
      <c r="K117" s="30"/>
      <c r="L117" s="30"/>
      <c r="M117" s="30">
        <f>$M$105/$D$103/2</f>
        <v>14734836.06</v>
      </c>
      <c r="N117" s="30">
        <f>$M$105/$D$103</f>
        <v>29469672.13</v>
      </c>
      <c r="O117" s="3"/>
      <c r="P117" s="23"/>
      <c r="Q117" s="23"/>
      <c r="R117" s="3"/>
      <c r="S117" s="3"/>
      <c r="T117" s="3"/>
      <c r="U117" s="3"/>
      <c r="V117" s="3"/>
      <c r="W117" s="3"/>
      <c r="X117" s="3"/>
      <c r="Y117" s="3"/>
      <c r="Z117" s="3"/>
    </row>
    <row r="118" ht="15.0" customHeight="1">
      <c r="A118" s="3"/>
      <c r="B118" s="24" t="s">
        <v>419</v>
      </c>
      <c r="C118" s="63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>
        <f>$N$105/$D$103/2</f>
        <v>15997660.21</v>
      </c>
      <c r="O118" s="3"/>
      <c r="P118" s="23"/>
      <c r="Q118" s="23"/>
      <c r="R118" s="3"/>
      <c r="S118" s="3"/>
      <c r="T118" s="3"/>
      <c r="U118" s="3"/>
      <c r="V118" s="3"/>
      <c r="W118" s="3"/>
      <c r="X118" s="3"/>
      <c r="Y118" s="3"/>
      <c r="Z118" s="3"/>
    </row>
    <row r="119" ht="15.0" customHeight="1">
      <c r="A119" s="3"/>
      <c r="B119" s="24" t="s">
        <v>228</v>
      </c>
      <c r="C119" s="57"/>
      <c r="D119" s="30">
        <f t="shared" ref="D119:N119" si="79">SUM(D108:D118)</f>
        <v>2055628.551</v>
      </c>
      <c r="E119" s="30">
        <f t="shared" si="79"/>
        <v>7146565.377</v>
      </c>
      <c r="F119" s="30">
        <f t="shared" si="79"/>
        <v>14683870.07</v>
      </c>
      <c r="G119" s="30">
        <f t="shared" si="79"/>
        <v>25069607.71</v>
      </c>
      <c r="H119" s="30">
        <f t="shared" si="79"/>
        <v>37980993.65</v>
      </c>
      <c r="I119" s="30">
        <f t="shared" si="79"/>
        <v>53316095.9</v>
      </c>
      <c r="J119" s="30">
        <f t="shared" si="79"/>
        <v>71980976.63</v>
      </c>
      <c r="K119" s="30">
        <f t="shared" si="79"/>
        <v>94638193.81</v>
      </c>
      <c r="L119" s="30">
        <f t="shared" si="79"/>
        <v>120438314.1</v>
      </c>
      <c r="M119" s="30">
        <f t="shared" si="79"/>
        <v>148673476.6</v>
      </c>
      <c r="N119" s="30">
        <f t="shared" si="79"/>
        <v>177350344.3</v>
      </c>
      <c r="O119" s="3"/>
      <c r="P119" s="23"/>
      <c r="Q119" s="23"/>
      <c r="R119" s="3"/>
      <c r="S119" s="3"/>
      <c r="T119" s="3"/>
      <c r="U119" s="3"/>
      <c r="V119" s="3"/>
      <c r="W119" s="3"/>
      <c r="X119" s="3"/>
      <c r="Y119" s="3"/>
      <c r="Z119" s="3"/>
    </row>
    <row r="120" ht="15.0" customHeight="1">
      <c r="A120" s="3"/>
      <c r="B120" s="24" t="s">
        <v>420</v>
      </c>
      <c r="C120" s="57"/>
      <c r="D120" s="30">
        <f t="shared" ref="D120:N120" si="80">D119</f>
        <v>2055628.551</v>
      </c>
      <c r="E120" s="30">
        <f t="shared" si="80"/>
        <v>7146565.377</v>
      </c>
      <c r="F120" s="30">
        <f t="shared" si="80"/>
        <v>14683870.07</v>
      </c>
      <c r="G120" s="30">
        <f t="shared" si="80"/>
        <v>25069607.71</v>
      </c>
      <c r="H120" s="30">
        <f t="shared" si="80"/>
        <v>37980993.65</v>
      </c>
      <c r="I120" s="30">
        <f t="shared" si="80"/>
        <v>53316095.9</v>
      </c>
      <c r="J120" s="30">
        <f t="shared" si="80"/>
        <v>71980976.63</v>
      </c>
      <c r="K120" s="30">
        <f t="shared" si="80"/>
        <v>94638193.81</v>
      </c>
      <c r="L120" s="30">
        <f t="shared" si="80"/>
        <v>120438314.1</v>
      </c>
      <c r="M120" s="30">
        <f t="shared" si="80"/>
        <v>148673476.6</v>
      </c>
      <c r="N120" s="30">
        <f t="shared" si="80"/>
        <v>177350344.3</v>
      </c>
      <c r="O120" s="3"/>
      <c r="P120" s="23"/>
      <c r="Q120" s="2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24" t="s">
        <v>421</v>
      </c>
      <c r="C121" s="57"/>
      <c r="D121" s="30">
        <f t="shared" ref="D121:N121" si="81">D120</f>
        <v>2055628.551</v>
      </c>
      <c r="E121" s="30">
        <f t="shared" si="81"/>
        <v>7146565.377</v>
      </c>
      <c r="F121" s="30">
        <f t="shared" si="81"/>
        <v>14683870.07</v>
      </c>
      <c r="G121" s="30">
        <f t="shared" si="81"/>
        <v>25069607.71</v>
      </c>
      <c r="H121" s="30">
        <f t="shared" si="81"/>
        <v>37980993.65</v>
      </c>
      <c r="I121" s="30">
        <f t="shared" si="81"/>
        <v>53316095.9</v>
      </c>
      <c r="J121" s="30">
        <f t="shared" si="81"/>
        <v>71980976.63</v>
      </c>
      <c r="K121" s="30">
        <f t="shared" si="81"/>
        <v>94638193.81</v>
      </c>
      <c r="L121" s="30">
        <f t="shared" si="81"/>
        <v>120438314.1</v>
      </c>
      <c r="M121" s="30">
        <f t="shared" si="81"/>
        <v>148673476.6</v>
      </c>
      <c r="N121" s="30">
        <f t="shared" si="81"/>
        <v>177350344.3</v>
      </c>
      <c r="O121" s="3"/>
      <c r="P121" s="23"/>
      <c r="Q121" s="2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4" t="s">
        <v>422</v>
      </c>
      <c r="C122" s="57"/>
      <c r="D122" s="30">
        <f t="shared" ref="D122:N122" si="82">SUM($D106:D106)-SUM($D121:D121)</f>
        <v>39056942.48</v>
      </c>
      <c r="E122" s="30">
        <f t="shared" si="82"/>
        <v>92616542.59</v>
      </c>
      <c r="F122" s="30">
        <f t="shared" si="82"/>
        <v>167972600.8</v>
      </c>
      <c r="G122" s="30">
        <f t="shared" si="82"/>
        <v>260577817.6</v>
      </c>
      <c r="H122" s="30">
        <f t="shared" si="82"/>
        <v>363149718.3</v>
      </c>
      <c r="I122" s="30">
        <f t="shared" si="82"/>
        <v>475982773.1</v>
      </c>
      <c r="J122" s="30">
        <f t="shared" si="82"/>
        <v>611150260.4</v>
      </c>
      <c r="K122" s="30">
        <f t="shared" si="82"/>
        <v>762507946.1</v>
      </c>
      <c r="L122" s="30">
        <f t="shared" si="82"/>
        <v>912076159.1</v>
      </c>
      <c r="M122" s="30">
        <f t="shared" si="82"/>
        <v>1058099404</v>
      </c>
      <c r="N122" s="30">
        <f t="shared" si="82"/>
        <v>1200702264</v>
      </c>
      <c r="O122" s="3"/>
      <c r="P122" s="23"/>
      <c r="Q122" s="2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24" t="s">
        <v>423</v>
      </c>
      <c r="C123" s="57"/>
      <c r="D123" s="30">
        <f t="shared" ref="D123:N123" si="83">SUM($D105:D105)*D104</f>
        <v>822251.4206</v>
      </c>
      <c r="E123" s="30">
        <f t="shared" si="83"/>
        <v>2036374.73</v>
      </c>
      <c r="F123" s="30">
        <f t="shared" si="83"/>
        <v>3837173.296</v>
      </c>
      <c r="G123" s="30">
        <f t="shared" si="83"/>
        <v>6190669.786</v>
      </c>
      <c r="H123" s="30">
        <f t="shared" si="83"/>
        <v>9001727.673</v>
      </c>
      <c r="I123" s="30">
        <f t="shared" si="83"/>
        <v>12324710.69</v>
      </c>
      <c r="J123" s="30">
        <f t="shared" si="83"/>
        <v>16467679.97</v>
      </c>
      <c r="K123" s="30">
        <f t="shared" si="83"/>
        <v>21387597.56</v>
      </c>
      <c r="L123" s="30">
        <f t="shared" si="83"/>
        <v>26787728.1</v>
      </c>
      <c r="M123" s="30">
        <f t="shared" si="83"/>
        <v>32681662.52</v>
      </c>
      <c r="N123" s="30">
        <f t="shared" si="83"/>
        <v>39080726.61</v>
      </c>
      <c r="O123" s="3"/>
      <c r="P123" s="23"/>
      <c r="Q123" s="2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5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23"/>
      <c r="Q124" s="2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5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23"/>
      <c r="Q125" s="2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5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23"/>
      <c r="Q126" s="2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5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23"/>
      <c r="Q127" s="2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5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23"/>
      <c r="Q128" s="2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5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23"/>
      <c r="Q129" s="2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 outlineLevel="1">
      <c r="A130" s="3"/>
      <c r="B130" s="46" t="s">
        <v>424</v>
      </c>
      <c r="C130" s="64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3"/>
      <c r="P130" s="23"/>
      <c r="Q130" s="2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 outlineLevel="1">
      <c r="A131" s="3"/>
      <c r="B131" s="48" t="s">
        <v>425</v>
      </c>
      <c r="C131" s="65" t="s">
        <v>426</v>
      </c>
      <c r="D131" s="51">
        <f>'MC Drivers (NRD)'!D357</f>
        <v>241.5</v>
      </c>
      <c r="E131" s="51">
        <f>'MC Drivers (NRD)'!E357</f>
        <v>827</v>
      </c>
      <c r="F131" s="51">
        <f>'MC Drivers (NRD)'!F357</f>
        <v>1663</v>
      </c>
      <c r="G131" s="51">
        <f>'MC Drivers (NRD)'!G357</f>
        <v>2790.5</v>
      </c>
      <c r="H131" s="51">
        <f>'MC Drivers (NRD)'!H357</f>
        <v>4155.5</v>
      </c>
      <c r="I131" s="51">
        <f>'MC Drivers (NRD)'!I357</f>
        <v>5733.5</v>
      </c>
      <c r="J131" s="51">
        <f>'MC Drivers (NRD)'!J357</f>
        <v>7635.5</v>
      </c>
      <c r="K131" s="51">
        <f>'MC Drivers (NRD)'!K357</f>
        <v>9920.5</v>
      </c>
      <c r="L131" s="51">
        <f>'MC Drivers (NRD)'!L357</f>
        <v>12474.5</v>
      </c>
      <c r="M131" s="51">
        <f>'MC Drivers (NRD)'!M357</f>
        <v>15208</v>
      </c>
      <c r="N131" s="51">
        <f>'MC Drivers (NRD)'!N357</f>
        <v>18115.5</v>
      </c>
      <c r="O131" s="3"/>
      <c r="P131" s="23"/>
      <c r="Q131" s="2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 outlineLevel="1">
      <c r="A132" s="3"/>
      <c r="B132" s="48" t="s">
        <v>427</v>
      </c>
      <c r="C132" s="65" t="s">
        <v>428</v>
      </c>
      <c r="D132" s="51">
        <f>'MC Drivers (NRD)'!D358</f>
        <v>866.5</v>
      </c>
      <c r="E132" s="51">
        <f>'MC Drivers (NRD)'!E358</f>
        <v>2968</v>
      </c>
      <c r="F132" s="51">
        <f>'MC Drivers (NRD)'!F358</f>
        <v>5968</v>
      </c>
      <c r="G132" s="51">
        <f>'MC Drivers (NRD)'!G358</f>
        <v>10012</v>
      </c>
      <c r="H132" s="51">
        <f>'MC Drivers (NRD)'!H358</f>
        <v>14909</v>
      </c>
      <c r="I132" s="51">
        <f>'MC Drivers (NRD)'!I358</f>
        <v>20571</v>
      </c>
      <c r="J132" s="51">
        <f>'MC Drivers (NRD)'!J358</f>
        <v>27394.5</v>
      </c>
      <c r="K132" s="51">
        <f>'MC Drivers (NRD)'!K358</f>
        <v>35592.5</v>
      </c>
      <c r="L132" s="51">
        <f>'MC Drivers (NRD)'!L358</f>
        <v>44756.5</v>
      </c>
      <c r="M132" s="51">
        <f>'MC Drivers (NRD)'!M358</f>
        <v>54564.5</v>
      </c>
      <c r="N132" s="51">
        <f>'MC Drivers (NRD)'!N358</f>
        <v>64996.5</v>
      </c>
      <c r="O132" s="3"/>
      <c r="P132" s="23"/>
      <c r="Q132" s="2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 outlineLevel="1">
      <c r="A133" s="3"/>
      <c r="B133" s="48" t="s">
        <v>429</v>
      </c>
      <c r="C133" s="65" t="s">
        <v>430</v>
      </c>
      <c r="D133" s="51">
        <f>'MC Drivers (NRD)'!D361+'MC Drivers (NRD)'!D367+'MC Drivers (NRD)'!D369</f>
        <v>280</v>
      </c>
      <c r="E133" s="51">
        <f>'MC Drivers (NRD)'!E361+'MC Drivers (NRD)'!E367+'MC Drivers (NRD)'!E369</f>
        <v>720</v>
      </c>
      <c r="F133" s="51">
        <f>'MC Drivers (NRD)'!F361+'MC Drivers (NRD)'!F367+'MC Drivers (NRD)'!F369</f>
        <v>1407</v>
      </c>
      <c r="G133" s="51">
        <f>'MC Drivers (NRD)'!G361+'MC Drivers (NRD)'!G367+'MC Drivers (NRD)'!G369</f>
        <v>2322</v>
      </c>
      <c r="H133" s="51">
        <f>'MC Drivers (NRD)'!H361+'MC Drivers (NRD)'!H367+'MC Drivers (NRD)'!H369</f>
        <v>3465</v>
      </c>
      <c r="I133" s="51">
        <f>'MC Drivers (NRD)'!I361+'MC Drivers (NRD)'!I367+'MC Drivers (NRD)'!I369</f>
        <v>4843</v>
      </c>
      <c r="J133" s="51">
        <f>'MC Drivers (NRD)'!J361+'MC Drivers (NRD)'!J367+'MC Drivers (NRD)'!J369</f>
        <v>6570</v>
      </c>
      <c r="K133" s="51">
        <f>'MC Drivers (NRD)'!K361+'MC Drivers (NRD)'!K367+'MC Drivers (NRD)'!K369</f>
        <v>8654</v>
      </c>
      <c r="L133" s="51">
        <f>'MC Drivers (NRD)'!L361+'MC Drivers (NRD)'!L367+'MC Drivers (NRD)'!L369</f>
        <v>10998</v>
      </c>
      <c r="M133" s="51">
        <f>'MC Drivers (NRD)'!M361+'MC Drivers (NRD)'!M367+'MC Drivers (NRD)'!M369</f>
        <v>13615</v>
      </c>
      <c r="N133" s="51">
        <f>'MC Drivers (NRD)'!N361+'MC Drivers (NRD)'!N367+'MC Drivers (NRD)'!N369</f>
        <v>16522</v>
      </c>
      <c r="O133" s="3"/>
      <c r="P133" s="23"/>
      <c r="Q133" s="2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 outlineLevel="1">
      <c r="A134" s="3"/>
      <c r="B134" s="48" t="s">
        <v>431</v>
      </c>
      <c r="C134" s="65" t="s">
        <v>432</v>
      </c>
      <c r="D134" s="51">
        <f>'MC Drivers (NRD)'!D362+'MC Drivers (NRD)'!D368+'MC Drivers (NRD)'!D370</f>
        <v>1120</v>
      </c>
      <c r="E134" s="51">
        <f>'MC Drivers (NRD)'!E362+'MC Drivers (NRD)'!E368+'MC Drivers (NRD)'!E370</f>
        <v>2880</v>
      </c>
      <c r="F134" s="51">
        <f>'MC Drivers (NRD)'!F362+'MC Drivers (NRD)'!F368+'MC Drivers (NRD)'!F370</f>
        <v>5629</v>
      </c>
      <c r="G134" s="51">
        <f>'MC Drivers (NRD)'!G362+'MC Drivers (NRD)'!G368+'MC Drivers (NRD)'!G370</f>
        <v>9288</v>
      </c>
      <c r="H134" s="51">
        <f>'MC Drivers (NRD)'!H362+'MC Drivers (NRD)'!H368+'MC Drivers (NRD)'!H370</f>
        <v>13856</v>
      </c>
      <c r="I134" s="51">
        <f>'MC Drivers (NRD)'!I362+'MC Drivers (NRD)'!I368+'MC Drivers (NRD)'!I370</f>
        <v>19364</v>
      </c>
      <c r="J134" s="51">
        <f>'MC Drivers (NRD)'!J362+'MC Drivers (NRD)'!J368+'MC Drivers (NRD)'!J370</f>
        <v>26266</v>
      </c>
      <c r="K134" s="51">
        <f>'MC Drivers (NRD)'!K362+'MC Drivers (NRD)'!K368+'MC Drivers (NRD)'!K370</f>
        <v>34594</v>
      </c>
      <c r="L134" s="51">
        <f>'MC Drivers (NRD)'!L362+'MC Drivers (NRD)'!L368+'MC Drivers (NRD)'!L370</f>
        <v>43957</v>
      </c>
      <c r="M134" s="51">
        <f>'MC Drivers (NRD)'!M362+'MC Drivers (NRD)'!M368+'MC Drivers (NRD)'!M370</f>
        <v>54409</v>
      </c>
      <c r="N134" s="51">
        <f>'MC Drivers (NRD)'!N362+'MC Drivers (NRD)'!N368+'MC Drivers (NRD)'!N370</f>
        <v>66018</v>
      </c>
      <c r="O134" s="3"/>
      <c r="P134" s="23"/>
      <c r="Q134" s="2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 outlineLevel="1">
      <c r="A135" s="3"/>
      <c r="B135" s="48" t="s">
        <v>433</v>
      </c>
      <c r="C135" s="65" t="s">
        <v>434</v>
      </c>
      <c r="D135" s="51">
        <f t="shared" ref="D135:N135" si="84">D11</f>
        <v>2455.357143</v>
      </c>
      <c r="E135" s="51">
        <f t="shared" si="84"/>
        <v>2455.357143</v>
      </c>
      <c r="F135" s="51">
        <f t="shared" si="84"/>
        <v>2455.357143</v>
      </c>
      <c r="G135" s="51">
        <f t="shared" si="84"/>
        <v>2455.357143</v>
      </c>
      <c r="H135" s="51">
        <f t="shared" si="84"/>
        <v>2455.357143</v>
      </c>
      <c r="I135" s="51">
        <f t="shared" si="84"/>
        <v>2455.357143</v>
      </c>
      <c r="J135" s="51">
        <f t="shared" si="84"/>
        <v>2455.357143</v>
      </c>
      <c r="K135" s="51">
        <f t="shared" si="84"/>
        <v>2455.357143</v>
      </c>
      <c r="L135" s="51">
        <f t="shared" si="84"/>
        <v>2455.357143</v>
      </c>
      <c r="M135" s="51">
        <f t="shared" si="84"/>
        <v>2455.357143</v>
      </c>
      <c r="N135" s="51">
        <f t="shared" si="84"/>
        <v>2455.357143</v>
      </c>
      <c r="O135" s="3"/>
      <c r="P135" s="23"/>
      <c r="Q135" s="2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 outlineLevel="1">
      <c r="A136" s="3"/>
      <c r="B136" s="48" t="s">
        <v>435</v>
      </c>
      <c r="C136" s="65" t="s">
        <v>434</v>
      </c>
      <c r="D136" s="51">
        <f t="shared" ref="D136:N136" si="85">D11</f>
        <v>2455.357143</v>
      </c>
      <c r="E136" s="51">
        <f t="shared" si="85"/>
        <v>2455.357143</v>
      </c>
      <c r="F136" s="51">
        <f t="shared" si="85"/>
        <v>2455.357143</v>
      </c>
      <c r="G136" s="51">
        <f t="shared" si="85"/>
        <v>2455.357143</v>
      </c>
      <c r="H136" s="51">
        <f t="shared" si="85"/>
        <v>2455.357143</v>
      </c>
      <c r="I136" s="51">
        <f t="shared" si="85"/>
        <v>2455.357143</v>
      </c>
      <c r="J136" s="51">
        <f t="shared" si="85"/>
        <v>2455.357143</v>
      </c>
      <c r="K136" s="51">
        <f t="shared" si="85"/>
        <v>2455.357143</v>
      </c>
      <c r="L136" s="51">
        <f t="shared" si="85"/>
        <v>2455.357143</v>
      </c>
      <c r="M136" s="51">
        <f t="shared" si="85"/>
        <v>2455.357143</v>
      </c>
      <c r="N136" s="51">
        <f t="shared" si="85"/>
        <v>2455.357143</v>
      </c>
      <c r="O136" s="3"/>
      <c r="P136" s="23"/>
      <c r="Q136" s="2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 outlineLevel="1">
      <c r="A137" s="3"/>
      <c r="B137" s="48" t="s">
        <v>436</v>
      </c>
      <c r="C137" s="65" t="s">
        <v>437</v>
      </c>
      <c r="D137" s="51">
        <f t="shared" ref="D137:N137" si="86">D12</f>
        <v>785.7142857</v>
      </c>
      <c r="E137" s="51">
        <f t="shared" si="86"/>
        <v>785.7142857</v>
      </c>
      <c r="F137" s="51">
        <f t="shared" si="86"/>
        <v>785.7142857</v>
      </c>
      <c r="G137" s="51">
        <f t="shared" si="86"/>
        <v>785.7142857</v>
      </c>
      <c r="H137" s="51">
        <f t="shared" si="86"/>
        <v>785.7142857</v>
      </c>
      <c r="I137" s="51">
        <f t="shared" si="86"/>
        <v>785.7142857</v>
      </c>
      <c r="J137" s="51">
        <f t="shared" si="86"/>
        <v>785.7142857</v>
      </c>
      <c r="K137" s="51">
        <f t="shared" si="86"/>
        <v>785.7142857</v>
      </c>
      <c r="L137" s="51">
        <f t="shared" si="86"/>
        <v>785.7142857</v>
      </c>
      <c r="M137" s="51">
        <f t="shared" si="86"/>
        <v>785.7142857</v>
      </c>
      <c r="N137" s="51">
        <f t="shared" si="86"/>
        <v>785.7142857</v>
      </c>
      <c r="O137" s="3"/>
      <c r="P137" s="23"/>
      <c r="Q137" s="2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 outlineLevel="1">
      <c r="A138" s="3"/>
      <c r="B138" s="48" t="s">
        <v>438</v>
      </c>
      <c r="C138" s="65" t="s">
        <v>437</v>
      </c>
      <c r="D138" s="51">
        <f t="shared" ref="D138:N138" si="87">D12</f>
        <v>785.7142857</v>
      </c>
      <c r="E138" s="51">
        <f t="shared" si="87"/>
        <v>785.7142857</v>
      </c>
      <c r="F138" s="51">
        <f t="shared" si="87"/>
        <v>785.7142857</v>
      </c>
      <c r="G138" s="51">
        <f t="shared" si="87"/>
        <v>785.7142857</v>
      </c>
      <c r="H138" s="51">
        <f t="shared" si="87"/>
        <v>785.7142857</v>
      </c>
      <c r="I138" s="51">
        <f t="shared" si="87"/>
        <v>785.7142857</v>
      </c>
      <c r="J138" s="51">
        <f t="shared" si="87"/>
        <v>785.7142857</v>
      </c>
      <c r="K138" s="51">
        <f t="shared" si="87"/>
        <v>785.7142857</v>
      </c>
      <c r="L138" s="51">
        <f t="shared" si="87"/>
        <v>785.7142857</v>
      </c>
      <c r="M138" s="51">
        <f t="shared" si="87"/>
        <v>785.7142857</v>
      </c>
      <c r="N138" s="51">
        <f t="shared" si="87"/>
        <v>785.7142857</v>
      </c>
      <c r="O138" s="3"/>
      <c r="P138" s="23"/>
      <c r="Q138" s="2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 outlineLevel="1">
      <c r="A139" s="3"/>
      <c r="B139" s="48" t="s">
        <v>439</v>
      </c>
      <c r="C139" s="65" t="s">
        <v>440</v>
      </c>
      <c r="D139" s="51">
        <f t="shared" ref="D139:N139" si="88">D131*D135*12</f>
        <v>7115625</v>
      </c>
      <c r="E139" s="51">
        <f t="shared" si="88"/>
        <v>24366964.29</v>
      </c>
      <c r="F139" s="51">
        <f t="shared" si="88"/>
        <v>48999107.14</v>
      </c>
      <c r="G139" s="51">
        <f t="shared" si="88"/>
        <v>82220089.29</v>
      </c>
      <c r="H139" s="51">
        <f t="shared" si="88"/>
        <v>122438839.3</v>
      </c>
      <c r="I139" s="51">
        <f t="shared" si="88"/>
        <v>168933482.1</v>
      </c>
      <c r="J139" s="51">
        <f t="shared" si="88"/>
        <v>224974553.6</v>
      </c>
      <c r="K139" s="51">
        <f t="shared" si="88"/>
        <v>292300446.4</v>
      </c>
      <c r="L139" s="51">
        <f t="shared" si="88"/>
        <v>367552232.1</v>
      </c>
      <c r="M139" s="51">
        <f t="shared" si="88"/>
        <v>448092857.1</v>
      </c>
      <c r="N139" s="51">
        <f t="shared" si="88"/>
        <v>533760267.9</v>
      </c>
      <c r="O139" s="3"/>
      <c r="P139" s="23"/>
      <c r="Q139" s="2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 outlineLevel="1">
      <c r="A140" s="3"/>
      <c r="B140" s="48" t="s">
        <v>441</v>
      </c>
      <c r="C140" s="65" t="s">
        <v>440</v>
      </c>
      <c r="D140" s="51">
        <f t="shared" ref="D140:N140" si="89">D132*D136*12</f>
        <v>25530803.57</v>
      </c>
      <c r="E140" s="51">
        <f t="shared" si="89"/>
        <v>87450000</v>
      </c>
      <c r="F140" s="51">
        <f t="shared" si="89"/>
        <v>175842857.1</v>
      </c>
      <c r="G140" s="51">
        <f t="shared" si="89"/>
        <v>294996428.6</v>
      </c>
      <c r="H140" s="51">
        <f t="shared" si="89"/>
        <v>439283035.7</v>
      </c>
      <c r="I140" s="51">
        <f t="shared" si="89"/>
        <v>606109821.4</v>
      </c>
      <c r="J140" s="51">
        <f t="shared" si="89"/>
        <v>807159375</v>
      </c>
      <c r="K140" s="51">
        <f t="shared" si="89"/>
        <v>1048707589</v>
      </c>
      <c r="L140" s="51">
        <f t="shared" si="89"/>
        <v>1318718304</v>
      </c>
      <c r="M140" s="51">
        <f t="shared" si="89"/>
        <v>1607704018</v>
      </c>
      <c r="N140" s="51">
        <f t="shared" si="89"/>
        <v>1915075446</v>
      </c>
      <c r="O140" s="3"/>
      <c r="P140" s="23"/>
      <c r="Q140" s="2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 outlineLevel="1">
      <c r="A141" s="3"/>
      <c r="B141" s="48" t="s">
        <v>442</v>
      </c>
      <c r="C141" s="65" t="s">
        <v>443</v>
      </c>
      <c r="D141" s="51">
        <f t="shared" ref="D141:N141" si="90">D133*D137*12</f>
        <v>2640000</v>
      </c>
      <c r="E141" s="51">
        <f t="shared" si="90"/>
        <v>6788571.429</v>
      </c>
      <c r="F141" s="51">
        <f t="shared" si="90"/>
        <v>13266000</v>
      </c>
      <c r="G141" s="51">
        <f t="shared" si="90"/>
        <v>21893142.86</v>
      </c>
      <c r="H141" s="51">
        <f t="shared" si="90"/>
        <v>32670000</v>
      </c>
      <c r="I141" s="51">
        <f t="shared" si="90"/>
        <v>45662571.43</v>
      </c>
      <c r="J141" s="51">
        <f t="shared" si="90"/>
        <v>61945714.29</v>
      </c>
      <c r="K141" s="51">
        <f t="shared" si="90"/>
        <v>81594857.14</v>
      </c>
      <c r="L141" s="51">
        <f t="shared" si="90"/>
        <v>103695428.6</v>
      </c>
      <c r="M141" s="51">
        <f t="shared" si="90"/>
        <v>128370000</v>
      </c>
      <c r="N141" s="51">
        <f t="shared" si="90"/>
        <v>155778857.1</v>
      </c>
      <c r="O141" s="3"/>
      <c r="P141" s="23"/>
      <c r="Q141" s="2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 outlineLevel="1">
      <c r="A142" s="3"/>
      <c r="B142" s="48" t="s">
        <v>444</v>
      </c>
      <c r="C142" s="65" t="s">
        <v>443</v>
      </c>
      <c r="D142" s="51">
        <f t="shared" ref="D142:N142" si="91">D134*D138*12</f>
        <v>10560000</v>
      </c>
      <c r="E142" s="51">
        <f t="shared" si="91"/>
        <v>27154285.71</v>
      </c>
      <c r="F142" s="51">
        <f t="shared" si="91"/>
        <v>53073428.57</v>
      </c>
      <c r="G142" s="51">
        <f t="shared" si="91"/>
        <v>87572571.43</v>
      </c>
      <c r="H142" s="51">
        <f t="shared" si="91"/>
        <v>130642285.7</v>
      </c>
      <c r="I142" s="51">
        <f t="shared" si="91"/>
        <v>182574857.1</v>
      </c>
      <c r="J142" s="51">
        <f t="shared" si="91"/>
        <v>247650857.1</v>
      </c>
      <c r="K142" s="51">
        <f t="shared" si="91"/>
        <v>326172000</v>
      </c>
      <c r="L142" s="51">
        <f t="shared" si="91"/>
        <v>414451714.3</v>
      </c>
      <c r="M142" s="51">
        <f t="shared" si="91"/>
        <v>512999142.9</v>
      </c>
      <c r="N142" s="51">
        <f t="shared" si="91"/>
        <v>622455428.6</v>
      </c>
      <c r="O142" s="3"/>
      <c r="P142" s="23"/>
      <c r="Q142" s="2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 outlineLevel="1">
      <c r="A143" s="3"/>
      <c r="B143" s="48" t="s">
        <v>445</v>
      </c>
      <c r="C143" s="65" t="s">
        <v>446</v>
      </c>
      <c r="D143" s="51">
        <f t="shared" ref="D143:N143" si="92">D139+D140+D141+D142</f>
        <v>45846428.57</v>
      </c>
      <c r="E143" s="51">
        <f t="shared" si="92"/>
        <v>145759821.4</v>
      </c>
      <c r="F143" s="51">
        <f t="shared" si="92"/>
        <v>291181392.9</v>
      </c>
      <c r="G143" s="51">
        <f t="shared" si="92"/>
        <v>486682232.1</v>
      </c>
      <c r="H143" s="51">
        <f t="shared" si="92"/>
        <v>725034160.7</v>
      </c>
      <c r="I143" s="51">
        <f t="shared" si="92"/>
        <v>1003280732</v>
      </c>
      <c r="J143" s="51">
        <f t="shared" si="92"/>
        <v>1341730500</v>
      </c>
      <c r="K143" s="51">
        <f t="shared" si="92"/>
        <v>1748774893</v>
      </c>
      <c r="L143" s="51">
        <f t="shared" si="92"/>
        <v>2204417679</v>
      </c>
      <c r="M143" s="51">
        <f t="shared" si="92"/>
        <v>2697166018</v>
      </c>
      <c r="N143" s="51">
        <f t="shared" si="92"/>
        <v>3227070000</v>
      </c>
      <c r="O143" s="3"/>
      <c r="P143" s="23"/>
      <c r="Q143" s="2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 outlineLevel="1">
      <c r="A144" s="3"/>
      <c r="B144" s="48"/>
      <c r="C144" s="65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3"/>
      <c r="P144" s="23"/>
      <c r="Q144" s="2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 outlineLevel="1">
      <c r="A145" s="3"/>
      <c r="B145" s="46" t="s">
        <v>447</v>
      </c>
      <c r="C145" s="64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3"/>
      <c r="P145" s="23"/>
      <c r="Q145" s="2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 outlineLevel="1">
      <c r="A146" s="3"/>
      <c r="B146" s="48" t="s">
        <v>448</v>
      </c>
      <c r="C146" s="65" t="s">
        <v>449</v>
      </c>
      <c r="D146" s="51">
        <f>'MC Drivers (NRD)'!D371*'MC Drivers (NRD)'!D394</f>
        <v>1526</v>
      </c>
      <c r="E146" s="51">
        <f>'MC Drivers (NRD)'!E371*'MC Drivers (NRD)'!E394</f>
        <v>3782</v>
      </c>
      <c r="F146" s="51">
        <f>'MC Drivers (NRD)'!F371*'MC Drivers (NRD)'!F394</f>
        <v>7124</v>
      </c>
      <c r="G146" s="51">
        <f>'MC Drivers (NRD)'!G371*'MC Drivers (NRD)'!G394</f>
        <v>11496</v>
      </c>
      <c r="H146" s="51">
        <f>'MC Drivers (NRD)'!H371*'MC Drivers (NRD)'!H394</f>
        <v>16700</v>
      </c>
      <c r="I146" s="51">
        <f>'MC Drivers (NRD)'!I371*'MC Drivers (NRD)'!I394</f>
        <v>22850</v>
      </c>
      <c r="J146" s="51">
        <f>'MC Drivers (NRD)'!J371*'MC Drivers (NRD)'!J394</f>
        <v>30518</v>
      </c>
      <c r="K146" s="51">
        <f>'MC Drivers (NRD)'!K371*'MC Drivers (NRD)'!K394</f>
        <v>39612</v>
      </c>
      <c r="L146" s="51">
        <f>'MC Drivers (NRD)'!L371*'MC Drivers (NRD)'!L394</f>
        <v>49590</v>
      </c>
      <c r="M146" s="51">
        <f>'MC Drivers (NRD)'!M371*'MC Drivers (NRD)'!M394</f>
        <v>60468</v>
      </c>
      <c r="N146" s="51">
        <f>'MC Drivers (NRD)'!N371*'MC Drivers (NRD)'!N394</f>
        <v>72268</v>
      </c>
      <c r="O146" s="3"/>
      <c r="P146" s="23"/>
      <c r="Q146" s="2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 outlineLevel="1">
      <c r="A147" s="3"/>
      <c r="B147" s="48" t="s">
        <v>450</v>
      </c>
      <c r="C147" s="65" t="s">
        <v>451</v>
      </c>
      <c r="D147" s="51">
        <f>'MC Drivers (NRD)'!D372*'MC Drivers (NRD)'!D395</f>
        <v>5706</v>
      </c>
      <c r="E147" s="51">
        <f>'MC Drivers (NRD)'!E372*'MC Drivers (NRD)'!E395</f>
        <v>14166</v>
      </c>
      <c r="F147" s="51">
        <f>'MC Drivers (NRD)'!F372*'MC Drivers (NRD)'!F395</f>
        <v>26724</v>
      </c>
      <c r="G147" s="51">
        <f>'MC Drivers (NRD)'!G372*'MC Drivers (NRD)'!G395</f>
        <v>43158</v>
      </c>
      <c r="H147" s="51">
        <f>'MC Drivers (NRD)'!H372*'MC Drivers (NRD)'!H395</f>
        <v>62766</v>
      </c>
      <c r="I147" s="51">
        <f>'MC Drivers (NRD)'!I372*'MC Drivers (NRD)'!I395</f>
        <v>85958</v>
      </c>
      <c r="J147" s="51">
        <f>'MC Drivers (NRD)'!J372*'MC Drivers (NRD)'!J395</f>
        <v>114880</v>
      </c>
      <c r="K147" s="51">
        <f>'MC Drivers (NRD)'!K372*'MC Drivers (NRD)'!K395</f>
        <v>149210</v>
      </c>
      <c r="L147" s="51">
        <f>'MC Drivers (NRD)'!L372*'MC Drivers (NRD)'!L395</f>
        <v>186918</v>
      </c>
      <c r="M147" s="51">
        <f>'MC Drivers (NRD)'!M372*'MC Drivers (NRD)'!M395</f>
        <v>228072</v>
      </c>
      <c r="N147" s="51">
        <f>'MC Drivers (NRD)'!N372*'MC Drivers (NRD)'!N395</f>
        <v>272768</v>
      </c>
      <c r="O147" s="3"/>
      <c r="P147" s="23"/>
      <c r="Q147" s="2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 outlineLevel="1">
      <c r="A148" s="3"/>
      <c r="B148" s="48" t="s">
        <v>452</v>
      </c>
      <c r="C148" s="65" t="s">
        <v>453</v>
      </c>
      <c r="D148" s="51">
        <f t="shared" ref="D148:N148" si="93">D146+D147</f>
        <v>7232</v>
      </c>
      <c r="E148" s="51">
        <f t="shared" si="93"/>
        <v>17948</v>
      </c>
      <c r="F148" s="51">
        <f t="shared" si="93"/>
        <v>33848</v>
      </c>
      <c r="G148" s="51">
        <f t="shared" si="93"/>
        <v>54654</v>
      </c>
      <c r="H148" s="51">
        <f t="shared" si="93"/>
        <v>79466</v>
      </c>
      <c r="I148" s="51">
        <f t="shared" si="93"/>
        <v>108808</v>
      </c>
      <c r="J148" s="51">
        <f t="shared" si="93"/>
        <v>145398</v>
      </c>
      <c r="K148" s="51">
        <f t="shared" si="93"/>
        <v>188822</v>
      </c>
      <c r="L148" s="51">
        <f t="shared" si="93"/>
        <v>236508</v>
      </c>
      <c r="M148" s="51">
        <f t="shared" si="93"/>
        <v>288540</v>
      </c>
      <c r="N148" s="51">
        <f t="shared" si="93"/>
        <v>345036</v>
      </c>
      <c r="O148" s="3"/>
      <c r="P148" s="23"/>
      <c r="Q148" s="2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 outlineLevel="1">
      <c r="A149" s="3"/>
      <c r="B149" s="48" t="s">
        <v>454</v>
      </c>
      <c r="C149" s="65" t="s">
        <v>455</v>
      </c>
      <c r="D149" s="51">
        <v>1.0</v>
      </c>
      <c r="E149" s="51">
        <v>1.0</v>
      </c>
      <c r="F149" s="51">
        <v>1.0</v>
      </c>
      <c r="G149" s="51">
        <v>1.0</v>
      </c>
      <c r="H149" s="51">
        <v>1.0</v>
      </c>
      <c r="I149" s="51">
        <v>1.0</v>
      </c>
      <c r="J149" s="51">
        <v>1.0</v>
      </c>
      <c r="K149" s="51">
        <v>1.0</v>
      </c>
      <c r="L149" s="51">
        <v>1.0</v>
      </c>
      <c r="M149" s="51">
        <v>1.0</v>
      </c>
      <c r="N149" s="51">
        <v>1.0</v>
      </c>
      <c r="O149" s="3"/>
      <c r="P149" s="23"/>
      <c r="Q149" s="2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 outlineLevel="1">
      <c r="A150" s="3"/>
      <c r="B150" s="48" t="s">
        <v>456</v>
      </c>
      <c r="C150" s="65" t="s">
        <v>455</v>
      </c>
      <c r="D150" s="51">
        <v>1.0</v>
      </c>
      <c r="E150" s="51">
        <v>1.0</v>
      </c>
      <c r="F150" s="51">
        <v>1.0</v>
      </c>
      <c r="G150" s="51">
        <v>1.0</v>
      </c>
      <c r="H150" s="51">
        <v>1.0</v>
      </c>
      <c r="I150" s="51">
        <v>1.0</v>
      </c>
      <c r="J150" s="51">
        <v>1.0</v>
      </c>
      <c r="K150" s="51">
        <v>1.0</v>
      </c>
      <c r="L150" s="51">
        <v>1.0</v>
      </c>
      <c r="M150" s="51">
        <v>1.0</v>
      </c>
      <c r="N150" s="51">
        <v>1.0</v>
      </c>
      <c r="O150" s="3"/>
      <c r="P150" s="23"/>
      <c r="Q150" s="2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 outlineLevel="1">
      <c r="A151" s="3"/>
      <c r="B151" s="48" t="s">
        <v>457</v>
      </c>
      <c r="C151" s="65" t="s">
        <v>458</v>
      </c>
      <c r="D151" s="51">
        <f>'MC Drivers (NRD)'!D371*D149</f>
        <v>763</v>
      </c>
      <c r="E151" s="51">
        <f>'MC Drivers (NRD)'!E371*E149</f>
        <v>1891</v>
      </c>
      <c r="F151" s="51">
        <f>'MC Drivers (NRD)'!F371*F149</f>
        <v>3562</v>
      </c>
      <c r="G151" s="51">
        <f>'MC Drivers (NRD)'!G371*G149</f>
        <v>5748</v>
      </c>
      <c r="H151" s="51">
        <f>'MC Drivers (NRD)'!H371*H149</f>
        <v>8350</v>
      </c>
      <c r="I151" s="51">
        <f>'MC Drivers (NRD)'!I371*I149</f>
        <v>11425</v>
      </c>
      <c r="J151" s="51">
        <f>'MC Drivers (NRD)'!J371*J149</f>
        <v>15259</v>
      </c>
      <c r="K151" s="51">
        <f>'MC Drivers (NRD)'!K371*K149</f>
        <v>19806</v>
      </c>
      <c r="L151" s="51">
        <f>'MC Drivers (NRD)'!L371*L149</f>
        <v>24795</v>
      </c>
      <c r="M151" s="51">
        <f>'MC Drivers (NRD)'!M371*M149</f>
        <v>30234</v>
      </c>
      <c r="N151" s="51">
        <f>'MC Drivers (NRD)'!N371*N149</f>
        <v>36134</v>
      </c>
      <c r="O151" s="3"/>
      <c r="P151" s="23"/>
      <c r="Q151" s="2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 outlineLevel="1">
      <c r="A152" s="3"/>
      <c r="B152" s="48" t="s">
        <v>459</v>
      </c>
      <c r="C152" s="65" t="s">
        <v>460</v>
      </c>
      <c r="D152" s="51">
        <f>'MC Drivers (NRD)'!D372*D150</f>
        <v>2853</v>
      </c>
      <c r="E152" s="51">
        <f>'MC Drivers (NRD)'!E372*E150</f>
        <v>7083</v>
      </c>
      <c r="F152" s="51">
        <f>'MC Drivers (NRD)'!F372*F150</f>
        <v>13362</v>
      </c>
      <c r="G152" s="51">
        <f>'MC Drivers (NRD)'!G372*G150</f>
        <v>21579</v>
      </c>
      <c r="H152" s="51">
        <f>'MC Drivers (NRD)'!H372*H150</f>
        <v>31383</v>
      </c>
      <c r="I152" s="51">
        <f>'MC Drivers (NRD)'!I372*I150</f>
        <v>42979</v>
      </c>
      <c r="J152" s="51">
        <f>'MC Drivers (NRD)'!J372*J150</f>
        <v>57440</v>
      </c>
      <c r="K152" s="51">
        <f>'MC Drivers (NRD)'!K372*K150</f>
        <v>74605</v>
      </c>
      <c r="L152" s="51">
        <f>'MC Drivers (NRD)'!L372*L150</f>
        <v>93459</v>
      </c>
      <c r="M152" s="51">
        <f>'MC Drivers (NRD)'!M372*M150</f>
        <v>114036</v>
      </c>
      <c r="N152" s="51">
        <f>'MC Drivers (NRD)'!N372*N150</f>
        <v>136384</v>
      </c>
      <c r="O152" s="3"/>
      <c r="P152" s="23"/>
      <c r="Q152" s="2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 outlineLevel="1">
      <c r="A153" s="3"/>
      <c r="B153" s="48" t="s">
        <v>461</v>
      </c>
      <c r="C153" s="65" t="s">
        <v>453</v>
      </c>
      <c r="D153" s="51">
        <f t="shared" ref="D153:N153" si="94">D151+D152</f>
        <v>3616</v>
      </c>
      <c r="E153" s="51">
        <f t="shared" si="94"/>
        <v>8974</v>
      </c>
      <c r="F153" s="51">
        <f t="shared" si="94"/>
        <v>16924</v>
      </c>
      <c r="G153" s="51">
        <f t="shared" si="94"/>
        <v>27327</v>
      </c>
      <c r="H153" s="51">
        <f t="shared" si="94"/>
        <v>39733</v>
      </c>
      <c r="I153" s="51">
        <f t="shared" si="94"/>
        <v>54404</v>
      </c>
      <c r="J153" s="51">
        <f t="shared" si="94"/>
        <v>72699</v>
      </c>
      <c r="K153" s="51">
        <f t="shared" si="94"/>
        <v>94411</v>
      </c>
      <c r="L153" s="51">
        <f t="shared" si="94"/>
        <v>118254</v>
      </c>
      <c r="M153" s="51">
        <f t="shared" si="94"/>
        <v>144270</v>
      </c>
      <c r="N153" s="51">
        <f t="shared" si="94"/>
        <v>172518</v>
      </c>
      <c r="O153" s="3"/>
      <c r="P153" s="23"/>
      <c r="Q153" s="2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 outlineLevel="1">
      <c r="A154" s="3"/>
      <c r="B154" s="48" t="s">
        <v>462</v>
      </c>
      <c r="C154" s="65" t="s">
        <v>463</v>
      </c>
      <c r="D154" s="51">
        <f>ROUNDUP('MC Drivers (NRD)'!D371/10,0)</f>
        <v>77</v>
      </c>
      <c r="E154" s="51">
        <f>ROUNDUP('MC Drivers (NRD)'!E371/10,0)</f>
        <v>190</v>
      </c>
      <c r="F154" s="51">
        <f>ROUNDUP('MC Drivers (NRD)'!F371/10,0)</f>
        <v>357</v>
      </c>
      <c r="G154" s="51">
        <f>ROUNDUP('MC Drivers (NRD)'!G371/10,0)</f>
        <v>575</v>
      </c>
      <c r="H154" s="51">
        <f>ROUNDUP('MC Drivers (NRD)'!H371/10,0)</f>
        <v>835</v>
      </c>
      <c r="I154" s="51">
        <f>ROUNDUP('MC Drivers (NRD)'!I371/10,0)</f>
        <v>1143</v>
      </c>
      <c r="J154" s="51">
        <f>ROUNDUP('MC Drivers (NRD)'!J371/10,0)</f>
        <v>1526</v>
      </c>
      <c r="K154" s="51">
        <f>ROUNDUP('MC Drivers (NRD)'!K371/10,0)</f>
        <v>1981</v>
      </c>
      <c r="L154" s="51">
        <f>ROUNDUP('MC Drivers (NRD)'!L371/10,0)</f>
        <v>2480</v>
      </c>
      <c r="M154" s="51">
        <f>ROUNDUP('MC Drivers (NRD)'!M371/10,0)</f>
        <v>3024</v>
      </c>
      <c r="N154" s="51">
        <f>ROUNDUP('MC Drivers (NRD)'!N371/10,0)</f>
        <v>3614</v>
      </c>
      <c r="O154" s="3"/>
      <c r="P154" s="23"/>
      <c r="Q154" s="2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 outlineLevel="1">
      <c r="A155" s="3"/>
      <c r="B155" s="48" t="s">
        <v>464</v>
      </c>
      <c r="C155" s="65" t="s">
        <v>463</v>
      </c>
      <c r="D155" s="51">
        <f>ROUNDUP('MC Drivers (NRD)'!D372/10,0)</f>
        <v>286</v>
      </c>
      <c r="E155" s="51">
        <f>ROUNDUP('MC Drivers (NRD)'!E372/10,0)</f>
        <v>709</v>
      </c>
      <c r="F155" s="51">
        <f>ROUNDUP('MC Drivers (NRD)'!F372/10,0)</f>
        <v>1337</v>
      </c>
      <c r="G155" s="51">
        <f>ROUNDUP('MC Drivers (NRD)'!G372/10,0)</f>
        <v>2158</v>
      </c>
      <c r="H155" s="51">
        <f>ROUNDUP('MC Drivers (NRD)'!H372/10,0)</f>
        <v>3139</v>
      </c>
      <c r="I155" s="51">
        <f>ROUNDUP('MC Drivers (NRD)'!I372/10,0)</f>
        <v>4298</v>
      </c>
      <c r="J155" s="51">
        <f>ROUNDUP('MC Drivers (NRD)'!J372/10,0)</f>
        <v>5744</v>
      </c>
      <c r="K155" s="51">
        <f>ROUNDUP('MC Drivers (NRD)'!K372/10,0)</f>
        <v>7461</v>
      </c>
      <c r="L155" s="51">
        <f>ROUNDUP('MC Drivers (NRD)'!L372/10,0)</f>
        <v>9346</v>
      </c>
      <c r="M155" s="51">
        <f>ROUNDUP('MC Drivers (NRD)'!M372/10,0)</f>
        <v>11404</v>
      </c>
      <c r="N155" s="51">
        <f>ROUNDUP('MC Drivers (NRD)'!N372/10,0)</f>
        <v>13639</v>
      </c>
      <c r="O155" s="3"/>
      <c r="P155" s="23"/>
      <c r="Q155" s="2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 outlineLevel="1">
      <c r="A156" s="3"/>
      <c r="B156" s="48" t="s">
        <v>465</v>
      </c>
      <c r="C156" s="65" t="s">
        <v>453</v>
      </c>
      <c r="D156" s="51">
        <f t="shared" ref="D156:N156" si="95">D154+D155</f>
        <v>363</v>
      </c>
      <c r="E156" s="51">
        <f t="shared" si="95"/>
        <v>899</v>
      </c>
      <c r="F156" s="51">
        <f t="shared" si="95"/>
        <v>1694</v>
      </c>
      <c r="G156" s="51">
        <f t="shared" si="95"/>
        <v>2733</v>
      </c>
      <c r="H156" s="51">
        <f t="shared" si="95"/>
        <v>3974</v>
      </c>
      <c r="I156" s="51">
        <f t="shared" si="95"/>
        <v>5441</v>
      </c>
      <c r="J156" s="51">
        <f t="shared" si="95"/>
        <v>7270</v>
      </c>
      <c r="K156" s="51">
        <f t="shared" si="95"/>
        <v>9442</v>
      </c>
      <c r="L156" s="51">
        <f t="shared" si="95"/>
        <v>11826</v>
      </c>
      <c r="M156" s="51">
        <f t="shared" si="95"/>
        <v>14428</v>
      </c>
      <c r="N156" s="51">
        <f t="shared" si="95"/>
        <v>17253</v>
      </c>
      <c r="O156" s="3"/>
      <c r="P156" s="23"/>
      <c r="Q156" s="23"/>
      <c r="R156" s="3"/>
      <c r="S156" s="3"/>
      <c r="T156" s="3"/>
      <c r="U156" s="3"/>
      <c r="V156" s="3"/>
      <c r="W156" s="3"/>
      <c r="X156" s="3"/>
      <c r="Y156" s="3"/>
      <c r="Z156" s="3"/>
    </row>
    <row r="157" ht="18.75" hidden="1" customHeight="1" outlineLevel="1">
      <c r="A157" s="3"/>
      <c r="B157" s="48" t="s">
        <v>466</v>
      </c>
      <c r="C157" s="65" t="s">
        <v>467</v>
      </c>
      <c r="D157" s="51">
        <f t="shared" ref="D157:D158" si="97">D156</f>
        <v>363</v>
      </c>
      <c r="E157" s="51">
        <f t="shared" ref="E157:N157" si="96">MAX(E156-D158,0)</f>
        <v>536</v>
      </c>
      <c r="F157" s="51">
        <f t="shared" si="96"/>
        <v>795</v>
      </c>
      <c r="G157" s="51">
        <f t="shared" si="96"/>
        <v>1039</v>
      </c>
      <c r="H157" s="51">
        <f t="shared" si="96"/>
        <v>1241</v>
      </c>
      <c r="I157" s="51">
        <f t="shared" si="96"/>
        <v>1467</v>
      </c>
      <c r="J157" s="51">
        <f t="shared" si="96"/>
        <v>1829</v>
      </c>
      <c r="K157" s="51">
        <f t="shared" si="96"/>
        <v>2172</v>
      </c>
      <c r="L157" s="51">
        <f t="shared" si="96"/>
        <v>2384</v>
      </c>
      <c r="M157" s="51">
        <f t="shared" si="96"/>
        <v>2602</v>
      </c>
      <c r="N157" s="51">
        <f t="shared" si="96"/>
        <v>2825</v>
      </c>
      <c r="O157" s="3"/>
      <c r="P157" s="23"/>
      <c r="Q157" s="2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 outlineLevel="1">
      <c r="A158" s="3"/>
      <c r="B158" s="48" t="s">
        <v>468</v>
      </c>
      <c r="C158" s="65" t="s">
        <v>469</v>
      </c>
      <c r="D158" s="51">
        <f t="shared" si="97"/>
        <v>363</v>
      </c>
      <c r="E158" s="51">
        <f t="shared" ref="E158:N158" si="98">D158+E157</f>
        <v>899</v>
      </c>
      <c r="F158" s="51">
        <f t="shared" si="98"/>
        <v>1694</v>
      </c>
      <c r="G158" s="51">
        <f t="shared" si="98"/>
        <v>2733</v>
      </c>
      <c r="H158" s="51">
        <f t="shared" si="98"/>
        <v>3974</v>
      </c>
      <c r="I158" s="51">
        <f t="shared" si="98"/>
        <v>5441</v>
      </c>
      <c r="J158" s="51">
        <f t="shared" si="98"/>
        <v>7270</v>
      </c>
      <c r="K158" s="51">
        <f t="shared" si="98"/>
        <v>9442</v>
      </c>
      <c r="L158" s="51">
        <f t="shared" si="98"/>
        <v>11826</v>
      </c>
      <c r="M158" s="51">
        <f t="shared" si="98"/>
        <v>14428</v>
      </c>
      <c r="N158" s="51">
        <f t="shared" si="98"/>
        <v>17253</v>
      </c>
      <c r="O158" s="3"/>
      <c r="P158" s="23"/>
      <c r="Q158" s="2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 outlineLevel="1">
      <c r="A159" s="3"/>
      <c r="B159" s="48"/>
      <c r="C159" s="65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3"/>
      <c r="P159" s="23"/>
      <c r="Q159" s="2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 outlineLevel="1">
      <c r="A160" s="3"/>
      <c r="B160" s="46" t="s">
        <v>470</v>
      </c>
      <c r="C160" s="64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3"/>
      <c r="P160" s="23"/>
      <c r="Q160" s="2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 outlineLevel="1">
      <c r="A161" s="3"/>
      <c r="B161" s="48" t="s">
        <v>471</v>
      </c>
      <c r="C161" s="65" t="s">
        <v>472</v>
      </c>
      <c r="D161" s="51">
        <f t="shared" ref="D161:N161" si="99">D18*(1-D21)</f>
        <v>1.9136</v>
      </c>
      <c r="E161" s="51">
        <f t="shared" si="99"/>
        <v>1.275733333</v>
      </c>
      <c r="F161" s="51">
        <f t="shared" si="99"/>
        <v>1.275733333</v>
      </c>
      <c r="G161" s="51">
        <f t="shared" si="99"/>
        <v>1.275733333</v>
      </c>
      <c r="H161" s="51">
        <f t="shared" si="99"/>
        <v>1.275733333</v>
      </c>
      <c r="I161" s="51">
        <f t="shared" si="99"/>
        <v>1.275733333</v>
      </c>
      <c r="J161" s="51">
        <f t="shared" si="99"/>
        <v>1.275733333</v>
      </c>
      <c r="K161" s="51">
        <f t="shared" si="99"/>
        <v>1.275733333</v>
      </c>
      <c r="L161" s="51">
        <f t="shared" si="99"/>
        <v>1.275733333</v>
      </c>
      <c r="M161" s="51">
        <f t="shared" si="99"/>
        <v>1.275733333</v>
      </c>
      <c r="N161" s="51">
        <f t="shared" si="99"/>
        <v>1.275733333</v>
      </c>
      <c r="O161" s="3"/>
      <c r="P161" s="23"/>
      <c r="Q161" s="23"/>
      <c r="R161" s="3"/>
      <c r="S161" s="3"/>
      <c r="T161" s="3"/>
      <c r="U161" s="3"/>
      <c r="V161" s="3"/>
      <c r="W161" s="3"/>
      <c r="X161" s="3"/>
      <c r="Y161" s="3"/>
      <c r="Z161" s="3"/>
    </row>
    <row r="162" ht="18.75" hidden="1" customHeight="1" outlineLevel="1">
      <c r="A162" s="3"/>
      <c r="B162" s="48" t="s">
        <v>473</v>
      </c>
      <c r="C162" s="65" t="s">
        <v>474</v>
      </c>
      <c r="D162" s="51">
        <f t="shared" ref="D162:N162" si="100">D18*(1-D21)</f>
        <v>1.9136</v>
      </c>
      <c r="E162" s="51">
        <f t="shared" si="100"/>
        <v>1.275733333</v>
      </c>
      <c r="F162" s="51">
        <f t="shared" si="100"/>
        <v>1.275733333</v>
      </c>
      <c r="G162" s="51">
        <f t="shared" si="100"/>
        <v>1.275733333</v>
      </c>
      <c r="H162" s="51">
        <f t="shared" si="100"/>
        <v>1.275733333</v>
      </c>
      <c r="I162" s="51">
        <f t="shared" si="100"/>
        <v>1.275733333</v>
      </c>
      <c r="J162" s="51">
        <f t="shared" si="100"/>
        <v>1.275733333</v>
      </c>
      <c r="K162" s="51">
        <f t="shared" si="100"/>
        <v>1.275733333</v>
      </c>
      <c r="L162" s="51">
        <f t="shared" si="100"/>
        <v>1.275733333</v>
      </c>
      <c r="M162" s="51">
        <f t="shared" si="100"/>
        <v>1.275733333</v>
      </c>
      <c r="N162" s="51">
        <f t="shared" si="100"/>
        <v>1.275733333</v>
      </c>
      <c r="O162" s="3"/>
      <c r="P162" s="23"/>
      <c r="Q162" s="2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 outlineLevel="1">
      <c r="A163" s="3"/>
      <c r="B163" s="48" t="s">
        <v>475</v>
      </c>
      <c r="C163" s="65" t="s">
        <v>476</v>
      </c>
      <c r="D163" s="51">
        <f t="shared" ref="D163:N163" si="101">D151*D161+D152*D162</f>
        <v>6919.5776</v>
      </c>
      <c r="E163" s="51">
        <f t="shared" si="101"/>
        <v>11448.43093</v>
      </c>
      <c r="F163" s="51">
        <f t="shared" si="101"/>
        <v>21590.51093</v>
      </c>
      <c r="G163" s="51">
        <f t="shared" si="101"/>
        <v>34861.9648</v>
      </c>
      <c r="H163" s="51">
        <f t="shared" si="101"/>
        <v>50688.71253</v>
      </c>
      <c r="I163" s="51">
        <f t="shared" si="101"/>
        <v>69404.99627</v>
      </c>
      <c r="J163" s="51">
        <f t="shared" si="101"/>
        <v>92744.5376</v>
      </c>
      <c r="K163" s="51">
        <f t="shared" si="101"/>
        <v>120443.2597</v>
      </c>
      <c r="L163" s="51">
        <f t="shared" si="101"/>
        <v>150860.5696</v>
      </c>
      <c r="M163" s="51">
        <f t="shared" si="101"/>
        <v>184050.048</v>
      </c>
      <c r="N163" s="51">
        <f t="shared" si="101"/>
        <v>220086.9632</v>
      </c>
      <c r="O163" s="3"/>
      <c r="P163" s="23"/>
      <c r="Q163" s="2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 outlineLevel="1">
      <c r="A164" s="3"/>
      <c r="B164" s="48" t="s">
        <v>477</v>
      </c>
      <c r="C164" s="65" t="s">
        <v>478</v>
      </c>
      <c r="D164" s="51">
        <f t="shared" ref="D164:N164" si="102">D163*365*D19</f>
        <v>32314736.3</v>
      </c>
      <c r="E164" s="51">
        <f t="shared" si="102"/>
        <v>53464683.55</v>
      </c>
      <c r="F164" s="51">
        <f t="shared" si="102"/>
        <v>100828649.9</v>
      </c>
      <c r="G164" s="51">
        <f t="shared" si="102"/>
        <v>162806932</v>
      </c>
      <c r="H164" s="51">
        <f t="shared" si="102"/>
        <v>236718550.4</v>
      </c>
      <c r="I164" s="51">
        <f t="shared" si="102"/>
        <v>324124431</v>
      </c>
      <c r="J164" s="51">
        <f t="shared" si="102"/>
        <v>433121131</v>
      </c>
      <c r="K164" s="51">
        <f t="shared" si="102"/>
        <v>562475399.9</v>
      </c>
      <c r="L164" s="51">
        <f t="shared" si="102"/>
        <v>704525594.9</v>
      </c>
      <c r="M164" s="51">
        <f t="shared" si="102"/>
        <v>859521940.7</v>
      </c>
      <c r="N164" s="51">
        <f t="shared" si="102"/>
        <v>1027815943</v>
      </c>
      <c r="O164" s="3"/>
      <c r="P164" s="23"/>
      <c r="Q164" s="2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 outlineLevel="1">
      <c r="A165" s="3"/>
      <c r="B165" s="48" t="s">
        <v>479</v>
      </c>
      <c r="C165" s="65" t="s">
        <v>480</v>
      </c>
      <c r="D165" s="51">
        <f t="shared" ref="D165:N165" si="103">D143*D13</f>
        <v>1375392.857</v>
      </c>
      <c r="E165" s="51">
        <f t="shared" si="103"/>
        <v>4372794.643</v>
      </c>
      <c r="F165" s="51">
        <f t="shared" si="103"/>
        <v>8735441.786</v>
      </c>
      <c r="G165" s="51">
        <f t="shared" si="103"/>
        <v>14600466.96</v>
      </c>
      <c r="H165" s="51">
        <f t="shared" si="103"/>
        <v>21751024.82</v>
      </c>
      <c r="I165" s="51">
        <f t="shared" si="103"/>
        <v>30098421.96</v>
      </c>
      <c r="J165" s="51">
        <f t="shared" si="103"/>
        <v>40251915</v>
      </c>
      <c r="K165" s="51">
        <f t="shared" si="103"/>
        <v>52463246.79</v>
      </c>
      <c r="L165" s="51">
        <f t="shared" si="103"/>
        <v>66132530.36</v>
      </c>
      <c r="M165" s="51">
        <f t="shared" si="103"/>
        <v>80914980.54</v>
      </c>
      <c r="N165" s="51">
        <f t="shared" si="103"/>
        <v>96812100</v>
      </c>
      <c r="O165" s="3"/>
      <c r="P165" s="23"/>
      <c r="Q165" s="2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 outlineLevel="1">
      <c r="A166" s="3"/>
      <c r="B166" s="48" t="s">
        <v>481</v>
      </c>
      <c r="C166" s="65" t="s">
        <v>482</v>
      </c>
      <c r="D166" s="51">
        <f t="shared" ref="D166:N166" si="104">D148*D14*12</f>
        <v>7748571.429</v>
      </c>
      <c r="E166" s="51">
        <f t="shared" si="104"/>
        <v>19230000</v>
      </c>
      <c r="F166" s="51">
        <f t="shared" si="104"/>
        <v>36265714.29</v>
      </c>
      <c r="G166" s="51">
        <f t="shared" si="104"/>
        <v>58557857.14</v>
      </c>
      <c r="H166" s="51">
        <f t="shared" si="104"/>
        <v>85142142.86</v>
      </c>
      <c r="I166" s="51">
        <f t="shared" si="104"/>
        <v>116580000</v>
      </c>
      <c r="J166" s="51">
        <f t="shared" si="104"/>
        <v>155783571.4</v>
      </c>
      <c r="K166" s="51">
        <f t="shared" si="104"/>
        <v>202309285.7</v>
      </c>
      <c r="L166" s="51">
        <f t="shared" si="104"/>
        <v>253401428.6</v>
      </c>
      <c r="M166" s="51">
        <f t="shared" si="104"/>
        <v>309150000</v>
      </c>
      <c r="N166" s="51">
        <f t="shared" si="104"/>
        <v>369681428.6</v>
      </c>
      <c r="O166" s="3"/>
      <c r="P166" s="23"/>
      <c r="Q166" s="2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 outlineLevel="1">
      <c r="A167" s="3"/>
      <c r="B167" s="3"/>
      <c r="C167" s="5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23"/>
      <c r="Q167" s="2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 outlineLevel="1">
      <c r="A168" s="3"/>
      <c r="B168" s="3"/>
      <c r="C168" s="5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23"/>
      <c r="Q168" s="2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 outlineLevel="1">
      <c r="A169" s="3"/>
      <c r="B169" s="3"/>
      <c r="C169" s="5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23"/>
      <c r="Q169" s="2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 outlineLevel="1">
      <c r="A170" s="3"/>
      <c r="B170" s="3"/>
      <c r="C170" s="5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23"/>
      <c r="Q170" s="2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 outlineLevel="1">
      <c r="A171" s="3"/>
      <c r="B171" s="3"/>
      <c r="C171" s="5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23"/>
      <c r="Q171" s="2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 outlineLevel="1">
      <c r="A172" s="3"/>
      <c r="B172" s="3"/>
      <c r="C172" s="5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23"/>
      <c r="Q172" s="2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 outlineLevel="1">
      <c r="A173" s="3"/>
      <c r="B173" s="3"/>
      <c r="C173" s="5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23"/>
      <c r="Q173" s="2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 outlineLevel="1">
      <c r="A174" s="3"/>
      <c r="B174" s="3"/>
      <c r="C174" s="5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23"/>
      <c r="Q174" s="2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 outlineLevel="1">
      <c r="A175" s="3"/>
      <c r="B175" s="3"/>
      <c r="C175" s="5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23"/>
      <c r="Q175" s="2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 outlineLevel="1">
      <c r="A176" s="3"/>
      <c r="B176" s="3"/>
      <c r="C176" s="5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23"/>
      <c r="Q176" s="2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 outlineLevel="1">
      <c r="A177" s="3"/>
      <c r="B177" s="3"/>
      <c r="C177" s="5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23"/>
      <c r="Q177" s="2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 outlineLevel="1">
      <c r="A178" s="3"/>
      <c r="B178" s="3"/>
      <c r="C178" s="5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23"/>
      <c r="Q178" s="2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 outlineLevel="1">
      <c r="A179" s="3"/>
      <c r="B179" s="3"/>
      <c r="C179" s="5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23"/>
      <c r="Q179" s="2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 outlineLevel="1">
      <c r="A180" s="3"/>
      <c r="B180" s="3"/>
      <c r="C180" s="5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23"/>
      <c r="Q180" s="2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 outlineLevel="1">
      <c r="A181" s="3"/>
      <c r="B181" s="3"/>
      <c r="C181" s="5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23"/>
      <c r="Q181" s="2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 outlineLevel="1">
      <c r="A182" s="3"/>
      <c r="B182" s="3"/>
      <c r="C182" s="5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23"/>
      <c r="Q182" s="2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 outlineLevel="1">
      <c r="A183" s="3"/>
      <c r="B183" s="3"/>
      <c r="C183" s="5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23"/>
      <c r="Q183" s="2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 outlineLevel="1">
      <c r="A184" s="3"/>
      <c r="B184" s="3"/>
      <c r="C184" s="5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23"/>
      <c r="Q184" s="2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 outlineLevel="1">
      <c r="A185" s="3"/>
      <c r="B185" s="3"/>
      <c r="C185" s="5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23"/>
      <c r="Q185" s="2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 outlineLevel="1">
      <c r="A186" s="3"/>
      <c r="B186" s="3"/>
      <c r="C186" s="5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23"/>
      <c r="Q186" s="2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 outlineLevel="1">
      <c r="A187" s="3"/>
      <c r="B187" s="3"/>
      <c r="C187" s="5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23"/>
      <c r="Q187" s="2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 outlineLevel="1">
      <c r="A188" s="3"/>
      <c r="B188" s="3"/>
      <c r="C188" s="5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23"/>
      <c r="Q188" s="2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 outlineLevel="1">
      <c r="A189" s="3"/>
      <c r="B189" s="3"/>
      <c r="C189" s="5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23"/>
      <c r="Q189" s="2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 outlineLevel="1">
      <c r="A190" s="3"/>
      <c r="B190" s="3"/>
      <c r="C190" s="5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23"/>
      <c r="Q190" s="2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 outlineLevel="1">
      <c r="A191" s="3"/>
      <c r="B191" s="3"/>
      <c r="C191" s="5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23"/>
      <c r="Q191" s="2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 outlineLevel="1">
      <c r="A192" s="3"/>
      <c r="B192" s="3"/>
      <c r="C192" s="5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23"/>
      <c r="Q192" s="2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 outlineLevel="1">
      <c r="A193" s="3"/>
      <c r="B193" s="3"/>
      <c r="C193" s="5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23"/>
      <c r="Q193" s="2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 outlineLevel="1">
      <c r="A194" s="3"/>
      <c r="B194" s="3"/>
      <c r="C194" s="5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23"/>
      <c r="Q194" s="2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 outlineLevel="1">
      <c r="A195" s="3"/>
      <c r="B195" s="3"/>
      <c r="C195" s="5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23"/>
      <c r="Q195" s="2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 outlineLevel="1">
      <c r="A196" s="3"/>
      <c r="B196" s="3"/>
      <c r="C196" s="5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23"/>
      <c r="Q196" s="2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 outlineLevel="1">
      <c r="A197" s="3"/>
      <c r="B197" s="3"/>
      <c r="C197" s="5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23"/>
      <c r="Q197" s="2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 outlineLevel="1">
      <c r="A198" s="3"/>
      <c r="B198" s="3"/>
      <c r="C198" s="5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23"/>
      <c r="Q198" s="2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 outlineLevel="1">
      <c r="A199" s="3"/>
      <c r="B199" s="3"/>
      <c r="C199" s="5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23"/>
      <c r="Q199" s="2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 outlineLevel="1">
      <c r="A200" s="3"/>
      <c r="B200" s="3"/>
      <c r="C200" s="5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23"/>
      <c r="Q200" s="2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 outlineLevel="1">
      <c r="A201" s="3"/>
      <c r="B201" s="3"/>
      <c r="C201" s="5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23"/>
      <c r="Q201" s="2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 outlineLevel="1">
      <c r="A202" s="3"/>
      <c r="B202" s="3"/>
      <c r="C202" s="5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23"/>
      <c r="Q202" s="2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 outlineLevel="1">
      <c r="A203" s="3"/>
      <c r="B203" s="3"/>
      <c r="C203" s="5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23"/>
      <c r="Q203" s="2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 outlineLevel="1">
      <c r="A204" s="3"/>
      <c r="B204" s="3"/>
      <c r="C204" s="5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23"/>
      <c r="Q204" s="2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 outlineLevel="1">
      <c r="A205" s="3"/>
      <c r="B205" s="3"/>
      <c r="C205" s="5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23"/>
      <c r="Q205" s="2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 outlineLevel="1">
      <c r="A206" s="3"/>
      <c r="B206" s="3"/>
      <c r="C206" s="5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23"/>
      <c r="Q206" s="2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 outlineLevel="1">
      <c r="A207" s="3"/>
      <c r="B207" s="3"/>
      <c r="C207" s="5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23"/>
      <c r="Q207" s="2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 outlineLevel="1">
      <c r="A208" s="3"/>
      <c r="B208" s="3"/>
      <c r="C208" s="5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23"/>
      <c r="Q208" s="2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 outlineLevel="1">
      <c r="A209" s="3"/>
      <c r="B209" s="3"/>
      <c r="C209" s="5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23"/>
      <c r="Q209" s="2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 outlineLevel="1">
      <c r="A210" s="3"/>
      <c r="B210" s="3"/>
      <c r="C210" s="5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23"/>
      <c r="Q210" s="2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 outlineLevel="1">
      <c r="A211" s="3"/>
      <c r="B211" s="3"/>
      <c r="C211" s="5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23"/>
      <c r="Q211" s="2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 outlineLevel="1">
      <c r="A212" s="3"/>
      <c r="B212" s="3"/>
      <c r="C212" s="5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23"/>
      <c r="Q212" s="2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 outlineLevel="1">
      <c r="A213" s="3"/>
      <c r="B213" s="3"/>
      <c r="C213" s="5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23"/>
      <c r="Q213" s="2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 outlineLevel="1">
      <c r="A214" s="3"/>
      <c r="B214" s="3"/>
      <c r="C214" s="5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23"/>
      <c r="Q214" s="2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 outlineLevel="1">
      <c r="A215" s="3"/>
      <c r="B215" s="3"/>
      <c r="C215" s="5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23"/>
      <c r="Q215" s="2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 outlineLevel="1">
      <c r="A216" s="3"/>
      <c r="B216" s="3"/>
      <c r="C216" s="5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23"/>
      <c r="Q216" s="2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 outlineLevel="1">
      <c r="A217" s="3"/>
      <c r="B217" s="3"/>
      <c r="C217" s="5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23"/>
      <c r="Q217" s="2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 outlineLevel="1">
      <c r="A218" s="3"/>
      <c r="B218" s="3"/>
      <c r="C218" s="5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23"/>
      <c r="Q218" s="2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 outlineLevel="1">
      <c r="A219" s="3"/>
      <c r="B219" s="3"/>
      <c r="C219" s="5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23"/>
      <c r="Q219" s="2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 outlineLevel="1">
      <c r="A220" s="3"/>
      <c r="B220" s="3"/>
      <c r="C220" s="5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23"/>
      <c r="Q220" s="2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 outlineLevel="1">
      <c r="A221" s="3"/>
      <c r="B221" s="3"/>
      <c r="C221" s="5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23"/>
      <c r="Q221" s="2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 outlineLevel="1">
      <c r="A222" s="3"/>
      <c r="B222" s="3"/>
      <c r="C222" s="5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23"/>
      <c r="Q222" s="2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 outlineLevel="1">
      <c r="A223" s="3"/>
      <c r="B223" s="3"/>
      <c r="C223" s="5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23"/>
      <c r="Q223" s="2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 outlineLevel="1">
      <c r="A224" s="3"/>
      <c r="B224" s="3"/>
      <c r="C224" s="5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23"/>
      <c r="Q224" s="2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 outlineLevel="1">
      <c r="A225" s="3"/>
      <c r="B225" s="3"/>
      <c r="C225" s="5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23"/>
      <c r="Q225" s="2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 outlineLevel="1">
      <c r="A226" s="3"/>
      <c r="B226" s="3"/>
      <c r="C226" s="5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23"/>
      <c r="Q226" s="2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 outlineLevel="1">
      <c r="A227" s="3"/>
      <c r="B227" s="3"/>
      <c r="C227" s="5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23"/>
      <c r="Q227" s="2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 outlineLevel="1">
      <c r="A228" s="3"/>
      <c r="B228" s="3"/>
      <c r="C228" s="5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23"/>
      <c r="Q228" s="2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 outlineLevel="1">
      <c r="A229" s="3"/>
      <c r="B229" s="3"/>
      <c r="C229" s="5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23"/>
      <c r="Q229" s="2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 outlineLevel="1">
      <c r="A230" s="3"/>
      <c r="B230" s="3"/>
      <c r="C230" s="5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23"/>
      <c r="Q230" s="2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 outlineLevel="1">
      <c r="A231" s="3"/>
      <c r="B231" s="3"/>
      <c r="C231" s="5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23"/>
      <c r="Q231" s="2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 outlineLevel="1">
      <c r="A232" s="3"/>
      <c r="B232" s="3"/>
      <c r="C232" s="5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23"/>
      <c r="Q232" s="2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 outlineLevel="1">
      <c r="A233" s="3"/>
      <c r="B233" s="3"/>
      <c r="C233" s="5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23"/>
      <c r="Q233" s="2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 outlineLevel="1">
      <c r="A234" s="3"/>
      <c r="B234" s="3"/>
      <c r="C234" s="5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23"/>
      <c r="Q234" s="2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 outlineLevel="1">
      <c r="A235" s="3"/>
      <c r="B235" s="3"/>
      <c r="C235" s="5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23"/>
      <c r="Q235" s="2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 outlineLevel="1">
      <c r="A236" s="3"/>
      <c r="B236" s="3"/>
      <c r="C236" s="5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23"/>
      <c r="Q236" s="2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 outlineLevel="1">
      <c r="A237" s="3"/>
      <c r="B237" s="3"/>
      <c r="C237" s="5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23"/>
      <c r="Q237" s="2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 outlineLevel="1">
      <c r="A238" s="3"/>
      <c r="B238" s="3"/>
      <c r="C238" s="5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23"/>
      <c r="Q238" s="2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 outlineLevel="1">
      <c r="A239" s="3"/>
      <c r="B239" s="3"/>
      <c r="C239" s="5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23"/>
      <c r="Q239" s="2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 outlineLevel="1">
      <c r="A240" s="3"/>
      <c r="B240" s="3"/>
      <c r="C240" s="5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23"/>
      <c r="Q240" s="2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 outlineLevel="1">
      <c r="A241" s="3"/>
      <c r="B241" s="3"/>
      <c r="C241" s="5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23"/>
      <c r="Q241" s="2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 outlineLevel="1">
      <c r="A242" s="3"/>
      <c r="B242" s="3"/>
      <c r="C242" s="5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23"/>
      <c r="Q242" s="2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 outlineLevel="1">
      <c r="A243" s="3"/>
      <c r="B243" s="3"/>
      <c r="C243" s="5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23"/>
      <c r="Q243" s="2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 outlineLevel="1">
      <c r="A244" s="3"/>
      <c r="B244" s="3"/>
      <c r="C244" s="5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23"/>
      <c r="Q244" s="2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 outlineLevel="1">
      <c r="A245" s="3"/>
      <c r="B245" s="3"/>
      <c r="C245" s="5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23"/>
      <c r="Q245" s="2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 outlineLevel="1">
      <c r="A246" s="3"/>
      <c r="B246" s="3"/>
      <c r="C246" s="5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23"/>
      <c r="Q246" s="2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 outlineLevel="1">
      <c r="A247" s="3"/>
      <c r="B247" s="3"/>
      <c r="C247" s="5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23"/>
      <c r="Q247" s="2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 outlineLevel="1">
      <c r="A248" s="3"/>
      <c r="B248" s="3"/>
      <c r="C248" s="5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23"/>
      <c r="Q248" s="2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 outlineLevel="1">
      <c r="A249" s="3"/>
      <c r="B249" s="3"/>
      <c r="C249" s="5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23"/>
      <c r="Q249" s="2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 outlineLevel="1">
      <c r="A250" s="3"/>
      <c r="B250" s="3"/>
      <c r="C250" s="5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23"/>
      <c r="Q250" s="2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 outlineLevel="1">
      <c r="A251" s="3"/>
      <c r="B251" s="3"/>
      <c r="C251" s="5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23"/>
      <c r="Q251" s="2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 outlineLevel="1">
      <c r="A252" s="3"/>
      <c r="B252" s="3"/>
      <c r="C252" s="5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23"/>
      <c r="Q252" s="2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 outlineLevel="1">
      <c r="A253" s="3"/>
      <c r="B253" s="3"/>
      <c r="C253" s="5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23"/>
      <c r="Q253" s="2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 outlineLevel="1">
      <c r="A254" s="3"/>
      <c r="B254" s="3"/>
      <c r="C254" s="5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23"/>
      <c r="Q254" s="2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 outlineLevel="1">
      <c r="A255" s="3"/>
      <c r="B255" s="3"/>
      <c r="C255" s="5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23"/>
      <c r="Q255" s="2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 outlineLevel="1">
      <c r="A256" s="3"/>
      <c r="B256" s="3"/>
      <c r="C256" s="5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23"/>
      <c r="Q256" s="2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 outlineLevel="1">
      <c r="A257" s="3"/>
      <c r="B257" s="3"/>
      <c r="C257" s="5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23"/>
      <c r="Q257" s="2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 outlineLevel="1">
      <c r="A258" s="3"/>
      <c r="B258" s="3"/>
      <c r="C258" s="5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23"/>
      <c r="Q258" s="2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 outlineLevel="1">
      <c r="A259" s="3"/>
      <c r="B259" s="3"/>
      <c r="C259" s="5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23"/>
      <c r="Q259" s="2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 outlineLevel="1">
      <c r="A260" s="3"/>
      <c r="B260" s="3"/>
      <c r="C260" s="5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23"/>
      <c r="Q260" s="2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 outlineLevel="1">
      <c r="A261" s="3"/>
      <c r="B261" s="3"/>
      <c r="C261" s="5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3"/>
      <c r="Q261" s="2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 outlineLevel="1">
      <c r="A262" s="3"/>
      <c r="B262" s="3"/>
      <c r="C262" s="5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3"/>
      <c r="Q262" s="23"/>
      <c r="R262" s="3"/>
      <c r="S262" s="3"/>
      <c r="T262" s="3"/>
      <c r="U262" s="3"/>
      <c r="V262" s="3"/>
      <c r="W262" s="3"/>
      <c r="X262" s="3"/>
      <c r="Y262" s="3"/>
      <c r="Z262" s="3"/>
    </row>
    <row r="263" ht="15.75" hidden="1" customHeight="1" outlineLevel="1">
      <c r="A263" s="3"/>
      <c r="B263" s="3"/>
      <c r="C263" s="5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23"/>
      <c r="Q263" s="23"/>
      <c r="R263" s="3"/>
      <c r="S263" s="3"/>
      <c r="T263" s="3"/>
      <c r="U263" s="3"/>
      <c r="V263" s="3"/>
      <c r="W263" s="3"/>
      <c r="X263" s="3"/>
      <c r="Y263" s="3"/>
      <c r="Z263" s="3"/>
    </row>
    <row r="264" ht="15.75" hidden="1" customHeight="1" outlineLevel="1">
      <c r="A264" s="3"/>
      <c r="B264" s="3"/>
      <c r="C264" s="5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23"/>
      <c r="Q264" s="23"/>
      <c r="R264" s="3"/>
      <c r="S264" s="3"/>
      <c r="T264" s="3"/>
      <c r="U264" s="3"/>
      <c r="V264" s="3"/>
      <c r="W264" s="3"/>
      <c r="X264" s="3"/>
      <c r="Y264" s="3"/>
      <c r="Z264" s="3"/>
    </row>
    <row r="265" ht="15.75" hidden="1" customHeight="1" outlineLevel="1">
      <c r="A265" s="3"/>
      <c r="B265" s="3"/>
      <c r="C265" s="5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23"/>
      <c r="Q265" s="23"/>
      <c r="R265" s="3"/>
      <c r="S265" s="3"/>
      <c r="T265" s="3"/>
      <c r="U265" s="3"/>
      <c r="V265" s="3"/>
      <c r="W265" s="3"/>
      <c r="X265" s="3"/>
      <c r="Y265" s="3"/>
      <c r="Z265" s="3"/>
    </row>
    <row r="266" ht="15.75" hidden="1" customHeight="1" outlineLevel="1">
      <c r="A266" s="3"/>
      <c r="B266" s="3"/>
      <c r="C266" s="5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23"/>
      <c r="Q266" s="2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5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23"/>
      <c r="Q267" s="2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5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23"/>
      <c r="Q268" s="2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5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23"/>
      <c r="Q269" s="2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5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23"/>
      <c r="Q270" s="2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5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23"/>
      <c r="Q271" s="2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5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23"/>
      <c r="Q272" s="2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5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23"/>
      <c r="Q273" s="2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5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23"/>
      <c r="Q274" s="2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5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23"/>
      <c r="Q275" s="2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5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23"/>
      <c r="Q276" s="2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5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23"/>
      <c r="Q277" s="2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5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23"/>
      <c r="Q278" s="2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5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23"/>
      <c r="Q279" s="2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5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23"/>
      <c r="Q280" s="2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5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23"/>
      <c r="Q281" s="2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5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23"/>
      <c r="Q282" s="2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5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23"/>
      <c r="Q283" s="2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5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23"/>
      <c r="Q284" s="2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5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23"/>
      <c r="Q285" s="2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5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23"/>
      <c r="Q286" s="2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5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23"/>
      <c r="Q287" s="2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5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23"/>
      <c r="Q288" s="2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5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23"/>
      <c r="Q289" s="2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5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23"/>
      <c r="Q290" s="2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5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23"/>
      <c r="Q291" s="2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5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23"/>
      <c r="Q292" s="2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5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23"/>
      <c r="Q293" s="2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5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23"/>
      <c r="Q294" s="2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5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23"/>
      <c r="Q295" s="2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5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23"/>
      <c r="Q296" s="2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5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23"/>
      <c r="Q297" s="2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5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23"/>
      <c r="Q298" s="2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5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23"/>
      <c r="Q299" s="2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5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23"/>
      <c r="Q300" s="2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5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23"/>
      <c r="Q301" s="2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5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23"/>
      <c r="Q302" s="2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5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23"/>
      <c r="Q303" s="2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5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23"/>
      <c r="Q304" s="2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5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23"/>
      <c r="Q305" s="2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5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23"/>
      <c r="Q306" s="2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5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23"/>
      <c r="Q307" s="2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5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23"/>
      <c r="Q308" s="2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5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23"/>
      <c r="Q309" s="2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5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23"/>
      <c r="Q310" s="2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5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23"/>
      <c r="Q311" s="2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5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23"/>
      <c r="Q312" s="2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5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23"/>
      <c r="Q313" s="2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5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23"/>
      <c r="Q314" s="2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5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23"/>
      <c r="Q315" s="2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5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23"/>
      <c r="Q316" s="2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5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23"/>
      <c r="Q317" s="2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5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23"/>
      <c r="Q318" s="2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5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23"/>
      <c r="Q319" s="2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5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23"/>
      <c r="Q320" s="2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5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23"/>
      <c r="Q321" s="2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5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5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5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5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5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5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5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5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5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5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5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5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5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5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5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5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5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5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5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5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5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5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5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5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5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5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5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5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5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5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5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5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5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5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5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5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5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5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5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5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5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5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5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5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5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44.0"/>
    <col customWidth="1" min="3" max="3" width="17.0"/>
    <col customWidth="1" min="4" max="14" width="14.0"/>
    <col customWidth="1" min="15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3"/>
      <c r="B2" s="4" t="s">
        <v>483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66" t="s">
        <v>484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67"/>
      <c r="D4" s="6" t="s">
        <v>485</v>
      </c>
      <c r="E4" s="6" t="s">
        <v>486</v>
      </c>
      <c r="F4" s="6" t="s">
        <v>487</v>
      </c>
      <c r="G4" s="6" t="s">
        <v>488</v>
      </c>
      <c r="H4" s="6" t="s">
        <v>489</v>
      </c>
      <c r="I4" s="6" t="s">
        <v>490</v>
      </c>
      <c r="J4" s="6" t="s">
        <v>491</v>
      </c>
      <c r="K4" s="6" t="s">
        <v>492</v>
      </c>
      <c r="L4" s="6" t="s">
        <v>493</v>
      </c>
      <c r="M4" s="6" t="s">
        <v>494</v>
      </c>
      <c r="N4" s="6" t="s">
        <v>495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7" t="s">
        <v>496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8" t="s">
        <v>497</v>
      </c>
      <c r="C6" s="3"/>
      <c r="D6" s="68">
        <f>'MC Drivers (NRD)'!D15*'MC Drivers (NRD)'!D32*'MC Drivers (NRD)'!D34*12+'MC Drivers (NRD)'!D15*'MC Drivers (NRD)'!D33*'MC Drivers (NRD)'!D35*12</f>
        <v>122750571.4</v>
      </c>
      <c r="E6" s="68">
        <f>'MC Drivers (NRD)'!E15*'MC Drivers (NRD)'!E32*'MC Drivers (NRD)'!E34*12+'MC Drivers (NRD)'!E15*'MC Drivers (NRD)'!E33*'MC Drivers (NRD)'!E35*12</f>
        <v>297681214.3</v>
      </c>
      <c r="F6" s="68">
        <f>'MC Drivers (NRD)'!F15*'MC Drivers (NRD)'!F32*'MC Drivers (NRD)'!F34*12+'MC Drivers (NRD)'!F15*'MC Drivers (NRD)'!F33*'MC Drivers (NRD)'!F35*12</f>
        <v>547724571.4</v>
      </c>
      <c r="G6" s="68">
        <f>'MC Drivers (NRD)'!G15*'MC Drivers (NRD)'!G32*'MC Drivers (NRD)'!G34*12+'MC Drivers (NRD)'!G15*'MC Drivers (NRD)'!G33*'MC Drivers (NRD)'!G35*12</f>
        <v>870609535.7</v>
      </c>
      <c r="H6" s="68">
        <f>'MC Drivers (NRD)'!H15*'MC Drivers (NRD)'!H32*'MC Drivers (NRD)'!H34*12+'MC Drivers (NRD)'!H15*'MC Drivers (NRD)'!H33*'MC Drivers (NRD)'!H35*12</f>
        <v>1241464714</v>
      </c>
      <c r="I6" s="68">
        <f>'MC Drivers (NRD)'!I15*'MC Drivers (NRD)'!I32*'MC Drivers (NRD)'!I34*12+'MC Drivers (NRD)'!I15*'MC Drivers (NRD)'!I33*'MC Drivers (NRD)'!I35*12</f>
        <v>1672698107</v>
      </c>
      <c r="J6" s="68">
        <f>'MC Drivers (NRD)'!J15*'MC Drivers (NRD)'!J32*'MC Drivers (NRD)'!J34*12+'MC Drivers (NRD)'!J15*'MC Drivers (NRD)'!J33*'MC Drivers (NRD)'!J35*12</f>
        <v>2208125464</v>
      </c>
      <c r="K6" s="68">
        <f>'MC Drivers (NRD)'!K15*'MC Drivers (NRD)'!K32*'MC Drivers (NRD)'!K34*12+'MC Drivers (NRD)'!K15*'MC Drivers (NRD)'!K33*'MC Drivers (NRD)'!K35*12</f>
        <v>2834064750</v>
      </c>
      <c r="L6" s="68">
        <f>'MC Drivers (NRD)'!L15*'MC Drivers (NRD)'!L32*'MC Drivers (NRD)'!L34*12+'MC Drivers (NRD)'!L15*'MC Drivers (NRD)'!L33*'MC Drivers (NRD)'!L35*12</f>
        <v>3506312464</v>
      </c>
      <c r="M6" s="68">
        <f>'MC Drivers (NRD)'!M15*'MC Drivers (NRD)'!M32*'MC Drivers (NRD)'!M34*12+'MC Drivers (NRD)'!M15*'MC Drivers (NRD)'!M33*'MC Drivers (NRD)'!M35*12</f>
        <v>4223483786</v>
      </c>
      <c r="N6" s="68">
        <f>'MC Drivers (NRD)'!N15*'MC Drivers (NRD)'!N32*'MC Drivers (NRD)'!N34*12+'MC Drivers (NRD)'!N15*'MC Drivers (NRD)'!N33*'MC Drivers (NRD)'!N35*12</f>
        <v>4984138500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8" t="s">
        <v>498</v>
      </c>
      <c r="C7" s="3"/>
      <c r="D7" s="68">
        <f>'MC Drivers (NRD)'!D17*'MC Drivers (NRD)'!D53*'MC Drivers (NRD)'!D71*(1-'MC Drivers (NRD)'!D73)+'MC Drivers (NRD)'!D17*'MC Drivers (NRD)'!D54*'MC Drivers (NRD)'!D72*(1-'MC Drivers (NRD)'!D73)</f>
        <v>188998070.7</v>
      </c>
      <c r="E7" s="68">
        <f>'MC Drivers (NRD)'!E17*'MC Drivers (NRD)'!E53*'MC Drivers (NRD)'!E71*(1-'MC Drivers (NRD)'!E73)+'MC Drivers (NRD)'!E17*'MC Drivers (NRD)'!E54*'MC Drivers (NRD)'!E72*(1-'MC Drivers (NRD)'!E73)</f>
        <v>302396913.1</v>
      </c>
      <c r="F7" s="68">
        <f>'MC Drivers (NRD)'!F17*'MC Drivers (NRD)'!F53*'MC Drivers (NRD)'!F71*(1-'MC Drivers (NRD)'!F73)+'MC Drivers (NRD)'!F17*'MC Drivers (NRD)'!F54*'MC Drivers (NRD)'!F72*(1-'MC Drivers (NRD)'!F73)</f>
        <v>483835061</v>
      </c>
      <c r="G7" s="68">
        <f>'MC Drivers (NRD)'!G17*'MC Drivers (NRD)'!G53*'MC Drivers (NRD)'!G71*(1-'MC Drivers (NRD)'!G73)+'MC Drivers (NRD)'!G17*'MC Drivers (NRD)'!G54*'MC Drivers (NRD)'!G72*(1-'MC Drivers (NRD)'!G73)</f>
        <v>677400585</v>
      </c>
      <c r="H7" s="68">
        <f>'MC Drivers (NRD)'!H17*'MC Drivers (NRD)'!H53*'MC Drivers (NRD)'!H71*(1-'MC Drivers (NRD)'!H73)+'MC Drivers (NRD)'!H17*'MC Drivers (NRD)'!H54*'MC Drivers (NRD)'!H72*(1-'MC Drivers (NRD)'!H73)</f>
        <v>846711356.7</v>
      </c>
      <c r="I7" s="68">
        <f>'MC Drivers (NRD)'!I17*'MC Drivers (NRD)'!I53*'MC Drivers (NRD)'!I71*(1-'MC Drivers (NRD)'!I73)+'MC Drivers (NRD)'!I17*'MC Drivers (NRD)'!I54*'MC Drivers (NRD)'!I72*(1-'MC Drivers (NRD)'!I73)</f>
        <v>1016022128</v>
      </c>
      <c r="J7" s="68">
        <f>'MC Drivers (NRD)'!J17*'MC Drivers (NRD)'!J53*'MC Drivers (NRD)'!J71*(1-'MC Drivers (NRD)'!J73)+'MC Drivers (NRD)'!J17*'MC Drivers (NRD)'!J54*'MC Drivers (NRD)'!J72*(1-'MC Drivers (NRD)'!J73)</f>
        <v>1270067035</v>
      </c>
      <c r="K7" s="68">
        <f>'MC Drivers (NRD)'!K17*'MC Drivers (NRD)'!K53*'MC Drivers (NRD)'!K71*(1-'MC Drivers (NRD)'!K73)+'MC Drivers (NRD)'!K17*'MC Drivers (NRD)'!K54*'MC Drivers (NRD)'!K72*(1-'MC Drivers (NRD)'!K73)</f>
        <v>1524111942</v>
      </c>
      <c r="L7" s="68">
        <f>'MC Drivers (NRD)'!L17*'MC Drivers (NRD)'!L53*'MC Drivers (NRD)'!L71*(1-'MC Drivers (NRD)'!L73)+'MC Drivers (NRD)'!L17*'MC Drivers (NRD)'!L54*'MC Drivers (NRD)'!L72*(1-'MC Drivers (NRD)'!L73)</f>
        <v>1693265215</v>
      </c>
      <c r="M7" s="68">
        <f>'MC Drivers (NRD)'!M17*'MC Drivers (NRD)'!M53*'MC Drivers (NRD)'!M71*(1-'MC Drivers (NRD)'!M73)+'MC Drivers (NRD)'!M17*'MC Drivers (NRD)'!M54*'MC Drivers (NRD)'!M72*(1-'MC Drivers (NRD)'!M73)</f>
        <v>1862575987</v>
      </c>
      <c r="N7" s="68">
        <f>'MC Drivers (NRD)'!N17*'MC Drivers (NRD)'!N53*'MC Drivers (NRD)'!N71*(1-'MC Drivers (NRD)'!N73)+'MC Drivers (NRD)'!N17*'MC Drivers (NRD)'!N54*'MC Drivers (NRD)'!N72*(1-'MC Drivers (NRD)'!N73)</f>
        <v>2031886758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8" t="s">
        <v>499</v>
      </c>
      <c r="C8" s="3"/>
      <c r="D8" s="68">
        <f>'MC Drivers (NRD)'!D27*'MC Drivers (NRD)'!D22*'MC Drivers (NRD)'!D23*12+'MC Drivers (NRD)'!D27*(1-'MC Drivers (NRD)'!D22)*'MC Drivers (NRD)'!D24*12</f>
        <v>18214285.71</v>
      </c>
      <c r="E8" s="68">
        <f>'MC Drivers (NRD)'!E27*'MC Drivers (NRD)'!E22*'MC Drivers (NRD)'!E23*12+'MC Drivers (NRD)'!E27*(1-'MC Drivers (NRD)'!E22)*'MC Drivers (NRD)'!E24*12</f>
        <v>43714285.71</v>
      </c>
      <c r="F8" s="68">
        <f>'MC Drivers (NRD)'!F27*'MC Drivers (NRD)'!F22*'MC Drivers (NRD)'!F23*12+'MC Drivers (NRD)'!F27*(1-'MC Drivers (NRD)'!F22)*'MC Drivers (NRD)'!F24*12</f>
        <v>76864285.71</v>
      </c>
      <c r="G8" s="68">
        <f>'MC Drivers (NRD)'!G27*'MC Drivers (NRD)'!G22*'MC Drivers (NRD)'!G23*12+'MC Drivers (NRD)'!G27*(1-'MC Drivers (NRD)'!G22)*'MC Drivers (NRD)'!G24*12</f>
        <v>101726785.7</v>
      </c>
      <c r="H8" s="68">
        <f>'MC Drivers (NRD)'!H27*'MC Drivers (NRD)'!H22*'MC Drivers (NRD)'!H23*12+'MC Drivers (NRD)'!H27*(1-'MC Drivers (NRD)'!H22)*'MC Drivers (NRD)'!H24*12</f>
        <v>132235714.3</v>
      </c>
      <c r="I8" s="68">
        <f>'MC Drivers (NRD)'!I27*'MC Drivers (NRD)'!I22*'MC Drivers (NRD)'!I23*12+'MC Drivers (NRD)'!I27*(1-'MC Drivers (NRD)'!I22)*'MC Drivers (NRD)'!I24*12</f>
        <v>171851785.7</v>
      </c>
      <c r="J8" s="68">
        <f>'MC Drivers (NRD)'!J27*'MC Drivers (NRD)'!J22*'MC Drivers (NRD)'!J23*12+'MC Drivers (NRD)'!J27*(1-'MC Drivers (NRD)'!J22)*'MC Drivers (NRD)'!J24*12</f>
        <v>223307142.9</v>
      </c>
      <c r="K8" s="68">
        <f>'MC Drivers (NRD)'!K27*'MC Drivers (NRD)'!K22*'MC Drivers (NRD)'!K23*12+'MC Drivers (NRD)'!K27*(1-'MC Drivers (NRD)'!K22)*'MC Drivers (NRD)'!K24*12</f>
        <v>290244642.9</v>
      </c>
      <c r="L8" s="68">
        <f>'MC Drivers (NRD)'!L27*'MC Drivers (NRD)'!L22*'MC Drivers (NRD)'!L23*12+'MC Drivers (NRD)'!L27*(1-'MC Drivers (NRD)'!L22)*'MC Drivers (NRD)'!L24*12</f>
        <v>377308928.6</v>
      </c>
      <c r="M8" s="68">
        <f>'MC Drivers (NRD)'!M27*'MC Drivers (NRD)'!M22*'MC Drivers (NRD)'!M23*12+'MC Drivers (NRD)'!M27*(1-'MC Drivers (NRD)'!M22)*'MC Drivers (NRD)'!M24*12</f>
        <v>490510714.3</v>
      </c>
      <c r="N8" s="68">
        <f>'MC Drivers (NRD)'!N27*'MC Drivers (NRD)'!N22*'MC Drivers (NRD)'!N23*12+'MC Drivers (NRD)'!N27*(1-'MC Drivers (NRD)'!N22)*'MC Drivers (NRD)'!N24*12</f>
        <v>637591071.4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8" t="s">
        <v>500</v>
      </c>
      <c r="C9" s="3"/>
      <c r="D9" s="69">
        <f>D7*'MC Drivers (NRD)'!D76</f>
        <v>18899807.07</v>
      </c>
      <c r="E9" s="69">
        <f>E7*'MC Drivers (NRD)'!E76</f>
        <v>30239691.31</v>
      </c>
      <c r="F9" s="69">
        <f>F7*'MC Drivers (NRD)'!F76</f>
        <v>48383506.1</v>
      </c>
      <c r="G9" s="69">
        <f>G7*'MC Drivers (NRD)'!G76</f>
        <v>67740058.5</v>
      </c>
      <c r="H9" s="69">
        <f>H7*'MC Drivers (NRD)'!H76</f>
        <v>84671135.67</v>
      </c>
      <c r="I9" s="69">
        <f>I7*'MC Drivers (NRD)'!I76</f>
        <v>101602212.8</v>
      </c>
      <c r="J9" s="69">
        <f>J7*'MC Drivers (NRD)'!J76</f>
        <v>127006703.5</v>
      </c>
      <c r="K9" s="69">
        <f>K7*'MC Drivers (NRD)'!K76</f>
        <v>152411194.2</v>
      </c>
      <c r="L9" s="69">
        <f>L7*'MC Drivers (NRD)'!L76</f>
        <v>169326521.5</v>
      </c>
      <c r="M9" s="69">
        <f>M7*'MC Drivers (NRD)'!M76</f>
        <v>186257598.7</v>
      </c>
      <c r="N9" s="69">
        <f>N7*'MC Drivers (NRD)'!N76</f>
        <v>203188675.8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7" t="s">
        <v>501</v>
      </c>
      <c r="C10" s="3"/>
      <c r="D10" s="70">
        <f t="shared" ref="D10:N10" si="1">SUM(D6:D9)</f>
        <v>348862734.9</v>
      </c>
      <c r="E10" s="70">
        <f t="shared" si="1"/>
        <v>674032104.4</v>
      </c>
      <c r="F10" s="70">
        <f t="shared" si="1"/>
        <v>1156807424</v>
      </c>
      <c r="G10" s="70">
        <f t="shared" si="1"/>
        <v>1717476965</v>
      </c>
      <c r="H10" s="70">
        <f t="shared" si="1"/>
        <v>2305082921</v>
      </c>
      <c r="I10" s="70">
        <f t="shared" si="1"/>
        <v>2962174234</v>
      </c>
      <c r="J10" s="70">
        <f t="shared" si="1"/>
        <v>3828506346</v>
      </c>
      <c r="K10" s="70">
        <f t="shared" si="1"/>
        <v>4800832529</v>
      </c>
      <c r="L10" s="70">
        <f t="shared" si="1"/>
        <v>5746213129</v>
      </c>
      <c r="M10" s="70">
        <f t="shared" si="1"/>
        <v>6762828085</v>
      </c>
      <c r="N10" s="70">
        <f t="shared" si="1"/>
        <v>7856805006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7" t="s">
        <v>502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8" t="s">
        <v>503</v>
      </c>
      <c r="C13" s="3"/>
      <c r="D13" s="68">
        <f>-'MC Drivers (NRD)'!D15*'MC Drivers (NRD)'!D78*12</f>
        <v>-9299285.714</v>
      </c>
      <c r="E13" s="68">
        <f>-'MC Drivers (NRD)'!E15*'MC Drivers (NRD)'!E78*12</f>
        <v>-22551607.14</v>
      </c>
      <c r="F13" s="68">
        <f>-'MC Drivers (NRD)'!F15*'MC Drivers (NRD)'!F78*12</f>
        <v>-41494285.71</v>
      </c>
      <c r="G13" s="68">
        <f>-'MC Drivers (NRD)'!G15*'MC Drivers (NRD)'!G78*12</f>
        <v>-65955267.86</v>
      </c>
      <c r="H13" s="68">
        <f>-'MC Drivers (NRD)'!H15*'MC Drivers (NRD)'!H78*12</f>
        <v>-94050357.14</v>
      </c>
      <c r="I13" s="68">
        <f>-'MC Drivers (NRD)'!I15*'MC Drivers (NRD)'!I78*12</f>
        <v>-126719553.6</v>
      </c>
      <c r="J13" s="68">
        <f>-'MC Drivers (NRD)'!J15*'MC Drivers (NRD)'!J78*12</f>
        <v>-167282232.1</v>
      </c>
      <c r="K13" s="68">
        <f>-'MC Drivers (NRD)'!K15*'MC Drivers (NRD)'!K78*12</f>
        <v>-214701875</v>
      </c>
      <c r="L13" s="68">
        <f>-'MC Drivers (NRD)'!L15*'MC Drivers (NRD)'!L78*12</f>
        <v>-265629732.1</v>
      </c>
      <c r="M13" s="68">
        <f>-'MC Drivers (NRD)'!M15*'MC Drivers (NRD)'!M78*12</f>
        <v>-319960892.9</v>
      </c>
      <c r="N13" s="68">
        <f>-'MC Drivers (NRD)'!N15*'MC Drivers (NRD)'!N78*12</f>
        <v>-377586250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8" t="s">
        <v>504</v>
      </c>
      <c r="C14" s="3"/>
      <c r="D14" s="68">
        <f>-'MC Drivers (NRD)'!D221</f>
        <v>-2189018.87</v>
      </c>
      <c r="E14" s="68">
        <f>-'MC Drivers (NRD)'!E221</f>
        <v>-5308568.326</v>
      </c>
      <c r="F14" s="68">
        <f>-'MC Drivers (NRD)'!F221</f>
        <v>-9767607.667</v>
      </c>
      <c r="G14" s="68">
        <f>-'MC Drivers (NRD)'!G221</f>
        <v>-15525636.09</v>
      </c>
      <c r="H14" s="68">
        <f>-'MC Drivers (NRD)'!H221</f>
        <v>-22139120.45</v>
      </c>
      <c r="I14" s="68">
        <f>-'MC Drivers (NRD)'!I221</f>
        <v>-29829333.41</v>
      </c>
      <c r="J14" s="68">
        <f>-'MC Drivers (NRD)'!J221</f>
        <v>-39377644.06</v>
      </c>
      <c r="K14" s="68">
        <f>-'MC Drivers (NRD)'!K221</f>
        <v>-50540059.78</v>
      </c>
      <c r="L14" s="68">
        <f>-'MC Drivers (NRD)'!L221</f>
        <v>-62528296.7</v>
      </c>
      <c r="M14" s="68">
        <f>-'MC Drivers (NRD)'!M221</f>
        <v>-75317659.2</v>
      </c>
      <c r="N14" s="68">
        <f>-'MC Drivers (NRD)'!N221</f>
        <v>-88882463.86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8" t="s">
        <v>505</v>
      </c>
      <c r="C15" s="3"/>
      <c r="D15" s="68">
        <f>-('MC Drivers (NRD)'!D13+'MC Drivers (NRD)'!D17+'MC Drivers (NRD)'!D25)*'MC Drivers (NRD)'!D79</f>
        <v>-1054666.667</v>
      </c>
      <c r="E15" s="68">
        <f>-('MC Drivers (NRD)'!E13+'MC Drivers (NRD)'!E17+'MC Drivers (NRD)'!E25)*'MC Drivers (NRD)'!E79</f>
        <v>-1611458.333</v>
      </c>
      <c r="F15" s="68">
        <f>-('MC Drivers (NRD)'!F13+'MC Drivers (NRD)'!F17+'MC Drivers (NRD)'!F25)*'MC Drivers (NRD)'!F79</f>
        <v>-2408291.667</v>
      </c>
      <c r="G15" s="68">
        <f>-('MC Drivers (NRD)'!G13+'MC Drivers (NRD)'!G17+'MC Drivers (NRD)'!G25)*'MC Drivers (NRD)'!G79</f>
        <v>-3234583.333</v>
      </c>
      <c r="H15" s="68">
        <f>-('MC Drivers (NRD)'!H13+'MC Drivers (NRD)'!H17+'MC Drivers (NRD)'!H25)*'MC Drivers (NRD)'!H79</f>
        <v>-3902791.667</v>
      </c>
      <c r="I15" s="68">
        <f>-('MC Drivers (NRD)'!I13+'MC Drivers (NRD)'!I17+'MC Drivers (NRD)'!I25)*'MC Drivers (NRD)'!I79</f>
        <v>-4657916.667</v>
      </c>
      <c r="J15" s="68">
        <f>-('MC Drivers (NRD)'!J13+'MC Drivers (NRD)'!J17+'MC Drivers (NRD)'!J25)*'MC Drivers (NRD)'!J79</f>
        <v>-5833916.667</v>
      </c>
      <c r="K15" s="68">
        <f>-('MC Drivers (NRD)'!K13+'MC Drivers (NRD)'!K17+'MC Drivers (NRD)'!K25)*'MC Drivers (NRD)'!K79</f>
        <v>-6973750</v>
      </c>
      <c r="L15" s="68">
        <f>-('MC Drivers (NRD)'!L13+'MC Drivers (NRD)'!L17+'MC Drivers (NRD)'!L25)*'MC Drivers (NRD)'!L79</f>
        <v>-7758333.333</v>
      </c>
      <c r="M15" s="68">
        <f>-('MC Drivers (NRD)'!M13+'MC Drivers (NRD)'!M17+'MC Drivers (NRD)'!M25)*'MC Drivers (NRD)'!M79</f>
        <v>-8578791.667</v>
      </c>
      <c r="N15" s="68">
        <f>-('MC Drivers (NRD)'!N13+'MC Drivers (NRD)'!N17+'MC Drivers (NRD)'!N25)*'MC Drivers (NRD)'!N79</f>
        <v>-9444750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8" t="s">
        <v>506</v>
      </c>
      <c r="C16" s="3"/>
      <c r="D16" s="68">
        <f>-('MC Drivers (NRD)'!D17*'MC Drivers (NRD)'!D53*'MC Drivers (NRD)'!D67+'MC Drivers (NRD)'!D17*'MC Drivers (NRD)'!D54*'MC Drivers (NRD)'!D68)</f>
        <v>-149998468.8</v>
      </c>
      <c r="E16" s="68">
        <f>-('MC Drivers (NRD)'!E17*'MC Drivers (NRD)'!E53*'MC Drivers (NRD)'!E67+'MC Drivers (NRD)'!E17*'MC Drivers (NRD)'!E54*'MC Drivers (NRD)'!E68)</f>
        <v>-239997550.1</v>
      </c>
      <c r="F16" s="68">
        <f>-('MC Drivers (NRD)'!F17*'MC Drivers (NRD)'!F53*'MC Drivers (NRD)'!F67+'MC Drivers (NRD)'!F17*'MC Drivers (NRD)'!F54*'MC Drivers (NRD)'!F68)</f>
        <v>-383996080.1</v>
      </c>
      <c r="G16" s="68">
        <f>-('MC Drivers (NRD)'!G17*'MC Drivers (NRD)'!G53*'MC Drivers (NRD)'!G67+'MC Drivers (NRD)'!G17*'MC Drivers (NRD)'!G54*'MC Drivers (NRD)'!G68)</f>
        <v>-537619511.9</v>
      </c>
      <c r="H16" s="68">
        <f>-('MC Drivers (NRD)'!H17*'MC Drivers (NRD)'!H53*'MC Drivers (NRD)'!H67+'MC Drivers (NRD)'!H17*'MC Drivers (NRD)'!H54*'MC Drivers (NRD)'!H68)</f>
        <v>-671993140.2</v>
      </c>
      <c r="I16" s="68">
        <f>-('MC Drivers (NRD)'!I17*'MC Drivers (NRD)'!I53*'MC Drivers (NRD)'!I67+'MC Drivers (NRD)'!I17*'MC Drivers (NRD)'!I54*'MC Drivers (NRD)'!I68)</f>
        <v>-806366768.5</v>
      </c>
      <c r="J16" s="68">
        <f>-('MC Drivers (NRD)'!J17*'MC Drivers (NRD)'!J53*'MC Drivers (NRD)'!J67+'MC Drivers (NRD)'!J17*'MC Drivers (NRD)'!J54*'MC Drivers (NRD)'!J68)</f>
        <v>-1007989710</v>
      </c>
      <c r="K16" s="68">
        <f>-('MC Drivers (NRD)'!K17*'MC Drivers (NRD)'!K53*'MC Drivers (NRD)'!K67+'MC Drivers (NRD)'!K17*'MC Drivers (NRD)'!K54*'MC Drivers (NRD)'!K68)</f>
        <v>-1209612652</v>
      </c>
      <c r="L16" s="68">
        <f>-('MC Drivers (NRD)'!L17*'MC Drivers (NRD)'!L53*'MC Drivers (NRD)'!L67+'MC Drivers (NRD)'!L17*'MC Drivers (NRD)'!L54*'MC Drivers (NRD)'!L68)</f>
        <v>-1343861282</v>
      </c>
      <c r="M16" s="68">
        <f>-('MC Drivers (NRD)'!M17*'MC Drivers (NRD)'!M53*'MC Drivers (NRD)'!M67+'MC Drivers (NRD)'!M17*'MC Drivers (NRD)'!M54*'MC Drivers (NRD)'!M68)</f>
        <v>-1478234910</v>
      </c>
      <c r="N16" s="68">
        <f>-('MC Drivers (NRD)'!N17*'MC Drivers (NRD)'!N53*'MC Drivers (NRD)'!N67+'MC Drivers (NRD)'!N17*'MC Drivers (NRD)'!N54*'MC Drivers (NRD)'!N68)</f>
        <v>-1612608538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8" t="s">
        <v>507</v>
      </c>
      <c r="C17" s="3"/>
      <c r="D17" s="69">
        <f>-D9*'MC Drivers (NRD)'!D77</f>
        <v>-7559922.828</v>
      </c>
      <c r="E17" s="69">
        <f>-E9*'MC Drivers (NRD)'!E77</f>
        <v>-12095876.52</v>
      </c>
      <c r="F17" s="69">
        <f>-F9*'MC Drivers (NRD)'!F77</f>
        <v>-19353402.44</v>
      </c>
      <c r="G17" s="69">
        <f>-G9*'MC Drivers (NRD)'!G77</f>
        <v>-27096023.4</v>
      </c>
      <c r="H17" s="69">
        <f>-H9*'MC Drivers (NRD)'!H77</f>
        <v>-33868454.27</v>
      </c>
      <c r="I17" s="69">
        <f>-I9*'MC Drivers (NRD)'!I77</f>
        <v>-40640885.13</v>
      </c>
      <c r="J17" s="69">
        <f>-J9*'MC Drivers (NRD)'!J77</f>
        <v>-50802681.4</v>
      </c>
      <c r="K17" s="69">
        <f>-K9*'MC Drivers (NRD)'!K77</f>
        <v>-60964477.67</v>
      </c>
      <c r="L17" s="69">
        <f>-L9*'MC Drivers (NRD)'!L77</f>
        <v>-67730608.6</v>
      </c>
      <c r="M17" s="69">
        <f>-M9*'MC Drivers (NRD)'!M77</f>
        <v>-74503039.47</v>
      </c>
      <c r="N17" s="69">
        <f>-N9*'MC Drivers (NRD)'!N77</f>
        <v>-81275470.33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8" t="s">
        <v>508</v>
      </c>
      <c r="C18" s="3"/>
      <c r="D18" s="69">
        <f>-(D6+D8)*'MC Drivers (NRD)'!D80</f>
        <v>-4228945.714</v>
      </c>
      <c r="E18" s="69">
        <f>-(E6+E8)*'MC Drivers (NRD)'!E80</f>
        <v>-10241865</v>
      </c>
      <c r="F18" s="69">
        <f>-(F6+F8)*'MC Drivers (NRD)'!F80</f>
        <v>-18737665.71</v>
      </c>
      <c r="G18" s="69">
        <f>-(G6+G8)*'MC Drivers (NRD)'!G80</f>
        <v>-29170089.64</v>
      </c>
      <c r="H18" s="69">
        <f>-(H6+H8)*'MC Drivers (NRD)'!H80</f>
        <v>-41211012.86</v>
      </c>
      <c r="I18" s="69">
        <f>-(I6+I8)*'MC Drivers (NRD)'!I80</f>
        <v>-55336496.79</v>
      </c>
      <c r="J18" s="69">
        <f>-(J6+J8)*'MC Drivers (NRD)'!J80</f>
        <v>-72942978.21</v>
      </c>
      <c r="K18" s="69">
        <f>-(K6+K8)*'MC Drivers (NRD)'!K80</f>
        <v>-93729281.79</v>
      </c>
      <c r="L18" s="69">
        <f>-(L6+L8)*'MC Drivers (NRD)'!L80</f>
        <v>-116508641.8</v>
      </c>
      <c r="M18" s="69">
        <f>-(M6+M8)*'MC Drivers (NRD)'!M80</f>
        <v>-141419835</v>
      </c>
      <c r="N18" s="69">
        <f>-(N6+N8)*'MC Drivers (NRD)'!N80</f>
        <v>-168651887.1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7" t="s">
        <v>509</v>
      </c>
      <c r="C19" s="3"/>
      <c r="D19" s="70">
        <f t="shared" ref="D19:N19" si="2">SUM(D13:D18)</f>
        <v>-174330308.6</v>
      </c>
      <c r="E19" s="70">
        <f t="shared" si="2"/>
        <v>-291806925.4</v>
      </c>
      <c r="F19" s="70">
        <f t="shared" si="2"/>
        <v>-475757333.3</v>
      </c>
      <c r="G19" s="70">
        <f t="shared" si="2"/>
        <v>-678601112.3</v>
      </c>
      <c r="H19" s="70">
        <f t="shared" si="2"/>
        <v>-867164876.6</v>
      </c>
      <c r="I19" s="70">
        <f t="shared" si="2"/>
        <v>-1063550954</v>
      </c>
      <c r="J19" s="70">
        <f t="shared" si="2"/>
        <v>-1344229163</v>
      </c>
      <c r="K19" s="70">
        <f t="shared" si="2"/>
        <v>-1636522096</v>
      </c>
      <c r="L19" s="70">
        <f t="shared" si="2"/>
        <v>-1864016894</v>
      </c>
      <c r="M19" s="70">
        <f t="shared" si="2"/>
        <v>-2098015128</v>
      </c>
      <c r="N19" s="70">
        <f t="shared" si="2"/>
        <v>-2338449360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7" t="s">
        <v>510</v>
      </c>
      <c r="C20" s="3"/>
      <c r="D20" s="70">
        <f t="shared" ref="D20:N20" si="3">D10+D19</f>
        <v>174532426.3</v>
      </c>
      <c r="E20" s="70">
        <f t="shared" si="3"/>
        <v>382225179</v>
      </c>
      <c r="F20" s="70">
        <f t="shared" si="3"/>
        <v>681050090.9</v>
      </c>
      <c r="G20" s="70">
        <f t="shared" si="3"/>
        <v>1038875853</v>
      </c>
      <c r="H20" s="70">
        <f t="shared" si="3"/>
        <v>1437918044</v>
      </c>
      <c r="I20" s="70">
        <f t="shared" si="3"/>
        <v>1898623280</v>
      </c>
      <c r="J20" s="70">
        <f t="shared" si="3"/>
        <v>2484277183</v>
      </c>
      <c r="K20" s="70">
        <f t="shared" si="3"/>
        <v>3164310432</v>
      </c>
      <c r="L20" s="70">
        <f t="shared" si="3"/>
        <v>3882196235</v>
      </c>
      <c r="M20" s="70">
        <f t="shared" si="3"/>
        <v>4664812957</v>
      </c>
      <c r="N20" s="70">
        <f t="shared" si="3"/>
        <v>5518355646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/>
      <c r="B21" s="8" t="s">
        <v>511</v>
      </c>
      <c r="C21" s="3"/>
      <c r="D21" s="12">
        <f t="shared" ref="D21:N21" si="4">IFERROR(D20/D10,0)</f>
        <v>0.5002896809</v>
      </c>
      <c r="E21" s="12">
        <f t="shared" si="4"/>
        <v>0.5670726609</v>
      </c>
      <c r="F21" s="12">
        <f t="shared" si="4"/>
        <v>0.5887324689</v>
      </c>
      <c r="G21" s="12">
        <f t="shared" si="4"/>
        <v>0.6048848828</v>
      </c>
      <c r="H21" s="12">
        <f t="shared" si="4"/>
        <v>0.6238031748</v>
      </c>
      <c r="I21" s="12">
        <f t="shared" si="4"/>
        <v>0.6409559769</v>
      </c>
      <c r="J21" s="12">
        <f t="shared" si="4"/>
        <v>0.6488893993</v>
      </c>
      <c r="K21" s="12">
        <f t="shared" si="4"/>
        <v>0.6591170205</v>
      </c>
      <c r="L21" s="12">
        <f t="shared" si="4"/>
        <v>0.6756095097</v>
      </c>
      <c r="M21" s="12">
        <f t="shared" si="4"/>
        <v>0.689772518</v>
      </c>
      <c r="N21" s="12">
        <f t="shared" si="4"/>
        <v>0.7023663744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3"/>
      <c r="B23" s="7" t="s">
        <v>512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3"/>
      <c r="B24" s="8" t="s">
        <v>513</v>
      </c>
      <c r="C24" s="3"/>
      <c r="D24" s="68">
        <f>-'MC Drivers (NRD)'!D135</f>
        <v>-54684968</v>
      </c>
      <c r="E24" s="68">
        <f>-'MC Drivers (NRD)'!E135</f>
        <v>-63161138.04</v>
      </c>
      <c r="F24" s="68">
        <f>-'MC Drivers (NRD)'!F135</f>
        <v>-72951114.44</v>
      </c>
      <c r="G24" s="68">
        <f>-'MC Drivers (NRD)'!G135</f>
        <v>-84258537.17</v>
      </c>
      <c r="H24" s="68">
        <f>-'MC Drivers (NRD)'!H135</f>
        <v>-97318610.44</v>
      </c>
      <c r="I24" s="68">
        <f>-'MC Drivers (NRD)'!I135</f>
        <v>-112402995.1</v>
      </c>
      <c r="J24" s="68">
        <f>-'MC Drivers (NRD)'!J135</f>
        <v>-129825459.3</v>
      </c>
      <c r="K24" s="68">
        <f>-'MC Drivers (NRD)'!K135</f>
        <v>-149948405.5</v>
      </c>
      <c r="L24" s="68">
        <f>-'MC Drivers (NRD)'!L135</f>
        <v>-173190408.3</v>
      </c>
      <c r="M24" s="68">
        <f>-'MC Drivers (NRD)'!M135</f>
        <v>-200034921.6</v>
      </c>
      <c r="N24" s="68">
        <f>-'MC Drivers (NRD)'!N135</f>
        <v>-231040334.5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3"/>
      <c r="B25" s="8" t="s">
        <v>150</v>
      </c>
      <c r="C25" s="3"/>
      <c r="D25" s="68">
        <f>-'MC Drivers (NRD)'!D136</f>
        <v>-5468496.8</v>
      </c>
      <c r="E25" s="68">
        <f>-'MC Drivers (NRD)'!E136</f>
        <v>-6316113.804</v>
      </c>
      <c r="F25" s="68">
        <f>-'MC Drivers (NRD)'!F136</f>
        <v>-7295111.444</v>
      </c>
      <c r="G25" s="68">
        <f>-'MC Drivers (NRD)'!G136</f>
        <v>-8425853.717</v>
      </c>
      <c r="H25" s="68">
        <f>-'MC Drivers (NRD)'!H136</f>
        <v>-9731861.044</v>
      </c>
      <c r="I25" s="68">
        <f>-'MC Drivers (NRD)'!I136</f>
        <v>-11240299.51</v>
      </c>
      <c r="J25" s="68">
        <f>-'MC Drivers (NRD)'!J136</f>
        <v>-12982545.93</v>
      </c>
      <c r="K25" s="68">
        <f>-'MC Drivers (NRD)'!K136</f>
        <v>-14994840.55</v>
      </c>
      <c r="L25" s="68">
        <f>-'MC Drivers (NRD)'!L136</f>
        <v>-17319040.83</v>
      </c>
      <c r="M25" s="68">
        <f>-'MC Drivers (NRD)'!M136</f>
        <v>-20003492.16</v>
      </c>
      <c r="N25" s="68">
        <f>-'MC Drivers (NRD)'!N136</f>
        <v>-23104033.45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3"/>
      <c r="B26" s="8" t="s">
        <v>514</v>
      </c>
      <c r="C26" s="3"/>
      <c r="D26" s="69">
        <f>-D7*'MC Drivers (NRD)'!D81</f>
        <v>-3779961.414</v>
      </c>
      <c r="E26" s="69">
        <f>-E7*'MC Drivers (NRD)'!E81</f>
        <v>-6047938.262</v>
      </c>
      <c r="F26" s="69">
        <f>-F7*'MC Drivers (NRD)'!F81</f>
        <v>-9676701.219</v>
      </c>
      <c r="G26" s="69">
        <f>-G7*'MC Drivers (NRD)'!G81</f>
        <v>-13548011.7</v>
      </c>
      <c r="H26" s="69">
        <f>-H7*'MC Drivers (NRD)'!H81</f>
        <v>-16934227.13</v>
      </c>
      <c r="I26" s="69">
        <f>-I7*'MC Drivers (NRD)'!I81</f>
        <v>-20320442.57</v>
      </c>
      <c r="J26" s="69">
        <f>-J7*'MC Drivers (NRD)'!J81</f>
        <v>-25401340.7</v>
      </c>
      <c r="K26" s="69">
        <f>-K7*'MC Drivers (NRD)'!K81</f>
        <v>-30482238.83</v>
      </c>
      <c r="L26" s="69">
        <f>-L7*'MC Drivers (NRD)'!L81</f>
        <v>-33865304.3</v>
      </c>
      <c r="M26" s="69">
        <f>-M7*'MC Drivers (NRD)'!M81</f>
        <v>-37251519.73</v>
      </c>
      <c r="N26" s="69">
        <f>-N7*'MC Drivers (NRD)'!N81</f>
        <v>-40637735.17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3"/>
      <c r="B27" s="8" t="s">
        <v>515</v>
      </c>
      <c r="C27" s="3"/>
      <c r="D27" s="68">
        <f>-'MC Drivers (NRD)'!D142</f>
        <v>-1714285.714</v>
      </c>
      <c r="E27" s="68">
        <f>-'MC Drivers (NRD)'!E142</f>
        <v>-1800000</v>
      </c>
      <c r="F27" s="68">
        <f>-'MC Drivers (NRD)'!F142</f>
        <v>-1890000</v>
      </c>
      <c r="G27" s="68">
        <f>-'MC Drivers (NRD)'!G142</f>
        <v>-1984500</v>
      </c>
      <c r="H27" s="68">
        <f>-'MC Drivers (NRD)'!H142</f>
        <v>-2083725</v>
      </c>
      <c r="I27" s="68">
        <f>-'MC Drivers (NRD)'!I142</f>
        <v>-2187911.25</v>
      </c>
      <c r="J27" s="68">
        <f>-'MC Drivers (NRD)'!J142</f>
        <v>-2297306.813</v>
      </c>
      <c r="K27" s="68">
        <f>-'MC Drivers (NRD)'!K142</f>
        <v>-2412172.153</v>
      </c>
      <c r="L27" s="68">
        <f>-'MC Drivers (NRD)'!L142</f>
        <v>-2532780.761</v>
      </c>
      <c r="M27" s="68">
        <f>-'MC Drivers (NRD)'!M142</f>
        <v>-2659419.799</v>
      </c>
      <c r="N27" s="68">
        <f>-'MC Drivers (NRD)'!N142</f>
        <v>-2792390.789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/>
      <c r="B28" s="8" t="s">
        <v>516</v>
      </c>
      <c r="C28" s="3"/>
      <c r="D28" s="68">
        <f>-'MC Drivers (NRD)'!D145</f>
        <v>-2235535.714</v>
      </c>
      <c r="E28" s="68">
        <f>-'MC Drivers (NRD)'!E145</f>
        <v>-2347312.5</v>
      </c>
      <c r="F28" s="68">
        <f>-'MC Drivers (NRD)'!F145</f>
        <v>-2464678.125</v>
      </c>
      <c r="G28" s="68">
        <f>-'MC Drivers (NRD)'!G145</f>
        <v>-2587912.031</v>
      </c>
      <c r="H28" s="68">
        <f>-'MC Drivers (NRD)'!H145</f>
        <v>-5434615.266</v>
      </c>
      <c r="I28" s="68">
        <f>-'MC Drivers (NRD)'!I145</f>
        <v>-5706346.029</v>
      </c>
      <c r="J28" s="68">
        <f>-'MC Drivers (NRD)'!J145</f>
        <v>-5991663.33</v>
      </c>
      <c r="K28" s="68">
        <f>-'MC Drivers (NRD)'!K145</f>
        <v>-6291246.497</v>
      </c>
      <c r="L28" s="68">
        <f>-'MC Drivers (NRD)'!L145</f>
        <v>-6605808.822</v>
      </c>
      <c r="M28" s="68">
        <f>-'MC Drivers (NRD)'!M145</f>
        <v>-6936099.263</v>
      </c>
      <c r="N28" s="68">
        <f>-'MC Drivers (NRD)'!N145</f>
        <v>-7282904.226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3"/>
      <c r="B29" s="8" t="s">
        <v>517</v>
      </c>
      <c r="C29" s="3"/>
      <c r="D29" s="68">
        <f>-'MC Drivers (NRD)'!D148</f>
        <v>-910714.2857</v>
      </c>
      <c r="E29" s="68">
        <f>-'MC Drivers (NRD)'!E148</f>
        <v>-956250</v>
      </c>
      <c r="F29" s="68">
        <f>-'MC Drivers (NRD)'!F148</f>
        <v>-2008125</v>
      </c>
      <c r="G29" s="68">
        <f>-'MC Drivers (NRD)'!G148</f>
        <v>-2108531.25</v>
      </c>
      <c r="H29" s="68">
        <f>-'MC Drivers (NRD)'!H148</f>
        <v>-3320936.719</v>
      </c>
      <c r="I29" s="68">
        <f>-'MC Drivers (NRD)'!I148</f>
        <v>-3486983.555</v>
      </c>
      <c r="J29" s="68">
        <f>-'MC Drivers (NRD)'!J148</f>
        <v>-4881776.977</v>
      </c>
      <c r="K29" s="68">
        <f>-'MC Drivers (NRD)'!K148</f>
        <v>-5125865.825</v>
      </c>
      <c r="L29" s="68">
        <f>-'MC Drivers (NRD)'!L148</f>
        <v>-6727698.896</v>
      </c>
      <c r="M29" s="68">
        <f>-'MC Drivers (NRD)'!M148</f>
        <v>-7064083.841</v>
      </c>
      <c r="N29" s="68">
        <f>-'MC Drivers (NRD)'!N148</f>
        <v>-8900745.639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3"/>
      <c r="B30" s="8" t="s">
        <v>518</v>
      </c>
      <c r="C30" s="3"/>
      <c r="D30" s="68">
        <f>-'MC Drivers (NRD)'!D170</f>
        <v>-1221428.571</v>
      </c>
      <c r="E30" s="68">
        <f>-'MC Drivers (NRD)'!E170</f>
        <v>-1282500</v>
      </c>
      <c r="F30" s="68">
        <f>-'MC Drivers (NRD)'!F170</f>
        <v>-1630125</v>
      </c>
      <c r="G30" s="68">
        <f>-'MC Drivers (NRD)'!G170</f>
        <v>-1711631.25</v>
      </c>
      <c r="H30" s="68">
        <f>-'MC Drivers (NRD)'!H170</f>
        <v>-2630702.813</v>
      </c>
      <c r="I30" s="68">
        <f>-'MC Drivers (NRD)'!I170</f>
        <v>-2762237.953</v>
      </c>
      <c r="J30" s="68">
        <f>-'MC Drivers (NRD)'!J170</f>
        <v>-3244945.873</v>
      </c>
      <c r="K30" s="68">
        <f>-'MC Drivers (NRD)'!K170</f>
        <v>-3407193.166</v>
      </c>
      <c r="L30" s="68">
        <f>-'MC Drivers (NRD)'!L170</f>
        <v>-3957469.939</v>
      </c>
      <c r="M30" s="68">
        <f>-'MC Drivers (NRD)'!M170</f>
        <v>-4155343.436</v>
      </c>
      <c r="N30" s="68">
        <f>-'MC Drivers (NRD)'!N170</f>
        <v>-4781969.226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3"/>
      <c r="B31" s="8" t="s">
        <v>519</v>
      </c>
      <c r="C31" s="3"/>
      <c r="D31" s="69">
        <f>-D10*'MC Drivers (NRD)'!D82</f>
        <v>-6977254.698</v>
      </c>
      <c r="E31" s="69">
        <f>-E10*'MC Drivers (NRD)'!E82</f>
        <v>-13480642.09</v>
      </c>
      <c r="F31" s="69">
        <f>-F10*'MC Drivers (NRD)'!F82</f>
        <v>-23136148.48</v>
      </c>
      <c r="G31" s="69">
        <f>-G10*'MC Drivers (NRD)'!G82</f>
        <v>-34349539.3</v>
      </c>
      <c r="H31" s="69">
        <f>-H10*'MC Drivers (NRD)'!H82</f>
        <v>-46101658.42</v>
      </c>
      <c r="I31" s="69">
        <f>-I10*'MC Drivers (NRD)'!I82</f>
        <v>-59243484.68</v>
      </c>
      <c r="J31" s="69">
        <f>-J10*'MC Drivers (NRD)'!J82</f>
        <v>-76570126.91</v>
      </c>
      <c r="K31" s="69">
        <f>-K10*'MC Drivers (NRD)'!K82</f>
        <v>-96016650.57</v>
      </c>
      <c r="L31" s="69">
        <f>-L10*'MC Drivers (NRD)'!L82</f>
        <v>-114924262.6</v>
      </c>
      <c r="M31" s="69">
        <f>-M10*'MC Drivers (NRD)'!M82</f>
        <v>-135256561.7</v>
      </c>
      <c r="N31" s="69">
        <f>-N10*'MC Drivers (NRD)'!N82</f>
        <v>-157136100.1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/>
      <c r="B32" s="8" t="s">
        <v>520</v>
      </c>
      <c r="C32" s="3"/>
      <c r="D32" s="68">
        <f>-'MC Drivers (NRD)'!D178</f>
        <v>-1987142.857</v>
      </c>
      <c r="E32" s="68">
        <f>-'MC Drivers (NRD)'!E178</f>
        <v>-2185857.143</v>
      </c>
      <c r="F32" s="68">
        <f>-'MC Drivers (NRD)'!F178</f>
        <v>-2404442.857</v>
      </c>
      <c r="G32" s="68">
        <f>-'MC Drivers (NRD)'!G178</f>
        <v>-2644887.143</v>
      </c>
      <c r="H32" s="68">
        <f>-'MC Drivers (NRD)'!H178</f>
        <v>-2909375.857</v>
      </c>
      <c r="I32" s="68">
        <f>-'MC Drivers (NRD)'!I178</f>
        <v>-3200313.443</v>
      </c>
      <c r="J32" s="68">
        <f>-'MC Drivers (NRD)'!J178</f>
        <v>-3520344.787</v>
      </c>
      <c r="K32" s="68">
        <f>-'MC Drivers (NRD)'!K178</f>
        <v>-3872379.266</v>
      </c>
      <c r="L32" s="68">
        <f>-'MC Drivers (NRD)'!L178</f>
        <v>-4259617.192</v>
      </c>
      <c r="M32" s="68">
        <f>-'MC Drivers (NRD)'!M178</f>
        <v>-4685578.912</v>
      </c>
      <c r="N32" s="68">
        <f>-'MC Drivers (NRD)'!N178</f>
        <v>-5154136.803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8" t="s">
        <v>181</v>
      </c>
      <c r="C33" s="3"/>
      <c r="D33" s="68">
        <f>-'MC Drivers (NRD)'!D179</f>
        <v>-1339285.714</v>
      </c>
      <c r="E33" s="68">
        <f>-'MC Drivers (NRD)'!E179</f>
        <v>-1473214.286</v>
      </c>
      <c r="F33" s="68">
        <f>-'MC Drivers (NRD)'!F179</f>
        <v>-1620535.714</v>
      </c>
      <c r="G33" s="68">
        <f>-'MC Drivers (NRD)'!G179</f>
        <v>-1782589.286</v>
      </c>
      <c r="H33" s="68">
        <f>-'MC Drivers (NRD)'!H179</f>
        <v>-1960848.214</v>
      </c>
      <c r="I33" s="68">
        <f>-'MC Drivers (NRD)'!I179</f>
        <v>-2156933.036</v>
      </c>
      <c r="J33" s="68">
        <f>-'MC Drivers (NRD)'!J179</f>
        <v>-2372626.339</v>
      </c>
      <c r="K33" s="68">
        <f>-'MC Drivers (NRD)'!K179</f>
        <v>-2609888.973</v>
      </c>
      <c r="L33" s="68">
        <f>-'MC Drivers (NRD)'!L179</f>
        <v>-2870877.871</v>
      </c>
      <c r="M33" s="68">
        <f>-'MC Drivers (NRD)'!M179</f>
        <v>-3157965.658</v>
      </c>
      <c r="N33" s="68">
        <f>-'MC Drivers (NRD)'!N179</f>
        <v>-3473762.223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/>
      <c r="B34" s="8" t="s">
        <v>182</v>
      </c>
      <c r="C34" s="3"/>
      <c r="D34" s="68">
        <f>-'MC Drivers (NRD)'!D180</f>
        <v>-189000</v>
      </c>
      <c r="E34" s="68">
        <f>-'MC Drivers (NRD)'!E180</f>
        <v>-207900</v>
      </c>
      <c r="F34" s="68">
        <f>-'MC Drivers (NRD)'!F180</f>
        <v>-228690</v>
      </c>
      <c r="G34" s="68">
        <f>-'MC Drivers (NRD)'!G180</f>
        <v>-251559</v>
      </c>
      <c r="H34" s="68">
        <f>-'MC Drivers (NRD)'!H180</f>
        <v>-276714.9</v>
      </c>
      <c r="I34" s="68">
        <f>-'MC Drivers (NRD)'!I180</f>
        <v>-304386.39</v>
      </c>
      <c r="J34" s="68">
        <f>-'MC Drivers (NRD)'!J180</f>
        <v>-334825.029</v>
      </c>
      <c r="K34" s="68">
        <f>-'MC Drivers (NRD)'!K180</f>
        <v>-368307.5319</v>
      </c>
      <c r="L34" s="68">
        <f>-'MC Drivers (NRD)'!L180</f>
        <v>-405138.2851</v>
      </c>
      <c r="M34" s="68">
        <f>-'MC Drivers (NRD)'!M180</f>
        <v>-445652.1136</v>
      </c>
      <c r="N34" s="68">
        <f>-'MC Drivers (NRD)'!N180</f>
        <v>-490217.325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/>
      <c r="B35" s="8" t="s">
        <v>521</v>
      </c>
      <c r="C35" s="3"/>
      <c r="D35" s="68">
        <f>-'MC Drivers (NRD)'!D181</f>
        <v>-500000</v>
      </c>
      <c r="E35" s="68">
        <f>-'MC Drivers (NRD)'!E181</f>
        <v>-550000</v>
      </c>
      <c r="F35" s="68">
        <f>-'MC Drivers (NRD)'!F181</f>
        <v>-605000</v>
      </c>
      <c r="G35" s="68">
        <f>-'MC Drivers (NRD)'!G181</f>
        <v>-665500</v>
      </c>
      <c r="H35" s="68">
        <f>-'MC Drivers (NRD)'!H181</f>
        <v>-732050</v>
      </c>
      <c r="I35" s="68">
        <f>-'MC Drivers (NRD)'!I181</f>
        <v>-805255</v>
      </c>
      <c r="J35" s="68">
        <f>-'MC Drivers (NRD)'!J181</f>
        <v>-885780.5</v>
      </c>
      <c r="K35" s="68">
        <f>-'MC Drivers (NRD)'!K181</f>
        <v>-974358.55</v>
      </c>
      <c r="L35" s="68">
        <f>-'MC Drivers (NRD)'!L181</f>
        <v>-1071794.405</v>
      </c>
      <c r="M35" s="68">
        <f>-'MC Drivers (NRD)'!M181</f>
        <v>-1178973.846</v>
      </c>
      <c r="N35" s="68">
        <f>-'MC Drivers (NRD)'!N181</f>
        <v>-1296871.23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/>
      <c r="B36" s="7" t="s">
        <v>522</v>
      </c>
      <c r="C36" s="3"/>
      <c r="D36" s="70">
        <f t="shared" ref="D36:N36" si="5">SUM(D24:D35)</f>
        <v>-81008073.77</v>
      </c>
      <c r="E36" s="70">
        <f t="shared" si="5"/>
        <v>-99808866.12</v>
      </c>
      <c r="F36" s="70">
        <f t="shared" si="5"/>
        <v>-125910672.3</v>
      </c>
      <c r="G36" s="70">
        <f t="shared" si="5"/>
        <v>-154319051.9</v>
      </c>
      <c r="H36" s="70">
        <f t="shared" si="5"/>
        <v>-189435325.8</v>
      </c>
      <c r="I36" s="70">
        <f t="shared" si="5"/>
        <v>-223817588.5</v>
      </c>
      <c r="J36" s="70">
        <f t="shared" si="5"/>
        <v>-268308742.5</v>
      </c>
      <c r="K36" s="70">
        <f t="shared" si="5"/>
        <v>-316503547.4</v>
      </c>
      <c r="L36" s="70">
        <f t="shared" si="5"/>
        <v>-367730202.2</v>
      </c>
      <c r="M36" s="70">
        <f t="shared" si="5"/>
        <v>-422829612.1</v>
      </c>
      <c r="N36" s="70">
        <f t="shared" si="5"/>
        <v>-486091200.6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7" t="s">
        <v>29</v>
      </c>
      <c r="C38" s="3"/>
      <c r="D38" s="70">
        <f t="shared" ref="D38:N38" si="6">D20+D36</f>
        <v>93524352.54</v>
      </c>
      <c r="E38" s="70">
        <f t="shared" si="6"/>
        <v>282416312.9</v>
      </c>
      <c r="F38" s="70">
        <f t="shared" si="6"/>
        <v>555139418.6</v>
      </c>
      <c r="G38" s="70">
        <f t="shared" si="6"/>
        <v>884556800.9</v>
      </c>
      <c r="H38" s="70">
        <f t="shared" si="6"/>
        <v>1248482719</v>
      </c>
      <c r="I38" s="70">
        <f t="shared" si="6"/>
        <v>1674805691</v>
      </c>
      <c r="J38" s="70">
        <f t="shared" si="6"/>
        <v>2215968440</v>
      </c>
      <c r="K38" s="70">
        <f t="shared" si="6"/>
        <v>2847806885</v>
      </c>
      <c r="L38" s="70">
        <f t="shared" si="6"/>
        <v>3514466033</v>
      </c>
      <c r="M38" s="70">
        <f t="shared" si="6"/>
        <v>4241983345</v>
      </c>
      <c r="N38" s="70">
        <f t="shared" si="6"/>
        <v>5032264445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8" t="s">
        <v>523</v>
      </c>
      <c r="C39" s="3"/>
      <c r="D39" s="68">
        <f>'MC Drivers (NRD)'!D200+'MC Drivers (NRD)'!D220+'MC Drivers (NRD)'!D239+'MC Drivers (NRD)'!D304</f>
        <v>15339921.4</v>
      </c>
      <c r="E39" s="68">
        <f>'MC Drivers (NRD)'!E200+'MC Drivers (NRD)'!E220+'MC Drivers (NRD)'!E239+'MC Drivers (NRD)'!E304</f>
        <v>52870494.68</v>
      </c>
      <c r="F39" s="68">
        <f>'MC Drivers (NRD)'!F200+'MC Drivers (NRD)'!F220+'MC Drivers (NRD)'!F239+'MC Drivers (NRD)'!F304</f>
        <v>106730130.9</v>
      </c>
      <c r="G39" s="68">
        <f>'MC Drivers (NRD)'!G200+'MC Drivers (NRD)'!G220+'MC Drivers (NRD)'!G239+'MC Drivers (NRD)'!G304</f>
        <v>179527271.7</v>
      </c>
      <c r="H39" s="68">
        <f>'MC Drivers (NRD)'!H200+'MC Drivers (NRD)'!H220+'MC Drivers (NRD)'!H239+'MC Drivers (NRD)'!H304</f>
        <v>268832564.3</v>
      </c>
      <c r="I39" s="68">
        <f>'MC Drivers (NRD)'!I200+'MC Drivers (NRD)'!I220+'MC Drivers (NRD)'!I239+'MC Drivers (NRD)'!I304</f>
        <v>374010988.3</v>
      </c>
      <c r="J39" s="68">
        <f>'MC Drivers (NRD)'!J200+'MC Drivers (NRD)'!J220+'MC Drivers (NRD)'!J239+'MC Drivers (NRD)'!J304</f>
        <v>502319966</v>
      </c>
      <c r="K39" s="68">
        <f>'MC Drivers (NRD)'!K200+'MC Drivers (NRD)'!K220+'MC Drivers (NRD)'!K239+'MC Drivers (NRD)'!K304</f>
        <v>658349301.7</v>
      </c>
      <c r="L39" s="68">
        <f>'MC Drivers (NRD)'!L200+'MC Drivers (NRD)'!L220+'MC Drivers (NRD)'!L239+'MC Drivers (NRD)'!L304</f>
        <v>836923483.2</v>
      </c>
      <c r="M39" s="68">
        <f>'MC Drivers (NRD)'!M200+'MC Drivers (NRD)'!M220+'MC Drivers (NRD)'!M239+'MC Drivers (NRD)'!M304</f>
        <v>1034458481</v>
      </c>
      <c r="N39" s="68">
        <f>'MC Drivers (NRD)'!N200+'MC Drivers (NRD)'!N220+'MC Drivers (NRD)'!N239+'MC Drivers (NRD)'!N304</f>
        <v>1237227626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7" t="s">
        <v>524</v>
      </c>
      <c r="C40" s="3"/>
      <c r="D40" s="70">
        <f t="shared" ref="D40:N40" si="7">D38-D39</f>
        <v>78184431.13</v>
      </c>
      <c r="E40" s="71">
        <f t="shared" si="7"/>
        <v>229545818.2</v>
      </c>
      <c r="F40" s="70">
        <f t="shared" si="7"/>
        <v>448409287.7</v>
      </c>
      <c r="G40" s="70">
        <f t="shared" si="7"/>
        <v>705029529.1</v>
      </c>
      <c r="H40" s="70">
        <f t="shared" si="7"/>
        <v>979650154.2</v>
      </c>
      <c r="I40" s="70">
        <f t="shared" si="7"/>
        <v>1300794703</v>
      </c>
      <c r="J40" s="70">
        <f t="shared" si="7"/>
        <v>1713648474</v>
      </c>
      <c r="K40" s="70">
        <f t="shared" si="7"/>
        <v>2189457583</v>
      </c>
      <c r="L40" s="70">
        <f t="shared" si="7"/>
        <v>2677542550</v>
      </c>
      <c r="M40" s="70">
        <f t="shared" si="7"/>
        <v>3207524864</v>
      </c>
      <c r="N40" s="70">
        <f t="shared" si="7"/>
        <v>3795036819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/>
      <c r="B41" s="8" t="s">
        <v>525</v>
      </c>
      <c r="C41" s="3"/>
      <c r="D41" s="12">
        <f t="shared" ref="D41:N41" si="8">D38/D10</f>
        <v>0.2680835274</v>
      </c>
      <c r="E41" s="12">
        <f t="shared" si="8"/>
        <v>0.4189953432</v>
      </c>
      <c r="F41" s="12">
        <f t="shared" si="8"/>
        <v>0.4798892253</v>
      </c>
      <c r="G41" s="12">
        <f t="shared" si="8"/>
        <v>0.5150327014</v>
      </c>
      <c r="H41" s="12">
        <f t="shared" si="8"/>
        <v>0.5416216081</v>
      </c>
      <c r="I41" s="12">
        <f t="shared" si="8"/>
        <v>0.5653974274</v>
      </c>
      <c r="J41" s="12">
        <f t="shared" si="8"/>
        <v>0.5788075663</v>
      </c>
      <c r="K41" s="12">
        <f t="shared" si="8"/>
        <v>0.5931902161</v>
      </c>
      <c r="L41" s="12">
        <f t="shared" si="8"/>
        <v>0.6116142847</v>
      </c>
      <c r="M41" s="12">
        <f t="shared" si="8"/>
        <v>0.6272499155</v>
      </c>
      <c r="N41" s="12">
        <f t="shared" si="8"/>
        <v>0.6404975612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/>
      <c r="B42" s="8" t="s">
        <v>526</v>
      </c>
      <c r="C42" s="3"/>
      <c r="D42" s="68">
        <f>-'MC Drivers (NRD)'!D323</f>
        <v>0</v>
      </c>
      <c r="E42" s="68">
        <f>-'MC Drivers (NRD)'!E323</f>
        <v>0</v>
      </c>
      <c r="F42" s="68">
        <f>-'MC Drivers (NRD)'!F323</f>
        <v>0</v>
      </c>
      <c r="G42" s="68">
        <f>-'MC Drivers (NRD)'!G323</f>
        <v>0</v>
      </c>
      <c r="H42" s="68">
        <f>-'MC Drivers (NRD)'!H323</f>
        <v>0</v>
      </c>
      <c r="I42" s="68">
        <f>-'MC Drivers (NRD)'!I323</f>
        <v>0</v>
      </c>
      <c r="J42" s="68">
        <f>-'MC Drivers (NRD)'!J323</f>
        <v>0</v>
      </c>
      <c r="K42" s="68">
        <f>-'MC Drivers (NRD)'!K323</f>
        <v>0</v>
      </c>
      <c r="L42" s="68">
        <f>-'MC Drivers (NRD)'!L323</f>
        <v>0</v>
      </c>
      <c r="M42" s="68">
        <f>-'MC Drivers (NRD)'!M323</f>
        <v>0</v>
      </c>
      <c r="N42" s="68">
        <f>-'MC Drivers (NRD)'!N323</f>
        <v>0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/>
      <c r="B43" s="7" t="s">
        <v>527</v>
      </c>
      <c r="C43" s="3"/>
      <c r="D43" s="70">
        <f t="shared" ref="D43:N43" si="9">D40+D42</f>
        <v>78184431.13</v>
      </c>
      <c r="E43" s="70">
        <f t="shared" si="9"/>
        <v>229545818.2</v>
      </c>
      <c r="F43" s="70">
        <f t="shared" si="9"/>
        <v>448409287.7</v>
      </c>
      <c r="G43" s="70">
        <f t="shared" si="9"/>
        <v>705029529.1</v>
      </c>
      <c r="H43" s="70">
        <f t="shared" si="9"/>
        <v>979650154.2</v>
      </c>
      <c r="I43" s="70">
        <f t="shared" si="9"/>
        <v>1300794703</v>
      </c>
      <c r="J43" s="70">
        <f t="shared" si="9"/>
        <v>1713648474</v>
      </c>
      <c r="K43" s="70">
        <f t="shared" si="9"/>
        <v>2189457583</v>
      </c>
      <c r="L43" s="70">
        <f t="shared" si="9"/>
        <v>2677542550</v>
      </c>
      <c r="M43" s="70">
        <f t="shared" si="9"/>
        <v>3207524864</v>
      </c>
      <c r="N43" s="70">
        <f t="shared" si="9"/>
        <v>3795036819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8" t="s">
        <v>528</v>
      </c>
      <c r="C44" s="3"/>
      <c r="D44" s="69">
        <f>-MAX(D43,0)*'MC Drivers (NRD)'!D315</f>
        <v>-19546107.78</v>
      </c>
      <c r="E44" s="69">
        <f>-MAX(E43,0)*'MC Drivers (NRD)'!E315</f>
        <v>-57386454.55</v>
      </c>
      <c r="F44" s="69">
        <f>-MAX(F43,0)*'MC Drivers (NRD)'!F315</f>
        <v>-112102321.9</v>
      </c>
      <c r="G44" s="69">
        <f>-MAX(G43,0)*'MC Drivers (NRD)'!G315</f>
        <v>-176257382.3</v>
      </c>
      <c r="H44" s="69">
        <f>-MAX(H43,0)*'MC Drivers (NRD)'!H315</f>
        <v>-244912538.5</v>
      </c>
      <c r="I44" s="69">
        <f>-MAX(I43,0)*'MC Drivers (NRD)'!I315</f>
        <v>-325198675.8</v>
      </c>
      <c r="J44" s="69">
        <f>-MAX(J43,0)*'MC Drivers (NRD)'!J315</f>
        <v>-428412118.6</v>
      </c>
      <c r="K44" s="69">
        <f>-MAX(K43,0)*'MC Drivers (NRD)'!K315</f>
        <v>-547364395.8</v>
      </c>
      <c r="L44" s="69">
        <f>-MAX(L43,0)*'MC Drivers (NRD)'!L315</f>
        <v>-669385637.4</v>
      </c>
      <c r="M44" s="69">
        <f>-MAX(M43,0)*'MC Drivers (NRD)'!M315</f>
        <v>-801881215.9</v>
      </c>
      <c r="N44" s="69">
        <f>-MAX(N43,0)*'MC Drivers (NRD)'!N315</f>
        <v>-948759204.9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7" t="s">
        <v>529</v>
      </c>
      <c r="C45" s="3"/>
      <c r="D45" s="70">
        <f t="shared" ref="D45:N45" si="10">D43+D44</f>
        <v>58638323.35</v>
      </c>
      <c r="E45" s="70">
        <f t="shared" si="10"/>
        <v>172159363.7</v>
      </c>
      <c r="F45" s="70">
        <f t="shared" si="10"/>
        <v>336306965.7</v>
      </c>
      <c r="G45" s="70">
        <f t="shared" si="10"/>
        <v>528772146.8</v>
      </c>
      <c r="H45" s="70">
        <f t="shared" si="10"/>
        <v>734737615.6</v>
      </c>
      <c r="I45" s="70">
        <f t="shared" si="10"/>
        <v>975596027.4</v>
      </c>
      <c r="J45" s="70">
        <f t="shared" si="10"/>
        <v>1285236356</v>
      </c>
      <c r="K45" s="70">
        <f t="shared" si="10"/>
        <v>1642093187</v>
      </c>
      <c r="L45" s="70">
        <f t="shared" si="10"/>
        <v>2008156912</v>
      </c>
      <c r="M45" s="70">
        <f t="shared" si="10"/>
        <v>2405643648</v>
      </c>
      <c r="N45" s="70">
        <f t="shared" si="10"/>
        <v>2846277615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/>
      <c r="B46" s="8" t="s">
        <v>530</v>
      </c>
      <c r="C46" s="3"/>
      <c r="D46" s="12">
        <f t="shared" ref="D46:N46" si="11">IFERROR(D45/D10,0)</f>
        <v>0.1680842276</v>
      </c>
      <c r="E46" s="12">
        <f t="shared" si="11"/>
        <v>0.2554171567</v>
      </c>
      <c r="F46" s="12">
        <f t="shared" si="11"/>
        <v>0.2907199234</v>
      </c>
      <c r="G46" s="12">
        <f t="shared" si="11"/>
        <v>0.3078772861</v>
      </c>
      <c r="H46" s="12">
        <f t="shared" si="11"/>
        <v>0.3187467179</v>
      </c>
      <c r="I46" s="12">
        <f t="shared" si="11"/>
        <v>0.3293513312</v>
      </c>
      <c r="J46" s="12">
        <f t="shared" si="11"/>
        <v>0.3357017698</v>
      </c>
      <c r="K46" s="12">
        <f t="shared" si="11"/>
        <v>0.3420434222</v>
      </c>
      <c r="L46" s="12">
        <f t="shared" si="11"/>
        <v>0.3494748397</v>
      </c>
      <c r="M46" s="12">
        <f t="shared" si="11"/>
        <v>0.3557156292</v>
      </c>
      <c r="N46" s="12">
        <f t="shared" si="11"/>
        <v>0.3622690919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72"/>
      <c r="B47" s="73" t="s">
        <v>531</v>
      </c>
      <c r="C47" s="72"/>
      <c r="D47" s="74">
        <f>-(D19+D36)-('MC Drivers (NRD)'!D200+'MC Drivers (NRD)'!D220+'MC Drivers (NRD)'!D239+'MC Drivers (NRD)'!D304)</f>
        <v>239998461</v>
      </c>
      <c r="E47" s="74">
        <f>-(E19+E36)-('MC Drivers (NRD)'!E200+'MC Drivers (NRD)'!E220+'MC Drivers (NRD)'!E239+'MC Drivers (NRD)'!E304)</f>
        <v>338745296.8</v>
      </c>
      <c r="F47" s="74">
        <f>-(F19+F36)-('MC Drivers (NRD)'!F200+'MC Drivers (NRD)'!F220+'MC Drivers (NRD)'!F239+'MC Drivers (NRD)'!F304)</f>
        <v>494937874.7</v>
      </c>
      <c r="G47" s="74">
        <f>-(G19+G36)-('MC Drivers (NRD)'!G200+'MC Drivers (NRD)'!G220+'MC Drivers (NRD)'!G239+'MC Drivers (NRD)'!G304)</f>
        <v>653392892.4</v>
      </c>
      <c r="H47" s="74">
        <f>-(H19+H36)-('MC Drivers (NRD)'!H200+'MC Drivers (NRD)'!H220+'MC Drivers (NRD)'!H239+'MC Drivers (NRD)'!H304)</f>
        <v>787767638.1</v>
      </c>
      <c r="I47" s="74">
        <f>-(I19+I36)-('MC Drivers (NRD)'!I200+'MC Drivers (NRD)'!I220+'MC Drivers (NRD)'!I239+'MC Drivers (NRD)'!I304)</f>
        <v>913357554.2</v>
      </c>
      <c r="J47" s="74">
        <f>-(J19+J36)-('MC Drivers (NRD)'!J200+'MC Drivers (NRD)'!J220+'MC Drivers (NRD)'!J239+'MC Drivers (NRD)'!J304)</f>
        <v>1110217939</v>
      </c>
      <c r="K47" s="74">
        <f>-(K19+K36)-('MC Drivers (NRD)'!K200+'MC Drivers (NRD)'!K220+'MC Drivers (NRD)'!K239+'MC Drivers (NRD)'!K304)</f>
        <v>1294676342</v>
      </c>
      <c r="L47" s="74">
        <f>-(L19+L36)-('MC Drivers (NRD)'!L200+'MC Drivers (NRD)'!L220+'MC Drivers (NRD)'!L239+'MC Drivers (NRD)'!L304)</f>
        <v>1394823613</v>
      </c>
      <c r="M47" s="74">
        <f>-(M19+M36)-('MC Drivers (NRD)'!M200+'MC Drivers (NRD)'!M220+'MC Drivers (NRD)'!M239+'MC Drivers (NRD)'!M304)</f>
        <v>1486386259</v>
      </c>
      <c r="N47" s="74">
        <f>-(N19+N36)-('MC Drivers (NRD)'!N200+'MC Drivers (NRD)'!N220+'MC Drivers (NRD)'!N239+'MC Drivers (NRD)'!N304)</f>
        <v>1587312935</v>
      </c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44.0"/>
    <col customWidth="1" min="3" max="3" width="17.0"/>
    <col customWidth="1" min="4" max="14" width="14.0"/>
    <col customWidth="1" min="15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3"/>
      <c r="B2" s="4" t="s">
        <v>532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66" t="s">
        <v>484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67"/>
      <c r="D4" s="6" t="s">
        <v>485</v>
      </c>
      <c r="E4" s="6" t="s">
        <v>486</v>
      </c>
      <c r="F4" s="6" t="s">
        <v>487</v>
      </c>
      <c r="G4" s="6" t="s">
        <v>488</v>
      </c>
      <c r="H4" s="6" t="s">
        <v>489</v>
      </c>
      <c r="I4" s="6" t="s">
        <v>490</v>
      </c>
      <c r="J4" s="6" t="s">
        <v>491</v>
      </c>
      <c r="K4" s="6" t="s">
        <v>492</v>
      </c>
      <c r="L4" s="6" t="s">
        <v>493</v>
      </c>
      <c r="M4" s="6" t="s">
        <v>494</v>
      </c>
      <c r="N4" s="6" t="s">
        <v>495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7" t="s">
        <v>496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8" t="s">
        <v>533</v>
      </c>
      <c r="C6" s="3"/>
      <c r="D6" s="68">
        <f>'MC Drivers (NRD)'!D15*'Energy Drivers (RideBox)'!D11*12</f>
        <v>65292857.14</v>
      </c>
      <c r="E6" s="68">
        <f>'MC Drivers (NRD)'!E15*'Energy Drivers (RideBox)'!E11*12</f>
        <v>158341071.4</v>
      </c>
      <c r="F6" s="68">
        <f>'MC Drivers (NRD)'!F15*'Energy Drivers (RideBox)'!F11*12</f>
        <v>291342857.1</v>
      </c>
      <c r="G6" s="68">
        <f>'MC Drivers (NRD)'!G15*'Energy Drivers (RideBox)'!G11*12</f>
        <v>463090178.6</v>
      </c>
      <c r="H6" s="68">
        <f>'MC Drivers (NRD)'!H15*'Energy Drivers (RideBox)'!H11*12</f>
        <v>660353571.4</v>
      </c>
      <c r="I6" s="68">
        <f>'MC Drivers (NRD)'!I15*'Energy Drivers (RideBox)'!I11*12</f>
        <v>889733035.7</v>
      </c>
      <c r="J6" s="68">
        <f>'MC Drivers (NRD)'!J15*'Energy Drivers (RideBox)'!J11*12</f>
        <v>1174534821</v>
      </c>
      <c r="K6" s="68">
        <f>'MC Drivers (NRD)'!K15*'Energy Drivers (RideBox)'!K11*12</f>
        <v>1507481250</v>
      </c>
      <c r="L6" s="68">
        <f>'MC Drivers (NRD)'!L15*'Energy Drivers (RideBox)'!L11*12</f>
        <v>1865059821</v>
      </c>
      <c r="M6" s="68">
        <f>'MC Drivers (NRD)'!M15*'Energy Drivers (RideBox)'!M11*12</f>
        <v>2246533929</v>
      </c>
      <c r="N6" s="68">
        <f>'MC Drivers (NRD)'!N15*'Energy Drivers (RideBox)'!N11*12</f>
        <v>2651137500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8" t="s">
        <v>534</v>
      </c>
      <c r="C7" s="3"/>
      <c r="D7" s="68">
        <f>('MC Drivers (NRD)'!D17*'Energy Drivers (RideBox)'!D12)*12</f>
        <v>11314285.71</v>
      </c>
      <c r="E7" s="68">
        <f>('MC Drivers (NRD)'!E17*'Energy Drivers (RideBox)'!E12)*12</f>
        <v>18102857.14</v>
      </c>
      <c r="F7" s="68">
        <f>('MC Drivers (NRD)'!F17*'Energy Drivers (RideBox)'!F12)*12</f>
        <v>28964571.43</v>
      </c>
      <c r="G7" s="68">
        <f>('MC Drivers (NRD)'!G17*'Energy Drivers (RideBox)'!G12)*12</f>
        <v>40552285.71</v>
      </c>
      <c r="H7" s="68">
        <f>('MC Drivers (NRD)'!H17*'Energy Drivers (RideBox)'!H12)*12</f>
        <v>50688000</v>
      </c>
      <c r="I7" s="68">
        <f>('MC Drivers (NRD)'!I17*'Energy Drivers (RideBox)'!I12)*12</f>
        <v>60823714.29</v>
      </c>
      <c r="J7" s="68">
        <f>('MC Drivers (NRD)'!J17*'Energy Drivers (RideBox)'!J12)*12</f>
        <v>76032000</v>
      </c>
      <c r="K7" s="68">
        <f>('MC Drivers (NRD)'!K17*'Energy Drivers (RideBox)'!K12)*12</f>
        <v>91240285.71</v>
      </c>
      <c r="L7" s="68">
        <f>('MC Drivers (NRD)'!L17*'Energy Drivers (RideBox)'!L12)*12</f>
        <v>101366571.4</v>
      </c>
      <c r="M7" s="68">
        <f>('MC Drivers (NRD)'!M17*'Energy Drivers (RideBox)'!M12)*12</f>
        <v>111502285.7</v>
      </c>
      <c r="N7" s="68">
        <f>('MC Drivers (NRD)'!N17*'Energy Drivers (RideBox)'!N12)*12</f>
        <v>121638000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7" t="s">
        <v>501</v>
      </c>
      <c r="C8" s="3"/>
      <c r="D8" s="70">
        <f t="shared" ref="D8:N8" si="1">SUM(D6:D7)</f>
        <v>76607142.86</v>
      </c>
      <c r="E8" s="70">
        <f t="shared" si="1"/>
        <v>176443928.6</v>
      </c>
      <c r="F8" s="70">
        <f t="shared" si="1"/>
        <v>320307428.6</v>
      </c>
      <c r="G8" s="70">
        <f t="shared" si="1"/>
        <v>503642464.3</v>
      </c>
      <c r="H8" s="70">
        <f t="shared" si="1"/>
        <v>711041571.4</v>
      </c>
      <c r="I8" s="70">
        <f t="shared" si="1"/>
        <v>950556750</v>
      </c>
      <c r="J8" s="70">
        <f t="shared" si="1"/>
        <v>1250566821</v>
      </c>
      <c r="K8" s="70">
        <f t="shared" si="1"/>
        <v>1598721536</v>
      </c>
      <c r="L8" s="70">
        <f t="shared" si="1"/>
        <v>1966426393</v>
      </c>
      <c r="M8" s="70">
        <f t="shared" si="1"/>
        <v>2358036214</v>
      </c>
      <c r="N8" s="70">
        <f t="shared" si="1"/>
        <v>2772775500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7" t="s">
        <v>535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8" t="s">
        <v>423</v>
      </c>
      <c r="C11" s="3"/>
      <c r="D11" s="68">
        <f>-'Energy Drivers (RideBox)'!D123</f>
        <v>-822251.4206</v>
      </c>
      <c r="E11" s="68">
        <f>-'Energy Drivers (RideBox)'!E123</f>
        <v>-2036374.73</v>
      </c>
      <c r="F11" s="68">
        <f>-'Energy Drivers (RideBox)'!F123</f>
        <v>-3837173.296</v>
      </c>
      <c r="G11" s="68">
        <f>-'Energy Drivers (RideBox)'!G123</f>
        <v>-6190669.786</v>
      </c>
      <c r="H11" s="68">
        <f>-'Energy Drivers (RideBox)'!H123</f>
        <v>-9001727.673</v>
      </c>
      <c r="I11" s="68">
        <f>-'Energy Drivers (RideBox)'!I123</f>
        <v>-12324710.69</v>
      </c>
      <c r="J11" s="68">
        <f>-'Energy Drivers (RideBox)'!J123</f>
        <v>-16467679.97</v>
      </c>
      <c r="K11" s="68">
        <f>-'Energy Drivers (RideBox)'!K123</f>
        <v>-21387597.56</v>
      </c>
      <c r="L11" s="68">
        <f>-'Energy Drivers (RideBox)'!L123</f>
        <v>-26787728.1</v>
      </c>
      <c r="M11" s="68">
        <f>-'Energy Drivers (RideBox)'!M123</f>
        <v>-32681662.52</v>
      </c>
      <c r="N11" s="68">
        <f>-'Energy Drivers (RideBox)'!N123</f>
        <v>-39080726.61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8" t="s">
        <v>536</v>
      </c>
      <c r="C12" s="3"/>
      <c r="D12" s="68">
        <f>-'Energy Drivers (RideBox)'!D8*'Energy Drivers (RideBox)'!D30*12</f>
        <v>-388928.5714</v>
      </c>
      <c r="E12" s="68">
        <f>-'Energy Drivers (RideBox)'!E8*'Energy Drivers (RideBox)'!E30*12</f>
        <v>-963214.2857</v>
      </c>
      <c r="F12" s="68">
        <f>-'Energy Drivers (RideBox)'!F8*'Energy Drivers (RideBox)'!F30*12</f>
        <v>-1815000</v>
      </c>
      <c r="G12" s="68">
        <f>-'Energy Drivers (RideBox)'!G8*'Energy Drivers (RideBox)'!G30*12</f>
        <v>-2928214.286</v>
      </c>
      <c r="H12" s="68">
        <f>-'Energy Drivers (RideBox)'!H8*'Energy Drivers (RideBox)'!H30*12</f>
        <v>-4257857.143</v>
      </c>
      <c r="I12" s="68">
        <f>-'Energy Drivers (RideBox)'!I8*'Energy Drivers (RideBox)'!I30*12</f>
        <v>-5829642.857</v>
      </c>
      <c r="J12" s="68">
        <f>-'Energy Drivers (RideBox)'!J8*'Energy Drivers (RideBox)'!J30*12</f>
        <v>-7789285.714</v>
      </c>
      <c r="K12" s="68">
        <f>-'Energy Drivers (RideBox)'!K8*'Energy Drivers (RideBox)'!K30*12</f>
        <v>-10116428.57</v>
      </c>
      <c r="L12" s="68">
        <f>-'Energy Drivers (RideBox)'!L8*'Energy Drivers (RideBox)'!L30*12</f>
        <v>-12670714.29</v>
      </c>
      <c r="M12" s="68">
        <f>-'Energy Drivers (RideBox)'!M8*'Energy Drivers (RideBox)'!M30*12</f>
        <v>-15458571.43</v>
      </c>
      <c r="N12" s="68">
        <f>-'Energy Drivers (RideBox)'!N8*'Energy Drivers (RideBox)'!N30*12</f>
        <v>-18485357.14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8" t="s">
        <v>537</v>
      </c>
      <c r="C13" s="3"/>
      <c r="D13" s="68">
        <f>-'Energy Drivers (RideBox)'!D8*'Energy Drivers (RideBox)'!D31*12</f>
        <v>-777857.1429</v>
      </c>
      <c r="E13" s="68">
        <f>-'Energy Drivers (RideBox)'!E8*'Energy Drivers (RideBox)'!E31*12</f>
        <v>-1926428.571</v>
      </c>
      <c r="F13" s="68">
        <f>-'Energy Drivers (RideBox)'!F8*'Energy Drivers (RideBox)'!F31*12</f>
        <v>-3630000</v>
      </c>
      <c r="G13" s="68">
        <f>-'Energy Drivers (RideBox)'!G8*'Energy Drivers (RideBox)'!G31*12</f>
        <v>-5856428.571</v>
      </c>
      <c r="H13" s="68">
        <f>-'Energy Drivers (RideBox)'!H8*'Energy Drivers (RideBox)'!H31*12</f>
        <v>-8515714.286</v>
      </c>
      <c r="I13" s="68">
        <f>-'Energy Drivers (RideBox)'!I8*'Energy Drivers (RideBox)'!I31*12</f>
        <v>-11659285.71</v>
      </c>
      <c r="J13" s="68">
        <f>-'Energy Drivers (RideBox)'!J8*'Energy Drivers (RideBox)'!J31*12</f>
        <v>-15578571.43</v>
      </c>
      <c r="K13" s="68">
        <f>-'Energy Drivers (RideBox)'!K8*'Energy Drivers (RideBox)'!K31*12</f>
        <v>-20232857.14</v>
      </c>
      <c r="L13" s="68">
        <f>-'Energy Drivers (RideBox)'!L8*'Energy Drivers (RideBox)'!L31*12</f>
        <v>-25341428.57</v>
      </c>
      <c r="M13" s="68">
        <f>-'Energy Drivers (RideBox)'!M8*'Energy Drivers (RideBox)'!M31*12</f>
        <v>-30917142.86</v>
      </c>
      <c r="N13" s="68">
        <f>-'Energy Drivers (RideBox)'!N8*'Energy Drivers (RideBox)'!N31*12</f>
        <v>-36970714.29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8" t="s">
        <v>538</v>
      </c>
      <c r="C14" s="3"/>
      <c r="D14" s="68">
        <f>-'Energy Drivers (RideBox)'!D8*'Energy Drivers (RideBox)'!D26*365*'Energy Drivers (RideBox)'!D19</f>
        <v>-12975939.47</v>
      </c>
      <c r="E14" s="68">
        <f>-'Energy Drivers (RideBox)'!E8*'Energy Drivers (RideBox)'!E26*365*'Energy Drivers (RideBox)'!E19</f>
        <v>-42848005.8</v>
      </c>
      <c r="F14" s="68">
        <f>-'Energy Drivers (RideBox)'!F8*'Energy Drivers (RideBox)'!F26*365*'Energy Drivers (RideBox)'!F19</f>
        <v>-80739178.9</v>
      </c>
      <c r="G14" s="68">
        <f>-'Energy Drivers (RideBox)'!G8*'Energy Drivers (RideBox)'!G26*365*'Energy Drivers (RideBox)'!G19</f>
        <v>-130259844.1</v>
      </c>
      <c r="H14" s="68">
        <f>-'Energy Drivers (RideBox)'!H8*'Energy Drivers (RideBox)'!H26*365*'Energy Drivers (RideBox)'!H19</f>
        <v>-189408203.6</v>
      </c>
      <c r="I14" s="68">
        <f>-'Energy Drivers (RideBox)'!I8*'Energy Drivers (RideBox)'!I26*365*'Energy Drivers (RideBox)'!I19</f>
        <v>-259328141.9</v>
      </c>
      <c r="J14" s="68">
        <f>-'Energy Drivers (RideBox)'!J8*'Energy Drivers (RideBox)'!J26*365*'Energy Drivers (RideBox)'!J19</f>
        <v>-346501671</v>
      </c>
      <c r="K14" s="68">
        <f>-'Energy Drivers (RideBox)'!K8*'Energy Drivers (RideBox)'!K26*365*'Energy Drivers (RideBox)'!K19</f>
        <v>-450023215.6</v>
      </c>
      <c r="L14" s="68">
        <f>-'Energy Drivers (RideBox)'!L8*'Energy Drivers (RideBox)'!L26*365*'Energy Drivers (RideBox)'!L19</f>
        <v>-563649073</v>
      </c>
      <c r="M14" s="68">
        <f>-'Energy Drivers (RideBox)'!M8*'Energy Drivers (RideBox)'!M26*365*'Energy Drivers (RideBox)'!M19</f>
        <v>-687665214.4</v>
      </c>
      <c r="N14" s="68">
        <f>-'Energy Drivers (RideBox)'!N8*'Energy Drivers (RideBox)'!N26*365*'Energy Drivers (RideBox)'!N19</f>
        <v>-822309949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8" t="s">
        <v>539</v>
      </c>
      <c r="C15" s="3"/>
      <c r="D15" s="68">
        <f>-'MC Drivers (NRD)'!D15*2*'Energy Drivers (RideBox)'!D14*12</f>
        <v>-4748571.429</v>
      </c>
      <c r="E15" s="68">
        <f>-'MC Drivers (NRD)'!E15*2*'Energy Drivers (RideBox)'!E14*12</f>
        <v>-11515714.29</v>
      </c>
      <c r="F15" s="68">
        <f>-'MC Drivers (NRD)'!F16*2*'Energy Drivers (RideBox)'!F14*12</f>
        <v>-16352142.86</v>
      </c>
      <c r="G15" s="68">
        <f>-'MC Drivers (NRD)'!G16*2*'Energy Drivers (RideBox)'!G14*12</f>
        <v>-27433928.57</v>
      </c>
      <c r="H15" s="68">
        <f>-'MC Drivers (NRD)'!H16*2*'Energy Drivers (RideBox)'!H14*12</f>
        <v>-40852500</v>
      </c>
      <c r="I15" s="68">
        <f>-'MC Drivers (NRD)'!I16*2*'Energy Drivers (RideBox)'!I14*12</f>
        <v>-56366785.71</v>
      </c>
      <c r="J15" s="68">
        <f>-'MC Drivers (NRD)'!J16*2*'Energy Drivers (RideBox)'!J14*12</f>
        <v>-75064285.71</v>
      </c>
      <c r="K15" s="68">
        <f>-'MC Drivers (NRD)'!K16*2*'Energy Drivers (RideBox)'!K14*12</f>
        <v>-97527857.14</v>
      </c>
      <c r="L15" s="68">
        <f>-'MC Drivers (NRD)'!L16*2*'Energy Drivers (RideBox)'!L14*12</f>
        <v>-122637857.1</v>
      </c>
      <c r="M15" s="68">
        <f>-'MC Drivers (NRD)'!M16*2*'Energy Drivers (RideBox)'!M14*12</f>
        <v>-149512500</v>
      </c>
      <c r="N15" s="68">
        <f>-'MC Drivers (NRD)'!N16*2*'Energy Drivers (RideBox)'!N14*12</f>
        <v>-178097142.9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8" t="s">
        <v>540</v>
      </c>
      <c r="C16" s="3"/>
      <c r="D16" s="69">
        <f>-D6*'Energy Drivers (RideBox)'!D13</f>
        <v>-1958785.714</v>
      </c>
      <c r="E16" s="69">
        <f>-E6*'Energy Drivers (RideBox)'!E13</f>
        <v>-4750232.143</v>
      </c>
      <c r="F16" s="69">
        <f>-F6*'Energy Drivers (RideBox)'!F13</f>
        <v>-8740285.714</v>
      </c>
      <c r="G16" s="69">
        <f>-G6*'Energy Drivers (RideBox)'!G13</f>
        <v>-13892705.36</v>
      </c>
      <c r="H16" s="69">
        <f>-H6*'Energy Drivers (RideBox)'!H13</f>
        <v>-19810607.14</v>
      </c>
      <c r="I16" s="69">
        <f>-I6*'Energy Drivers (RideBox)'!I13</f>
        <v>-26691991.07</v>
      </c>
      <c r="J16" s="69">
        <f>-J6*'Energy Drivers (RideBox)'!J13</f>
        <v>-35236044.64</v>
      </c>
      <c r="K16" s="69">
        <f>-K6*'Energy Drivers (RideBox)'!K13</f>
        <v>-45224437.5</v>
      </c>
      <c r="L16" s="69">
        <f>-L6*'Energy Drivers (RideBox)'!L13</f>
        <v>-55951794.64</v>
      </c>
      <c r="M16" s="69">
        <f>-M6*'Energy Drivers (RideBox)'!M13</f>
        <v>-67396017.86</v>
      </c>
      <c r="N16" s="69">
        <f>-N6*'Energy Drivers (RideBox)'!N13</f>
        <v>-79534125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7" t="s">
        <v>509</v>
      </c>
      <c r="C17" s="3"/>
      <c r="D17" s="70">
        <f t="shared" ref="D17:N17" si="2">SUM(D11:D16)</f>
        <v>-21672333.74</v>
      </c>
      <c r="E17" s="70">
        <f t="shared" si="2"/>
        <v>-64039969.82</v>
      </c>
      <c r="F17" s="70">
        <f t="shared" si="2"/>
        <v>-115113780.8</v>
      </c>
      <c r="G17" s="70">
        <f t="shared" si="2"/>
        <v>-186561790.7</v>
      </c>
      <c r="H17" s="70">
        <f t="shared" si="2"/>
        <v>-271846609.9</v>
      </c>
      <c r="I17" s="70">
        <f t="shared" si="2"/>
        <v>-372200558</v>
      </c>
      <c r="J17" s="70">
        <f t="shared" si="2"/>
        <v>-496637538.4</v>
      </c>
      <c r="K17" s="70">
        <f t="shared" si="2"/>
        <v>-644512393.5</v>
      </c>
      <c r="L17" s="70">
        <f t="shared" si="2"/>
        <v>-807038595.8</v>
      </c>
      <c r="M17" s="70">
        <f t="shared" si="2"/>
        <v>-983631109.1</v>
      </c>
      <c r="N17" s="70">
        <f t="shared" si="2"/>
        <v>-1174478015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7" t="s">
        <v>510</v>
      </c>
      <c r="C18" s="3"/>
      <c r="D18" s="70">
        <f t="shared" ref="D18:N18" si="3">D8+D17</f>
        <v>54934809.11</v>
      </c>
      <c r="E18" s="70">
        <f t="shared" si="3"/>
        <v>112403958.8</v>
      </c>
      <c r="F18" s="70">
        <f t="shared" si="3"/>
        <v>205193647.8</v>
      </c>
      <c r="G18" s="70">
        <f t="shared" si="3"/>
        <v>317080673.6</v>
      </c>
      <c r="H18" s="70">
        <f t="shared" si="3"/>
        <v>439194961.6</v>
      </c>
      <c r="I18" s="70">
        <f t="shared" si="3"/>
        <v>578356192</v>
      </c>
      <c r="J18" s="70">
        <f t="shared" si="3"/>
        <v>753929283</v>
      </c>
      <c r="K18" s="70">
        <f t="shared" si="3"/>
        <v>954209142.2</v>
      </c>
      <c r="L18" s="70">
        <f t="shared" si="3"/>
        <v>1159387797</v>
      </c>
      <c r="M18" s="70">
        <f t="shared" si="3"/>
        <v>1374405105</v>
      </c>
      <c r="N18" s="70">
        <f t="shared" si="3"/>
        <v>1598297485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8" t="s">
        <v>511</v>
      </c>
      <c r="C19" s="3"/>
      <c r="D19" s="12">
        <f t="shared" ref="D19:N19" si="4">IFERROR(D18/D8,0)</f>
        <v>0.7170977413</v>
      </c>
      <c r="E19" s="12">
        <f t="shared" si="4"/>
        <v>0.6370520066</v>
      </c>
      <c r="F19" s="12">
        <f t="shared" si="4"/>
        <v>0.6406147017</v>
      </c>
      <c r="G19" s="12">
        <f t="shared" si="4"/>
        <v>0.6295749387</v>
      </c>
      <c r="H19" s="12">
        <f t="shared" si="4"/>
        <v>0.6176783176</v>
      </c>
      <c r="I19" s="12">
        <f t="shared" si="4"/>
        <v>0.6084394141</v>
      </c>
      <c r="J19" s="12">
        <f t="shared" si="4"/>
        <v>0.6028700507</v>
      </c>
      <c r="K19" s="12">
        <f t="shared" si="4"/>
        <v>0.5968576271</v>
      </c>
      <c r="L19" s="12">
        <f t="shared" si="4"/>
        <v>0.5895912511</v>
      </c>
      <c r="M19" s="12">
        <f t="shared" si="4"/>
        <v>0.5828600498</v>
      </c>
      <c r="N19" s="12">
        <f t="shared" si="4"/>
        <v>0.5764251325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/>
      <c r="B21" s="7" t="s">
        <v>512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3"/>
      <c r="B22" s="8" t="s">
        <v>513</v>
      </c>
      <c r="C22" s="3"/>
      <c r="D22" s="68">
        <f>-'Energy Drivers (RideBox)'!D88</f>
        <v>-17925674</v>
      </c>
      <c r="E22" s="68">
        <f>-'Energy Drivers (RideBox)'!E88</f>
        <v>-20704153.47</v>
      </c>
      <c r="F22" s="68">
        <f>-'Energy Drivers (RideBox)'!F88</f>
        <v>-23913297.26</v>
      </c>
      <c r="G22" s="68">
        <f>-'Energy Drivers (RideBox)'!G88</f>
        <v>-27619858.33</v>
      </c>
      <c r="H22" s="68">
        <f>-'Energy Drivers (RideBox)'!H88</f>
        <v>-31900936.37</v>
      </c>
      <c r="I22" s="68">
        <f>-'Energy Drivers (RideBox)'!I88</f>
        <v>-36845581.51</v>
      </c>
      <c r="J22" s="68">
        <f>-'Energy Drivers (RideBox)'!J88</f>
        <v>-42556646.65</v>
      </c>
      <c r="K22" s="68">
        <f>-'Energy Drivers (RideBox)'!K88</f>
        <v>-49152926.88</v>
      </c>
      <c r="L22" s="68">
        <f>-'Energy Drivers (RideBox)'!L88</f>
        <v>-56771630.54</v>
      </c>
      <c r="M22" s="68">
        <f>-'Energy Drivers (RideBox)'!M88</f>
        <v>-65571233.28</v>
      </c>
      <c r="N22" s="68">
        <f>-'Energy Drivers (RideBox)'!N88</f>
        <v>-75734774.44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3"/>
      <c r="B23" s="8" t="s">
        <v>150</v>
      </c>
      <c r="C23" s="3"/>
      <c r="D23" s="68">
        <f>-'Energy Drivers (RideBox)'!D89</f>
        <v>-1792567.4</v>
      </c>
      <c r="E23" s="68">
        <f>-'Energy Drivers (RideBox)'!E89</f>
        <v>-2070415.347</v>
      </c>
      <c r="F23" s="68">
        <f>-'Energy Drivers (RideBox)'!F89</f>
        <v>-2391329.726</v>
      </c>
      <c r="G23" s="68">
        <f>-'Energy Drivers (RideBox)'!G89</f>
        <v>-2761985.833</v>
      </c>
      <c r="H23" s="68">
        <f>-'Energy Drivers (RideBox)'!H89</f>
        <v>-3190093.637</v>
      </c>
      <c r="I23" s="68">
        <f>-'Energy Drivers (RideBox)'!I89</f>
        <v>-3684558.151</v>
      </c>
      <c r="J23" s="68">
        <f>-'Energy Drivers (RideBox)'!J89</f>
        <v>-4255664.665</v>
      </c>
      <c r="K23" s="68">
        <f>-'Energy Drivers (RideBox)'!K89</f>
        <v>-4915292.688</v>
      </c>
      <c r="L23" s="68">
        <f>-'Energy Drivers (RideBox)'!L89</f>
        <v>-5677163.054</v>
      </c>
      <c r="M23" s="68">
        <f>-'Energy Drivers (RideBox)'!M89</f>
        <v>-6557123.328</v>
      </c>
      <c r="N23" s="68">
        <f>-'Energy Drivers (RideBox)'!N89</f>
        <v>-7573477.444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3"/>
      <c r="B24" s="8" t="s">
        <v>541</v>
      </c>
      <c r="C24" s="3"/>
      <c r="D24" s="68">
        <f>-'Energy Drivers (RideBox)'!D8*'Energy Drivers (RideBox)'!D29*12</f>
        <v>-19446428.57</v>
      </c>
      <c r="E24" s="68">
        <f>-'Energy Drivers (RideBox)'!E8*'Energy Drivers (RideBox)'!E29*12</f>
        <v>-48160714.29</v>
      </c>
      <c r="F24" s="68">
        <f>-'Energy Drivers (RideBox)'!F8*'Energy Drivers (RideBox)'!F29*12</f>
        <v>-90750000</v>
      </c>
      <c r="G24" s="68">
        <f>-'Energy Drivers (RideBox)'!G8*'Energy Drivers (RideBox)'!G29*12</f>
        <v>-146410714.3</v>
      </c>
      <c r="H24" s="68">
        <f>-'Energy Drivers (RideBox)'!H8*'Energy Drivers (RideBox)'!H29*12</f>
        <v>-212892857.1</v>
      </c>
      <c r="I24" s="68">
        <f>-'Energy Drivers (RideBox)'!I8*'Energy Drivers (RideBox)'!I29*12</f>
        <v>-291482142.9</v>
      </c>
      <c r="J24" s="68">
        <f>-'Energy Drivers (RideBox)'!J8*'Energy Drivers (RideBox)'!J29*12</f>
        <v>-389464285.7</v>
      </c>
      <c r="K24" s="68">
        <f>-'Energy Drivers (RideBox)'!K8*'Energy Drivers (RideBox)'!K29*12</f>
        <v>-505821428.6</v>
      </c>
      <c r="L24" s="68">
        <f>-'Energy Drivers (RideBox)'!L8*'Energy Drivers (RideBox)'!L29*12</f>
        <v>-633535714.3</v>
      </c>
      <c r="M24" s="68">
        <f>-'Energy Drivers (RideBox)'!M8*'Energy Drivers (RideBox)'!M29*12</f>
        <v>-772928571.4</v>
      </c>
      <c r="N24" s="68">
        <f>-'Energy Drivers (RideBox)'!N8*'Energy Drivers (RideBox)'!N29*12</f>
        <v>-924267857.1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3"/>
      <c r="B25" s="7" t="s">
        <v>522</v>
      </c>
      <c r="C25" s="3"/>
      <c r="D25" s="70">
        <f t="shared" ref="D25:N25" si="5">D22+D23+D24</f>
        <v>-39164669.97</v>
      </c>
      <c r="E25" s="70">
        <f t="shared" si="5"/>
        <v>-70935283.1</v>
      </c>
      <c r="F25" s="70">
        <f t="shared" si="5"/>
        <v>-117054627</v>
      </c>
      <c r="G25" s="70">
        <f t="shared" si="5"/>
        <v>-176792558.5</v>
      </c>
      <c r="H25" s="70">
        <f t="shared" si="5"/>
        <v>-247983887.2</v>
      </c>
      <c r="I25" s="70">
        <f t="shared" si="5"/>
        <v>-332012282.5</v>
      </c>
      <c r="J25" s="70">
        <f t="shared" si="5"/>
        <v>-436276597</v>
      </c>
      <c r="K25" s="70">
        <f t="shared" si="5"/>
        <v>-559889648.1</v>
      </c>
      <c r="L25" s="70">
        <f t="shared" si="5"/>
        <v>-695984507.9</v>
      </c>
      <c r="M25" s="70">
        <f t="shared" si="5"/>
        <v>-845056928</v>
      </c>
      <c r="N25" s="70">
        <f t="shared" si="5"/>
        <v>-1007576109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3"/>
      <c r="B27" s="7" t="s">
        <v>29</v>
      </c>
      <c r="C27" s="3"/>
      <c r="D27" s="70">
        <f t="shared" ref="D27:N27" si="6">D18+D25</f>
        <v>15770139.14</v>
      </c>
      <c r="E27" s="70">
        <f t="shared" si="6"/>
        <v>41468675.65</v>
      </c>
      <c r="F27" s="70">
        <f t="shared" si="6"/>
        <v>88139020.82</v>
      </c>
      <c r="G27" s="70">
        <f t="shared" si="6"/>
        <v>140288115.1</v>
      </c>
      <c r="H27" s="70">
        <f t="shared" si="6"/>
        <v>191211074.4</v>
      </c>
      <c r="I27" s="70">
        <f t="shared" si="6"/>
        <v>246343909.5</v>
      </c>
      <c r="J27" s="70">
        <f t="shared" si="6"/>
        <v>317652686</v>
      </c>
      <c r="K27" s="70">
        <f t="shared" si="6"/>
        <v>394319494.1</v>
      </c>
      <c r="L27" s="70">
        <f t="shared" si="6"/>
        <v>463403289.2</v>
      </c>
      <c r="M27" s="70">
        <f t="shared" si="6"/>
        <v>529348177.2</v>
      </c>
      <c r="N27" s="70">
        <f t="shared" si="6"/>
        <v>590721376.1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/>
      <c r="B28" s="8" t="s">
        <v>523</v>
      </c>
      <c r="C28" s="3"/>
      <c r="D28" s="68">
        <f>'Energy Drivers (RideBox)'!D121</f>
        <v>2055628.551</v>
      </c>
      <c r="E28" s="75">
        <f>'Energy Drivers (RideBox)'!E121</f>
        <v>7146565.377</v>
      </c>
      <c r="F28" s="68">
        <f>'Energy Drivers (RideBox)'!F121</f>
        <v>14683870.07</v>
      </c>
      <c r="G28" s="68">
        <f>'Energy Drivers (RideBox)'!G121</f>
        <v>25069607.71</v>
      </c>
      <c r="H28" s="68">
        <f>'Energy Drivers (RideBox)'!H121</f>
        <v>37980993.65</v>
      </c>
      <c r="I28" s="68">
        <f>'Energy Drivers (RideBox)'!I121</f>
        <v>53316095.9</v>
      </c>
      <c r="J28" s="68">
        <f>'Energy Drivers (RideBox)'!J121</f>
        <v>71980976.63</v>
      </c>
      <c r="K28" s="68">
        <f>'Energy Drivers (RideBox)'!K121</f>
        <v>94638193.81</v>
      </c>
      <c r="L28" s="68">
        <f>'Energy Drivers (RideBox)'!L121</f>
        <v>120438314.1</v>
      </c>
      <c r="M28" s="68">
        <f>'Energy Drivers (RideBox)'!M121</f>
        <v>148673476.6</v>
      </c>
      <c r="N28" s="68">
        <f>'Energy Drivers (RideBox)'!N121</f>
        <v>177350344.3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3"/>
      <c r="B29" s="7" t="s">
        <v>524</v>
      </c>
      <c r="C29" s="3"/>
      <c r="D29" s="70">
        <f t="shared" ref="D29:N29" si="7">D27-D28</f>
        <v>13714510.59</v>
      </c>
      <c r="E29" s="75">
        <f t="shared" si="7"/>
        <v>34322110.27</v>
      </c>
      <c r="F29" s="70">
        <f t="shared" si="7"/>
        <v>73455150.75</v>
      </c>
      <c r="G29" s="70">
        <f t="shared" si="7"/>
        <v>115218507.4</v>
      </c>
      <c r="H29" s="70">
        <f t="shared" si="7"/>
        <v>153230080.7</v>
      </c>
      <c r="I29" s="70">
        <f t="shared" si="7"/>
        <v>193027813.6</v>
      </c>
      <c r="J29" s="70">
        <f t="shared" si="7"/>
        <v>245671709.3</v>
      </c>
      <c r="K29" s="70">
        <f t="shared" si="7"/>
        <v>299681300.3</v>
      </c>
      <c r="L29" s="70">
        <f t="shared" si="7"/>
        <v>342964975.1</v>
      </c>
      <c r="M29" s="70">
        <f t="shared" si="7"/>
        <v>380674700.6</v>
      </c>
      <c r="N29" s="70">
        <f t="shared" si="7"/>
        <v>413371031.8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3"/>
      <c r="B30" s="8" t="s">
        <v>542</v>
      </c>
      <c r="C30" s="3"/>
      <c r="D30" s="12">
        <f t="shared" ref="D30:E30" si="8">D27/D8</f>
        <v>0.2058572942</v>
      </c>
      <c r="E30" s="76">
        <f t="shared" si="8"/>
        <v>0.2350246675</v>
      </c>
      <c r="F30" s="12">
        <f t="shared" ref="F30:N30" si="9">IFERROR(F29/F8,0)</f>
        <v>0.2293270284</v>
      </c>
      <c r="G30" s="12">
        <f t="shared" si="9"/>
        <v>0.2287704386</v>
      </c>
      <c r="H30" s="12">
        <f t="shared" si="9"/>
        <v>0.2155008749</v>
      </c>
      <c r="I30" s="12">
        <f t="shared" si="9"/>
        <v>0.2030681636</v>
      </c>
      <c r="J30" s="12">
        <f t="shared" si="9"/>
        <v>0.1964482866</v>
      </c>
      <c r="K30" s="12">
        <f t="shared" si="9"/>
        <v>0.1874505932</v>
      </c>
      <c r="L30" s="12">
        <f t="shared" si="9"/>
        <v>0.1744102786</v>
      </c>
      <c r="M30" s="12">
        <f t="shared" si="9"/>
        <v>0.1614371732</v>
      </c>
      <c r="N30" s="12">
        <f t="shared" si="9"/>
        <v>0.1490820414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3"/>
      <c r="B31" s="8" t="s">
        <v>526</v>
      </c>
      <c r="C31" s="3"/>
      <c r="D31" s="69">
        <f t="shared" ref="D31:N31" si="10">0</f>
        <v>0</v>
      </c>
      <c r="E31" s="69">
        <f t="shared" si="10"/>
        <v>0</v>
      </c>
      <c r="F31" s="69">
        <f t="shared" si="10"/>
        <v>0</v>
      </c>
      <c r="G31" s="69">
        <f t="shared" si="10"/>
        <v>0</v>
      </c>
      <c r="H31" s="69">
        <f t="shared" si="10"/>
        <v>0</v>
      </c>
      <c r="I31" s="69">
        <f t="shared" si="10"/>
        <v>0</v>
      </c>
      <c r="J31" s="69">
        <f t="shared" si="10"/>
        <v>0</v>
      </c>
      <c r="K31" s="69">
        <f t="shared" si="10"/>
        <v>0</v>
      </c>
      <c r="L31" s="69">
        <f t="shared" si="10"/>
        <v>0</v>
      </c>
      <c r="M31" s="69">
        <f t="shared" si="10"/>
        <v>0</v>
      </c>
      <c r="N31" s="69">
        <f t="shared" si="10"/>
        <v>0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/>
      <c r="B32" s="7" t="s">
        <v>527</v>
      </c>
      <c r="C32" s="3"/>
      <c r="D32" s="70">
        <f t="shared" ref="D32:N32" si="11">D29+D31</f>
        <v>13714510.59</v>
      </c>
      <c r="E32" s="70">
        <f t="shared" si="11"/>
        <v>34322110.27</v>
      </c>
      <c r="F32" s="70">
        <f t="shared" si="11"/>
        <v>73455150.75</v>
      </c>
      <c r="G32" s="70">
        <f t="shared" si="11"/>
        <v>115218507.4</v>
      </c>
      <c r="H32" s="70">
        <f t="shared" si="11"/>
        <v>153230080.7</v>
      </c>
      <c r="I32" s="70">
        <f t="shared" si="11"/>
        <v>193027813.6</v>
      </c>
      <c r="J32" s="70">
        <f t="shared" si="11"/>
        <v>245671709.3</v>
      </c>
      <c r="K32" s="70">
        <f t="shared" si="11"/>
        <v>299681300.3</v>
      </c>
      <c r="L32" s="70">
        <f t="shared" si="11"/>
        <v>342964975.1</v>
      </c>
      <c r="M32" s="70">
        <f t="shared" si="11"/>
        <v>380674700.6</v>
      </c>
      <c r="N32" s="70">
        <f t="shared" si="11"/>
        <v>413371031.8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8" t="s">
        <v>528</v>
      </c>
      <c r="C33" s="3"/>
      <c r="D33" s="69">
        <f>-MAX(D32,0)*'MC Drivers (NRD)'!D315</f>
        <v>-3428627.648</v>
      </c>
      <c r="E33" s="69">
        <f>-MAX(E32,0)*'MC Drivers (NRD)'!E315</f>
        <v>-8580527.568</v>
      </c>
      <c r="F33" s="69">
        <f>-MAX(F32,0)*'MC Drivers (NRD)'!F315</f>
        <v>-18363787.69</v>
      </c>
      <c r="G33" s="69">
        <f>-MAX(G32,0)*'MC Drivers (NRD)'!G315</f>
        <v>-28804626.86</v>
      </c>
      <c r="H33" s="69">
        <f>-MAX(H32,0)*'MC Drivers (NRD)'!H315</f>
        <v>-38307520.19</v>
      </c>
      <c r="I33" s="69">
        <f>-MAX(I32,0)*'MC Drivers (NRD)'!I315</f>
        <v>-48256953.41</v>
      </c>
      <c r="J33" s="69">
        <f>-MAX(J32,0)*'MC Drivers (NRD)'!J315</f>
        <v>-61417927.34</v>
      </c>
      <c r="K33" s="69">
        <f>-MAX(K32,0)*'MC Drivers (NRD)'!K315</f>
        <v>-74920325.07</v>
      </c>
      <c r="L33" s="69">
        <f>-MAX(L32,0)*'MC Drivers (NRD)'!L315</f>
        <v>-85741243.77</v>
      </c>
      <c r="M33" s="69">
        <f>-MAX(M32,0)*'MC Drivers (NRD)'!M315</f>
        <v>-95168675.16</v>
      </c>
      <c r="N33" s="69">
        <f>-MAX(N32,0)*'MC Drivers (NRD)'!N315</f>
        <v>-103342758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/>
      <c r="B34" s="7" t="s">
        <v>529</v>
      </c>
      <c r="C34" s="3"/>
      <c r="D34" s="70">
        <f t="shared" ref="D34:N34" si="12">D32+D33</f>
        <v>10285882.94</v>
      </c>
      <c r="E34" s="70">
        <f t="shared" si="12"/>
        <v>25741582.7</v>
      </c>
      <c r="F34" s="70">
        <f t="shared" si="12"/>
        <v>55091363.06</v>
      </c>
      <c r="G34" s="70">
        <f t="shared" si="12"/>
        <v>86413880.58</v>
      </c>
      <c r="H34" s="70">
        <f t="shared" si="12"/>
        <v>114922560.6</v>
      </c>
      <c r="I34" s="70">
        <f t="shared" si="12"/>
        <v>144770860.2</v>
      </c>
      <c r="J34" s="70">
        <f t="shared" si="12"/>
        <v>184253782</v>
      </c>
      <c r="K34" s="70">
        <f t="shared" si="12"/>
        <v>224760975.2</v>
      </c>
      <c r="L34" s="70">
        <f t="shared" si="12"/>
        <v>257223731.3</v>
      </c>
      <c r="M34" s="70">
        <f t="shared" si="12"/>
        <v>285506025.5</v>
      </c>
      <c r="N34" s="70">
        <f t="shared" si="12"/>
        <v>310028273.9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/>
      <c r="B35" s="8" t="s">
        <v>530</v>
      </c>
      <c r="C35" s="3"/>
      <c r="D35" s="12">
        <f t="shared" ref="D35:N35" si="13">IFERROR(D34/D8,0)</f>
        <v>0.1342679358</v>
      </c>
      <c r="E35" s="12">
        <f t="shared" si="13"/>
        <v>0.1458910086</v>
      </c>
      <c r="F35" s="12">
        <f t="shared" si="13"/>
        <v>0.1719952713</v>
      </c>
      <c r="G35" s="12">
        <f t="shared" si="13"/>
        <v>0.1715778289</v>
      </c>
      <c r="H35" s="12">
        <f t="shared" si="13"/>
        <v>0.1616256562</v>
      </c>
      <c r="I35" s="12">
        <f t="shared" si="13"/>
        <v>0.1523011227</v>
      </c>
      <c r="J35" s="12">
        <f t="shared" si="13"/>
        <v>0.1473362149</v>
      </c>
      <c r="K35" s="12">
        <f t="shared" si="13"/>
        <v>0.1405879449</v>
      </c>
      <c r="L35" s="12">
        <f t="shared" si="13"/>
        <v>0.130807709</v>
      </c>
      <c r="M35" s="12">
        <f t="shared" si="13"/>
        <v>0.1210778799</v>
      </c>
      <c r="N35" s="12">
        <f t="shared" si="13"/>
        <v>0.111811531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72"/>
      <c r="B36" s="73" t="s">
        <v>531</v>
      </c>
      <c r="C36" s="72"/>
      <c r="D36" s="74">
        <f>-(D17+D25)-'Energy Drivers (RideBox)'!D121</f>
        <v>58781375.16</v>
      </c>
      <c r="E36" s="74">
        <f>-(E17+E25)-'Energy Drivers (RideBox)'!E121</f>
        <v>127828687.5</v>
      </c>
      <c r="F36" s="74">
        <f>-(F17+F25)-'Energy Drivers (RideBox)'!F121</f>
        <v>217484537.7</v>
      </c>
      <c r="G36" s="74">
        <f>-(G17+G25)-'Energy Drivers (RideBox)'!G121</f>
        <v>338284741.4</v>
      </c>
      <c r="H36" s="74">
        <f>-(H17+H25)-'Energy Drivers (RideBox)'!H121</f>
        <v>481849503.4</v>
      </c>
      <c r="I36" s="74">
        <f>-(I17+I25)-'Energy Drivers (RideBox)'!I121</f>
        <v>650896744.6</v>
      </c>
      <c r="J36" s="74">
        <f>-(J17+J25)-'Energy Drivers (RideBox)'!J121</f>
        <v>860933158.8</v>
      </c>
      <c r="K36" s="74">
        <f>-(K17+K25)-'Energy Drivers (RideBox)'!K121</f>
        <v>1109763848</v>
      </c>
      <c r="L36" s="74">
        <f>-(L17+L25)-'Energy Drivers (RideBox)'!L121</f>
        <v>1382584790</v>
      </c>
      <c r="M36" s="74">
        <f>-(M17+M25)-'Energy Drivers (RideBox)'!M121</f>
        <v>1680014561</v>
      </c>
      <c r="N36" s="74">
        <f>-(N17+N25)-'Energy Drivers (RideBox)'!N121</f>
        <v>2004703780</v>
      </c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44.0"/>
    <col customWidth="1" min="3" max="3" width="17.0"/>
    <col customWidth="1" min="4" max="14" width="14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3"/>
      <c r="B2" s="4" t="s">
        <v>543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66" t="s">
        <v>484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67"/>
      <c r="D4" s="6" t="s">
        <v>485</v>
      </c>
      <c r="E4" s="6" t="s">
        <v>486</v>
      </c>
      <c r="F4" s="6" t="s">
        <v>487</v>
      </c>
      <c r="G4" s="6" t="s">
        <v>488</v>
      </c>
      <c r="H4" s="6" t="s">
        <v>489</v>
      </c>
      <c r="I4" s="6" t="s">
        <v>490</v>
      </c>
      <c r="J4" s="6" t="s">
        <v>491</v>
      </c>
      <c r="K4" s="6" t="s">
        <v>492</v>
      </c>
      <c r="L4" s="6" t="s">
        <v>493</v>
      </c>
      <c r="M4" s="6" t="s">
        <v>494</v>
      </c>
      <c r="N4" s="6" t="s">
        <v>495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7" t="s">
        <v>544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8" t="s">
        <v>545</v>
      </c>
      <c r="C6" s="3"/>
      <c r="D6" s="69">
        <f>'MC Drivers (NRD)'!D309/365*'NRD MC P&amp;L'!D10</f>
        <v>6690518.204</v>
      </c>
      <c r="E6" s="69">
        <f>'MC Drivers (NRD)'!E309/365*'NRD MC P&amp;L'!E10</f>
        <v>12926643.1</v>
      </c>
      <c r="F6" s="69">
        <f>'MC Drivers (NRD)'!F309/365*'NRD MC P&amp;L'!F10</f>
        <v>22185347.86</v>
      </c>
      <c r="G6" s="69">
        <f>'MC Drivers (NRD)'!G309/365*'NRD MC P&amp;L'!G10</f>
        <v>32937914.4</v>
      </c>
      <c r="H6" s="69">
        <f>'MC Drivers (NRD)'!H309/365*'NRD MC P&amp;L'!H10</f>
        <v>44207069.72</v>
      </c>
      <c r="I6" s="69">
        <f>'MC Drivers (NRD)'!I309/365*'NRD MC P&amp;L'!I10</f>
        <v>56808820.93</v>
      </c>
      <c r="J6" s="69">
        <f>'MC Drivers (NRD)'!J309/365*'NRD MC P&amp;L'!J10</f>
        <v>73423409.37</v>
      </c>
      <c r="K6" s="69">
        <f>'MC Drivers (NRD)'!K309/365*'NRD MC P&amp;L'!K10</f>
        <v>92070760.83</v>
      </c>
      <c r="L6" s="69">
        <f>'MC Drivers (NRD)'!L309/365*'NRD MC P&amp;L'!L10</f>
        <v>110201347.7</v>
      </c>
      <c r="M6" s="69">
        <f>'MC Drivers (NRD)'!M309/365*'NRD MC P&amp;L'!M10</f>
        <v>129698072.9</v>
      </c>
      <c r="N6" s="69">
        <f>'MC Drivers (NRD)'!N309/365*'NRD MC P&amp;L'!N10</f>
        <v>150678452.2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8" t="s">
        <v>546</v>
      </c>
      <c r="C7" s="3"/>
      <c r="D7" s="69">
        <f>'MC Drivers (NRD)'!D311/365*'MC Drivers (NRD)'!D17*('MC Drivers (NRD)'!D53*'MC Drivers (NRD)'!D67+'MC Drivers (NRD)'!D54*'MC Drivers (NRD)'!D68)</f>
        <v>14383414.82</v>
      </c>
      <c r="E7" s="69">
        <f>'MC Drivers (NRD)'!E311/365*'MC Drivers (NRD)'!E17*('MC Drivers (NRD)'!E53*'MC Drivers (NRD)'!E67+'MC Drivers (NRD)'!E54*'MC Drivers (NRD)'!E68)</f>
        <v>23013463.71</v>
      </c>
      <c r="F7" s="69">
        <f>'MC Drivers (NRD)'!F311/365*'MC Drivers (NRD)'!F17*('MC Drivers (NRD)'!F53*'MC Drivers (NRD)'!F67+'MC Drivers (NRD)'!F54*'MC Drivers (NRD)'!F68)</f>
        <v>36821541.93</v>
      </c>
      <c r="G7" s="69">
        <f>'MC Drivers (NRD)'!G311/365*'MC Drivers (NRD)'!G17*('MC Drivers (NRD)'!G53*'MC Drivers (NRD)'!G67+'MC Drivers (NRD)'!G54*'MC Drivers (NRD)'!G68)</f>
        <v>51552555.94</v>
      </c>
      <c r="H7" s="69">
        <f>'MC Drivers (NRD)'!H311/365*'MC Drivers (NRD)'!H17*('MC Drivers (NRD)'!H53*'MC Drivers (NRD)'!H67+'MC Drivers (NRD)'!H54*'MC Drivers (NRD)'!H68)</f>
        <v>64437698.38</v>
      </c>
      <c r="I7" s="69">
        <f>'MC Drivers (NRD)'!I311/365*'MC Drivers (NRD)'!I17*('MC Drivers (NRD)'!I53*'MC Drivers (NRD)'!I67+'MC Drivers (NRD)'!I54*'MC Drivers (NRD)'!I68)</f>
        <v>77322840.82</v>
      </c>
      <c r="J7" s="69">
        <f>'MC Drivers (NRD)'!J311/365*'MC Drivers (NRD)'!J17*('MC Drivers (NRD)'!J53*'MC Drivers (NRD)'!J67+'MC Drivers (NRD)'!J54*'MC Drivers (NRD)'!J68)</f>
        <v>96656547.57</v>
      </c>
      <c r="K7" s="69">
        <f>'MC Drivers (NRD)'!K311/365*'MC Drivers (NRD)'!K17*('MC Drivers (NRD)'!K53*'MC Drivers (NRD)'!K67+'MC Drivers (NRD)'!K54*'MC Drivers (NRD)'!K68)</f>
        <v>115990254.3</v>
      </c>
      <c r="L7" s="69">
        <f>'MC Drivers (NRD)'!L311/365*'MC Drivers (NRD)'!L17*('MC Drivers (NRD)'!L53*'MC Drivers (NRD)'!L67+'MC Drivers (NRD)'!L54*'MC Drivers (NRD)'!L68)</f>
        <v>128863410.6</v>
      </c>
      <c r="M7" s="69">
        <f>'MC Drivers (NRD)'!M311/365*'MC Drivers (NRD)'!M17*('MC Drivers (NRD)'!M53*'MC Drivers (NRD)'!M67+'MC Drivers (NRD)'!M54*'MC Drivers (NRD)'!M68)</f>
        <v>141748553</v>
      </c>
      <c r="N7" s="69">
        <f>'MC Drivers (NRD)'!N311/365*'MC Drivers (NRD)'!N17*('MC Drivers (NRD)'!N53*'MC Drivers (NRD)'!N67+'MC Drivers (NRD)'!N54*'MC Drivers (NRD)'!N68)</f>
        <v>154633695.5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8" t="s">
        <v>547</v>
      </c>
      <c r="C8" s="3"/>
      <c r="D8" s="69">
        <f>'MC Drivers (NRD)'!D201+'MC Drivers (NRD)'!D222+'MC Drivers (NRD)'!D240+'MC Drivers (NRD)'!D306</f>
        <v>291458506.7</v>
      </c>
      <c r="E8" s="69">
        <f>'MC Drivers (NRD)'!E201+'MC Drivers (NRD)'!E222+'MC Drivers (NRD)'!E240+'MC Drivers (NRD)'!E306</f>
        <v>682401049.5</v>
      </c>
      <c r="F8" s="69">
        <f>'MC Drivers (NRD)'!F201+'MC Drivers (NRD)'!F222+'MC Drivers (NRD)'!F240+'MC Drivers (NRD)'!F306</f>
        <v>1209050606</v>
      </c>
      <c r="G8" s="69">
        <f>'MC Drivers (NRD)'!G201+'MC Drivers (NRD)'!G222+'MC Drivers (NRD)'!G240+'MC Drivers (NRD)'!G306</f>
        <v>1852086463</v>
      </c>
      <c r="H8" s="69">
        <f>'MC Drivers (NRD)'!H201+'MC Drivers (NRD)'!H222+'MC Drivers (NRD)'!H240+'MC Drivers (NRD)'!H306</f>
        <v>2546796622</v>
      </c>
      <c r="I8" s="69">
        <f>'MC Drivers (NRD)'!I201+'MC Drivers (NRD)'!I222+'MC Drivers (NRD)'!I240+'MC Drivers (NRD)'!I306</f>
        <v>3312811391</v>
      </c>
      <c r="J8" s="69">
        <f>'MC Drivers (NRD)'!J201+'MC Drivers (NRD)'!J222+'MC Drivers (NRD)'!J240+'MC Drivers (NRD)'!J306</f>
        <v>4236645221</v>
      </c>
      <c r="K8" s="69">
        <f>'MC Drivers (NRD)'!K201+'MC Drivers (NRD)'!K222+'MC Drivers (NRD)'!K240+'MC Drivers (NRD)'!K306</f>
        <v>5272728835</v>
      </c>
      <c r="L8" s="69">
        <f>'MC Drivers (NRD)'!L201+'MC Drivers (NRD)'!L222+'MC Drivers (NRD)'!L240+'MC Drivers (NRD)'!L306</f>
        <v>6312856067</v>
      </c>
      <c r="M8" s="69">
        <f>'MC Drivers (NRD)'!M201+'MC Drivers (NRD)'!M222+'MC Drivers (NRD)'!M240+'MC Drivers (NRD)'!M306</f>
        <v>7352046833</v>
      </c>
      <c r="N8" s="69">
        <f>'MC Drivers (NRD)'!N201+'MC Drivers (NRD)'!N222+'MC Drivers (NRD)'!N240+'MC Drivers (NRD)'!N306</f>
        <v>8403351278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7" t="s">
        <v>548</v>
      </c>
      <c r="C9" s="3"/>
      <c r="D9" s="70">
        <f t="shared" ref="D9:N9" si="1">D6+D7+D8</f>
        <v>312532439.7</v>
      </c>
      <c r="E9" s="70">
        <f t="shared" si="1"/>
        <v>718341156.3</v>
      </c>
      <c r="F9" s="70">
        <f t="shared" si="1"/>
        <v>1268057496</v>
      </c>
      <c r="G9" s="70">
        <f t="shared" si="1"/>
        <v>1936576933</v>
      </c>
      <c r="H9" s="70">
        <f t="shared" si="1"/>
        <v>2655441390</v>
      </c>
      <c r="I9" s="70">
        <f t="shared" si="1"/>
        <v>3446943052</v>
      </c>
      <c r="J9" s="70">
        <f t="shared" si="1"/>
        <v>4406725178</v>
      </c>
      <c r="K9" s="70">
        <f t="shared" si="1"/>
        <v>5480789850</v>
      </c>
      <c r="L9" s="70">
        <f t="shared" si="1"/>
        <v>6551920825</v>
      </c>
      <c r="M9" s="70">
        <f t="shared" si="1"/>
        <v>7623493459</v>
      </c>
      <c r="N9" s="70">
        <f t="shared" si="1"/>
        <v>8708663426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7" t="s">
        <v>549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8" t="s">
        <v>550</v>
      </c>
      <c r="C12" s="3"/>
      <c r="D12" s="69">
        <f>'MC Drivers (NRD)'!D310/365*'NRD MC P&amp;L'!D47</f>
        <v>9862950.45</v>
      </c>
      <c r="E12" s="69">
        <f>'MC Drivers (NRD)'!E310/365*'NRD MC P&amp;L'!E47</f>
        <v>13921039.6</v>
      </c>
      <c r="F12" s="69">
        <f>'MC Drivers (NRD)'!F310/365*'NRD MC P&amp;L'!F47</f>
        <v>20339912.66</v>
      </c>
      <c r="G12" s="69">
        <f>'MC Drivers (NRD)'!G310/365*'NRD MC P&amp;L'!G47</f>
        <v>26851762.7</v>
      </c>
      <c r="H12" s="69">
        <f>'MC Drivers (NRD)'!H310/365*'NRD MC P&amp;L'!H47</f>
        <v>32374012.52</v>
      </c>
      <c r="I12" s="69">
        <f>'MC Drivers (NRD)'!I310/365*'NRD MC P&amp;L'!I47</f>
        <v>37535241.95</v>
      </c>
      <c r="J12" s="69">
        <f>'MC Drivers (NRD)'!J310/365*'NRD MC P&amp;L'!J47</f>
        <v>45625394.76</v>
      </c>
      <c r="K12" s="69">
        <f>'MC Drivers (NRD)'!K310/365*'NRD MC P&amp;L'!K47</f>
        <v>53205877.07</v>
      </c>
      <c r="L12" s="69">
        <f>'MC Drivers (NRD)'!L310/365*'NRD MC P&amp;L'!L47</f>
        <v>57321518.36</v>
      </c>
      <c r="M12" s="69">
        <f>'MC Drivers (NRD)'!M310/365*'NRD MC P&amp;L'!M47</f>
        <v>61084366.81</v>
      </c>
      <c r="N12" s="69">
        <f>'MC Drivers (NRD)'!N310/365*'NRD MC P&amp;L'!N47</f>
        <v>65232038.4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8" t="s">
        <v>551</v>
      </c>
      <c r="C13" s="3"/>
      <c r="D13" s="68">
        <f>'NRD MC P&amp;L'!D45</f>
        <v>58638323.35</v>
      </c>
      <c r="E13" s="68">
        <f>D13+'NRD MC P&amp;L'!E45</f>
        <v>230797687</v>
      </c>
      <c r="F13" s="68">
        <f>E13+'NRD MC P&amp;L'!F45</f>
        <v>567104652.7</v>
      </c>
      <c r="G13" s="68">
        <f>F13+'NRD MC P&amp;L'!G45</f>
        <v>1095876800</v>
      </c>
      <c r="H13" s="68">
        <f>G13+'NRD MC P&amp;L'!H45</f>
        <v>1830614415</v>
      </c>
      <c r="I13" s="68">
        <f>H13+'NRD MC P&amp;L'!I45</f>
        <v>2806210443</v>
      </c>
      <c r="J13" s="68">
        <f>I13+'NRD MC P&amp;L'!J45</f>
        <v>4091446798</v>
      </c>
      <c r="K13" s="68">
        <f>J13+'NRD MC P&amp;L'!K45</f>
        <v>5733539986</v>
      </c>
      <c r="L13" s="68">
        <f>K13+'NRD MC P&amp;L'!L45</f>
        <v>7741696898</v>
      </c>
      <c r="M13" s="68">
        <f>L13+'NRD MC P&amp;L'!M45</f>
        <v>10147340546</v>
      </c>
      <c r="N13" s="68">
        <f>M13+'NRD MC P&amp;L'!N45</f>
        <v>12993618160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8" t="s">
        <v>552</v>
      </c>
      <c r="C14" s="3"/>
      <c r="D14" s="69">
        <f t="shared" ref="D14:N14" si="2">D9-D12-D13</f>
        <v>244031165.9</v>
      </c>
      <c r="E14" s="69">
        <f t="shared" si="2"/>
        <v>473622429.7</v>
      </c>
      <c r="F14" s="69">
        <f t="shared" si="2"/>
        <v>680612930.6</v>
      </c>
      <c r="G14" s="69">
        <f t="shared" si="2"/>
        <v>813848370.8</v>
      </c>
      <c r="H14" s="69">
        <f t="shared" si="2"/>
        <v>792452962.1</v>
      </c>
      <c r="I14" s="69">
        <f t="shared" si="2"/>
        <v>603197367.8</v>
      </c>
      <c r="J14" s="69">
        <f t="shared" si="2"/>
        <v>269652985.3</v>
      </c>
      <c r="K14" s="69">
        <f t="shared" si="2"/>
        <v>-305956012.6</v>
      </c>
      <c r="L14" s="69">
        <f t="shared" si="2"/>
        <v>-1247097591</v>
      </c>
      <c r="M14" s="69">
        <f t="shared" si="2"/>
        <v>-2584931454</v>
      </c>
      <c r="N14" s="69">
        <f t="shared" si="2"/>
        <v>-4350186773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7" t="s">
        <v>553</v>
      </c>
      <c r="C15" s="3"/>
      <c r="D15" s="70">
        <f t="shared" ref="D15:N15" si="3">D12+D13+D14</f>
        <v>312532439.7</v>
      </c>
      <c r="E15" s="70">
        <f t="shared" si="3"/>
        <v>718341156.3</v>
      </c>
      <c r="F15" s="70">
        <f t="shared" si="3"/>
        <v>1268057496</v>
      </c>
      <c r="G15" s="70">
        <f t="shared" si="3"/>
        <v>1936576933</v>
      </c>
      <c r="H15" s="70">
        <f t="shared" si="3"/>
        <v>2655441390</v>
      </c>
      <c r="I15" s="70">
        <f t="shared" si="3"/>
        <v>3446943052</v>
      </c>
      <c r="J15" s="70">
        <f t="shared" si="3"/>
        <v>4406725178</v>
      </c>
      <c r="K15" s="70">
        <f t="shared" si="3"/>
        <v>5480789850</v>
      </c>
      <c r="L15" s="70">
        <f t="shared" si="3"/>
        <v>6551920825</v>
      </c>
      <c r="M15" s="70">
        <f t="shared" si="3"/>
        <v>7623493459</v>
      </c>
      <c r="N15" s="70">
        <f t="shared" si="3"/>
        <v>8708663426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8"/>
      <c r="C16" s="3"/>
      <c r="D16" s="69">
        <f t="shared" ref="D16:N16" si="4">D9-D15</f>
        <v>0</v>
      </c>
      <c r="E16" s="69">
        <f t="shared" si="4"/>
        <v>0</v>
      </c>
      <c r="F16" s="69">
        <f t="shared" si="4"/>
        <v>0</v>
      </c>
      <c r="G16" s="69">
        <f t="shared" si="4"/>
        <v>0</v>
      </c>
      <c r="H16" s="69">
        <f t="shared" si="4"/>
        <v>0.0000004768371582</v>
      </c>
      <c r="I16" s="69">
        <f t="shared" si="4"/>
        <v>0</v>
      </c>
      <c r="J16" s="69">
        <f t="shared" si="4"/>
        <v>0</v>
      </c>
      <c r="K16" s="69">
        <f t="shared" si="4"/>
        <v>0</v>
      </c>
      <c r="L16" s="69">
        <f t="shared" si="4"/>
        <v>0</v>
      </c>
      <c r="M16" s="69">
        <f t="shared" si="4"/>
        <v>0</v>
      </c>
      <c r="N16" s="69">
        <f t="shared" si="4"/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8" t="s">
        <v>554</v>
      </c>
      <c r="C17" s="3"/>
      <c r="D17" s="69">
        <f t="shared" ref="D17:N17" si="5">D6+D7-D12</f>
        <v>11210982.57</v>
      </c>
      <c r="E17" s="69">
        <f t="shared" si="5"/>
        <v>22019067.21</v>
      </c>
      <c r="F17" s="69">
        <f t="shared" si="5"/>
        <v>38666977.13</v>
      </c>
      <c r="G17" s="69">
        <f t="shared" si="5"/>
        <v>57638707.63</v>
      </c>
      <c r="H17" s="69">
        <f t="shared" si="5"/>
        <v>76270755.57</v>
      </c>
      <c r="I17" s="69">
        <f t="shared" si="5"/>
        <v>96596419.79</v>
      </c>
      <c r="J17" s="69">
        <f t="shared" si="5"/>
        <v>124454562.2</v>
      </c>
      <c r="K17" s="69">
        <f t="shared" si="5"/>
        <v>154855138.1</v>
      </c>
      <c r="L17" s="69">
        <f t="shared" si="5"/>
        <v>181743239.9</v>
      </c>
      <c r="M17" s="69">
        <f t="shared" si="5"/>
        <v>210362259.1</v>
      </c>
      <c r="N17" s="69">
        <f t="shared" si="5"/>
        <v>240080109.2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4.0"/>
    <col customWidth="1" min="3" max="3" width="17.0"/>
    <col customWidth="1" min="4" max="14" width="14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3"/>
      <c r="B2" s="4" t="s">
        <v>555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66" t="s">
        <v>484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67"/>
      <c r="D4" s="6" t="s">
        <v>485</v>
      </c>
      <c r="E4" s="6" t="s">
        <v>486</v>
      </c>
      <c r="F4" s="6" t="s">
        <v>487</v>
      </c>
      <c r="G4" s="6" t="s">
        <v>488</v>
      </c>
      <c r="H4" s="6" t="s">
        <v>489</v>
      </c>
      <c r="I4" s="6" t="s">
        <v>490</v>
      </c>
      <c r="J4" s="6" t="s">
        <v>491</v>
      </c>
      <c r="K4" s="6" t="s">
        <v>492</v>
      </c>
      <c r="L4" s="6" t="s">
        <v>493</v>
      </c>
      <c r="M4" s="6" t="s">
        <v>494</v>
      </c>
      <c r="N4" s="6" t="s">
        <v>495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7" t="s">
        <v>544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8" t="s">
        <v>545</v>
      </c>
      <c r="C6" s="3"/>
      <c r="D6" s="69">
        <f>'MC Drivers (NRD)'!D309/365*'RideBox Energy P&amp;L'!D8</f>
        <v>1469178.082</v>
      </c>
      <c r="E6" s="69">
        <f>'MC Drivers (NRD)'!E309/365*'RideBox Energy P&amp;L'!E8</f>
        <v>3383856.164</v>
      </c>
      <c r="F6" s="69">
        <f>'MC Drivers (NRD)'!F309/365*'RideBox Energy P&amp;L'!F8</f>
        <v>6142882.192</v>
      </c>
      <c r="G6" s="69">
        <f>'MC Drivers (NRD)'!G309/365*'RideBox Energy P&amp;L'!G8</f>
        <v>9658896.575</v>
      </c>
      <c r="H6" s="69">
        <f>'MC Drivers (NRD)'!H309/365*'RideBox Energy P&amp;L'!H8</f>
        <v>13636413.7</v>
      </c>
      <c r="I6" s="69">
        <f>'MC Drivers (NRD)'!I309/365*'RideBox Energy P&amp;L'!I8</f>
        <v>18229855.48</v>
      </c>
      <c r="J6" s="69">
        <f>'MC Drivers (NRD)'!J309/365*'RideBox Energy P&amp;L'!J8</f>
        <v>23983473.29</v>
      </c>
      <c r="K6" s="69">
        <f>'MC Drivers (NRD)'!K309/365*'RideBox Energy P&amp;L'!K8</f>
        <v>30660413.01</v>
      </c>
      <c r="L6" s="69">
        <f>'MC Drivers (NRD)'!L309/365*'RideBox Energy P&amp;L'!L8</f>
        <v>37712286.99</v>
      </c>
      <c r="M6" s="69">
        <f>'MC Drivers (NRD)'!M309/365*'RideBox Energy P&amp;L'!M8</f>
        <v>45222612.33</v>
      </c>
      <c r="N6" s="69">
        <f>'MC Drivers (NRD)'!N309/365*'RideBox Energy P&amp;L'!N8</f>
        <v>53176516.44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8" t="s">
        <v>556</v>
      </c>
      <c r="C7" s="3"/>
      <c r="D7" s="68">
        <f>'Energy Drivers (RideBox)'!D122</f>
        <v>39056942.48</v>
      </c>
      <c r="E7" s="68">
        <f>'Energy Drivers (RideBox)'!E122</f>
        <v>92616542.59</v>
      </c>
      <c r="F7" s="68">
        <f>'Energy Drivers (RideBox)'!F122</f>
        <v>167972600.8</v>
      </c>
      <c r="G7" s="68">
        <f>'Energy Drivers (RideBox)'!G122</f>
        <v>260577817.6</v>
      </c>
      <c r="H7" s="68">
        <f>'Energy Drivers (RideBox)'!H122</f>
        <v>363149718.3</v>
      </c>
      <c r="I7" s="68">
        <f>'Energy Drivers (RideBox)'!I122</f>
        <v>475982773.1</v>
      </c>
      <c r="J7" s="68">
        <f>'Energy Drivers (RideBox)'!J122</f>
        <v>611150260.4</v>
      </c>
      <c r="K7" s="68">
        <f>'Energy Drivers (RideBox)'!K122</f>
        <v>762507946.1</v>
      </c>
      <c r="L7" s="68">
        <f>'Energy Drivers (RideBox)'!L122</f>
        <v>912076159.1</v>
      </c>
      <c r="M7" s="68">
        <f>'Energy Drivers (RideBox)'!M122</f>
        <v>1058099404</v>
      </c>
      <c r="N7" s="68">
        <f>'Energy Drivers (RideBox)'!N122</f>
        <v>1200702264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7" t="s">
        <v>548</v>
      </c>
      <c r="C8" s="3"/>
      <c r="D8" s="70">
        <f t="shared" ref="D8:N8" si="1">D6+D7</f>
        <v>40526120.56</v>
      </c>
      <c r="E8" s="70">
        <f t="shared" si="1"/>
        <v>96000398.75</v>
      </c>
      <c r="F8" s="70">
        <f t="shared" si="1"/>
        <v>174115483</v>
      </c>
      <c r="G8" s="70">
        <f t="shared" si="1"/>
        <v>270236714.2</v>
      </c>
      <c r="H8" s="70">
        <f t="shared" si="1"/>
        <v>376786132</v>
      </c>
      <c r="I8" s="70">
        <f t="shared" si="1"/>
        <v>494212628.6</v>
      </c>
      <c r="J8" s="70">
        <f t="shared" si="1"/>
        <v>635133733.7</v>
      </c>
      <c r="K8" s="70">
        <f t="shared" si="1"/>
        <v>793168359.2</v>
      </c>
      <c r="L8" s="70">
        <f t="shared" si="1"/>
        <v>949788446.1</v>
      </c>
      <c r="M8" s="70">
        <f t="shared" si="1"/>
        <v>1103322016</v>
      </c>
      <c r="N8" s="70">
        <f t="shared" si="1"/>
        <v>1253878780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7" t="s">
        <v>549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8" t="s">
        <v>550</v>
      </c>
      <c r="C11" s="3"/>
      <c r="D11" s="69">
        <f>'MC Drivers (NRD)'!D310/365*'RideBox Energy P&amp;L'!D36</f>
        <v>2415672.952</v>
      </c>
      <c r="E11" s="69">
        <f>'MC Drivers (NRD)'!E310/365*'RideBox Energy P&amp;L'!E36</f>
        <v>5253233.735</v>
      </c>
      <c r="F11" s="69">
        <f>'MC Drivers (NRD)'!F310/365*'RideBox Energy P&amp;L'!F36</f>
        <v>8937720.727</v>
      </c>
      <c r="G11" s="69">
        <f>'MC Drivers (NRD)'!G310/365*'RideBox Energy P&amp;L'!G36</f>
        <v>13902112.66</v>
      </c>
      <c r="H11" s="69">
        <f>'MC Drivers (NRD)'!H310/365*'RideBox Energy P&amp;L'!H36</f>
        <v>19802034.39</v>
      </c>
      <c r="I11" s="69">
        <f>'MC Drivers (NRD)'!I310/365*'RideBox Energy P&amp;L'!I36</f>
        <v>26749181.28</v>
      </c>
      <c r="J11" s="69">
        <f>'MC Drivers (NRD)'!J310/365*'RideBox Energy P&amp;L'!J36</f>
        <v>35380814.75</v>
      </c>
      <c r="K11" s="69">
        <f>'MC Drivers (NRD)'!K310/365*'RideBox Energy P&amp;L'!K36</f>
        <v>45606733.47</v>
      </c>
      <c r="L11" s="69">
        <f>'MC Drivers (NRD)'!L310/365*'RideBox Energy P&amp;L'!L36</f>
        <v>56818552.99</v>
      </c>
      <c r="M11" s="69">
        <f>'MC Drivers (NRD)'!M310/365*'RideBox Energy P&amp;L'!M36</f>
        <v>69041694.27</v>
      </c>
      <c r="N11" s="69">
        <f>'MC Drivers (NRD)'!N310/365*'RideBox Energy P&amp;L'!N36</f>
        <v>82385086.83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8" t="s">
        <v>551</v>
      </c>
      <c r="C12" s="3"/>
      <c r="D12" s="68">
        <f>'RideBox Energy P&amp;L'!D34</f>
        <v>10285882.94</v>
      </c>
      <c r="E12" s="68">
        <f>D12+'RideBox Energy P&amp;L'!E34</f>
        <v>36027465.65</v>
      </c>
      <c r="F12" s="68">
        <f>E12+'RideBox Energy P&amp;L'!F34</f>
        <v>91118828.71</v>
      </c>
      <c r="G12" s="68">
        <f>F12+'RideBox Energy P&amp;L'!G34</f>
        <v>177532709.3</v>
      </c>
      <c r="H12" s="68">
        <f>G12+'RideBox Energy P&amp;L'!H34</f>
        <v>292455269.9</v>
      </c>
      <c r="I12" s="68">
        <f>H12+'RideBox Energy P&amp;L'!I34</f>
        <v>437226130.1</v>
      </c>
      <c r="J12" s="68">
        <f>I12+'RideBox Energy P&amp;L'!J34</f>
        <v>621479912.1</v>
      </c>
      <c r="K12" s="68">
        <f>J12+'RideBox Energy P&amp;L'!K34</f>
        <v>846240887.3</v>
      </c>
      <c r="L12" s="68">
        <f>K12+'RideBox Energy P&amp;L'!L34</f>
        <v>1103464619</v>
      </c>
      <c r="M12" s="68">
        <f>L12+'RideBox Energy P&amp;L'!M34</f>
        <v>1388970644</v>
      </c>
      <c r="N12" s="68">
        <f>M12+'RideBox Energy P&amp;L'!N34</f>
        <v>1698998918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8" t="s">
        <v>552</v>
      </c>
      <c r="C13" s="3"/>
      <c r="D13" s="69">
        <f t="shared" ref="D13:N13" si="2">D8-D11-D12</f>
        <v>27824564.66</v>
      </c>
      <c r="E13" s="69">
        <f t="shared" si="2"/>
        <v>54719699.37</v>
      </c>
      <c r="F13" s="69">
        <f t="shared" si="2"/>
        <v>74058933.56</v>
      </c>
      <c r="G13" s="69">
        <f t="shared" si="2"/>
        <v>78801892.24</v>
      </c>
      <c r="H13" s="69">
        <f t="shared" si="2"/>
        <v>64528827.77</v>
      </c>
      <c r="I13" s="69">
        <f t="shared" si="2"/>
        <v>30237317.22</v>
      </c>
      <c r="J13" s="69">
        <f t="shared" si="2"/>
        <v>-21726993.13</v>
      </c>
      <c r="K13" s="69">
        <f t="shared" si="2"/>
        <v>-98679261.6</v>
      </c>
      <c r="L13" s="69">
        <f t="shared" si="2"/>
        <v>-210494725.5</v>
      </c>
      <c r="M13" s="69">
        <f t="shared" si="2"/>
        <v>-354690322.2</v>
      </c>
      <c r="N13" s="69">
        <f t="shared" si="2"/>
        <v>-527505224.5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7" t="s">
        <v>553</v>
      </c>
      <c r="C14" s="3"/>
      <c r="D14" s="70">
        <f t="shared" ref="D14:N14" si="3">D11+D12+D13</f>
        <v>40526120.56</v>
      </c>
      <c r="E14" s="70">
        <f t="shared" si="3"/>
        <v>96000398.75</v>
      </c>
      <c r="F14" s="70">
        <f t="shared" si="3"/>
        <v>174115483</v>
      </c>
      <c r="G14" s="70">
        <f t="shared" si="3"/>
        <v>270236714.2</v>
      </c>
      <c r="H14" s="70">
        <f t="shared" si="3"/>
        <v>376786132</v>
      </c>
      <c r="I14" s="70">
        <f t="shared" si="3"/>
        <v>494212628.6</v>
      </c>
      <c r="J14" s="70">
        <f t="shared" si="3"/>
        <v>635133733.7</v>
      </c>
      <c r="K14" s="70">
        <f t="shared" si="3"/>
        <v>793168359.2</v>
      </c>
      <c r="L14" s="70">
        <f t="shared" si="3"/>
        <v>949788446.1</v>
      </c>
      <c r="M14" s="70">
        <f t="shared" si="3"/>
        <v>1103322016</v>
      </c>
      <c r="N14" s="70">
        <f t="shared" si="3"/>
        <v>1253878780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8" t="s">
        <v>557</v>
      </c>
      <c r="C15" s="3"/>
      <c r="D15" s="69">
        <f t="shared" ref="D15:N15" si="4">D8-D14</f>
        <v>0</v>
      </c>
      <c r="E15" s="69">
        <f t="shared" si="4"/>
        <v>0</v>
      </c>
      <c r="F15" s="69">
        <f t="shared" si="4"/>
        <v>0</v>
      </c>
      <c r="G15" s="69">
        <f t="shared" si="4"/>
        <v>0</v>
      </c>
      <c r="H15" s="69">
        <f t="shared" si="4"/>
        <v>0</v>
      </c>
      <c r="I15" s="69">
        <f t="shared" si="4"/>
        <v>0</v>
      </c>
      <c r="J15" s="69">
        <f t="shared" si="4"/>
        <v>0</v>
      </c>
      <c r="K15" s="69">
        <f t="shared" si="4"/>
        <v>-0.0000001192092896</v>
      </c>
      <c r="L15" s="69">
        <f t="shared" si="4"/>
        <v>0</v>
      </c>
      <c r="M15" s="69">
        <f t="shared" si="4"/>
        <v>0</v>
      </c>
      <c r="N15" s="69">
        <f t="shared" si="4"/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8" t="s">
        <v>554</v>
      </c>
      <c r="C16" s="3"/>
      <c r="D16" s="69">
        <f t="shared" ref="D16:N16" si="5">D6-D11</f>
        <v>-946494.8698</v>
      </c>
      <c r="E16" s="69">
        <f t="shared" si="5"/>
        <v>-1869377.57</v>
      </c>
      <c r="F16" s="69">
        <f t="shared" si="5"/>
        <v>-2794838.535</v>
      </c>
      <c r="G16" s="69">
        <f t="shared" si="5"/>
        <v>-4243216.086</v>
      </c>
      <c r="H16" s="69">
        <f t="shared" si="5"/>
        <v>-6165620.687</v>
      </c>
      <c r="I16" s="69">
        <f t="shared" si="5"/>
        <v>-8519325.805</v>
      </c>
      <c r="J16" s="69">
        <f t="shared" si="5"/>
        <v>-11397341.46</v>
      </c>
      <c r="K16" s="69">
        <f t="shared" si="5"/>
        <v>-14946320.46</v>
      </c>
      <c r="L16" s="69">
        <f t="shared" si="5"/>
        <v>-19106266.01</v>
      </c>
      <c r="M16" s="69">
        <f t="shared" si="5"/>
        <v>-23819081.94</v>
      </c>
      <c r="N16" s="69">
        <f t="shared" si="5"/>
        <v>-29208570.4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4.0"/>
    <col customWidth="1" min="3" max="3" width="17.0"/>
    <col customWidth="1" min="4" max="14" width="14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3"/>
      <c r="B2" s="4" t="s">
        <v>558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66" t="s">
        <v>484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67"/>
      <c r="D4" s="6" t="s">
        <v>485</v>
      </c>
      <c r="E4" s="6" t="s">
        <v>486</v>
      </c>
      <c r="F4" s="6" t="s">
        <v>487</v>
      </c>
      <c r="G4" s="6" t="s">
        <v>488</v>
      </c>
      <c r="H4" s="6" t="s">
        <v>489</v>
      </c>
      <c r="I4" s="6" t="s">
        <v>490</v>
      </c>
      <c r="J4" s="6" t="s">
        <v>491</v>
      </c>
      <c r="K4" s="6" t="s">
        <v>492</v>
      </c>
      <c r="L4" s="6" t="s">
        <v>493</v>
      </c>
      <c r="M4" s="6" t="s">
        <v>494</v>
      </c>
      <c r="N4" s="6" t="s">
        <v>495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7" t="s">
        <v>559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8" t="s">
        <v>29</v>
      </c>
      <c r="C6" s="3"/>
      <c r="D6" s="68">
        <f>'NRD MC P&amp;L'!D40</f>
        <v>78184431.13</v>
      </c>
      <c r="E6" s="68">
        <f>'NRD MC P&amp;L'!E40</f>
        <v>229545818.2</v>
      </c>
      <c r="F6" s="68">
        <f>'NRD MC P&amp;L'!F40</f>
        <v>448409287.7</v>
      </c>
      <c r="G6" s="68">
        <f>'NRD MC P&amp;L'!G40</f>
        <v>705029529.1</v>
      </c>
      <c r="H6" s="68">
        <f>'NRD MC P&amp;L'!H40</f>
        <v>979650154.2</v>
      </c>
      <c r="I6" s="68">
        <f>'NRD MC P&amp;L'!I40</f>
        <v>1300794703</v>
      </c>
      <c r="J6" s="68">
        <f>'NRD MC P&amp;L'!J40</f>
        <v>1713648474</v>
      </c>
      <c r="K6" s="68">
        <f>'NRD MC P&amp;L'!K40</f>
        <v>2189457583</v>
      </c>
      <c r="L6" s="68">
        <f>'NRD MC P&amp;L'!L40</f>
        <v>2677542550</v>
      </c>
      <c r="M6" s="68">
        <f>'NRD MC P&amp;L'!M40</f>
        <v>3207524864</v>
      </c>
      <c r="N6" s="68">
        <f>'NRD MC P&amp;L'!N40</f>
        <v>3795036819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8" t="s">
        <v>560</v>
      </c>
      <c r="C7" s="3"/>
      <c r="D7" s="68">
        <f>'NRD MC P&amp;L'!D44</f>
        <v>-19546107.78</v>
      </c>
      <c r="E7" s="68">
        <f>'NRD MC P&amp;L'!E44</f>
        <v>-57386454.55</v>
      </c>
      <c r="F7" s="68">
        <f>'NRD MC P&amp;L'!F44</f>
        <v>-112102321.9</v>
      </c>
      <c r="G7" s="68">
        <f>'NRD MC P&amp;L'!G44</f>
        <v>-176257382.3</v>
      </c>
      <c r="H7" s="68">
        <f>'NRD MC P&amp;L'!H44</f>
        <v>-244912538.5</v>
      </c>
      <c r="I7" s="68">
        <f>'NRD MC P&amp;L'!I44</f>
        <v>-325198675.8</v>
      </c>
      <c r="J7" s="68">
        <f>'NRD MC P&amp;L'!J44</f>
        <v>-428412118.6</v>
      </c>
      <c r="K7" s="68">
        <f>'NRD MC P&amp;L'!K44</f>
        <v>-547364395.8</v>
      </c>
      <c r="L7" s="68">
        <f>'NRD MC P&amp;L'!L44</f>
        <v>-669385637.4</v>
      </c>
      <c r="M7" s="68">
        <f>'NRD MC P&amp;L'!M44</f>
        <v>-801881215.9</v>
      </c>
      <c r="N7" s="68">
        <f>'NRD MC P&amp;L'!N44</f>
        <v>-948759204.9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8" t="s">
        <v>561</v>
      </c>
      <c r="C8" s="3"/>
      <c r="D8" s="68">
        <f>-'NRD MC Balance Sheet'!D17</f>
        <v>-11210982.57</v>
      </c>
      <c r="E8" s="68">
        <f>-('NRD MC Balance Sheet'!E17-'NRD MC Balance Sheet'!D17)</f>
        <v>-10808084.64</v>
      </c>
      <c r="F8" s="68">
        <f>-('NRD MC Balance Sheet'!F17-'NRD MC Balance Sheet'!E17)</f>
        <v>-16647909.93</v>
      </c>
      <c r="G8" s="68">
        <f>-('NRD MC Balance Sheet'!G17-'NRD MC Balance Sheet'!F17)</f>
        <v>-18971730.5</v>
      </c>
      <c r="H8" s="68">
        <f>-('NRD MC Balance Sheet'!H17-'NRD MC Balance Sheet'!G17)</f>
        <v>-18632047.94</v>
      </c>
      <c r="I8" s="68">
        <f>-('NRD MC Balance Sheet'!I17-'NRD MC Balance Sheet'!H17)</f>
        <v>-20325664.22</v>
      </c>
      <c r="J8" s="68">
        <f>-('NRD MC Balance Sheet'!J17-'NRD MC Balance Sheet'!I17)</f>
        <v>-27858142.38</v>
      </c>
      <c r="K8" s="68">
        <f>-('NRD MC Balance Sheet'!K17-'NRD MC Balance Sheet'!J17)</f>
        <v>-30400575.9</v>
      </c>
      <c r="L8" s="68">
        <f>-('NRD MC Balance Sheet'!L17-'NRD MC Balance Sheet'!K17)</f>
        <v>-26888101.84</v>
      </c>
      <c r="M8" s="68">
        <f>-('NRD MC Balance Sheet'!M17-'NRD MC Balance Sheet'!L17)</f>
        <v>-28619019.17</v>
      </c>
      <c r="N8" s="68">
        <f>-('NRD MC Balance Sheet'!N17-'NRD MC Balance Sheet'!M17)</f>
        <v>-29717850.14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7" t="s">
        <v>562</v>
      </c>
      <c r="C9" s="3"/>
      <c r="D9" s="70">
        <f t="shared" ref="D9:N9" si="1">D6+D7+D8</f>
        <v>47427340.78</v>
      </c>
      <c r="E9" s="70">
        <f t="shared" si="1"/>
        <v>161351279</v>
      </c>
      <c r="F9" s="70">
        <f t="shared" si="1"/>
        <v>319659055.8</v>
      </c>
      <c r="G9" s="70">
        <f t="shared" si="1"/>
        <v>509800416.3</v>
      </c>
      <c r="H9" s="70">
        <f t="shared" si="1"/>
        <v>716105567.7</v>
      </c>
      <c r="I9" s="70">
        <f t="shared" si="1"/>
        <v>955270363.1</v>
      </c>
      <c r="J9" s="70">
        <f t="shared" si="1"/>
        <v>1257378213</v>
      </c>
      <c r="K9" s="70">
        <f t="shared" si="1"/>
        <v>1611692612</v>
      </c>
      <c r="L9" s="70">
        <f t="shared" si="1"/>
        <v>1981268810</v>
      </c>
      <c r="M9" s="70">
        <f t="shared" si="1"/>
        <v>2377024629</v>
      </c>
      <c r="N9" s="70">
        <f t="shared" si="1"/>
        <v>2816559764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7" t="s">
        <v>563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8" t="s">
        <v>564</v>
      </c>
      <c r="C12" s="3"/>
      <c r="D12" s="68">
        <f>-('MC Drivers (NRD)'!D186+'MC Drivers (NRD)'!D206+'MC Drivers (NRD)'!D225+'MC Drivers (NRD)'!D305)</f>
        <v>-306798428.1</v>
      </c>
      <c r="E12" s="68">
        <f>-('MC Drivers (NRD)'!E186+'MC Drivers (NRD)'!E206+'MC Drivers (NRD)'!E225+'MC Drivers (NRD)'!E305)</f>
        <v>-443813037.5</v>
      </c>
      <c r="F12" s="68">
        <f>-('MC Drivers (NRD)'!F186+'MC Drivers (NRD)'!F206+'MC Drivers (NRD)'!F225+'MC Drivers (NRD)'!F305)</f>
        <v>-633379687.6</v>
      </c>
      <c r="G12" s="68">
        <f>-('MC Drivers (NRD)'!G186+'MC Drivers (NRD)'!G206+'MC Drivers (NRD)'!G225+'MC Drivers (NRD)'!G305)</f>
        <v>-822563128.3</v>
      </c>
      <c r="H12" s="68">
        <f>-('MC Drivers (NRD)'!H186+'MC Drivers (NRD)'!H206+'MC Drivers (NRD)'!H225+'MC Drivers (NRD)'!H305)</f>
        <v>-963542723.4</v>
      </c>
      <c r="I12" s="68">
        <f>-('MC Drivers (NRD)'!I186+'MC Drivers (NRD)'!I206+'MC Drivers (NRD)'!I225+'MC Drivers (NRD)'!I305)</f>
        <v>-1140025757</v>
      </c>
      <c r="J12" s="68">
        <f>-('MC Drivers (NRD)'!J186+'MC Drivers (NRD)'!J206+'MC Drivers (NRD)'!J225+'MC Drivers (NRD)'!J305)</f>
        <v>-1426153797</v>
      </c>
      <c r="K12" s="68">
        <f>-('MC Drivers (NRD)'!K186+'MC Drivers (NRD)'!K206+'MC Drivers (NRD)'!K225+'MC Drivers (NRD)'!K305)</f>
        <v>-1694432915</v>
      </c>
      <c r="L12" s="68">
        <f>-('MC Drivers (NRD)'!L186+'MC Drivers (NRD)'!L206+'MC Drivers (NRD)'!L225+'MC Drivers (NRD)'!L305)</f>
        <v>-1877050715</v>
      </c>
      <c r="M12" s="68">
        <f>-('MC Drivers (NRD)'!M186+'MC Drivers (NRD)'!M206+'MC Drivers (NRD)'!M225+'MC Drivers (NRD)'!M305)</f>
        <v>-2073649247</v>
      </c>
      <c r="N12" s="68">
        <f>-('MC Drivers (NRD)'!N186+'MC Drivers (NRD)'!N206+'MC Drivers (NRD)'!N225+'MC Drivers (NRD)'!N305)</f>
        <v>-2288532071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7" t="s">
        <v>565</v>
      </c>
      <c r="C13" s="3"/>
      <c r="D13" s="70">
        <f t="shared" ref="D13:N13" si="2">D9+D12</f>
        <v>-259371087.3</v>
      </c>
      <c r="E13" s="70">
        <f t="shared" si="2"/>
        <v>-282461758.5</v>
      </c>
      <c r="F13" s="70">
        <f t="shared" si="2"/>
        <v>-313720631.8</v>
      </c>
      <c r="G13" s="70">
        <f t="shared" si="2"/>
        <v>-312762711.9</v>
      </c>
      <c r="H13" s="70">
        <f t="shared" si="2"/>
        <v>-247437155.7</v>
      </c>
      <c r="I13" s="70">
        <f t="shared" si="2"/>
        <v>-184755394</v>
      </c>
      <c r="J13" s="70">
        <f t="shared" si="2"/>
        <v>-168775583.5</v>
      </c>
      <c r="K13" s="70">
        <f t="shared" si="2"/>
        <v>-82740303.82</v>
      </c>
      <c r="L13" s="70">
        <f t="shared" si="2"/>
        <v>104218095.5</v>
      </c>
      <c r="M13" s="70">
        <f t="shared" si="2"/>
        <v>303375381.3</v>
      </c>
      <c r="N13" s="70">
        <f t="shared" si="2"/>
        <v>528027693.5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8" t="s">
        <v>566</v>
      </c>
      <c r="C14" s="3"/>
      <c r="D14" s="69">
        <f>D13</f>
        <v>-259371087.3</v>
      </c>
      <c r="E14" s="69">
        <f t="shared" ref="E14:N14" si="3">D14+E13</f>
        <v>-541832845.8</v>
      </c>
      <c r="F14" s="69">
        <f t="shared" si="3"/>
        <v>-855553477.6</v>
      </c>
      <c r="G14" s="69">
        <f t="shared" si="3"/>
        <v>-1168316190</v>
      </c>
      <c r="H14" s="69">
        <f t="shared" si="3"/>
        <v>-1415753345</v>
      </c>
      <c r="I14" s="69">
        <f t="shared" si="3"/>
        <v>-1600508739</v>
      </c>
      <c r="J14" s="69">
        <f t="shared" si="3"/>
        <v>-1769284323</v>
      </c>
      <c r="K14" s="69">
        <f t="shared" si="3"/>
        <v>-1852024627</v>
      </c>
      <c r="L14" s="69">
        <f t="shared" si="3"/>
        <v>-1747806531</v>
      </c>
      <c r="M14" s="69">
        <f t="shared" si="3"/>
        <v>-1444431150</v>
      </c>
      <c r="N14" s="69">
        <f t="shared" si="3"/>
        <v>-916403456.2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4.0"/>
    <col customWidth="1" min="3" max="3" width="17.0"/>
    <col customWidth="1" min="4" max="14" width="14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3"/>
      <c r="B2" s="4" t="s">
        <v>567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66" t="s">
        <v>484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67"/>
      <c r="D4" s="6" t="s">
        <v>485</v>
      </c>
      <c r="E4" s="6" t="s">
        <v>486</v>
      </c>
      <c r="F4" s="6" t="s">
        <v>487</v>
      </c>
      <c r="G4" s="6" t="s">
        <v>488</v>
      </c>
      <c r="H4" s="6" t="s">
        <v>489</v>
      </c>
      <c r="I4" s="6" t="s">
        <v>490</v>
      </c>
      <c r="J4" s="6" t="s">
        <v>491</v>
      </c>
      <c r="K4" s="6" t="s">
        <v>492</v>
      </c>
      <c r="L4" s="6" t="s">
        <v>493</v>
      </c>
      <c r="M4" s="6" t="s">
        <v>494</v>
      </c>
      <c r="N4" s="6" t="s">
        <v>495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7" t="s">
        <v>559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8" t="s">
        <v>29</v>
      </c>
      <c r="C6" s="3"/>
      <c r="D6" s="68">
        <f>'RideBox Energy P&amp;L'!D29</f>
        <v>13714510.59</v>
      </c>
      <c r="E6" s="68">
        <f>'RideBox Energy P&amp;L'!E29</f>
        <v>34322110.27</v>
      </c>
      <c r="F6" s="68">
        <f>'RideBox Energy P&amp;L'!F29</f>
        <v>73455150.75</v>
      </c>
      <c r="G6" s="68">
        <f>'RideBox Energy P&amp;L'!G29</f>
        <v>115218507.4</v>
      </c>
      <c r="H6" s="68">
        <f>'RideBox Energy P&amp;L'!H29</f>
        <v>153230080.7</v>
      </c>
      <c r="I6" s="68">
        <f>'RideBox Energy P&amp;L'!I29</f>
        <v>193027813.6</v>
      </c>
      <c r="J6" s="68">
        <f>'RideBox Energy P&amp;L'!J29</f>
        <v>245671709.3</v>
      </c>
      <c r="K6" s="68">
        <f>'RideBox Energy P&amp;L'!K29</f>
        <v>299681300.3</v>
      </c>
      <c r="L6" s="68">
        <f>'RideBox Energy P&amp;L'!L29</f>
        <v>342964975.1</v>
      </c>
      <c r="M6" s="68">
        <f>'RideBox Energy P&amp;L'!M29</f>
        <v>380674700.6</v>
      </c>
      <c r="N6" s="68">
        <f>'RideBox Energy P&amp;L'!N29</f>
        <v>413371031.8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8" t="s">
        <v>560</v>
      </c>
      <c r="C7" s="3"/>
      <c r="D7" s="68">
        <f>'RideBox Energy P&amp;L'!D33</f>
        <v>-3428627.648</v>
      </c>
      <c r="E7" s="68">
        <f>'RideBox Energy P&amp;L'!E33</f>
        <v>-8580527.568</v>
      </c>
      <c r="F7" s="68">
        <f>'RideBox Energy P&amp;L'!F33</f>
        <v>-18363787.69</v>
      </c>
      <c r="G7" s="68">
        <f>'RideBox Energy P&amp;L'!G33</f>
        <v>-28804626.86</v>
      </c>
      <c r="H7" s="68">
        <f>'RideBox Energy P&amp;L'!H33</f>
        <v>-38307520.19</v>
      </c>
      <c r="I7" s="68">
        <f>'RideBox Energy P&amp;L'!I33</f>
        <v>-48256953.41</v>
      </c>
      <c r="J7" s="68">
        <f>'RideBox Energy P&amp;L'!J33</f>
        <v>-61417927.34</v>
      </c>
      <c r="K7" s="68">
        <f>'RideBox Energy P&amp;L'!K33</f>
        <v>-74920325.07</v>
      </c>
      <c r="L7" s="68">
        <f>'RideBox Energy P&amp;L'!L33</f>
        <v>-85741243.77</v>
      </c>
      <c r="M7" s="68">
        <f>'RideBox Energy P&amp;L'!M33</f>
        <v>-95168675.16</v>
      </c>
      <c r="N7" s="68">
        <f>'RideBox Energy P&amp;L'!N33</f>
        <v>-103342758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8" t="s">
        <v>561</v>
      </c>
      <c r="C8" s="3"/>
      <c r="D8" s="68">
        <f>-'RideBox Energy Balance Sheet'!D16</f>
        <v>946494.8698</v>
      </c>
      <c r="E8" s="68">
        <f>-('RideBox Energy Balance Sheet'!E16-'RideBox Energy Balance Sheet'!D16)</f>
        <v>922882.7006</v>
      </c>
      <c r="F8" s="68">
        <f>-('RideBox Energy Balance Sheet'!F16-'RideBox Energy Balance Sheet'!E16)</f>
        <v>925460.9647</v>
      </c>
      <c r="G8" s="68">
        <f>-('RideBox Energy Balance Sheet'!G16-'RideBox Energy Balance Sheet'!F16)</f>
        <v>1448377.551</v>
      </c>
      <c r="H8" s="68">
        <f>-('RideBox Energy Balance Sheet'!H16-'RideBox Energy Balance Sheet'!G16)</f>
        <v>1922404.601</v>
      </c>
      <c r="I8" s="68">
        <f>-('RideBox Energy Balance Sheet'!I16-'RideBox Energy Balance Sheet'!H16)</f>
        <v>2353705.118</v>
      </c>
      <c r="J8" s="68">
        <f>-('RideBox Energy Balance Sheet'!J16-'RideBox Energy Balance Sheet'!I16)</f>
        <v>2878015.654</v>
      </c>
      <c r="K8" s="68">
        <f>-('RideBox Energy Balance Sheet'!K16-'RideBox Energy Balance Sheet'!J16)</f>
        <v>3548979</v>
      </c>
      <c r="L8" s="68">
        <f>-('RideBox Energy Balance Sheet'!L16-'RideBox Energy Balance Sheet'!K16)</f>
        <v>4159945.549</v>
      </c>
      <c r="M8" s="68">
        <f>-('RideBox Energy Balance Sheet'!M16-'RideBox Energy Balance Sheet'!L16)</f>
        <v>4712815.933</v>
      </c>
      <c r="N8" s="68">
        <f>-('RideBox Energy Balance Sheet'!N16-'RideBox Energy Balance Sheet'!M16)</f>
        <v>5389488.455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7" t="s">
        <v>562</v>
      </c>
      <c r="C9" s="3"/>
      <c r="D9" s="70">
        <f t="shared" ref="D9:N9" si="1">D6+D7+D8</f>
        <v>11232377.81</v>
      </c>
      <c r="E9" s="70">
        <f t="shared" si="1"/>
        <v>26664465.4</v>
      </c>
      <c r="F9" s="70">
        <f t="shared" si="1"/>
        <v>56016824.03</v>
      </c>
      <c r="G9" s="70">
        <f t="shared" si="1"/>
        <v>87862258.13</v>
      </c>
      <c r="H9" s="70">
        <f t="shared" si="1"/>
        <v>116844965.2</v>
      </c>
      <c r="I9" s="70">
        <f t="shared" si="1"/>
        <v>147124565.3</v>
      </c>
      <c r="J9" s="70">
        <f t="shared" si="1"/>
        <v>187131797.7</v>
      </c>
      <c r="K9" s="70">
        <f t="shared" si="1"/>
        <v>228309954.2</v>
      </c>
      <c r="L9" s="70">
        <f t="shared" si="1"/>
        <v>261383676.9</v>
      </c>
      <c r="M9" s="70">
        <f t="shared" si="1"/>
        <v>290218841.4</v>
      </c>
      <c r="N9" s="70">
        <f t="shared" si="1"/>
        <v>315417762.3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7" t="s">
        <v>563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8" t="s">
        <v>568</v>
      </c>
      <c r="C12" s="3"/>
      <c r="D12" s="68">
        <f>-'Energy Drivers (RideBox)'!D106</f>
        <v>-41112571.03</v>
      </c>
      <c r="E12" s="68">
        <f>-'Energy Drivers (RideBox)'!E106</f>
        <v>-60706165.49</v>
      </c>
      <c r="F12" s="68">
        <f>-'Energy Drivers (RideBox)'!F106</f>
        <v>-90039928.29</v>
      </c>
      <c r="G12" s="68">
        <f>-'Energy Drivers (RideBox)'!G106</f>
        <v>-117674824.5</v>
      </c>
      <c r="H12" s="68">
        <f>-'Energy Drivers (RideBox)'!H106</f>
        <v>-140552894.3</v>
      </c>
      <c r="I12" s="68">
        <f>-'Energy Drivers (RideBox)'!I106</f>
        <v>-166149150.7</v>
      </c>
      <c r="J12" s="68">
        <f>-'Energy Drivers (RideBox)'!J106</f>
        <v>-207148463.9</v>
      </c>
      <c r="K12" s="68">
        <f>-'Energy Drivers (RideBox)'!K106</f>
        <v>-245995879.5</v>
      </c>
      <c r="L12" s="68">
        <f>-'Energy Drivers (RideBox)'!L106</f>
        <v>-270006527.1</v>
      </c>
      <c r="M12" s="68">
        <f>-'Energy Drivers (RideBox)'!M106</f>
        <v>-294696721.3</v>
      </c>
      <c r="N12" s="68">
        <f>-'Energy Drivers (RideBox)'!N106</f>
        <v>-319953204.3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7" t="s">
        <v>565</v>
      </c>
      <c r="C13" s="3"/>
      <c r="D13" s="70">
        <f t="shared" ref="D13:N13" si="2">D9+D12</f>
        <v>-29880193.22</v>
      </c>
      <c r="E13" s="70">
        <f t="shared" si="2"/>
        <v>-34041700.08</v>
      </c>
      <c r="F13" s="70">
        <f t="shared" si="2"/>
        <v>-34023104.26</v>
      </c>
      <c r="G13" s="70">
        <f t="shared" si="2"/>
        <v>-29812566.38</v>
      </c>
      <c r="H13" s="70">
        <f t="shared" si="2"/>
        <v>-23707929.18</v>
      </c>
      <c r="I13" s="70">
        <f t="shared" si="2"/>
        <v>-19024585.35</v>
      </c>
      <c r="J13" s="70">
        <f t="shared" si="2"/>
        <v>-20016666.28</v>
      </c>
      <c r="K13" s="70">
        <f t="shared" si="2"/>
        <v>-17685925.33</v>
      </c>
      <c r="L13" s="70">
        <f t="shared" si="2"/>
        <v>-8622850.226</v>
      </c>
      <c r="M13" s="70">
        <f t="shared" si="2"/>
        <v>-4477879.848</v>
      </c>
      <c r="N13" s="70">
        <f t="shared" si="2"/>
        <v>-4535441.968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8" t="s">
        <v>566</v>
      </c>
      <c r="C14" s="3"/>
      <c r="D14" s="69">
        <f>D13</f>
        <v>-29880193.22</v>
      </c>
      <c r="E14" s="69">
        <f t="shared" ref="E14:N14" si="3">D14+E13</f>
        <v>-63921893.3</v>
      </c>
      <c r="F14" s="69">
        <f t="shared" si="3"/>
        <v>-97944997.55</v>
      </c>
      <c r="G14" s="69">
        <f t="shared" si="3"/>
        <v>-127757563.9</v>
      </c>
      <c r="H14" s="69">
        <f t="shared" si="3"/>
        <v>-151465493.1</v>
      </c>
      <c r="I14" s="69">
        <f t="shared" si="3"/>
        <v>-170490078.5</v>
      </c>
      <c r="J14" s="69">
        <f t="shared" si="3"/>
        <v>-190506744.8</v>
      </c>
      <c r="K14" s="69">
        <f t="shared" si="3"/>
        <v>-208192670.1</v>
      </c>
      <c r="L14" s="69">
        <f t="shared" si="3"/>
        <v>-216815520.3</v>
      </c>
      <c r="M14" s="69">
        <f t="shared" si="3"/>
        <v>-221293400.2</v>
      </c>
      <c r="N14" s="69">
        <f t="shared" si="3"/>
        <v>-225828842.1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44.0"/>
    <col customWidth="1" min="3" max="3" width="17.0"/>
    <col customWidth="1" min="4" max="14" width="14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3"/>
      <c r="B2" s="4" t="s">
        <v>569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66" t="s">
        <v>484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67"/>
      <c r="D4" s="6" t="s">
        <v>485</v>
      </c>
      <c r="E4" s="6" t="s">
        <v>486</v>
      </c>
      <c r="F4" s="6" t="s">
        <v>487</v>
      </c>
      <c r="G4" s="6" t="s">
        <v>488</v>
      </c>
      <c r="H4" s="6" t="s">
        <v>489</v>
      </c>
      <c r="I4" s="6" t="s">
        <v>490</v>
      </c>
      <c r="J4" s="6" t="s">
        <v>491</v>
      </c>
      <c r="K4" s="6" t="s">
        <v>492</v>
      </c>
      <c r="L4" s="6" t="s">
        <v>493</v>
      </c>
      <c r="M4" s="6" t="s">
        <v>494</v>
      </c>
      <c r="N4" s="6" t="s">
        <v>495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7" t="s">
        <v>496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8" t="s">
        <v>570</v>
      </c>
      <c r="C6" s="3"/>
      <c r="D6" s="68">
        <f>'NRD MC P&amp;L'!D10</f>
        <v>348862734.9</v>
      </c>
      <c r="E6" s="68">
        <f>'NRD MC P&amp;L'!E10</f>
        <v>674032104.4</v>
      </c>
      <c r="F6" s="68">
        <f>'NRD MC P&amp;L'!F10</f>
        <v>1156807424</v>
      </c>
      <c r="G6" s="68">
        <f>'NRD MC P&amp;L'!G10</f>
        <v>1717476965</v>
      </c>
      <c r="H6" s="68">
        <f>'NRD MC P&amp;L'!H10</f>
        <v>2305082921</v>
      </c>
      <c r="I6" s="68">
        <f>'NRD MC P&amp;L'!I10</f>
        <v>2962174234</v>
      </c>
      <c r="J6" s="68">
        <f>'NRD MC P&amp;L'!J10</f>
        <v>3828506346</v>
      </c>
      <c r="K6" s="68">
        <f>'NRD MC P&amp;L'!K10</f>
        <v>4800832529</v>
      </c>
      <c r="L6" s="68">
        <f>'NRD MC P&amp;L'!L10</f>
        <v>5746213129</v>
      </c>
      <c r="M6" s="68">
        <f>'NRD MC P&amp;L'!M10</f>
        <v>6762828085</v>
      </c>
      <c r="N6" s="68">
        <f>'NRD MC P&amp;L'!N10</f>
        <v>7856805006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8" t="s">
        <v>571</v>
      </c>
      <c r="C7" s="3"/>
      <c r="D7" s="68">
        <f>'RideBox Energy P&amp;L'!D8</f>
        <v>76607142.86</v>
      </c>
      <c r="E7" s="68">
        <f>'RideBox Energy P&amp;L'!E8</f>
        <v>176443928.6</v>
      </c>
      <c r="F7" s="68">
        <f>'RideBox Energy P&amp;L'!F8</f>
        <v>320307428.6</v>
      </c>
      <c r="G7" s="68">
        <f>'RideBox Energy P&amp;L'!G8</f>
        <v>503642464.3</v>
      </c>
      <c r="H7" s="68">
        <f>'RideBox Energy P&amp;L'!H8</f>
        <v>711041571.4</v>
      </c>
      <c r="I7" s="68">
        <f>'RideBox Energy P&amp;L'!I8</f>
        <v>950556750</v>
      </c>
      <c r="J7" s="68">
        <f>'RideBox Energy P&amp;L'!J8</f>
        <v>1250566821</v>
      </c>
      <c r="K7" s="68">
        <f>'RideBox Energy P&amp;L'!K8</f>
        <v>1598721536</v>
      </c>
      <c r="L7" s="68">
        <f>'RideBox Energy P&amp;L'!L8</f>
        <v>1966426393</v>
      </c>
      <c r="M7" s="68">
        <f>'RideBox Energy P&amp;L'!M8</f>
        <v>2358036214</v>
      </c>
      <c r="N7" s="68">
        <f>'RideBox Energy P&amp;L'!N8</f>
        <v>2772775500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7" t="s">
        <v>501</v>
      </c>
      <c r="C8" s="3"/>
      <c r="D8" s="70">
        <f t="shared" ref="D8:N8" si="1">D6+D7</f>
        <v>425469877.8</v>
      </c>
      <c r="E8" s="70">
        <f t="shared" si="1"/>
        <v>850476033</v>
      </c>
      <c r="F8" s="70">
        <f t="shared" si="1"/>
        <v>1477114853</v>
      </c>
      <c r="G8" s="70">
        <f t="shared" si="1"/>
        <v>2221119429</v>
      </c>
      <c r="H8" s="70">
        <f t="shared" si="1"/>
        <v>3016124492</v>
      </c>
      <c r="I8" s="70">
        <f t="shared" si="1"/>
        <v>3912730984</v>
      </c>
      <c r="J8" s="70">
        <f t="shared" si="1"/>
        <v>5079073167</v>
      </c>
      <c r="K8" s="70">
        <f t="shared" si="1"/>
        <v>6399554064</v>
      </c>
      <c r="L8" s="70">
        <f t="shared" si="1"/>
        <v>7712639522</v>
      </c>
      <c r="M8" s="70">
        <f t="shared" si="1"/>
        <v>9120864300</v>
      </c>
      <c r="N8" s="70">
        <f t="shared" si="1"/>
        <v>10629580506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7" t="s">
        <v>503</v>
      </c>
      <c r="C10" s="3"/>
      <c r="D10" s="77">
        <f>'NRD MC P&amp;L'!D13</f>
        <v>-9299285.714</v>
      </c>
      <c r="E10" s="77">
        <f>'NRD MC P&amp;L'!E13</f>
        <v>-22551607.14</v>
      </c>
      <c r="F10" s="77">
        <f>'NRD MC P&amp;L'!F13</f>
        <v>-41494285.71</v>
      </c>
      <c r="G10" s="77">
        <f>'NRD MC P&amp;L'!G13</f>
        <v>-65955267.86</v>
      </c>
      <c r="H10" s="77">
        <f>'NRD MC P&amp;L'!H13</f>
        <v>-94050357.14</v>
      </c>
      <c r="I10" s="77">
        <f>'NRD MC P&amp;L'!I13</f>
        <v>-126719553.6</v>
      </c>
      <c r="J10" s="77">
        <f>'NRD MC P&amp;L'!J13</f>
        <v>-167282232.1</v>
      </c>
      <c r="K10" s="77">
        <f>'NRD MC P&amp;L'!K13</f>
        <v>-214701875</v>
      </c>
      <c r="L10" s="77">
        <f>'NRD MC P&amp;L'!L13</f>
        <v>-265629732.1</v>
      </c>
      <c r="M10" s="77">
        <f>'NRD MC P&amp;L'!M13</f>
        <v>-319960892.9</v>
      </c>
      <c r="N10" s="77">
        <f>'NRD MC P&amp;L'!N13</f>
        <v>-377586250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7" t="s">
        <v>504</v>
      </c>
      <c r="C11" s="3"/>
      <c r="D11" s="77">
        <f>'NRD MC P&amp;L'!D14</f>
        <v>-2189018.87</v>
      </c>
      <c r="E11" s="77">
        <f>'NRD MC P&amp;L'!E14</f>
        <v>-5308568.326</v>
      </c>
      <c r="F11" s="77">
        <f>'NRD MC P&amp;L'!F14</f>
        <v>-9767607.667</v>
      </c>
      <c r="G11" s="77">
        <f>'NRD MC P&amp;L'!G14</f>
        <v>-15525636.09</v>
      </c>
      <c r="H11" s="77">
        <f>'NRD MC P&amp;L'!H14</f>
        <v>-22139120.45</v>
      </c>
      <c r="I11" s="77">
        <f>'NRD MC P&amp;L'!I14</f>
        <v>-29829333.41</v>
      </c>
      <c r="J11" s="77">
        <f>'NRD MC P&amp;L'!J14</f>
        <v>-39377644.06</v>
      </c>
      <c r="K11" s="77">
        <f>'NRD MC P&amp;L'!K14</f>
        <v>-50540059.78</v>
      </c>
      <c r="L11" s="77">
        <f>'NRD MC P&amp;L'!L14</f>
        <v>-62528296.7</v>
      </c>
      <c r="M11" s="77">
        <f>'NRD MC P&amp;L'!M14</f>
        <v>-75317659.2</v>
      </c>
      <c r="N11" s="77">
        <f>'NRD MC P&amp;L'!N14</f>
        <v>-88882463.86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7" t="s">
        <v>423</v>
      </c>
      <c r="C12" s="3"/>
      <c r="D12" s="77">
        <f>'RideBox Energy P&amp;L'!D11</f>
        <v>-822251.4206</v>
      </c>
      <c r="E12" s="77">
        <f>'RideBox Energy P&amp;L'!E11</f>
        <v>-2036374.73</v>
      </c>
      <c r="F12" s="77">
        <f>'RideBox Energy P&amp;L'!F11</f>
        <v>-3837173.296</v>
      </c>
      <c r="G12" s="77">
        <f>'RideBox Energy P&amp;L'!G11</f>
        <v>-6190669.786</v>
      </c>
      <c r="H12" s="77">
        <f>'RideBox Energy P&amp;L'!H11</f>
        <v>-9001727.673</v>
      </c>
      <c r="I12" s="77">
        <f>'RideBox Energy P&amp;L'!I11</f>
        <v>-12324710.69</v>
      </c>
      <c r="J12" s="77">
        <f>'RideBox Energy P&amp;L'!J11</f>
        <v>-16467679.97</v>
      </c>
      <c r="K12" s="77">
        <f>'RideBox Energy P&amp;L'!K11</f>
        <v>-21387597.56</v>
      </c>
      <c r="L12" s="77">
        <f>'RideBox Energy P&amp;L'!L11</f>
        <v>-26787728.1</v>
      </c>
      <c r="M12" s="77">
        <f>'RideBox Energy P&amp;L'!M11</f>
        <v>-32681662.52</v>
      </c>
      <c r="N12" s="77">
        <f>'RideBox Energy P&amp;L'!N11</f>
        <v>-39080726.61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7" t="s">
        <v>505</v>
      </c>
      <c r="C13" s="3"/>
      <c r="D13" s="77">
        <f>'NRD MC P&amp;L'!D15</f>
        <v>-1054666.667</v>
      </c>
      <c r="E13" s="77">
        <f>'NRD MC P&amp;L'!E15</f>
        <v>-1611458.333</v>
      </c>
      <c r="F13" s="77">
        <f>'NRD MC P&amp;L'!F15</f>
        <v>-2408291.667</v>
      </c>
      <c r="G13" s="77">
        <f>'NRD MC P&amp;L'!G15</f>
        <v>-3234583.333</v>
      </c>
      <c r="H13" s="77">
        <f>'NRD MC P&amp;L'!H15</f>
        <v>-3902791.667</v>
      </c>
      <c r="I13" s="77">
        <f>'NRD MC P&amp;L'!I15</f>
        <v>-4657916.667</v>
      </c>
      <c r="J13" s="77">
        <f>'NRD MC P&amp;L'!J15</f>
        <v>-5833916.667</v>
      </c>
      <c r="K13" s="77">
        <f>'NRD MC P&amp;L'!K15</f>
        <v>-6973750</v>
      </c>
      <c r="L13" s="77">
        <f>'NRD MC P&amp;L'!L15</f>
        <v>-7758333.333</v>
      </c>
      <c r="M13" s="77">
        <f>'NRD MC P&amp;L'!M15</f>
        <v>-8578791.667</v>
      </c>
      <c r="N13" s="77">
        <f>'NRD MC P&amp;L'!N15</f>
        <v>-9444750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7" t="s">
        <v>506</v>
      </c>
      <c r="C14" s="3"/>
      <c r="D14" s="77">
        <f>'NRD MC P&amp;L'!D16</f>
        <v>-149998468.8</v>
      </c>
      <c r="E14" s="77">
        <f>'NRD MC P&amp;L'!E16</f>
        <v>-239997550.1</v>
      </c>
      <c r="F14" s="77">
        <f>'NRD MC P&amp;L'!F16</f>
        <v>-383996080.1</v>
      </c>
      <c r="G14" s="77">
        <f>'NRD MC P&amp;L'!G16</f>
        <v>-537619511.9</v>
      </c>
      <c r="H14" s="77">
        <f>'NRD MC P&amp;L'!H16</f>
        <v>-671993140.2</v>
      </c>
      <c r="I14" s="77">
        <f>'NRD MC P&amp;L'!I16</f>
        <v>-806366768.5</v>
      </c>
      <c r="J14" s="77">
        <f>'NRD MC P&amp;L'!J16</f>
        <v>-1007989710</v>
      </c>
      <c r="K14" s="77">
        <f>'NRD MC P&amp;L'!K16</f>
        <v>-1209612652</v>
      </c>
      <c r="L14" s="77">
        <f>'NRD MC P&amp;L'!L16</f>
        <v>-1343861282</v>
      </c>
      <c r="M14" s="77">
        <f>'NRD MC P&amp;L'!M16</f>
        <v>-1478234910</v>
      </c>
      <c r="N14" s="77">
        <f>'NRD MC P&amp;L'!N16</f>
        <v>-1612608538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7" t="s">
        <v>507</v>
      </c>
      <c r="C15" s="3"/>
      <c r="D15" s="77">
        <f>'NRD MC P&amp;L'!D17</f>
        <v>-7559922.828</v>
      </c>
      <c r="E15" s="77">
        <f>'NRD MC P&amp;L'!E17</f>
        <v>-12095876.52</v>
      </c>
      <c r="F15" s="77">
        <f>'NRD MC P&amp;L'!F17</f>
        <v>-19353402.44</v>
      </c>
      <c r="G15" s="77">
        <f>'NRD MC P&amp;L'!G17</f>
        <v>-27096023.4</v>
      </c>
      <c r="H15" s="77">
        <f>'NRD MC P&amp;L'!H17</f>
        <v>-33868454.27</v>
      </c>
      <c r="I15" s="77">
        <f>'NRD MC P&amp;L'!I17</f>
        <v>-40640885.13</v>
      </c>
      <c r="J15" s="77">
        <f>'NRD MC P&amp;L'!J17</f>
        <v>-50802681.4</v>
      </c>
      <c r="K15" s="77">
        <f>'NRD MC P&amp;L'!K17</f>
        <v>-60964477.67</v>
      </c>
      <c r="L15" s="77">
        <f>'NRD MC P&amp;L'!L17</f>
        <v>-67730608.6</v>
      </c>
      <c r="M15" s="77">
        <f>'NRD MC P&amp;L'!M17</f>
        <v>-74503039.47</v>
      </c>
      <c r="N15" s="77">
        <f>'NRD MC P&amp;L'!N17</f>
        <v>-81275470.33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7" t="s">
        <v>508</v>
      </c>
      <c r="C16" s="3"/>
      <c r="D16" s="77">
        <f>'NRD MC P&amp;L'!D18</f>
        <v>-4228945.714</v>
      </c>
      <c r="E16" s="77">
        <f>'NRD MC P&amp;L'!E18</f>
        <v>-10241865</v>
      </c>
      <c r="F16" s="77">
        <f>'NRD MC P&amp;L'!F18</f>
        <v>-18737665.71</v>
      </c>
      <c r="G16" s="77">
        <f>'NRD MC P&amp;L'!G18</f>
        <v>-29170089.64</v>
      </c>
      <c r="H16" s="77">
        <f>'NRD MC P&amp;L'!H18</f>
        <v>-41211012.86</v>
      </c>
      <c r="I16" s="77">
        <f>'NRD MC P&amp;L'!I18</f>
        <v>-55336496.79</v>
      </c>
      <c r="J16" s="77">
        <f>'NRD MC P&amp;L'!J18</f>
        <v>-72942978.21</v>
      </c>
      <c r="K16" s="77">
        <f>'NRD MC P&amp;L'!K18</f>
        <v>-93729281.79</v>
      </c>
      <c r="L16" s="77">
        <f>'NRD MC P&amp;L'!L18</f>
        <v>-116508641.8</v>
      </c>
      <c r="M16" s="77">
        <f>'NRD MC P&amp;L'!M18</f>
        <v>-141419835</v>
      </c>
      <c r="N16" s="77">
        <f>'NRD MC P&amp;L'!N18</f>
        <v>-168651887.1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7" t="s">
        <v>536</v>
      </c>
      <c r="C17" s="3"/>
      <c r="D17" s="77">
        <f>'RideBox Energy P&amp;L'!D12</f>
        <v>-388928.5714</v>
      </c>
      <c r="E17" s="77">
        <f>'RideBox Energy P&amp;L'!E12</f>
        <v>-963214.2857</v>
      </c>
      <c r="F17" s="77">
        <f>'RideBox Energy P&amp;L'!F12</f>
        <v>-1815000</v>
      </c>
      <c r="G17" s="77">
        <f>'RideBox Energy P&amp;L'!G12</f>
        <v>-2928214.286</v>
      </c>
      <c r="H17" s="77">
        <f>'RideBox Energy P&amp;L'!H12</f>
        <v>-4257857.143</v>
      </c>
      <c r="I17" s="77">
        <f>'RideBox Energy P&amp;L'!I12</f>
        <v>-5829642.857</v>
      </c>
      <c r="J17" s="77">
        <f>'RideBox Energy P&amp;L'!J12</f>
        <v>-7789285.714</v>
      </c>
      <c r="K17" s="77">
        <f>'RideBox Energy P&amp;L'!K12</f>
        <v>-10116428.57</v>
      </c>
      <c r="L17" s="77">
        <f>'RideBox Energy P&amp;L'!L12</f>
        <v>-12670714.29</v>
      </c>
      <c r="M17" s="77">
        <f>'RideBox Energy P&amp;L'!M12</f>
        <v>-15458571.43</v>
      </c>
      <c r="N17" s="77">
        <f>'RideBox Energy P&amp;L'!N12</f>
        <v>-18485357.14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7" t="s">
        <v>537</v>
      </c>
      <c r="C18" s="3"/>
      <c r="D18" s="77">
        <f>'RideBox Energy P&amp;L'!D13</f>
        <v>-777857.1429</v>
      </c>
      <c r="E18" s="77">
        <f>'RideBox Energy P&amp;L'!E13</f>
        <v>-1926428.571</v>
      </c>
      <c r="F18" s="77">
        <f>'RideBox Energy P&amp;L'!F13</f>
        <v>-3630000</v>
      </c>
      <c r="G18" s="77">
        <f>'RideBox Energy P&amp;L'!G13</f>
        <v>-5856428.571</v>
      </c>
      <c r="H18" s="77">
        <f>'RideBox Energy P&amp;L'!H13</f>
        <v>-8515714.286</v>
      </c>
      <c r="I18" s="77">
        <f>'RideBox Energy P&amp;L'!I13</f>
        <v>-11659285.71</v>
      </c>
      <c r="J18" s="77">
        <f>'RideBox Energy P&amp;L'!J13</f>
        <v>-15578571.43</v>
      </c>
      <c r="K18" s="77">
        <f>'RideBox Energy P&amp;L'!K13</f>
        <v>-20232857.14</v>
      </c>
      <c r="L18" s="77">
        <f>'RideBox Energy P&amp;L'!L13</f>
        <v>-25341428.57</v>
      </c>
      <c r="M18" s="77">
        <f>'RideBox Energy P&amp;L'!M13</f>
        <v>-30917142.86</v>
      </c>
      <c r="N18" s="77">
        <f>'RideBox Energy P&amp;L'!N13</f>
        <v>-36970714.29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7" t="s">
        <v>366</v>
      </c>
      <c r="C19" s="3"/>
      <c r="D19" s="77">
        <f>'RideBox Energy P&amp;L'!D14</f>
        <v>-12975939.47</v>
      </c>
      <c r="E19" s="77">
        <f>'RideBox Energy P&amp;L'!E14</f>
        <v>-42848005.8</v>
      </c>
      <c r="F19" s="77">
        <f>'RideBox Energy P&amp;L'!F14</f>
        <v>-80739178.9</v>
      </c>
      <c r="G19" s="77">
        <f>'RideBox Energy P&amp;L'!G14</f>
        <v>-130259844.1</v>
      </c>
      <c r="H19" s="77">
        <f>'RideBox Energy P&amp;L'!H14</f>
        <v>-189408203.6</v>
      </c>
      <c r="I19" s="77">
        <f>'RideBox Energy P&amp;L'!I14</f>
        <v>-259328141.9</v>
      </c>
      <c r="J19" s="77">
        <f>'RideBox Energy P&amp;L'!J14</f>
        <v>-346501671</v>
      </c>
      <c r="K19" s="77">
        <f>'RideBox Energy P&amp;L'!K14</f>
        <v>-450023215.6</v>
      </c>
      <c r="L19" s="77">
        <f>'RideBox Energy P&amp;L'!L14</f>
        <v>-563649073</v>
      </c>
      <c r="M19" s="77">
        <f>'RideBox Energy P&amp;L'!M14</f>
        <v>-687665214.4</v>
      </c>
      <c r="N19" s="77">
        <f>'RideBox Energy P&amp;L'!N14</f>
        <v>-822309949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7" t="s">
        <v>539</v>
      </c>
      <c r="C20" s="3"/>
      <c r="D20" s="77">
        <f>'RideBox Energy P&amp;L'!D15</f>
        <v>-4748571.429</v>
      </c>
      <c r="E20" s="77">
        <f>'RideBox Energy P&amp;L'!E15</f>
        <v>-11515714.29</v>
      </c>
      <c r="F20" s="77">
        <f>'RideBox Energy P&amp;L'!F15</f>
        <v>-16352142.86</v>
      </c>
      <c r="G20" s="77">
        <f>'RideBox Energy P&amp;L'!G15</f>
        <v>-27433928.57</v>
      </c>
      <c r="H20" s="77">
        <f>'RideBox Energy P&amp;L'!H15</f>
        <v>-40852500</v>
      </c>
      <c r="I20" s="77">
        <f>'RideBox Energy P&amp;L'!I15</f>
        <v>-56366785.71</v>
      </c>
      <c r="J20" s="77">
        <f>'RideBox Energy P&amp;L'!J15</f>
        <v>-75064285.71</v>
      </c>
      <c r="K20" s="77">
        <f>'RideBox Energy P&amp;L'!K15</f>
        <v>-97527857.14</v>
      </c>
      <c r="L20" s="77">
        <f>'RideBox Energy P&amp;L'!L15</f>
        <v>-122637857.1</v>
      </c>
      <c r="M20" s="77">
        <f>'RideBox Energy P&amp;L'!M15</f>
        <v>-149512500</v>
      </c>
      <c r="N20" s="77">
        <f>'RideBox Energy P&amp;L'!N15</f>
        <v>-178097142.9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/>
      <c r="B21" s="7" t="s">
        <v>540</v>
      </c>
      <c r="C21" s="3"/>
      <c r="D21" s="77">
        <f>'RideBox Energy P&amp;L'!D16</f>
        <v>-1958785.714</v>
      </c>
      <c r="E21" s="77">
        <f>'RideBox Energy P&amp;L'!E16</f>
        <v>-4750232.143</v>
      </c>
      <c r="F21" s="77">
        <f>'RideBox Energy P&amp;L'!F16</f>
        <v>-8740285.714</v>
      </c>
      <c r="G21" s="77">
        <f>'RideBox Energy P&amp;L'!G16</f>
        <v>-13892705.36</v>
      </c>
      <c r="H21" s="77">
        <f>'RideBox Energy P&amp;L'!H16</f>
        <v>-19810607.14</v>
      </c>
      <c r="I21" s="77">
        <f>'RideBox Energy P&amp;L'!I16</f>
        <v>-26691991.07</v>
      </c>
      <c r="J21" s="77">
        <f>'RideBox Energy P&amp;L'!J16</f>
        <v>-35236044.64</v>
      </c>
      <c r="K21" s="77">
        <f>'RideBox Energy P&amp;L'!K16</f>
        <v>-45224437.5</v>
      </c>
      <c r="L21" s="77">
        <f>'RideBox Energy P&amp;L'!L16</f>
        <v>-55951794.64</v>
      </c>
      <c r="M21" s="77">
        <f>'RideBox Energy P&amp;L'!M16</f>
        <v>-67396017.86</v>
      </c>
      <c r="N21" s="77">
        <f>'RideBox Energy P&amp;L'!N16</f>
        <v>-79534125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3"/>
      <c r="B22" s="7" t="s">
        <v>509</v>
      </c>
      <c r="C22" s="3"/>
      <c r="D22" s="77">
        <f t="shared" ref="D22:N22" si="2">SUM(D10:D21)</f>
        <v>-196002642.3</v>
      </c>
      <c r="E22" s="77">
        <f t="shared" si="2"/>
        <v>-355846895.2</v>
      </c>
      <c r="F22" s="77">
        <f t="shared" si="2"/>
        <v>-590871114.1</v>
      </c>
      <c r="G22" s="77">
        <f t="shared" si="2"/>
        <v>-865162902.9</v>
      </c>
      <c r="H22" s="77">
        <f t="shared" si="2"/>
        <v>-1139011486</v>
      </c>
      <c r="I22" s="77">
        <f t="shared" si="2"/>
        <v>-1435751512</v>
      </c>
      <c r="J22" s="77">
        <f t="shared" si="2"/>
        <v>-1840866701</v>
      </c>
      <c r="K22" s="77">
        <f t="shared" si="2"/>
        <v>-2281034490</v>
      </c>
      <c r="L22" s="77">
        <f t="shared" si="2"/>
        <v>-2671055490</v>
      </c>
      <c r="M22" s="77">
        <f t="shared" si="2"/>
        <v>-3081646237</v>
      </c>
      <c r="N22" s="77">
        <f t="shared" si="2"/>
        <v>-3512927375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3"/>
      <c r="B23" s="7" t="s">
        <v>572</v>
      </c>
      <c r="C23" s="3"/>
      <c r="D23" s="77">
        <f t="shared" ref="D23:N23" si="3">D8+D22</f>
        <v>229467235.4</v>
      </c>
      <c r="E23" s="77">
        <f t="shared" si="3"/>
        <v>494629137.8</v>
      </c>
      <c r="F23" s="77">
        <f t="shared" si="3"/>
        <v>886243738.7</v>
      </c>
      <c r="G23" s="77">
        <f t="shared" si="3"/>
        <v>1355956526</v>
      </c>
      <c r="H23" s="77">
        <f t="shared" si="3"/>
        <v>1877113006</v>
      </c>
      <c r="I23" s="77">
        <f t="shared" si="3"/>
        <v>2476979472</v>
      </c>
      <c r="J23" s="77">
        <f t="shared" si="3"/>
        <v>3238206466</v>
      </c>
      <c r="K23" s="77">
        <f t="shared" si="3"/>
        <v>4118519575</v>
      </c>
      <c r="L23" s="77">
        <f t="shared" si="3"/>
        <v>5041584032</v>
      </c>
      <c r="M23" s="77">
        <f t="shared" si="3"/>
        <v>6039218062</v>
      </c>
      <c r="N23" s="77">
        <f t="shared" si="3"/>
        <v>7116653131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3"/>
      <c r="B24" s="8" t="s">
        <v>573</v>
      </c>
      <c r="C24" s="3"/>
      <c r="D24" s="12">
        <f t="shared" ref="D24:N24" si="4">IFERROR(D23/D8,0)</f>
        <v>0.5393266302</v>
      </c>
      <c r="E24" s="12">
        <f t="shared" si="4"/>
        <v>0.5815909192</v>
      </c>
      <c r="F24" s="12">
        <f t="shared" si="4"/>
        <v>0.599982958</v>
      </c>
      <c r="G24" s="12">
        <f t="shared" si="4"/>
        <v>0.6104833934</v>
      </c>
      <c r="H24" s="12">
        <f t="shared" si="4"/>
        <v>0.6223592596</v>
      </c>
      <c r="I24" s="12">
        <f t="shared" si="4"/>
        <v>0.6330564207</v>
      </c>
      <c r="J24" s="12">
        <f t="shared" si="4"/>
        <v>0.6375585386</v>
      </c>
      <c r="K24" s="12">
        <f t="shared" si="4"/>
        <v>0.6435635254</v>
      </c>
      <c r="L24" s="12">
        <f t="shared" si="4"/>
        <v>0.6536781627</v>
      </c>
      <c r="M24" s="12">
        <f t="shared" si="4"/>
        <v>0.6621322129</v>
      </c>
      <c r="N24" s="12">
        <f t="shared" si="4"/>
        <v>0.6695140158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3"/>
      <c r="B25" s="8" t="s">
        <v>513</v>
      </c>
      <c r="C25" s="3"/>
      <c r="D25" s="68">
        <f>'NRD MC P&amp;L'!D24+'RideBox Energy P&amp;L'!D22</f>
        <v>-72610642</v>
      </c>
      <c r="E25" s="68">
        <f>'NRD MC P&amp;L'!E24+'RideBox Energy P&amp;L'!E22</f>
        <v>-83865291.51</v>
      </c>
      <c r="F25" s="68">
        <f>'NRD MC P&amp;L'!F24+'RideBox Energy P&amp;L'!F22</f>
        <v>-96864411.69</v>
      </c>
      <c r="G25" s="68">
        <f>'NRD MC P&amp;L'!G24+'RideBox Energy P&amp;L'!G22</f>
        <v>-111878395.5</v>
      </c>
      <c r="H25" s="68">
        <f>'NRD MC P&amp;L'!H24+'RideBox Energy P&amp;L'!H22</f>
        <v>-129219546.8</v>
      </c>
      <c r="I25" s="68">
        <f>'NRD MC P&amp;L'!I24+'RideBox Energy P&amp;L'!I22</f>
        <v>-149248576.6</v>
      </c>
      <c r="J25" s="68">
        <f>'NRD MC P&amp;L'!J24+'RideBox Energy P&amp;L'!J22</f>
        <v>-172382105.9</v>
      </c>
      <c r="K25" s="68">
        <f>'NRD MC P&amp;L'!K24+'RideBox Energy P&amp;L'!K22</f>
        <v>-199101332.4</v>
      </c>
      <c r="L25" s="68">
        <f>'NRD MC P&amp;L'!L24+'RideBox Energy P&amp;L'!L22</f>
        <v>-229962038.9</v>
      </c>
      <c r="M25" s="68">
        <f>'NRD MC P&amp;L'!M24+'RideBox Energy P&amp;L'!M22</f>
        <v>-265606154.9</v>
      </c>
      <c r="N25" s="68">
        <f>'NRD MC P&amp;L'!N24+'RideBox Energy P&amp;L'!N22</f>
        <v>-306775108.9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3"/>
      <c r="B26" s="8" t="s">
        <v>150</v>
      </c>
      <c r="C26" s="3"/>
      <c r="D26" s="68">
        <f>'NRD MC P&amp;L'!D25+'RideBox Energy P&amp;L'!D23</f>
        <v>-7261064.2</v>
      </c>
      <c r="E26" s="68">
        <f>'NRD MC P&amp;L'!E25+'RideBox Energy P&amp;L'!E23</f>
        <v>-8386529.151</v>
      </c>
      <c r="F26" s="68">
        <f>'NRD MC P&amp;L'!F25+'RideBox Energy P&amp;L'!F23</f>
        <v>-9686441.169</v>
      </c>
      <c r="G26" s="68">
        <f>'NRD MC P&amp;L'!G25+'RideBox Energy P&amp;L'!G23</f>
        <v>-11187839.55</v>
      </c>
      <c r="H26" s="68">
        <f>'NRD MC P&amp;L'!H25+'RideBox Energy P&amp;L'!H23</f>
        <v>-12921954.68</v>
      </c>
      <c r="I26" s="68">
        <f>'NRD MC P&amp;L'!I25+'RideBox Energy P&amp;L'!I23</f>
        <v>-14924857.66</v>
      </c>
      <c r="J26" s="68">
        <f>'NRD MC P&amp;L'!J25+'RideBox Energy P&amp;L'!J23</f>
        <v>-17238210.59</v>
      </c>
      <c r="K26" s="68">
        <f>'NRD MC P&amp;L'!K25+'RideBox Energy P&amp;L'!K23</f>
        <v>-19910133.24</v>
      </c>
      <c r="L26" s="68">
        <f>'NRD MC P&amp;L'!L25+'RideBox Energy P&amp;L'!L23</f>
        <v>-22996203.89</v>
      </c>
      <c r="M26" s="68">
        <f>'NRD MC P&amp;L'!M25+'RideBox Energy P&amp;L'!M23</f>
        <v>-26560615.49</v>
      </c>
      <c r="N26" s="68">
        <f>'NRD MC P&amp;L'!N25+'RideBox Energy P&amp;L'!N23</f>
        <v>-30677510.89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3"/>
      <c r="B27" s="8" t="s">
        <v>514</v>
      </c>
      <c r="C27" s="3"/>
      <c r="D27" s="68">
        <f>'NRD MC P&amp;L'!D26</f>
        <v>-3779961.414</v>
      </c>
      <c r="E27" s="68">
        <f>'NRD MC P&amp;L'!E26</f>
        <v>-6047938.262</v>
      </c>
      <c r="F27" s="68">
        <f>'NRD MC P&amp;L'!F26</f>
        <v>-9676701.219</v>
      </c>
      <c r="G27" s="68">
        <f>'NRD MC P&amp;L'!G26</f>
        <v>-13548011.7</v>
      </c>
      <c r="H27" s="68">
        <f>'NRD MC P&amp;L'!H26</f>
        <v>-16934227.13</v>
      </c>
      <c r="I27" s="68">
        <f>'NRD MC P&amp;L'!I26</f>
        <v>-20320442.57</v>
      </c>
      <c r="J27" s="68">
        <f>'NRD MC P&amp;L'!J26</f>
        <v>-25401340.7</v>
      </c>
      <c r="K27" s="68">
        <f>'NRD MC P&amp;L'!K26</f>
        <v>-30482238.83</v>
      </c>
      <c r="L27" s="68">
        <f>'NRD MC P&amp;L'!L26</f>
        <v>-33865304.3</v>
      </c>
      <c r="M27" s="68">
        <f>'NRD MC P&amp;L'!M26</f>
        <v>-37251519.73</v>
      </c>
      <c r="N27" s="68">
        <f>'NRD MC P&amp;L'!N26</f>
        <v>-40637735.17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/>
      <c r="B28" s="8" t="s">
        <v>515</v>
      </c>
      <c r="C28" s="3"/>
      <c r="D28" s="68">
        <f>'NRD MC P&amp;L'!D27</f>
        <v>-1714285.714</v>
      </c>
      <c r="E28" s="68">
        <f>'NRD MC P&amp;L'!E27</f>
        <v>-1800000</v>
      </c>
      <c r="F28" s="68">
        <f>'NRD MC P&amp;L'!F27</f>
        <v>-1890000</v>
      </c>
      <c r="G28" s="68">
        <f>'NRD MC P&amp;L'!G27</f>
        <v>-1984500</v>
      </c>
      <c r="H28" s="68">
        <f>'NRD MC P&amp;L'!H27</f>
        <v>-2083725</v>
      </c>
      <c r="I28" s="68">
        <f>'NRD MC P&amp;L'!I27</f>
        <v>-2187911.25</v>
      </c>
      <c r="J28" s="68">
        <f>'NRD MC P&amp;L'!J27</f>
        <v>-2297306.813</v>
      </c>
      <c r="K28" s="68">
        <f>'NRD MC P&amp;L'!K27</f>
        <v>-2412172.153</v>
      </c>
      <c r="L28" s="68">
        <f>'NRD MC P&amp;L'!L27</f>
        <v>-2532780.761</v>
      </c>
      <c r="M28" s="68">
        <f>'NRD MC P&amp;L'!M27</f>
        <v>-2659419.799</v>
      </c>
      <c r="N28" s="68">
        <f>'NRD MC P&amp;L'!N27</f>
        <v>-2792390.789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3"/>
      <c r="B29" s="8" t="s">
        <v>516</v>
      </c>
      <c r="C29" s="3"/>
      <c r="D29" s="68">
        <f>'NRD MC P&amp;L'!D28</f>
        <v>-2235535.714</v>
      </c>
      <c r="E29" s="68">
        <f>'NRD MC P&amp;L'!E28</f>
        <v>-2347312.5</v>
      </c>
      <c r="F29" s="68">
        <f>'NRD MC P&amp;L'!F28</f>
        <v>-2464678.125</v>
      </c>
      <c r="G29" s="68">
        <f>'NRD MC P&amp;L'!G28</f>
        <v>-2587912.031</v>
      </c>
      <c r="H29" s="68">
        <f>'NRD MC P&amp;L'!H28</f>
        <v>-5434615.266</v>
      </c>
      <c r="I29" s="68">
        <f>'NRD MC P&amp;L'!I28</f>
        <v>-5706346.029</v>
      </c>
      <c r="J29" s="68">
        <f>'NRD MC P&amp;L'!J28</f>
        <v>-5991663.33</v>
      </c>
      <c r="K29" s="68">
        <f>'NRD MC P&amp;L'!K28</f>
        <v>-6291246.497</v>
      </c>
      <c r="L29" s="68">
        <f>'NRD MC P&amp;L'!L28</f>
        <v>-6605808.822</v>
      </c>
      <c r="M29" s="68">
        <f>'NRD MC P&amp;L'!M28</f>
        <v>-6936099.263</v>
      </c>
      <c r="N29" s="68">
        <f>'NRD MC P&amp;L'!N28</f>
        <v>-7282904.226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3"/>
      <c r="B30" s="8" t="s">
        <v>517</v>
      </c>
      <c r="C30" s="3"/>
      <c r="D30" s="68">
        <f>'NRD MC P&amp;L'!D29</f>
        <v>-910714.2857</v>
      </c>
      <c r="E30" s="68">
        <f>'NRD MC P&amp;L'!E29</f>
        <v>-956250</v>
      </c>
      <c r="F30" s="68">
        <f>'NRD MC P&amp;L'!F29</f>
        <v>-2008125</v>
      </c>
      <c r="G30" s="68">
        <f>'NRD MC P&amp;L'!G29</f>
        <v>-2108531.25</v>
      </c>
      <c r="H30" s="68">
        <f>'NRD MC P&amp;L'!H29</f>
        <v>-3320936.719</v>
      </c>
      <c r="I30" s="68">
        <f>'NRD MC P&amp;L'!I29</f>
        <v>-3486983.555</v>
      </c>
      <c r="J30" s="68">
        <f>'NRD MC P&amp;L'!J29</f>
        <v>-4881776.977</v>
      </c>
      <c r="K30" s="68">
        <f>'NRD MC P&amp;L'!K29</f>
        <v>-5125865.825</v>
      </c>
      <c r="L30" s="68">
        <f>'NRD MC P&amp;L'!L29</f>
        <v>-6727698.896</v>
      </c>
      <c r="M30" s="68">
        <f>'NRD MC P&amp;L'!M29</f>
        <v>-7064083.841</v>
      </c>
      <c r="N30" s="68">
        <f>'NRD MC P&amp;L'!N29</f>
        <v>-8900745.639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3"/>
      <c r="B31" s="8" t="s">
        <v>541</v>
      </c>
      <c r="C31" s="3"/>
      <c r="D31" s="68">
        <f>'RideBox Energy P&amp;L'!D24</f>
        <v>-19446428.57</v>
      </c>
      <c r="E31" s="68">
        <f>'RideBox Energy P&amp;L'!E24</f>
        <v>-48160714.29</v>
      </c>
      <c r="F31" s="68">
        <f>'RideBox Energy P&amp;L'!F24</f>
        <v>-90750000</v>
      </c>
      <c r="G31" s="68">
        <f>'RideBox Energy P&amp;L'!G24</f>
        <v>-146410714.3</v>
      </c>
      <c r="H31" s="68">
        <f>'RideBox Energy P&amp;L'!H24</f>
        <v>-212892857.1</v>
      </c>
      <c r="I31" s="68">
        <f>'RideBox Energy P&amp;L'!I24</f>
        <v>-291482142.9</v>
      </c>
      <c r="J31" s="68">
        <f>'RideBox Energy P&amp;L'!J24</f>
        <v>-389464285.7</v>
      </c>
      <c r="K31" s="68">
        <f>'RideBox Energy P&amp;L'!K24</f>
        <v>-505821428.6</v>
      </c>
      <c r="L31" s="68">
        <f>'RideBox Energy P&amp;L'!L24</f>
        <v>-633535714.3</v>
      </c>
      <c r="M31" s="68">
        <f>'RideBox Energy P&amp;L'!M24</f>
        <v>-772928571.4</v>
      </c>
      <c r="N31" s="68">
        <f>'RideBox Energy P&amp;L'!N24</f>
        <v>-924267857.1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/>
      <c r="B32" s="8" t="s">
        <v>518</v>
      </c>
      <c r="C32" s="3"/>
      <c r="D32" s="68">
        <f>'NRD MC P&amp;L'!D30</f>
        <v>-1221428.571</v>
      </c>
      <c r="E32" s="68">
        <f>'NRD MC P&amp;L'!E30</f>
        <v>-1282500</v>
      </c>
      <c r="F32" s="68">
        <f>'NRD MC P&amp;L'!F30</f>
        <v>-1630125</v>
      </c>
      <c r="G32" s="68">
        <f>'NRD MC P&amp;L'!G30</f>
        <v>-1711631.25</v>
      </c>
      <c r="H32" s="68">
        <f>'NRD MC P&amp;L'!H30</f>
        <v>-2630702.813</v>
      </c>
      <c r="I32" s="68">
        <f>'NRD MC P&amp;L'!I30</f>
        <v>-2762237.953</v>
      </c>
      <c r="J32" s="68">
        <f>'NRD MC P&amp;L'!J30</f>
        <v>-3244945.873</v>
      </c>
      <c r="K32" s="68">
        <f>'NRD MC P&amp;L'!K30</f>
        <v>-3407193.166</v>
      </c>
      <c r="L32" s="68">
        <f>'NRD MC P&amp;L'!L30</f>
        <v>-3957469.939</v>
      </c>
      <c r="M32" s="68">
        <f>'NRD MC P&amp;L'!M30</f>
        <v>-4155343.436</v>
      </c>
      <c r="N32" s="68">
        <f>'NRD MC P&amp;L'!N30</f>
        <v>-4781969.226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8" t="s">
        <v>519</v>
      </c>
      <c r="C33" s="3"/>
      <c r="D33" s="68">
        <f>'NRD MC P&amp;L'!D31</f>
        <v>-6977254.698</v>
      </c>
      <c r="E33" s="68">
        <f>'NRD MC P&amp;L'!E31</f>
        <v>-13480642.09</v>
      </c>
      <c r="F33" s="68">
        <f>'NRD MC P&amp;L'!F31</f>
        <v>-23136148.48</v>
      </c>
      <c r="G33" s="68">
        <f>'NRD MC P&amp;L'!G31</f>
        <v>-34349539.3</v>
      </c>
      <c r="H33" s="68">
        <f>'NRD MC P&amp;L'!H31</f>
        <v>-46101658.42</v>
      </c>
      <c r="I33" s="68">
        <f>'NRD MC P&amp;L'!I31</f>
        <v>-59243484.68</v>
      </c>
      <c r="J33" s="68">
        <f>'NRD MC P&amp;L'!J31</f>
        <v>-76570126.91</v>
      </c>
      <c r="K33" s="68">
        <f>'NRD MC P&amp;L'!K31</f>
        <v>-96016650.57</v>
      </c>
      <c r="L33" s="68">
        <f>'NRD MC P&amp;L'!L31</f>
        <v>-114924262.6</v>
      </c>
      <c r="M33" s="68">
        <f>'NRD MC P&amp;L'!M31</f>
        <v>-135256561.7</v>
      </c>
      <c r="N33" s="68">
        <f>'NRD MC P&amp;L'!N31</f>
        <v>-157136100.1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/>
      <c r="B34" s="8" t="s">
        <v>520</v>
      </c>
      <c r="C34" s="3"/>
      <c r="D34" s="68">
        <f>'NRD MC P&amp;L'!D32</f>
        <v>-1987142.857</v>
      </c>
      <c r="E34" s="68">
        <f>'NRD MC P&amp;L'!E32</f>
        <v>-2185857.143</v>
      </c>
      <c r="F34" s="68">
        <f>'NRD MC P&amp;L'!F32</f>
        <v>-2404442.857</v>
      </c>
      <c r="G34" s="68">
        <f>'NRD MC P&amp;L'!G32</f>
        <v>-2644887.143</v>
      </c>
      <c r="H34" s="68">
        <f>'NRD MC P&amp;L'!H32</f>
        <v>-2909375.857</v>
      </c>
      <c r="I34" s="68">
        <f>'NRD MC P&amp;L'!I32</f>
        <v>-3200313.443</v>
      </c>
      <c r="J34" s="68">
        <f>'NRD MC P&amp;L'!J32</f>
        <v>-3520344.787</v>
      </c>
      <c r="K34" s="68">
        <f>'NRD MC P&amp;L'!K32</f>
        <v>-3872379.266</v>
      </c>
      <c r="L34" s="68">
        <f>'NRD MC P&amp;L'!L32</f>
        <v>-4259617.192</v>
      </c>
      <c r="M34" s="68">
        <f>'NRD MC P&amp;L'!M32</f>
        <v>-4685578.912</v>
      </c>
      <c r="N34" s="68">
        <f>'NRD MC P&amp;L'!N32</f>
        <v>-5154136.803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/>
      <c r="B35" s="8" t="s">
        <v>181</v>
      </c>
      <c r="C35" s="3"/>
      <c r="D35" s="68">
        <f>'NRD MC P&amp;L'!D33</f>
        <v>-1339285.714</v>
      </c>
      <c r="E35" s="68">
        <f>'NRD MC P&amp;L'!E33</f>
        <v>-1473214.286</v>
      </c>
      <c r="F35" s="68">
        <f>'NRD MC P&amp;L'!F33</f>
        <v>-1620535.714</v>
      </c>
      <c r="G35" s="68">
        <f>'NRD MC P&amp;L'!G33</f>
        <v>-1782589.286</v>
      </c>
      <c r="H35" s="68">
        <f>'NRD MC P&amp;L'!H33</f>
        <v>-1960848.214</v>
      </c>
      <c r="I35" s="68">
        <f>'NRD MC P&amp;L'!I33</f>
        <v>-2156933.036</v>
      </c>
      <c r="J35" s="68">
        <f>'NRD MC P&amp;L'!J33</f>
        <v>-2372626.339</v>
      </c>
      <c r="K35" s="68">
        <f>'NRD MC P&amp;L'!K33</f>
        <v>-2609888.973</v>
      </c>
      <c r="L35" s="68">
        <f>'NRD MC P&amp;L'!L33</f>
        <v>-2870877.871</v>
      </c>
      <c r="M35" s="68">
        <f>'NRD MC P&amp;L'!M33</f>
        <v>-3157965.658</v>
      </c>
      <c r="N35" s="68">
        <f>'NRD MC P&amp;L'!N33</f>
        <v>-3473762.223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/>
      <c r="B36" s="8" t="s">
        <v>182</v>
      </c>
      <c r="C36" s="3"/>
      <c r="D36" s="68">
        <f>'NRD MC P&amp;L'!D34</f>
        <v>-189000</v>
      </c>
      <c r="E36" s="68">
        <f>'NRD MC P&amp;L'!E34</f>
        <v>-207900</v>
      </c>
      <c r="F36" s="68">
        <f>'NRD MC P&amp;L'!F34</f>
        <v>-228690</v>
      </c>
      <c r="G36" s="68">
        <f>'NRD MC P&amp;L'!G34</f>
        <v>-251559</v>
      </c>
      <c r="H36" s="68">
        <f>'NRD MC P&amp;L'!H34</f>
        <v>-276714.9</v>
      </c>
      <c r="I36" s="68">
        <f>'NRD MC P&amp;L'!I34</f>
        <v>-304386.39</v>
      </c>
      <c r="J36" s="68">
        <f>'NRD MC P&amp;L'!J34</f>
        <v>-334825.029</v>
      </c>
      <c r="K36" s="68">
        <f>'NRD MC P&amp;L'!K34</f>
        <v>-368307.5319</v>
      </c>
      <c r="L36" s="68">
        <f>'NRD MC P&amp;L'!L34</f>
        <v>-405138.2851</v>
      </c>
      <c r="M36" s="68">
        <f>'NRD MC P&amp;L'!M34</f>
        <v>-445652.1136</v>
      </c>
      <c r="N36" s="68">
        <f>'NRD MC P&amp;L'!N34</f>
        <v>-490217.325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8" t="s">
        <v>521</v>
      </c>
      <c r="C37" s="3"/>
      <c r="D37" s="68">
        <f>'NRD MC P&amp;L'!D35</f>
        <v>-500000</v>
      </c>
      <c r="E37" s="68">
        <f>'NRD MC P&amp;L'!E35</f>
        <v>-550000</v>
      </c>
      <c r="F37" s="68">
        <f>'NRD MC P&amp;L'!F35</f>
        <v>-605000</v>
      </c>
      <c r="G37" s="68">
        <f>'NRD MC P&amp;L'!G35</f>
        <v>-665500</v>
      </c>
      <c r="H37" s="68">
        <f>'NRD MC P&amp;L'!H35</f>
        <v>-732050</v>
      </c>
      <c r="I37" s="68">
        <f>'NRD MC P&amp;L'!I35</f>
        <v>-805255</v>
      </c>
      <c r="J37" s="68">
        <f>'NRD MC P&amp;L'!J35</f>
        <v>-885780.5</v>
      </c>
      <c r="K37" s="68">
        <f>'NRD MC P&amp;L'!K35</f>
        <v>-974358.55</v>
      </c>
      <c r="L37" s="68">
        <f>'NRD MC P&amp;L'!L35</f>
        <v>-1071794.405</v>
      </c>
      <c r="M37" s="68">
        <f>'NRD MC P&amp;L'!M35</f>
        <v>-1178973.846</v>
      </c>
      <c r="N37" s="68">
        <f>'NRD MC P&amp;L'!N35</f>
        <v>-1296871.23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8" t="s">
        <v>574</v>
      </c>
      <c r="C38" s="3"/>
      <c r="D38" s="68">
        <f t="shared" ref="D38:N38" si="5">SUM(D25:D37)</f>
        <v>-120172743.7</v>
      </c>
      <c r="E38" s="68">
        <f t="shared" si="5"/>
        <v>-170744149.2</v>
      </c>
      <c r="F38" s="68">
        <f t="shared" si="5"/>
        <v>-242965299.3</v>
      </c>
      <c r="G38" s="68">
        <f t="shared" si="5"/>
        <v>-331111610.3</v>
      </c>
      <c r="H38" s="68">
        <f t="shared" si="5"/>
        <v>-437419213</v>
      </c>
      <c r="I38" s="68">
        <f t="shared" si="5"/>
        <v>-555829871</v>
      </c>
      <c r="J38" s="68">
        <f t="shared" si="5"/>
        <v>-704585339.5</v>
      </c>
      <c r="K38" s="68">
        <f t="shared" si="5"/>
        <v>-876393195.5</v>
      </c>
      <c r="L38" s="68">
        <f t="shared" si="5"/>
        <v>-1063714710</v>
      </c>
      <c r="M38" s="68">
        <f t="shared" si="5"/>
        <v>-1267886540</v>
      </c>
      <c r="N38" s="68">
        <f t="shared" si="5"/>
        <v>-1493667310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7" t="s">
        <v>29</v>
      </c>
      <c r="C39" s="77">
        <f>-650*1000000</f>
        <v>-650000000</v>
      </c>
      <c r="D39" s="77">
        <f>'NRD MC P&amp;L'!D38+'RideBox Energy P&amp;L'!D27</f>
        <v>109294491.7</v>
      </c>
      <c r="E39" s="77">
        <f>'NRD MC P&amp;L'!E38+'RideBox Energy P&amp;L'!E27</f>
        <v>323884988.5</v>
      </c>
      <c r="F39" s="77">
        <f>'NRD MC P&amp;L'!F38+'RideBox Energy P&amp;L'!F27</f>
        <v>643278439.4</v>
      </c>
      <c r="G39" s="77">
        <f>'NRD MC P&amp;L'!G38+'RideBox Energy P&amp;L'!G27</f>
        <v>1024844916</v>
      </c>
      <c r="H39" s="77">
        <f>'NRD MC P&amp;L'!H38+'RideBox Energy P&amp;L'!H27</f>
        <v>1439693793</v>
      </c>
      <c r="I39" s="77">
        <f>'NRD MC P&amp;L'!I38+'RideBox Energy P&amp;L'!I27</f>
        <v>1921149601</v>
      </c>
      <c r="J39" s="77">
        <f>'NRD MC P&amp;L'!J38+'RideBox Energy P&amp;L'!J27</f>
        <v>2533621126</v>
      </c>
      <c r="K39" s="77">
        <f>'NRD MC P&amp;L'!K38+'RideBox Energy P&amp;L'!K27</f>
        <v>3242126379</v>
      </c>
      <c r="L39" s="77">
        <f>'NRD MC P&amp;L'!L38+'RideBox Energy P&amp;L'!L27</f>
        <v>3977869322</v>
      </c>
      <c r="M39" s="77">
        <f>'NRD MC P&amp;L'!M38+'RideBox Energy P&amp;L'!M27</f>
        <v>4771331522</v>
      </c>
      <c r="N39" s="77">
        <f>'NRD MC P&amp;L'!N38+'RideBox Energy P&amp;L'!N27</f>
        <v>5622985821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8" t="s">
        <v>525</v>
      </c>
      <c r="C40" s="78">
        <f>IRR(C39:F39)</f>
        <v>0.2289150649</v>
      </c>
      <c r="D40" s="12">
        <f t="shared" ref="D40:N40" si="6">IFERROR(D39/D8,0)</f>
        <v>0.2568795052</v>
      </c>
      <c r="E40" s="12">
        <f t="shared" si="6"/>
        <v>0.3808278846</v>
      </c>
      <c r="F40" s="12">
        <f t="shared" si="6"/>
        <v>0.4354965616</v>
      </c>
      <c r="G40" s="12">
        <f t="shared" si="6"/>
        <v>0.4614091897</v>
      </c>
      <c r="H40" s="12">
        <f t="shared" si="6"/>
        <v>0.4773323504</v>
      </c>
      <c r="I40" s="12">
        <f t="shared" si="6"/>
        <v>0.4909996646</v>
      </c>
      <c r="J40" s="12">
        <f t="shared" si="6"/>
        <v>0.4988353274</v>
      </c>
      <c r="K40" s="12">
        <f t="shared" si="6"/>
        <v>0.5066175465</v>
      </c>
      <c r="L40" s="12">
        <f t="shared" si="6"/>
        <v>0.5157597876</v>
      </c>
      <c r="M40" s="12">
        <f t="shared" si="6"/>
        <v>0.5231227398</v>
      </c>
      <c r="N40" s="12">
        <f t="shared" si="6"/>
        <v>0.5289941422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/>
      <c r="B41" s="7" t="s">
        <v>523</v>
      </c>
      <c r="C41" s="3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/>
      <c r="B42" s="8" t="s">
        <v>575</v>
      </c>
      <c r="C42" s="3"/>
      <c r="D42" s="68">
        <f>-'MC Drivers (NRD)'!D200</f>
        <v>-8302386.988</v>
      </c>
      <c r="E42" s="68">
        <f>-'MC Drivers (NRD)'!E200</f>
        <v>-29061570.08</v>
      </c>
      <c r="F42" s="68">
        <f>-'MC Drivers (NRD)'!F200</f>
        <v>-59580151.93</v>
      </c>
      <c r="G42" s="68">
        <f>-'MC Drivers (NRD)'!G200</f>
        <v>-101304556.2</v>
      </c>
      <c r="H42" s="68">
        <f>-'MC Drivers (NRD)'!H200</f>
        <v>-152653771.8</v>
      </c>
      <c r="I42" s="68">
        <f>-'MC Drivers (NRD)'!I200</f>
        <v>-213009684.3</v>
      </c>
      <c r="J42" s="68">
        <f>-'MC Drivers (NRD)'!J200</f>
        <v>-286516114.8</v>
      </c>
      <c r="K42" s="68">
        <f>-'MC Drivers (NRD)'!K200</f>
        <v>-375620187.4</v>
      </c>
      <c r="L42" s="68">
        <f>-'MC Drivers (NRD)'!L200</f>
        <v>-476691098</v>
      </c>
      <c r="M42" s="68">
        <f>-'MC Drivers (NRD)'!M200</f>
        <v>-586840156.2</v>
      </c>
      <c r="N42" s="68">
        <f>-'MC Drivers (NRD)'!N200</f>
        <v>-697760818.1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/>
      <c r="B43" s="8" t="s">
        <v>576</v>
      </c>
      <c r="C43" s="3"/>
      <c r="D43" s="68">
        <f>-'MC Drivers (NRD)'!D220</f>
        <v>-5472547.176</v>
      </c>
      <c r="E43" s="68">
        <f>-'MC Drivers (NRD)'!E220</f>
        <v>-18743967.99</v>
      </c>
      <c r="F43" s="68">
        <f>-'MC Drivers (NRD)'!F220</f>
        <v>-37690439.98</v>
      </c>
      <c r="G43" s="68">
        <f>-'MC Drivers (NRD)'!G220</f>
        <v>-63233109.41</v>
      </c>
      <c r="H43" s="68">
        <f>-'MC Drivers (NRD)'!H220</f>
        <v>-94161891.37</v>
      </c>
      <c r="I43" s="68">
        <f>-'MC Drivers (NRD)'!I220</f>
        <v>-129921134.6</v>
      </c>
      <c r="J43" s="68">
        <f>-'MC Drivers (NRD)'!J220</f>
        <v>-173017443.7</v>
      </c>
      <c r="K43" s="68">
        <f>-'MC Drivers (NRD)'!K220</f>
        <v>-224794259.6</v>
      </c>
      <c r="L43" s="68">
        <f>-'MC Drivers (NRD)'!L220</f>
        <v>-282670891.2</v>
      </c>
      <c r="M43" s="68">
        <f>-'MC Drivers (NRD)'!M220</f>
        <v>-344614889.7</v>
      </c>
      <c r="N43" s="68">
        <f>-'MC Drivers (NRD)'!N220</f>
        <v>-405027760.5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8" t="s">
        <v>577</v>
      </c>
      <c r="C44" s="3"/>
      <c r="D44" s="68">
        <f>-'MC Drivers (NRD)'!D239</f>
        <v>-1249987.24</v>
      </c>
      <c r="E44" s="68">
        <f>-'MC Drivers (NRD)'!E239</f>
        <v>-4249956.616</v>
      </c>
      <c r="F44" s="68">
        <f>-'MC Drivers (NRD)'!F239</f>
        <v>-8274539.024</v>
      </c>
      <c r="G44" s="68">
        <f>-'MC Drivers (NRD)'!G239</f>
        <v>-13504606.11</v>
      </c>
      <c r="H44" s="68">
        <f>-'MC Drivers (NRD)'!H239</f>
        <v>-20301901.16</v>
      </c>
      <c r="I44" s="68">
        <f>-'MC Drivers (NRD)'!I239</f>
        <v>-29135169.4</v>
      </c>
      <c r="J44" s="68">
        <f>-'MC Drivers (NRD)'!J239</f>
        <v>-40611407.63</v>
      </c>
      <c r="K44" s="68">
        <f>-'MC Drivers (NRD)'!K239</f>
        <v>-55529854.7</v>
      </c>
      <c r="L44" s="68">
        <f>-'MC Drivers (NRD)'!L239</f>
        <v>-74926493.98</v>
      </c>
      <c r="M44" s="68">
        <f>-'MC Drivers (NRD)'!M239</f>
        <v>-100138435.3</v>
      </c>
      <c r="N44" s="68">
        <f>-'MC Drivers (NRD)'!N239</f>
        <v>-131659047.2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8" t="s">
        <v>578</v>
      </c>
      <c r="C45" s="3"/>
      <c r="D45" s="68">
        <f>-'Energy Drivers (RideBox)'!D120</f>
        <v>-2055628.551</v>
      </c>
      <c r="E45" s="68">
        <f>-'Energy Drivers (RideBox)'!E120</f>
        <v>-7146565.377</v>
      </c>
      <c r="F45" s="68">
        <f>-'Energy Drivers (RideBox)'!F120</f>
        <v>-14683870.07</v>
      </c>
      <c r="G45" s="68">
        <f>-'Energy Drivers (RideBox)'!G120</f>
        <v>-25069607.71</v>
      </c>
      <c r="H45" s="68">
        <f>-'Energy Drivers (RideBox)'!H120</f>
        <v>-37980993.65</v>
      </c>
      <c r="I45" s="68">
        <f>-'Energy Drivers (RideBox)'!I120</f>
        <v>-53316095.9</v>
      </c>
      <c r="J45" s="68">
        <f>-'Energy Drivers (RideBox)'!J120</f>
        <v>-71980976.63</v>
      </c>
      <c r="K45" s="68">
        <f>-'Energy Drivers (RideBox)'!K120</f>
        <v>-94638193.81</v>
      </c>
      <c r="L45" s="68">
        <f>-'Energy Drivers (RideBox)'!L120</f>
        <v>-120438314.1</v>
      </c>
      <c r="M45" s="68">
        <f>-'Energy Drivers (RideBox)'!M120</f>
        <v>-148673476.6</v>
      </c>
      <c r="N45" s="68">
        <f>-'Energy Drivers (RideBox)'!N120</f>
        <v>-177350344.3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/>
      <c r="B46" s="8" t="s">
        <v>579</v>
      </c>
      <c r="C46" s="3"/>
      <c r="D46" s="68">
        <f>-'MC Drivers (NRD)'!D304</f>
        <v>-315000</v>
      </c>
      <c r="E46" s="68">
        <f>-'MC Drivers (NRD)'!E304</f>
        <v>-815000</v>
      </c>
      <c r="F46" s="68">
        <f>-'MC Drivers (NRD)'!F304</f>
        <v>-1185000</v>
      </c>
      <c r="G46" s="68">
        <f>-'MC Drivers (NRD)'!G304</f>
        <v>-1485000</v>
      </c>
      <c r="H46" s="68">
        <f>-'MC Drivers (NRD)'!H304</f>
        <v>-1715000</v>
      </c>
      <c r="I46" s="68">
        <f>-'MC Drivers (NRD)'!I304</f>
        <v>-1945000</v>
      </c>
      <c r="J46" s="68">
        <f>-'MC Drivers (NRD)'!J304</f>
        <v>-2175000</v>
      </c>
      <c r="K46" s="68">
        <f>-'MC Drivers (NRD)'!K304</f>
        <v>-2405000</v>
      </c>
      <c r="L46" s="68">
        <f>-'MC Drivers (NRD)'!L304</f>
        <v>-2635000</v>
      </c>
      <c r="M46" s="68">
        <f>-'MC Drivers (NRD)'!M304</f>
        <v>-2865000</v>
      </c>
      <c r="N46" s="68">
        <f>-'MC Drivers (NRD)'!N304</f>
        <v>-2780000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/>
      <c r="B47" s="7" t="s">
        <v>580</v>
      </c>
      <c r="C47" s="79"/>
      <c r="D47" s="77">
        <f t="shared" ref="D47:N47" si="7">SUM(D42:D46)</f>
        <v>-17395549.96</v>
      </c>
      <c r="E47" s="77">
        <f t="shared" si="7"/>
        <v>-60017060.06</v>
      </c>
      <c r="F47" s="77">
        <f t="shared" si="7"/>
        <v>-121414001</v>
      </c>
      <c r="G47" s="77">
        <f t="shared" si="7"/>
        <v>-204596879.4</v>
      </c>
      <c r="H47" s="77">
        <f t="shared" si="7"/>
        <v>-306813558</v>
      </c>
      <c r="I47" s="77">
        <f t="shared" si="7"/>
        <v>-427327084.2</v>
      </c>
      <c r="J47" s="77">
        <f t="shared" si="7"/>
        <v>-574300942.7</v>
      </c>
      <c r="K47" s="77">
        <f t="shared" si="7"/>
        <v>-752987495.5</v>
      </c>
      <c r="L47" s="77">
        <f t="shared" si="7"/>
        <v>-957361797.3</v>
      </c>
      <c r="M47" s="77">
        <f t="shared" si="7"/>
        <v>-1183131958</v>
      </c>
      <c r="N47" s="77">
        <f t="shared" si="7"/>
        <v>-1414577970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/>
      <c r="B48" s="7" t="s">
        <v>581</v>
      </c>
      <c r="C48" s="3"/>
      <c r="D48" s="70">
        <f t="shared" ref="D48:N48" si="8">D39+D47</f>
        <v>91898941.72</v>
      </c>
      <c r="E48" s="70">
        <f t="shared" si="8"/>
        <v>263867928.5</v>
      </c>
      <c r="F48" s="70">
        <f t="shared" si="8"/>
        <v>521864438.4</v>
      </c>
      <c r="G48" s="70">
        <f t="shared" si="8"/>
        <v>820248036.6</v>
      </c>
      <c r="H48" s="70">
        <f t="shared" si="8"/>
        <v>1132880235</v>
      </c>
      <c r="I48" s="70">
        <f t="shared" si="8"/>
        <v>1493822517</v>
      </c>
      <c r="J48" s="70">
        <f t="shared" si="8"/>
        <v>1959320184</v>
      </c>
      <c r="K48" s="70">
        <f t="shared" si="8"/>
        <v>2489138884</v>
      </c>
      <c r="L48" s="70">
        <f t="shared" si="8"/>
        <v>3020507525</v>
      </c>
      <c r="M48" s="70">
        <f t="shared" si="8"/>
        <v>3588199564</v>
      </c>
      <c r="N48" s="70">
        <f t="shared" si="8"/>
        <v>4208407851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3"/>
      <c r="B49" s="8" t="s">
        <v>526</v>
      </c>
      <c r="C49" s="3"/>
      <c r="D49" s="68">
        <f>'NRD MC P&amp;L'!D42+'RideBox Energy P&amp;L'!D31</f>
        <v>0</v>
      </c>
      <c r="E49" s="68">
        <f>'NRD MC P&amp;L'!E42+'RideBox Energy P&amp;L'!E31</f>
        <v>0</v>
      </c>
      <c r="F49" s="68">
        <f>'NRD MC P&amp;L'!F42+'RideBox Energy P&amp;L'!F31</f>
        <v>0</v>
      </c>
      <c r="G49" s="68">
        <f>'NRD MC P&amp;L'!G42+'RideBox Energy P&amp;L'!G31</f>
        <v>0</v>
      </c>
      <c r="H49" s="68">
        <f>'NRD MC P&amp;L'!H42+'RideBox Energy P&amp;L'!H31</f>
        <v>0</v>
      </c>
      <c r="I49" s="68">
        <f>'NRD MC P&amp;L'!I42+'RideBox Energy P&amp;L'!I31</f>
        <v>0</v>
      </c>
      <c r="J49" s="68">
        <f>'NRD MC P&amp;L'!J42+'RideBox Energy P&amp;L'!J31</f>
        <v>0</v>
      </c>
      <c r="K49" s="68">
        <f>'NRD MC P&amp;L'!K42+'RideBox Energy P&amp;L'!K31</f>
        <v>0</v>
      </c>
      <c r="L49" s="68">
        <f>'NRD MC P&amp;L'!L42+'RideBox Energy P&amp;L'!L31</f>
        <v>0</v>
      </c>
      <c r="M49" s="68">
        <f>'NRD MC P&amp;L'!M42+'RideBox Energy P&amp;L'!M31</f>
        <v>0</v>
      </c>
      <c r="N49" s="68">
        <f>'NRD MC P&amp;L'!N42+'RideBox Energy P&amp;L'!N31</f>
        <v>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3"/>
      <c r="B50" s="7" t="s">
        <v>527</v>
      </c>
      <c r="C50" s="3"/>
      <c r="D50" s="70">
        <f t="shared" ref="D50:N50" si="9">D48+D49</f>
        <v>91898941.72</v>
      </c>
      <c r="E50" s="70">
        <f t="shared" si="9"/>
        <v>263867928.5</v>
      </c>
      <c r="F50" s="70">
        <f t="shared" si="9"/>
        <v>521864438.4</v>
      </c>
      <c r="G50" s="70">
        <f t="shared" si="9"/>
        <v>820248036.6</v>
      </c>
      <c r="H50" s="70">
        <f t="shared" si="9"/>
        <v>1132880235</v>
      </c>
      <c r="I50" s="70">
        <f t="shared" si="9"/>
        <v>1493822517</v>
      </c>
      <c r="J50" s="70">
        <f t="shared" si="9"/>
        <v>1959320184</v>
      </c>
      <c r="K50" s="70">
        <f t="shared" si="9"/>
        <v>2489138884</v>
      </c>
      <c r="L50" s="70">
        <f t="shared" si="9"/>
        <v>3020507525</v>
      </c>
      <c r="M50" s="70">
        <f t="shared" si="9"/>
        <v>3588199564</v>
      </c>
      <c r="N50" s="70">
        <f t="shared" si="9"/>
        <v>4208407851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3"/>
      <c r="B51" s="8" t="s">
        <v>560</v>
      </c>
      <c r="C51" s="3"/>
      <c r="D51" s="68">
        <f>'NRD MC P&amp;L'!D44+'RideBox Energy P&amp;L'!D33</f>
        <v>-22974735.43</v>
      </c>
      <c r="E51" s="68">
        <f>'NRD MC P&amp;L'!E44+'RideBox Energy P&amp;L'!E33</f>
        <v>-65966982.12</v>
      </c>
      <c r="F51" s="68">
        <f>'NRD MC P&amp;L'!F44+'RideBox Energy P&amp;L'!F33</f>
        <v>-130466109.6</v>
      </c>
      <c r="G51" s="68">
        <f>'NRD MC P&amp;L'!G44+'RideBox Energy P&amp;L'!G33</f>
        <v>-205062009.1</v>
      </c>
      <c r="H51" s="68">
        <f>'NRD MC P&amp;L'!H44+'RideBox Energy P&amp;L'!H33</f>
        <v>-283220058.7</v>
      </c>
      <c r="I51" s="68">
        <f>'NRD MC P&amp;L'!I44+'RideBox Energy P&amp;L'!I33</f>
        <v>-373455629.2</v>
      </c>
      <c r="J51" s="68">
        <f>'NRD MC P&amp;L'!J44+'RideBox Energy P&amp;L'!J33</f>
        <v>-489830045.9</v>
      </c>
      <c r="K51" s="68">
        <f>'NRD MC P&amp;L'!K44+'RideBox Energy P&amp;L'!K33</f>
        <v>-622284720.9</v>
      </c>
      <c r="L51" s="68">
        <f>'NRD MC P&amp;L'!L44+'RideBox Energy P&amp;L'!L33</f>
        <v>-755126881.2</v>
      </c>
      <c r="M51" s="68">
        <f>'NRD MC P&amp;L'!M44+'RideBox Energy P&amp;L'!M33</f>
        <v>-897049891.1</v>
      </c>
      <c r="N51" s="68">
        <f>'NRD MC P&amp;L'!N44+'RideBox Energy P&amp;L'!N33</f>
        <v>-1052101963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3"/>
      <c r="B52" s="7" t="s">
        <v>529</v>
      </c>
      <c r="C52" s="3"/>
      <c r="D52" s="70">
        <f t="shared" ref="D52:N52" si="10">D50+D51</f>
        <v>68924206.29</v>
      </c>
      <c r="E52" s="70">
        <f t="shared" si="10"/>
        <v>197900946.4</v>
      </c>
      <c r="F52" s="70">
        <f t="shared" si="10"/>
        <v>391398328.8</v>
      </c>
      <c r="G52" s="70">
        <f t="shared" si="10"/>
        <v>615186027.4</v>
      </c>
      <c r="H52" s="70">
        <f t="shared" si="10"/>
        <v>849660176.2</v>
      </c>
      <c r="I52" s="70">
        <f t="shared" si="10"/>
        <v>1120366888</v>
      </c>
      <c r="J52" s="70">
        <f t="shared" si="10"/>
        <v>1469490138</v>
      </c>
      <c r="K52" s="70">
        <f t="shared" si="10"/>
        <v>1866854163</v>
      </c>
      <c r="L52" s="70">
        <f t="shared" si="10"/>
        <v>2265380644</v>
      </c>
      <c r="M52" s="70">
        <f t="shared" si="10"/>
        <v>2691149673</v>
      </c>
      <c r="N52" s="70">
        <f t="shared" si="10"/>
        <v>3156305888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3"/>
      <c r="B53" s="8" t="s">
        <v>530</v>
      </c>
      <c r="C53" s="3"/>
      <c r="D53" s="12">
        <f t="shared" ref="D53:N53" si="11">IFERROR(D52/D8,0)</f>
        <v>0.1619955017</v>
      </c>
      <c r="E53" s="12">
        <f t="shared" si="11"/>
        <v>0.2326943249</v>
      </c>
      <c r="F53" s="12">
        <f t="shared" si="11"/>
        <v>0.2649748786</v>
      </c>
      <c r="G53" s="12">
        <f t="shared" si="11"/>
        <v>0.2769711612</v>
      </c>
      <c r="H53" s="12">
        <f t="shared" si="11"/>
        <v>0.281705937</v>
      </c>
      <c r="I53" s="12">
        <f t="shared" si="11"/>
        <v>0.2863388493</v>
      </c>
      <c r="J53" s="12">
        <f t="shared" si="11"/>
        <v>0.2893224983</v>
      </c>
      <c r="K53" s="12">
        <f t="shared" si="11"/>
        <v>0.291716289</v>
      </c>
      <c r="L53" s="12">
        <f t="shared" si="11"/>
        <v>0.2937231329</v>
      </c>
      <c r="M53" s="12">
        <f t="shared" si="11"/>
        <v>0.2950542388</v>
      </c>
      <c r="N53" s="12">
        <f t="shared" si="11"/>
        <v>0.2969360726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3"/>
      <c r="B55" s="7" t="s">
        <v>582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3"/>
      <c r="B56" s="8" t="s">
        <v>583</v>
      </c>
      <c r="C56" s="3"/>
      <c r="D56" s="68">
        <f>'NRD MC P&amp;L'!D38</f>
        <v>93524352.54</v>
      </c>
      <c r="E56" s="80">
        <f>'NRD MC P&amp;L'!E38</f>
        <v>282416312.9</v>
      </c>
      <c r="F56" s="68">
        <f>'NRD MC P&amp;L'!F38</f>
        <v>555139418.6</v>
      </c>
      <c r="G56" s="68">
        <f>'NRD MC P&amp;L'!G38</f>
        <v>884556800.9</v>
      </c>
      <c r="H56" s="68">
        <f>'NRD MC P&amp;L'!H38</f>
        <v>1248482719</v>
      </c>
      <c r="I56" s="68">
        <f>'NRD MC P&amp;L'!I38</f>
        <v>1674805691</v>
      </c>
      <c r="J56" s="68">
        <f>'NRD MC P&amp;L'!J38</f>
        <v>2215968440</v>
      </c>
      <c r="K56" s="68">
        <f>'NRD MC P&amp;L'!K38</f>
        <v>2847806885</v>
      </c>
      <c r="L56" s="68">
        <f>'NRD MC P&amp;L'!L38</f>
        <v>3514466033</v>
      </c>
      <c r="M56" s="68">
        <f>'NRD MC P&amp;L'!M38</f>
        <v>4241983345</v>
      </c>
      <c r="N56" s="68">
        <f>'NRD MC P&amp;L'!N38</f>
        <v>5032264445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3"/>
      <c r="B57" s="8" t="s">
        <v>584</v>
      </c>
      <c r="C57" s="3"/>
      <c r="D57" s="68">
        <f>'RideBox Energy P&amp;L'!D27</f>
        <v>15770139.14</v>
      </c>
      <c r="E57" s="75">
        <f>'RideBox Energy P&amp;L'!E27</f>
        <v>41468675.65</v>
      </c>
      <c r="F57" s="68">
        <f>'RideBox Energy P&amp;L'!F27</f>
        <v>88139020.82</v>
      </c>
      <c r="G57" s="68">
        <f>'RideBox Energy P&amp;L'!G27</f>
        <v>140288115.1</v>
      </c>
      <c r="H57" s="68">
        <f>'RideBox Energy P&amp;L'!H27</f>
        <v>191211074.4</v>
      </c>
      <c r="I57" s="68">
        <f>'RideBox Energy P&amp;L'!I27</f>
        <v>246343909.5</v>
      </c>
      <c r="J57" s="68">
        <f>'RideBox Energy P&amp;L'!J27</f>
        <v>317652686</v>
      </c>
      <c r="K57" s="68">
        <f>'RideBox Energy P&amp;L'!K27</f>
        <v>394319494.1</v>
      </c>
      <c r="L57" s="68">
        <f>'RideBox Energy P&amp;L'!L27</f>
        <v>463403289.2</v>
      </c>
      <c r="M57" s="68">
        <f>'RideBox Energy P&amp;L'!M27</f>
        <v>529348177.2</v>
      </c>
      <c r="N57" s="68">
        <f>'RideBox Energy P&amp;L'!N27</f>
        <v>590721376.1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44.0"/>
    <col customWidth="1" min="3" max="3" width="17.0"/>
    <col customWidth="1" min="4" max="14" width="14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3"/>
      <c r="B2" s="4" t="s">
        <v>585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66" t="s">
        <v>484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67"/>
      <c r="D4" s="6" t="s">
        <v>485</v>
      </c>
      <c r="E4" s="6" t="s">
        <v>486</v>
      </c>
      <c r="F4" s="6" t="s">
        <v>487</v>
      </c>
      <c r="G4" s="6" t="s">
        <v>488</v>
      </c>
      <c r="H4" s="6" t="s">
        <v>489</v>
      </c>
      <c r="I4" s="6" t="s">
        <v>490</v>
      </c>
      <c r="J4" s="6" t="s">
        <v>491</v>
      </c>
      <c r="K4" s="6" t="s">
        <v>492</v>
      </c>
      <c r="L4" s="6" t="s">
        <v>493</v>
      </c>
      <c r="M4" s="6" t="s">
        <v>494</v>
      </c>
      <c r="N4" s="6" t="s">
        <v>495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7" t="s">
        <v>559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8" t="s">
        <v>29</v>
      </c>
      <c r="C6" s="3"/>
      <c r="D6" s="68">
        <f>'Conso P&amp;L'!D39</f>
        <v>109294491.7</v>
      </c>
      <c r="E6" s="68">
        <f>'Conso P&amp;L'!E39</f>
        <v>323884988.5</v>
      </c>
      <c r="F6" s="68">
        <f>'Conso P&amp;L'!F39</f>
        <v>643278439.4</v>
      </c>
      <c r="G6" s="68">
        <f>'Conso P&amp;L'!G39</f>
        <v>1024844916</v>
      </c>
      <c r="H6" s="68">
        <f>'Conso P&amp;L'!H39</f>
        <v>1439693793</v>
      </c>
      <c r="I6" s="68">
        <f>'Conso P&amp;L'!I39</f>
        <v>1921149601</v>
      </c>
      <c r="J6" s="68">
        <f>'Conso P&amp;L'!J39</f>
        <v>2533621126</v>
      </c>
      <c r="K6" s="68">
        <f>'Conso P&amp;L'!K39</f>
        <v>3242126379</v>
      </c>
      <c r="L6" s="68">
        <f>'Conso P&amp;L'!L39</f>
        <v>3977869322</v>
      </c>
      <c r="M6" s="68">
        <f>'Conso P&amp;L'!M39</f>
        <v>4771331522</v>
      </c>
      <c r="N6" s="68">
        <f>'Conso P&amp;L'!N39</f>
        <v>5622985821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8" t="s">
        <v>560</v>
      </c>
      <c r="C7" s="3"/>
      <c r="D7" s="68">
        <f>'Conso P&amp;L'!D51</f>
        <v>-22974735.43</v>
      </c>
      <c r="E7" s="68">
        <f>'Conso P&amp;L'!E51</f>
        <v>-65966982.12</v>
      </c>
      <c r="F7" s="68">
        <f>'Conso P&amp;L'!F51</f>
        <v>-130466109.6</v>
      </c>
      <c r="G7" s="68">
        <f>'Conso P&amp;L'!G51</f>
        <v>-205062009.1</v>
      </c>
      <c r="H7" s="68">
        <f>'Conso P&amp;L'!H51</f>
        <v>-283220058.7</v>
      </c>
      <c r="I7" s="68">
        <f>'Conso P&amp;L'!I51</f>
        <v>-373455629.2</v>
      </c>
      <c r="J7" s="68">
        <f>'Conso P&amp;L'!J51</f>
        <v>-489830045.9</v>
      </c>
      <c r="K7" s="68">
        <f>'Conso P&amp;L'!K51</f>
        <v>-622284720.9</v>
      </c>
      <c r="L7" s="68">
        <f>'Conso P&amp;L'!L51</f>
        <v>-755126881.2</v>
      </c>
      <c r="M7" s="68">
        <f>'Conso P&amp;L'!M51</f>
        <v>-897049891.1</v>
      </c>
      <c r="N7" s="68">
        <f>'Conso P&amp;L'!N51</f>
        <v>-1052101963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8" t="s">
        <v>561</v>
      </c>
      <c r="C8" s="3"/>
      <c r="D8" s="68">
        <f>-('NRD MC Balance Sheet'!D17+'RideBox Energy Balance Sheet'!D16)</f>
        <v>-10264487.7</v>
      </c>
      <c r="E8" s="68">
        <f>-(('NRD MC Balance Sheet'!E17+'RideBox Energy Balance Sheet'!E16)-('NRD MC Balance Sheet'!D17+'RideBox Energy Balance Sheet'!D16))</f>
        <v>-9885201.938</v>
      </c>
      <c r="F8" s="68">
        <f>-(('NRD MC Balance Sheet'!F17+'RideBox Energy Balance Sheet'!F16)-('NRD MC Balance Sheet'!E17+'RideBox Energy Balance Sheet'!E16))</f>
        <v>-15722448.96</v>
      </c>
      <c r="G8" s="68">
        <f>-(('NRD MC Balance Sheet'!G17+'RideBox Energy Balance Sheet'!G16)-('NRD MC Balance Sheet'!F17+'RideBox Energy Balance Sheet'!F16))</f>
        <v>-17523352.95</v>
      </c>
      <c r="H8" s="68">
        <f>-(('NRD MC Balance Sheet'!H17+'RideBox Energy Balance Sheet'!H16)-('NRD MC Balance Sheet'!G17+'RideBox Energy Balance Sheet'!G16))</f>
        <v>-16709643.33</v>
      </c>
      <c r="I8" s="68">
        <f>-(('NRD MC Balance Sheet'!I17+'RideBox Energy Balance Sheet'!I16)-('NRD MC Balance Sheet'!H17+'RideBox Energy Balance Sheet'!H16))</f>
        <v>-17971959.1</v>
      </c>
      <c r="J8" s="68">
        <f>-(('NRD MC Balance Sheet'!J17+'RideBox Energy Balance Sheet'!J16)-('NRD MC Balance Sheet'!I17+'RideBox Energy Balance Sheet'!I16))</f>
        <v>-24980126.73</v>
      </c>
      <c r="K8" s="68">
        <f>-(('NRD MC Balance Sheet'!K17+'RideBox Energy Balance Sheet'!K16)-('NRD MC Balance Sheet'!J17+'RideBox Energy Balance Sheet'!J16))</f>
        <v>-26851596.9</v>
      </c>
      <c r="L8" s="68">
        <f>-(('NRD MC Balance Sheet'!L17+'RideBox Energy Balance Sheet'!L16)-('NRD MC Balance Sheet'!K17+'RideBox Energy Balance Sheet'!K16))</f>
        <v>-22728156.29</v>
      </c>
      <c r="M8" s="68">
        <f>-(('NRD MC Balance Sheet'!M17+'RideBox Energy Balance Sheet'!M16)-('NRD MC Balance Sheet'!L17+'RideBox Energy Balance Sheet'!L16))</f>
        <v>-23906203.24</v>
      </c>
      <c r="N8" s="68">
        <f>-(('NRD MC Balance Sheet'!N17+'RideBox Energy Balance Sheet'!N16)-('NRD MC Balance Sheet'!M17+'RideBox Energy Balance Sheet'!M16))</f>
        <v>-24328361.68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7" t="s">
        <v>586</v>
      </c>
      <c r="C9" s="3"/>
      <c r="D9" s="70">
        <f t="shared" ref="D9:N9" si="1">D6+D7+D8</f>
        <v>76055268.55</v>
      </c>
      <c r="E9" s="70">
        <f t="shared" si="1"/>
        <v>248032804.5</v>
      </c>
      <c r="F9" s="70">
        <f t="shared" si="1"/>
        <v>497089880.8</v>
      </c>
      <c r="G9" s="70">
        <f t="shared" si="1"/>
        <v>802259553.9</v>
      </c>
      <c r="H9" s="70">
        <f t="shared" si="1"/>
        <v>1139764091</v>
      </c>
      <c r="I9" s="70">
        <f t="shared" si="1"/>
        <v>1529722013</v>
      </c>
      <c r="J9" s="70">
        <f t="shared" si="1"/>
        <v>2018810954</v>
      </c>
      <c r="K9" s="70">
        <f t="shared" si="1"/>
        <v>2592990061</v>
      </c>
      <c r="L9" s="70">
        <f t="shared" si="1"/>
        <v>3200014285</v>
      </c>
      <c r="M9" s="70">
        <f t="shared" si="1"/>
        <v>3850375428</v>
      </c>
      <c r="N9" s="70">
        <f t="shared" si="1"/>
        <v>4546555497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7" t="s">
        <v>563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8" t="s">
        <v>587</v>
      </c>
      <c r="C12" s="3"/>
      <c r="D12" s="68">
        <f>-('MC Drivers (NRD)'!D186+'MC Drivers (NRD)'!D206+'MC Drivers (NRD)'!D225+'MC Drivers (NRD)'!D305+'Energy Drivers (RideBox)'!D106)</f>
        <v>-347910999.1</v>
      </c>
      <c r="E12" s="68">
        <f>-('MC Drivers (NRD)'!E186+'MC Drivers (NRD)'!E206+'MC Drivers (NRD)'!E225+'MC Drivers (NRD)'!E305+'Energy Drivers (RideBox)'!E106)</f>
        <v>-504519203</v>
      </c>
      <c r="F12" s="68">
        <f>-('MC Drivers (NRD)'!F186+'MC Drivers (NRD)'!F206+'MC Drivers (NRD)'!F225+'MC Drivers (NRD)'!F305+'Energy Drivers (RideBox)'!F106)</f>
        <v>-723419615.9</v>
      </c>
      <c r="G12" s="68">
        <f>-('MC Drivers (NRD)'!G186+'MC Drivers (NRD)'!G206+'MC Drivers (NRD)'!G225+'MC Drivers (NRD)'!G305+'Energy Drivers (RideBox)'!G106)</f>
        <v>-940237952.8</v>
      </c>
      <c r="H12" s="68">
        <f>-('MC Drivers (NRD)'!H186+'MC Drivers (NRD)'!H206+'MC Drivers (NRD)'!H225+'MC Drivers (NRD)'!H305+'Energy Drivers (RideBox)'!H106)</f>
        <v>-1104095618</v>
      </c>
      <c r="I12" s="68">
        <f>-('MC Drivers (NRD)'!I186+'MC Drivers (NRD)'!I206+'MC Drivers (NRD)'!I225+'MC Drivers (NRD)'!I305+'Energy Drivers (RideBox)'!I106)</f>
        <v>-1306174908</v>
      </c>
      <c r="J12" s="68">
        <f>-('MC Drivers (NRD)'!J186+'MC Drivers (NRD)'!J206+'MC Drivers (NRD)'!J225+'MC Drivers (NRD)'!J305+'Energy Drivers (RideBox)'!J106)</f>
        <v>-1633302261</v>
      </c>
      <c r="K12" s="68">
        <f>-('MC Drivers (NRD)'!K186+'MC Drivers (NRD)'!K206+'MC Drivers (NRD)'!K225+'MC Drivers (NRD)'!K305+'Energy Drivers (RideBox)'!K106)</f>
        <v>-1940428795</v>
      </c>
      <c r="L12" s="68">
        <f>-('MC Drivers (NRD)'!L186+'MC Drivers (NRD)'!L206+'MC Drivers (NRD)'!L225+'MC Drivers (NRD)'!L305+'Energy Drivers (RideBox)'!L106)</f>
        <v>-2147057242</v>
      </c>
      <c r="M12" s="68">
        <f>-('MC Drivers (NRD)'!M186+'MC Drivers (NRD)'!M206+'MC Drivers (NRD)'!M225+'MC Drivers (NRD)'!M305+'Energy Drivers (RideBox)'!M106)</f>
        <v>-2368345969</v>
      </c>
      <c r="N12" s="68">
        <f>-('MC Drivers (NRD)'!N186+'MC Drivers (NRD)'!N206+'MC Drivers (NRD)'!N225+'MC Drivers (NRD)'!N305+'Energy Drivers (RideBox)'!N106)</f>
        <v>-2608485275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7" t="s">
        <v>588</v>
      </c>
      <c r="C13" s="3"/>
      <c r="D13" s="70">
        <f t="shared" ref="D13:N13" si="2">D12</f>
        <v>-347910999.1</v>
      </c>
      <c r="E13" s="70">
        <f t="shared" si="2"/>
        <v>-504519203</v>
      </c>
      <c r="F13" s="70">
        <f t="shared" si="2"/>
        <v>-723419615.9</v>
      </c>
      <c r="G13" s="70">
        <f t="shared" si="2"/>
        <v>-940237952.8</v>
      </c>
      <c r="H13" s="70">
        <f t="shared" si="2"/>
        <v>-1104095618</v>
      </c>
      <c r="I13" s="70">
        <f t="shared" si="2"/>
        <v>-1306174908</v>
      </c>
      <c r="J13" s="70">
        <f t="shared" si="2"/>
        <v>-1633302261</v>
      </c>
      <c r="K13" s="70">
        <f t="shared" si="2"/>
        <v>-1940428795</v>
      </c>
      <c r="L13" s="70">
        <f t="shared" si="2"/>
        <v>-2147057242</v>
      </c>
      <c r="M13" s="70">
        <f t="shared" si="2"/>
        <v>-2368345969</v>
      </c>
      <c r="N13" s="70">
        <f t="shared" si="2"/>
        <v>-2608485275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7" t="s">
        <v>589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8" t="s">
        <v>590</v>
      </c>
      <c r="C16" s="3"/>
      <c r="D16" s="68">
        <f>'MC Drivers (NRD)'!D317</f>
        <v>650000000</v>
      </c>
      <c r="E16" s="68">
        <f>'MC Drivers (NRD)'!E317</f>
        <v>0</v>
      </c>
      <c r="F16" s="68">
        <f>'MC Drivers (NRD)'!F317</f>
        <v>350000000</v>
      </c>
      <c r="G16" s="68" t="str">
        <f>'MC Drivers (NRD)'!G317</f>
        <v/>
      </c>
      <c r="H16" s="68">
        <f>'MC Drivers (NRD)'!H317</f>
        <v>0</v>
      </c>
      <c r="I16" s="68">
        <f>'MC Drivers (NRD)'!I317</f>
        <v>0</v>
      </c>
      <c r="J16" s="68">
        <f>'MC Drivers (NRD)'!J317</f>
        <v>0</v>
      </c>
      <c r="K16" s="68">
        <f>'MC Drivers (NRD)'!K317</f>
        <v>0</v>
      </c>
      <c r="L16" s="68">
        <f>'MC Drivers (NRD)'!L317</f>
        <v>0</v>
      </c>
      <c r="M16" s="68">
        <f>'MC Drivers (NRD)'!M317</f>
        <v>0</v>
      </c>
      <c r="N16" s="68">
        <f>'MC Drivers (NRD)'!N317</f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8" t="s">
        <v>591</v>
      </c>
      <c r="C17" s="3"/>
      <c r="D17" s="68">
        <f>'MC Drivers (NRD)'!D318</f>
        <v>0</v>
      </c>
      <c r="E17" s="68">
        <f>'MC Drivers (NRD)'!E318</f>
        <v>0</v>
      </c>
      <c r="F17" s="68">
        <f>'MC Drivers (NRD)'!F318</f>
        <v>0</v>
      </c>
      <c r="G17" s="68">
        <f>'MC Drivers (NRD)'!G318</f>
        <v>0</v>
      </c>
      <c r="H17" s="68">
        <f>'MC Drivers (NRD)'!H318</f>
        <v>0</v>
      </c>
      <c r="I17" s="68">
        <f>'MC Drivers (NRD)'!I318</f>
        <v>0</v>
      </c>
      <c r="J17" s="68">
        <f>'MC Drivers (NRD)'!J318</f>
        <v>0</v>
      </c>
      <c r="K17" s="68">
        <f>'MC Drivers (NRD)'!K318</f>
        <v>0</v>
      </c>
      <c r="L17" s="68">
        <f>'MC Drivers (NRD)'!L318</f>
        <v>0</v>
      </c>
      <c r="M17" s="68">
        <f>'MC Drivers (NRD)'!M318</f>
        <v>0</v>
      </c>
      <c r="N17" s="68">
        <f>'MC Drivers (NRD)'!N318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8" t="s">
        <v>592</v>
      </c>
      <c r="C18" s="3"/>
      <c r="D18" s="68">
        <f>-'MC Drivers (NRD)'!D319</f>
        <v>0</v>
      </c>
      <c r="E18" s="68">
        <f>-'MC Drivers (NRD)'!E319</f>
        <v>0</v>
      </c>
      <c r="F18" s="68">
        <f>-'MC Drivers (NRD)'!F319</f>
        <v>0</v>
      </c>
      <c r="G18" s="68">
        <f>-'MC Drivers (NRD)'!G319</f>
        <v>0</v>
      </c>
      <c r="H18" s="68">
        <f>-'MC Drivers (NRD)'!H319</f>
        <v>0</v>
      </c>
      <c r="I18" s="68">
        <f>-'MC Drivers (NRD)'!I319</f>
        <v>0</v>
      </c>
      <c r="J18" s="68">
        <f>-'MC Drivers (NRD)'!J319</f>
        <v>0</v>
      </c>
      <c r="K18" s="68">
        <f>-'MC Drivers (NRD)'!K319</f>
        <v>0</v>
      </c>
      <c r="L18" s="68">
        <f>-'MC Drivers (NRD)'!L319</f>
        <v>0</v>
      </c>
      <c r="M18" s="68">
        <f>-'MC Drivers (NRD)'!M319</f>
        <v>0</v>
      </c>
      <c r="N18" s="68">
        <f>-'MC Drivers (NRD)'!N319</f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8" t="s">
        <v>593</v>
      </c>
      <c r="C19" s="3"/>
      <c r="D19" s="68">
        <f>-'MC Drivers (NRD)'!D323</f>
        <v>0</v>
      </c>
      <c r="E19" s="68">
        <f>-'MC Drivers (NRD)'!E323</f>
        <v>0</v>
      </c>
      <c r="F19" s="68">
        <f>-'MC Drivers (NRD)'!F323</f>
        <v>0</v>
      </c>
      <c r="G19" s="68">
        <f>-'MC Drivers (NRD)'!G323</f>
        <v>0</v>
      </c>
      <c r="H19" s="68">
        <f>-'MC Drivers (NRD)'!H323</f>
        <v>0</v>
      </c>
      <c r="I19" s="68">
        <f>-'MC Drivers (NRD)'!I323</f>
        <v>0</v>
      </c>
      <c r="J19" s="68">
        <f>-'MC Drivers (NRD)'!J323</f>
        <v>0</v>
      </c>
      <c r="K19" s="68">
        <f>-'MC Drivers (NRD)'!K323</f>
        <v>0</v>
      </c>
      <c r="L19" s="68">
        <f>-'MC Drivers (NRD)'!L323</f>
        <v>0</v>
      </c>
      <c r="M19" s="68">
        <f>-'MC Drivers (NRD)'!M323</f>
        <v>0</v>
      </c>
      <c r="N19" s="68">
        <f>-'MC Drivers (NRD)'!N323</f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7" t="s">
        <v>594</v>
      </c>
      <c r="C20" s="3"/>
      <c r="D20" s="70">
        <f t="shared" ref="D20:N20" si="3">SUM(D16:D19)</f>
        <v>650000000</v>
      </c>
      <c r="E20" s="70">
        <f t="shared" si="3"/>
        <v>0</v>
      </c>
      <c r="F20" s="70">
        <f t="shared" si="3"/>
        <v>350000000</v>
      </c>
      <c r="G20" s="70">
        <f t="shared" si="3"/>
        <v>0</v>
      </c>
      <c r="H20" s="70">
        <f t="shared" si="3"/>
        <v>0</v>
      </c>
      <c r="I20" s="70">
        <f t="shared" si="3"/>
        <v>0</v>
      </c>
      <c r="J20" s="70">
        <f t="shared" si="3"/>
        <v>0</v>
      </c>
      <c r="K20" s="70">
        <f t="shared" si="3"/>
        <v>0</v>
      </c>
      <c r="L20" s="70">
        <f t="shared" si="3"/>
        <v>0</v>
      </c>
      <c r="M20" s="70">
        <f t="shared" si="3"/>
        <v>0</v>
      </c>
      <c r="N20" s="70">
        <f t="shared" si="3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3"/>
      <c r="B22" s="7" t="s">
        <v>595</v>
      </c>
      <c r="C22" s="3"/>
      <c r="D22" s="70">
        <f t="shared" ref="D22:N22" si="4">D9+D13+D20</f>
        <v>378144269.4</v>
      </c>
      <c r="E22" s="70">
        <f t="shared" si="4"/>
        <v>-256486398.5</v>
      </c>
      <c r="F22" s="70">
        <f t="shared" si="4"/>
        <v>123670264.9</v>
      </c>
      <c r="G22" s="70">
        <f t="shared" si="4"/>
        <v>-137978398.9</v>
      </c>
      <c r="H22" s="70">
        <f t="shared" si="4"/>
        <v>35668473.09</v>
      </c>
      <c r="I22" s="70">
        <f t="shared" si="4"/>
        <v>223547104.9</v>
      </c>
      <c r="J22" s="70">
        <f t="shared" si="4"/>
        <v>385508692.9</v>
      </c>
      <c r="K22" s="70">
        <f t="shared" si="4"/>
        <v>652561266.3</v>
      </c>
      <c r="L22" s="70">
        <f t="shared" si="4"/>
        <v>1052957043</v>
      </c>
      <c r="M22" s="70">
        <f t="shared" si="4"/>
        <v>1482029459</v>
      </c>
      <c r="N22" s="70">
        <f t="shared" si="4"/>
        <v>1938070222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3"/>
      <c r="B23" s="8" t="s">
        <v>596</v>
      </c>
      <c r="C23" s="3"/>
      <c r="D23" s="69">
        <f>0</f>
        <v>0</v>
      </c>
      <c r="E23" s="69">
        <f t="shared" ref="E23:N23" si="5">D24</f>
        <v>378144269.4</v>
      </c>
      <c r="F23" s="69">
        <f t="shared" si="5"/>
        <v>121657870.9</v>
      </c>
      <c r="G23" s="69">
        <f t="shared" si="5"/>
        <v>245328135.9</v>
      </c>
      <c r="H23" s="69">
        <f t="shared" si="5"/>
        <v>107349737</v>
      </c>
      <c r="I23" s="69">
        <f t="shared" si="5"/>
        <v>143018210.1</v>
      </c>
      <c r="J23" s="69">
        <f t="shared" si="5"/>
        <v>366565315</v>
      </c>
      <c r="K23" s="69">
        <f t="shared" si="5"/>
        <v>752074007.9</v>
      </c>
      <c r="L23" s="69">
        <f t="shared" si="5"/>
        <v>1404635274</v>
      </c>
      <c r="M23" s="69">
        <f t="shared" si="5"/>
        <v>2457592317</v>
      </c>
      <c r="N23" s="69">
        <f t="shared" si="5"/>
        <v>3939621776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3"/>
      <c r="B24" s="7" t="s">
        <v>597</v>
      </c>
      <c r="C24" s="3"/>
      <c r="D24" s="70">
        <f t="shared" ref="D24:N24" si="6">D23+D22</f>
        <v>378144269.4</v>
      </c>
      <c r="E24" s="70">
        <f t="shared" si="6"/>
        <v>121657870.9</v>
      </c>
      <c r="F24" s="70">
        <f t="shared" si="6"/>
        <v>245328135.9</v>
      </c>
      <c r="G24" s="70">
        <f t="shared" si="6"/>
        <v>107349737</v>
      </c>
      <c r="H24" s="70">
        <f t="shared" si="6"/>
        <v>143018210.1</v>
      </c>
      <c r="I24" s="70">
        <f t="shared" si="6"/>
        <v>366565315</v>
      </c>
      <c r="J24" s="70">
        <f t="shared" si="6"/>
        <v>752074007.9</v>
      </c>
      <c r="K24" s="70">
        <f t="shared" si="6"/>
        <v>1404635274</v>
      </c>
      <c r="L24" s="70">
        <f t="shared" si="6"/>
        <v>2457592317</v>
      </c>
      <c r="M24" s="70">
        <f t="shared" si="6"/>
        <v>3939621776</v>
      </c>
      <c r="N24" s="70">
        <f t="shared" si="6"/>
        <v>5877691998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4.0"/>
    <col customWidth="1" min="3" max="3" width="17.0"/>
    <col customWidth="1" min="4" max="14" width="14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3"/>
      <c r="B2" s="4" t="s">
        <v>598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66" t="s">
        <v>484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67"/>
      <c r="D4" s="6" t="s">
        <v>485</v>
      </c>
      <c r="E4" s="6" t="s">
        <v>486</v>
      </c>
      <c r="F4" s="6" t="s">
        <v>487</v>
      </c>
      <c r="G4" s="6" t="s">
        <v>488</v>
      </c>
      <c r="H4" s="6" t="s">
        <v>489</v>
      </c>
      <c r="I4" s="6" t="s">
        <v>490</v>
      </c>
      <c r="J4" s="6" t="s">
        <v>491</v>
      </c>
      <c r="K4" s="6" t="s">
        <v>492</v>
      </c>
      <c r="L4" s="6" t="s">
        <v>493</v>
      </c>
      <c r="M4" s="6" t="s">
        <v>494</v>
      </c>
      <c r="N4" s="6" t="s">
        <v>495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7" t="s">
        <v>544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8" t="s">
        <v>599</v>
      </c>
      <c r="C6" s="3"/>
      <c r="D6" s="68">
        <f>'Conso Cash Flow'!D24</f>
        <v>378144269.4</v>
      </c>
      <c r="E6" s="68">
        <f>'Conso Cash Flow'!E24</f>
        <v>121657870.9</v>
      </c>
      <c r="F6" s="68">
        <f>'Conso Cash Flow'!F24</f>
        <v>245328135.9</v>
      </c>
      <c r="G6" s="68">
        <f>'Conso Cash Flow'!G24</f>
        <v>107349737</v>
      </c>
      <c r="H6" s="68">
        <f>'Conso Cash Flow'!H24</f>
        <v>143018210.1</v>
      </c>
      <c r="I6" s="68">
        <f>'Conso Cash Flow'!I24</f>
        <v>366565315</v>
      </c>
      <c r="J6" s="68">
        <f>'Conso Cash Flow'!J24</f>
        <v>752074007.9</v>
      </c>
      <c r="K6" s="68">
        <f>'Conso Cash Flow'!K24</f>
        <v>1404635274</v>
      </c>
      <c r="L6" s="68">
        <f>'Conso Cash Flow'!L24</f>
        <v>2457592317</v>
      </c>
      <c r="M6" s="68">
        <f>'Conso Cash Flow'!M24</f>
        <v>3939621776</v>
      </c>
      <c r="N6" s="68">
        <f>'Conso Cash Flow'!N24</f>
        <v>5877691998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8" t="s">
        <v>545</v>
      </c>
      <c r="C7" s="3"/>
      <c r="D7" s="68">
        <f>'NRD MC Balance Sheet'!D6+'RideBox Energy Balance Sheet'!D6</f>
        <v>8159696.286</v>
      </c>
      <c r="E7" s="68">
        <f>'NRD MC Balance Sheet'!E6+'RideBox Energy Balance Sheet'!E6</f>
        <v>16310499.26</v>
      </c>
      <c r="F7" s="68">
        <f>'NRD MC Balance Sheet'!F6+'RideBox Energy Balance Sheet'!F6</f>
        <v>28328230.05</v>
      </c>
      <c r="G7" s="68">
        <f>'NRD MC Balance Sheet'!G6+'RideBox Energy Balance Sheet'!G6</f>
        <v>42596810.97</v>
      </c>
      <c r="H7" s="68">
        <f>'NRD MC Balance Sheet'!H6+'RideBox Energy Balance Sheet'!H6</f>
        <v>57843483.41</v>
      </c>
      <c r="I7" s="68">
        <f>'NRD MC Balance Sheet'!I6+'RideBox Energy Balance Sheet'!I6</f>
        <v>75038676.41</v>
      </c>
      <c r="J7" s="68">
        <f>'NRD MC Balance Sheet'!J6+'RideBox Energy Balance Sheet'!J6</f>
        <v>97406882.66</v>
      </c>
      <c r="K7" s="68">
        <f>'NRD MC Balance Sheet'!K6+'RideBox Energy Balance Sheet'!K6</f>
        <v>122731173.8</v>
      </c>
      <c r="L7" s="68">
        <f>'NRD MC Balance Sheet'!L6+'RideBox Energy Balance Sheet'!L6</f>
        <v>147913634.7</v>
      </c>
      <c r="M7" s="68">
        <f>'NRD MC Balance Sheet'!M6+'RideBox Energy Balance Sheet'!M6</f>
        <v>174920685.2</v>
      </c>
      <c r="N7" s="68">
        <f>'NRD MC Balance Sheet'!N6+'RideBox Energy Balance Sheet'!N6</f>
        <v>203854968.6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8" t="s">
        <v>600</v>
      </c>
      <c r="C8" s="3"/>
      <c r="D8" s="68">
        <f>'NRD MC Balance Sheet'!D7</f>
        <v>14383414.82</v>
      </c>
      <c r="E8" s="68">
        <f>'NRD MC Balance Sheet'!E7</f>
        <v>23013463.71</v>
      </c>
      <c r="F8" s="68">
        <f>'NRD MC Balance Sheet'!F7</f>
        <v>36821541.93</v>
      </c>
      <c r="G8" s="68">
        <f>'NRD MC Balance Sheet'!G7</f>
        <v>51552555.94</v>
      </c>
      <c r="H8" s="68">
        <f>'NRD MC Balance Sheet'!H7</f>
        <v>64437698.38</v>
      </c>
      <c r="I8" s="68">
        <f>'NRD MC Balance Sheet'!I7</f>
        <v>77322840.82</v>
      </c>
      <c r="J8" s="68">
        <f>'NRD MC Balance Sheet'!J7</f>
        <v>96656547.57</v>
      </c>
      <c r="K8" s="68">
        <f>'NRD MC Balance Sheet'!K7</f>
        <v>115990254.3</v>
      </c>
      <c r="L8" s="68">
        <f>'NRD MC Balance Sheet'!L7</f>
        <v>128863410.6</v>
      </c>
      <c r="M8" s="68">
        <f>'NRD MC Balance Sheet'!M7</f>
        <v>141748553</v>
      </c>
      <c r="N8" s="68">
        <f>'NRD MC Balance Sheet'!N7</f>
        <v>154633695.5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8" t="s">
        <v>601</v>
      </c>
      <c r="C9" s="3"/>
      <c r="D9" s="68">
        <f>'MC Drivers (NRD)'!D201+'MC Drivers (NRD)'!D222+'MC Drivers (NRD)'!D240+'MC Drivers (NRD)'!D306+'Energy Drivers (RideBox)'!D122</f>
        <v>330515449.2</v>
      </c>
      <c r="E9" s="68">
        <f>'MC Drivers (NRD)'!E201+'MC Drivers (NRD)'!E222+'MC Drivers (NRD)'!E240+'MC Drivers (NRD)'!E306+'Energy Drivers (RideBox)'!E122</f>
        <v>775017592.1</v>
      </c>
      <c r="F9" s="68">
        <f>'MC Drivers (NRD)'!F201+'MC Drivers (NRD)'!F222+'MC Drivers (NRD)'!F240+'MC Drivers (NRD)'!F306+'Energy Drivers (RideBox)'!F122</f>
        <v>1377023207</v>
      </c>
      <c r="G9" s="68">
        <f>'MC Drivers (NRD)'!G201+'MC Drivers (NRD)'!G222+'MC Drivers (NRD)'!G240+'MC Drivers (NRD)'!G306+'Energy Drivers (RideBox)'!G122</f>
        <v>2112664280</v>
      </c>
      <c r="H9" s="68">
        <f>'MC Drivers (NRD)'!H201+'MC Drivers (NRD)'!H222+'MC Drivers (NRD)'!H240+'MC Drivers (NRD)'!H306+'Energy Drivers (RideBox)'!H122</f>
        <v>2909946340</v>
      </c>
      <c r="I9" s="68">
        <f>'MC Drivers (NRD)'!I201+'MC Drivers (NRD)'!I222+'MC Drivers (NRD)'!I240+'MC Drivers (NRD)'!I306+'Energy Drivers (RideBox)'!I122</f>
        <v>3788794164</v>
      </c>
      <c r="J9" s="68">
        <f>'MC Drivers (NRD)'!J201+'MC Drivers (NRD)'!J222+'MC Drivers (NRD)'!J240+'MC Drivers (NRD)'!J306+'Energy Drivers (RideBox)'!J122</f>
        <v>4847795482</v>
      </c>
      <c r="K9" s="68">
        <f>'MC Drivers (NRD)'!K201+'MC Drivers (NRD)'!K222+'MC Drivers (NRD)'!K240+'MC Drivers (NRD)'!K306+'Energy Drivers (RideBox)'!K122</f>
        <v>6035236781</v>
      </c>
      <c r="L9" s="68">
        <f>'MC Drivers (NRD)'!L201+'MC Drivers (NRD)'!L222+'MC Drivers (NRD)'!L240+'MC Drivers (NRD)'!L306+'Energy Drivers (RideBox)'!L122</f>
        <v>7224932226</v>
      </c>
      <c r="M9" s="68">
        <f>'MC Drivers (NRD)'!M201+'MC Drivers (NRD)'!M222+'MC Drivers (NRD)'!M240+'MC Drivers (NRD)'!M306+'Energy Drivers (RideBox)'!M122</f>
        <v>8410146237</v>
      </c>
      <c r="N9" s="68">
        <f>'MC Drivers (NRD)'!N201+'MC Drivers (NRD)'!N222+'MC Drivers (NRD)'!N240+'MC Drivers (NRD)'!N306+'Energy Drivers (RideBox)'!N122</f>
        <v>9604053542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7" t="s">
        <v>548</v>
      </c>
      <c r="C10" s="3"/>
      <c r="D10" s="70">
        <f t="shared" ref="D10:N10" si="1">SUM(D6:D9)</f>
        <v>731202829.7</v>
      </c>
      <c r="E10" s="70">
        <f t="shared" si="1"/>
        <v>935999426</v>
      </c>
      <c r="F10" s="70">
        <f t="shared" si="1"/>
        <v>1687501115</v>
      </c>
      <c r="G10" s="70">
        <f t="shared" si="1"/>
        <v>2314163384</v>
      </c>
      <c r="H10" s="70">
        <f t="shared" si="1"/>
        <v>3175245732</v>
      </c>
      <c r="I10" s="70">
        <f t="shared" si="1"/>
        <v>4307720996</v>
      </c>
      <c r="J10" s="70">
        <f t="shared" si="1"/>
        <v>5793932920</v>
      </c>
      <c r="K10" s="70">
        <f t="shared" si="1"/>
        <v>7678593484</v>
      </c>
      <c r="L10" s="70">
        <f t="shared" si="1"/>
        <v>9959301588</v>
      </c>
      <c r="M10" s="70">
        <f t="shared" si="1"/>
        <v>12666437251</v>
      </c>
      <c r="N10" s="70">
        <f t="shared" si="1"/>
        <v>15840234204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7" t="s">
        <v>602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8" t="s">
        <v>550</v>
      </c>
      <c r="C13" s="3"/>
      <c r="D13" s="68">
        <f>'NRD MC Balance Sheet'!D12+'RideBox Energy Balance Sheet'!D11</f>
        <v>12278623.4</v>
      </c>
      <c r="E13" s="68">
        <f>'NRD MC Balance Sheet'!E12+'RideBox Energy Balance Sheet'!E11</f>
        <v>19174273.33</v>
      </c>
      <c r="F13" s="68">
        <f>'NRD MC Balance Sheet'!F12+'RideBox Energy Balance Sheet'!F11</f>
        <v>29277633.38</v>
      </c>
      <c r="G13" s="68">
        <f>'NRD MC Balance Sheet'!G12+'RideBox Energy Balance Sheet'!G11</f>
        <v>40753875.36</v>
      </c>
      <c r="H13" s="68">
        <f>'NRD MC Balance Sheet'!H12+'RideBox Energy Balance Sheet'!H11</f>
        <v>52176046.91</v>
      </c>
      <c r="I13" s="68">
        <f>'NRD MC Balance Sheet'!I12+'RideBox Energy Balance Sheet'!I11</f>
        <v>64284423.24</v>
      </c>
      <c r="J13" s="68">
        <f>'NRD MC Balance Sheet'!J12+'RideBox Energy Balance Sheet'!J11</f>
        <v>81006209.51</v>
      </c>
      <c r="K13" s="68">
        <f>'NRD MC Balance Sheet'!K12+'RideBox Energy Balance Sheet'!K11</f>
        <v>98812610.55</v>
      </c>
      <c r="L13" s="68">
        <f>'NRD MC Balance Sheet'!L12+'RideBox Energy Balance Sheet'!L11</f>
        <v>114140071.3</v>
      </c>
      <c r="M13" s="68">
        <f>'NRD MC Balance Sheet'!M12+'RideBox Energy Balance Sheet'!M11</f>
        <v>130126061.1</v>
      </c>
      <c r="N13" s="68">
        <f>'NRD MC Balance Sheet'!N12+'RideBox Energy Balance Sheet'!N11</f>
        <v>147617125.2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8" t="s">
        <v>603</v>
      </c>
      <c r="C14" s="3"/>
      <c r="D14" s="68">
        <f>'MC Drivers (NRD)'!D322</f>
        <v>0</v>
      </c>
      <c r="E14" s="68">
        <f>'MC Drivers (NRD)'!E322</f>
        <v>0</v>
      </c>
      <c r="F14" s="68">
        <f>'MC Drivers (NRD)'!F322</f>
        <v>0</v>
      </c>
      <c r="G14" s="68">
        <f>'MC Drivers (NRD)'!G322</f>
        <v>0</v>
      </c>
      <c r="H14" s="68">
        <f>'MC Drivers (NRD)'!H322</f>
        <v>0</v>
      </c>
      <c r="I14" s="68">
        <f>'MC Drivers (NRD)'!I322</f>
        <v>0</v>
      </c>
      <c r="J14" s="68">
        <f>'MC Drivers (NRD)'!J322</f>
        <v>0</v>
      </c>
      <c r="K14" s="68">
        <f>'MC Drivers (NRD)'!K322</f>
        <v>0</v>
      </c>
      <c r="L14" s="68">
        <f>'MC Drivers (NRD)'!L322</f>
        <v>0</v>
      </c>
      <c r="M14" s="68">
        <f>'MC Drivers (NRD)'!M322</f>
        <v>0</v>
      </c>
      <c r="N14" s="68">
        <f>'MC Drivers (NRD)'!N322</f>
        <v>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7" t="s">
        <v>604</v>
      </c>
      <c r="C15" s="3"/>
      <c r="D15" s="70">
        <f t="shared" ref="D15:N15" si="2">D13+D14</f>
        <v>12278623.4</v>
      </c>
      <c r="E15" s="70">
        <f t="shared" si="2"/>
        <v>19174273.33</v>
      </c>
      <c r="F15" s="70">
        <f t="shared" si="2"/>
        <v>29277633.38</v>
      </c>
      <c r="G15" s="70">
        <f t="shared" si="2"/>
        <v>40753875.36</v>
      </c>
      <c r="H15" s="70">
        <f t="shared" si="2"/>
        <v>52176046.91</v>
      </c>
      <c r="I15" s="70">
        <f t="shared" si="2"/>
        <v>64284423.24</v>
      </c>
      <c r="J15" s="70">
        <f t="shared" si="2"/>
        <v>81006209.51</v>
      </c>
      <c r="K15" s="70">
        <f t="shared" si="2"/>
        <v>98812610.55</v>
      </c>
      <c r="L15" s="70">
        <f t="shared" si="2"/>
        <v>114140071.3</v>
      </c>
      <c r="M15" s="70">
        <f t="shared" si="2"/>
        <v>130126061.1</v>
      </c>
      <c r="N15" s="70">
        <f t="shared" si="2"/>
        <v>147617125.2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7" t="s">
        <v>605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8" t="s">
        <v>606</v>
      </c>
      <c r="C18" s="3"/>
      <c r="D18" s="69">
        <f>'MC Drivers (NRD)'!D317</f>
        <v>650000000</v>
      </c>
      <c r="E18" s="69">
        <f>D18+'MC Drivers (NRD)'!E317</f>
        <v>650000000</v>
      </c>
      <c r="F18" s="69">
        <f>E18+'MC Drivers (NRD)'!F317</f>
        <v>1000000000</v>
      </c>
      <c r="G18" s="69">
        <f>F18+'MC Drivers (NRD)'!G317</f>
        <v>1000000000</v>
      </c>
      <c r="H18" s="69">
        <f>G18+'MC Drivers (NRD)'!H317</f>
        <v>1000000000</v>
      </c>
      <c r="I18" s="69">
        <f>H18+'MC Drivers (NRD)'!I317</f>
        <v>1000000000</v>
      </c>
      <c r="J18" s="69">
        <f>I18+'MC Drivers (NRD)'!J317</f>
        <v>1000000000</v>
      </c>
      <c r="K18" s="69">
        <f>J18+'MC Drivers (NRD)'!K317</f>
        <v>1000000000</v>
      </c>
      <c r="L18" s="69">
        <f>K18+'MC Drivers (NRD)'!L317</f>
        <v>1000000000</v>
      </c>
      <c r="M18" s="69">
        <f>L18+'MC Drivers (NRD)'!M317</f>
        <v>1000000000</v>
      </c>
      <c r="N18" s="69">
        <f>M18+'MC Drivers (NRD)'!N317</f>
        <v>1000000000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8" t="s">
        <v>607</v>
      </c>
      <c r="C19" s="3"/>
      <c r="D19" s="69">
        <f>'Conso P&amp;L'!D52</f>
        <v>68924206.29</v>
      </c>
      <c r="E19" s="69">
        <f>D19+'Conso P&amp;L'!E52</f>
        <v>266825152.6</v>
      </c>
      <c r="F19" s="69">
        <f>E19+'Conso P&amp;L'!F52</f>
        <v>658223481.5</v>
      </c>
      <c r="G19" s="69">
        <f>F19+'Conso P&amp;L'!G52</f>
        <v>1273409509</v>
      </c>
      <c r="H19" s="69">
        <f>G19+'Conso P&amp;L'!H52</f>
        <v>2123069685</v>
      </c>
      <c r="I19" s="69">
        <f>H19+'Conso P&amp;L'!I52</f>
        <v>3243436573</v>
      </c>
      <c r="J19" s="69">
        <f>I19+'Conso P&amp;L'!J52</f>
        <v>4712926710</v>
      </c>
      <c r="K19" s="69">
        <f>J19+'Conso P&amp;L'!K52</f>
        <v>6579780873</v>
      </c>
      <c r="L19" s="69">
        <f>K19+'Conso P&amp;L'!L52</f>
        <v>8845161517</v>
      </c>
      <c r="M19" s="69">
        <f>L19+'Conso P&amp;L'!M52</f>
        <v>11536311190</v>
      </c>
      <c r="N19" s="69">
        <f>M19+'Conso P&amp;L'!N52</f>
        <v>14692617078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7" t="s">
        <v>608</v>
      </c>
      <c r="C20" s="3"/>
      <c r="D20" s="70">
        <f t="shared" ref="D20:N20" si="3">D18+D19</f>
        <v>718924206.3</v>
      </c>
      <c r="E20" s="70">
        <f t="shared" si="3"/>
        <v>916825152.6</v>
      </c>
      <c r="F20" s="70">
        <f t="shared" si="3"/>
        <v>1658223481</v>
      </c>
      <c r="G20" s="70">
        <f t="shared" si="3"/>
        <v>2273409509</v>
      </c>
      <c r="H20" s="70">
        <f t="shared" si="3"/>
        <v>3123069685</v>
      </c>
      <c r="I20" s="70">
        <f t="shared" si="3"/>
        <v>4243436573</v>
      </c>
      <c r="J20" s="70">
        <f t="shared" si="3"/>
        <v>5712926710</v>
      </c>
      <c r="K20" s="70">
        <f t="shared" si="3"/>
        <v>7579780873</v>
      </c>
      <c r="L20" s="70">
        <f t="shared" si="3"/>
        <v>9845161517</v>
      </c>
      <c r="M20" s="70">
        <f t="shared" si="3"/>
        <v>12536311190</v>
      </c>
      <c r="N20" s="70">
        <f t="shared" si="3"/>
        <v>15692617078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/>
      <c r="B21" s="7" t="s">
        <v>553</v>
      </c>
      <c r="C21" s="3"/>
      <c r="D21" s="70">
        <f t="shared" ref="D21:N21" si="4">D15+D20</f>
        <v>731202829.7</v>
      </c>
      <c r="E21" s="70">
        <f t="shared" si="4"/>
        <v>935999426</v>
      </c>
      <c r="F21" s="70">
        <f t="shared" si="4"/>
        <v>1687501115</v>
      </c>
      <c r="G21" s="70">
        <f t="shared" si="4"/>
        <v>2314163384</v>
      </c>
      <c r="H21" s="70">
        <f t="shared" si="4"/>
        <v>3175245732</v>
      </c>
      <c r="I21" s="70">
        <f t="shared" si="4"/>
        <v>4307720996</v>
      </c>
      <c r="J21" s="70">
        <f t="shared" si="4"/>
        <v>5793932920</v>
      </c>
      <c r="K21" s="70">
        <f t="shared" si="4"/>
        <v>7678593484</v>
      </c>
      <c r="L21" s="70">
        <f t="shared" si="4"/>
        <v>9959301588</v>
      </c>
      <c r="M21" s="70">
        <f t="shared" si="4"/>
        <v>12666437251</v>
      </c>
      <c r="N21" s="70">
        <f t="shared" si="4"/>
        <v>15840234204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3"/>
      <c r="B22" s="8"/>
      <c r="C22" s="3"/>
      <c r="D22" s="69">
        <f t="shared" ref="D22:N22" si="5">D10-D21</f>
        <v>0.0000001192092896</v>
      </c>
      <c r="E22" s="69">
        <f t="shared" si="5"/>
        <v>0</v>
      </c>
      <c r="F22" s="69">
        <f t="shared" si="5"/>
        <v>0</v>
      </c>
      <c r="G22" s="69">
        <f t="shared" si="5"/>
        <v>0</v>
      </c>
      <c r="H22" s="69">
        <f t="shared" si="5"/>
        <v>-0.0000004768371582</v>
      </c>
      <c r="I22" s="69">
        <f t="shared" si="5"/>
        <v>-0.0000009536743164</v>
      </c>
      <c r="J22" s="69">
        <f t="shared" si="5"/>
        <v>-0.0000009536743164</v>
      </c>
      <c r="K22" s="69">
        <f t="shared" si="5"/>
        <v>-0.0000009536743164</v>
      </c>
      <c r="L22" s="69">
        <f t="shared" si="5"/>
        <v>-0.000001907348633</v>
      </c>
      <c r="M22" s="69">
        <f t="shared" si="5"/>
        <v>-0.000001907348633</v>
      </c>
      <c r="N22" s="69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646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3" width="16.43"/>
    <col customWidth="1" min="4" max="9" width="11.43"/>
    <col customWidth="1" min="10" max="10" width="10.29"/>
    <col customWidth="1" min="11" max="14" width="14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3"/>
      <c r="B2" s="4" t="s">
        <v>609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67"/>
      <c r="D4" s="6" t="s">
        <v>485</v>
      </c>
      <c r="E4" s="6" t="s">
        <v>486</v>
      </c>
      <c r="F4" s="6" t="s">
        <v>487</v>
      </c>
      <c r="G4" s="6" t="s">
        <v>488</v>
      </c>
      <c r="H4" s="6" t="s">
        <v>489</v>
      </c>
      <c r="I4" s="6" t="s">
        <v>490</v>
      </c>
      <c r="J4" s="6" t="s">
        <v>491</v>
      </c>
      <c r="K4" s="6" t="s">
        <v>492</v>
      </c>
      <c r="L4" s="6" t="s">
        <v>493</v>
      </c>
      <c r="M4" s="6" t="s">
        <v>494</v>
      </c>
      <c r="N4" s="6" t="s">
        <v>495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7" t="s">
        <v>610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8" t="s">
        <v>611</v>
      </c>
      <c r="C6" s="3"/>
      <c r="D6" s="29">
        <v>1.0</v>
      </c>
      <c r="E6" s="29">
        <v>2.0</v>
      </c>
      <c r="F6" s="29">
        <v>3.0</v>
      </c>
      <c r="G6" s="29">
        <v>4.0</v>
      </c>
      <c r="H6" s="29">
        <v>5.0</v>
      </c>
      <c r="I6" s="29">
        <v>6.0</v>
      </c>
      <c r="J6" s="29">
        <v>7.0</v>
      </c>
      <c r="K6" s="29">
        <v>8.0</v>
      </c>
      <c r="L6" s="29">
        <v>9.0</v>
      </c>
      <c r="M6" s="29">
        <v>10.0</v>
      </c>
      <c r="N6" s="29">
        <v>11.0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8" t="s">
        <v>612</v>
      </c>
      <c r="C7" s="3"/>
      <c r="D7" s="68">
        <f>'Conso Cash Flow'!D9+'Conso Cash Flow'!D13</f>
        <v>-271855730.6</v>
      </c>
      <c r="E7" s="68">
        <f>'Conso Cash Flow'!E9+'Conso Cash Flow'!E13</f>
        <v>-256486398.5</v>
      </c>
      <c r="F7" s="68">
        <f>'Conso Cash Flow'!F9+'Conso Cash Flow'!F13</f>
        <v>-226329735.1</v>
      </c>
      <c r="G7" s="68">
        <f>'Conso Cash Flow'!G9+'Conso Cash Flow'!G13</f>
        <v>-137978398.9</v>
      </c>
      <c r="H7" s="68">
        <f>'Conso Cash Flow'!H9+'Conso Cash Flow'!H13</f>
        <v>35668473.09</v>
      </c>
      <c r="I7" s="68">
        <f>'Conso Cash Flow'!I9+'Conso Cash Flow'!I13</f>
        <v>223547104.9</v>
      </c>
      <c r="J7" s="68">
        <f>'Conso Cash Flow'!J9+'Conso Cash Flow'!J13</f>
        <v>385508692.9</v>
      </c>
      <c r="K7" s="68">
        <f>'Conso Cash Flow'!K9+'Conso Cash Flow'!K13</f>
        <v>652561266.3</v>
      </c>
      <c r="L7" s="68">
        <f>'Conso Cash Flow'!L9+'Conso Cash Flow'!L13</f>
        <v>1052957043</v>
      </c>
      <c r="M7" s="68">
        <f>'Conso Cash Flow'!M9+'Conso Cash Flow'!M13</f>
        <v>1482029459</v>
      </c>
      <c r="N7" s="68">
        <f>'Conso Cash Flow'!N9+'Conso Cash Flow'!N13</f>
        <v>1938070222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8" t="s">
        <v>613</v>
      </c>
      <c r="C8" s="3"/>
      <c r="D8" s="81">
        <f>1/(1+Valuation!$D$31)^D6</f>
        <v>0.8928571429</v>
      </c>
      <c r="E8" s="81">
        <f>1/(1+Valuation!$D$31)^E6</f>
        <v>0.7971938776</v>
      </c>
      <c r="F8" s="81">
        <f>1/(1+Valuation!$D$31)^F6</f>
        <v>0.7117802478</v>
      </c>
      <c r="G8" s="81">
        <f>1/(1+Valuation!$D$31)^G6</f>
        <v>0.6355180784</v>
      </c>
      <c r="H8" s="81">
        <f>1/(1+Valuation!$D$31)^H6</f>
        <v>0.5674268557</v>
      </c>
      <c r="I8" s="81">
        <f>1/(1+Valuation!$D$31)^I6</f>
        <v>0.5066311212</v>
      </c>
      <c r="J8" s="81">
        <f>1/(1+Valuation!$D$31)^J6</f>
        <v>0.4523492153</v>
      </c>
      <c r="K8" s="81">
        <f>1/(1+Valuation!$D$31)^K6</f>
        <v>0.403883228</v>
      </c>
      <c r="L8" s="81">
        <f>1/(1+Valuation!$D$31)^L6</f>
        <v>0.360610025</v>
      </c>
      <c r="M8" s="81">
        <f>1/(1+Valuation!$D$31)^M6</f>
        <v>0.3219732366</v>
      </c>
      <c r="N8" s="81">
        <f>1/(1+Valuation!$D$31)^N6</f>
        <v>0.2874761041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8" t="s">
        <v>614</v>
      </c>
      <c r="C9" s="3"/>
      <c r="D9" s="69">
        <f t="shared" ref="D9:N9" si="1">D7*D8</f>
        <v>-242728330.9</v>
      </c>
      <c r="E9" s="69">
        <f t="shared" si="1"/>
        <v>-204469386.6</v>
      </c>
      <c r="F9" s="69">
        <f t="shared" si="1"/>
        <v>-161097034.9</v>
      </c>
      <c r="G9" s="69">
        <f t="shared" si="1"/>
        <v>-87687766.92</v>
      </c>
      <c r="H9" s="69">
        <f t="shared" si="1"/>
        <v>20239249.54</v>
      </c>
      <c r="I9" s="69">
        <f t="shared" si="1"/>
        <v>113255920.4</v>
      </c>
      <c r="J9" s="69">
        <f t="shared" si="1"/>
        <v>174384554.7</v>
      </c>
      <c r="K9" s="69">
        <f t="shared" si="1"/>
        <v>263558550.7</v>
      </c>
      <c r="L9" s="69">
        <f t="shared" si="1"/>
        <v>379706865.4</v>
      </c>
      <c r="M9" s="69">
        <f t="shared" si="1"/>
        <v>477173821.7</v>
      </c>
      <c r="N9" s="69">
        <f t="shared" si="1"/>
        <v>557148876.8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82">
        <f>IRR(C10:N10)</f>
        <v>0.2704745656</v>
      </c>
      <c r="C10" s="68">
        <f>-D34</f>
        <v>-650000000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68">
        <f>(D14+D19)*D24</f>
        <v>9047718549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7" t="s">
        <v>615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8" t="s">
        <v>616</v>
      </c>
      <c r="C12" s="3"/>
      <c r="D12" s="69">
        <f>SUM(D9:N9)</f>
        <v>1289485320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.25" customHeight="1">
      <c r="A13" s="3"/>
      <c r="B13" s="8"/>
      <c r="C13" s="3"/>
      <c r="D13" s="69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8" t="s">
        <v>617</v>
      </c>
      <c r="C14" s="3"/>
      <c r="D14" s="68">
        <f>'Conso P&amp;L'!N39*Valuation!$D$32</f>
        <v>39360900749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.0" customHeight="1">
      <c r="A15" s="3"/>
      <c r="B15" s="8"/>
      <c r="C15" s="3"/>
      <c r="D15" s="6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8" t="s">
        <v>618</v>
      </c>
      <c r="C16" s="3"/>
      <c r="D16" s="69">
        <f>D14*N8</f>
        <v>11315318401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7.5" customHeight="1">
      <c r="A17" s="3"/>
      <c r="B17" s="7"/>
      <c r="C17" s="3"/>
      <c r="D17" s="70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7" t="s">
        <v>619</v>
      </c>
      <c r="C18" s="3"/>
      <c r="D18" s="70">
        <f>D12+D16</f>
        <v>12604803721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8" t="s">
        <v>620</v>
      </c>
      <c r="C19" s="3"/>
      <c r="D19" s="68">
        <f>'Conso Cash Flow'!N24</f>
        <v>5877691998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8" t="s">
        <v>621</v>
      </c>
      <c r="C20" s="3"/>
      <c r="D20" s="68">
        <f>-'MC Drivers (NRD)'!N322</f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/>
      <c r="B21" s="7" t="s">
        <v>622</v>
      </c>
      <c r="C21" s="3"/>
      <c r="D21" s="70">
        <f>D18+D19+D20</f>
        <v>18482495719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3"/>
      <c r="B23" s="7" t="s">
        <v>623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3"/>
      <c r="B24" s="8" t="s">
        <v>624</v>
      </c>
      <c r="C24" s="3"/>
      <c r="D24" s="83">
        <f>Valuation!$D$33</f>
        <v>0.2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3"/>
      <c r="B25" s="8" t="s">
        <v>625</v>
      </c>
      <c r="C25" s="3"/>
      <c r="D25" s="68">
        <f>Valuation!$D$34</f>
        <v>650000000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3"/>
      <c r="B26" s="8" t="s">
        <v>626</v>
      </c>
      <c r="C26" s="3"/>
      <c r="D26" s="69">
        <f>D21*Valuation!$D$33</f>
        <v>3696499144</v>
      </c>
      <c r="E26" s="8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3"/>
      <c r="B27" s="8"/>
      <c r="C27" s="3"/>
      <c r="D27" s="85">
        <f>IFERROR(D26/D25,0)</f>
        <v>5.68692176</v>
      </c>
      <c r="E27" s="8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/>
      <c r="B28" s="8" t="s">
        <v>627</v>
      </c>
      <c r="C28" s="3"/>
      <c r="D28" s="12">
        <f>B10</f>
        <v>0.2704745656</v>
      </c>
      <c r="E28" s="1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21" t="s">
        <v>628</v>
      </c>
      <c r="C30" s="21"/>
      <c r="D30" s="2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23" t="s">
        <v>629</v>
      </c>
      <c r="C31" s="3"/>
      <c r="D31" s="25">
        <f>0.12</f>
        <v>0.12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23" t="s">
        <v>630</v>
      </c>
      <c r="C32" s="3"/>
      <c r="D32" s="86">
        <v>7.0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23" t="s">
        <v>631</v>
      </c>
      <c r="C33" s="3"/>
      <c r="D33" s="87">
        <f>0.2</f>
        <v>0.2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23" t="s">
        <v>632</v>
      </c>
      <c r="C34" s="3"/>
      <c r="D34" s="88">
        <v>6.5E8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 t="s">
        <v>633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89" t="s">
        <v>634</v>
      </c>
      <c r="E39" s="90" t="s">
        <v>635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 t="s">
        <v>636</v>
      </c>
      <c r="C40" s="3"/>
      <c r="D40" s="85">
        <f>(D14+D19+D20)*$D$24/$D$25</f>
        <v>13.919567</v>
      </c>
      <c r="E40" s="91">
        <f t="shared" ref="E40:E41" si="2">D40^(1/10)-1</f>
        <v>0.3012554833</v>
      </c>
      <c r="F40" s="69"/>
      <c r="G40" s="69"/>
      <c r="H40" s="69"/>
      <c r="I40" s="69"/>
      <c r="J40" s="69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 t="s">
        <v>637</v>
      </c>
      <c r="C41" s="3"/>
      <c r="D41" s="85">
        <f>D26/D25</f>
        <v>5.68692176</v>
      </c>
      <c r="E41" s="91">
        <f t="shared" si="2"/>
        <v>0.1898376997</v>
      </c>
      <c r="F41" s="85"/>
      <c r="G41" s="85"/>
      <c r="H41" s="85"/>
      <c r="I41" s="85"/>
      <c r="J41" s="8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 t="s">
        <v>638</v>
      </c>
      <c r="C42" s="3"/>
      <c r="D42" s="85">
        <f>('Conso P&amp;L'!H39*$D$32+'Conso Cash Flow'!H24-'MC Drivers (NRD)'!H322)*$D$24/$D$25</f>
        <v>3.144884542</v>
      </c>
      <c r="E42" s="91">
        <f t="shared" ref="E42:E43" si="3">D42^(1/5)-1</f>
        <v>0.2575374899</v>
      </c>
      <c r="F42" s="12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 t="s">
        <v>639</v>
      </c>
      <c r="C43" s="3"/>
      <c r="D43" s="92">
        <f>(SUM($D$9:H9)+('Conso P&amp;L'!H39*$D$32)*H8+'Conso Cash Flow'!H24-'MC Drivers (NRD)'!H322)*$D$24/$D$25</f>
        <v>1.595606583</v>
      </c>
      <c r="E43" s="78">
        <f t="shared" si="3"/>
        <v>0.09795657527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4.0"/>
    <col customWidth="1" min="3" max="3" width="17.0"/>
    <col customWidth="1" min="4" max="14" width="14.0"/>
  </cols>
  <sheetData>
    <row r="1" ht="1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3"/>
      <c r="B2" s="4" t="s">
        <v>640</v>
      </c>
      <c r="C2" s="4"/>
      <c r="D2" s="4"/>
      <c r="E2" s="4"/>
      <c r="F2" s="4"/>
      <c r="G2" s="17"/>
      <c r="H2" s="17"/>
      <c r="I2" s="17"/>
      <c r="J2" s="17"/>
      <c r="K2" s="17"/>
      <c r="L2" s="17"/>
      <c r="M2" s="17"/>
      <c r="N2" s="17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5"/>
      <c r="C4" s="67"/>
      <c r="D4" s="6" t="s">
        <v>641</v>
      </c>
      <c r="E4" s="6" t="s">
        <v>642</v>
      </c>
      <c r="F4" s="6" t="s">
        <v>643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/>
      <c r="B5" s="93" t="s">
        <v>644</v>
      </c>
      <c r="C5" s="94"/>
      <c r="D5" s="94"/>
      <c r="E5" s="94"/>
      <c r="F5" s="9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8" t="s">
        <v>645</v>
      </c>
      <c r="C6" s="3"/>
      <c r="D6" s="95">
        <f>'NRD MC P&amp;L'!N10</f>
        <v>7856805006</v>
      </c>
      <c r="E6" s="95">
        <f>'RideBox Energy P&amp;L'!N8</f>
        <v>2772775500</v>
      </c>
      <c r="F6" s="95">
        <f>'Conso P&amp;L'!N8</f>
        <v>10629580506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8" t="s">
        <v>29</v>
      </c>
      <c r="C7" s="3"/>
      <c r="D7" s="95">
        <f>'NRD MC P&amp;L'!N40</f>
        <v>3795036819</v>
      </c>
      <c r="E7" s="95">
        <f>'RideBox Energy P&amp;L'!N29</f>
        <v>413371031.8</v>
      </c>
      <c r="F7" s="95">
        <f>'Conso P&amp;L'!N39</f>
        <v>5622985821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8" t="s">
        <v>646</v>
      </c>
      <c r="C8" s="3"/>
      <c r="D8" s="95">
        <f>'NRD MC P&amp;L'!N45</f>
        <v>2846277615</v>
      </c>
      <c r="E8" s="95">
        <f>'RideBox Energy P&amp;L'!N34</f>
        <v>310028273.9</v>
      </c>
      <c r="F8" s="95">
        <f>'Conso P&amp;L'!N52</f>
        <v>3156305888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93" t="s">
        <v>647</v>
      </c>
      <c r="C10" s="94"/>
      <c r="D10" s="94"/>
      <c r="E10" s="94"/>
      <c r="F10" s="9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8" t="s">
        <v>648</v>
      </c>
      <c r="C11" s="3"/>
      <c r="D11" s="95">
        <f>SUM('NRD MC P&amp;L'!D10:N10)</f>
        <v>38159621478</v>
      </c>
      <c r="E11" s="95">
        <f>SUM('RideBox Energy P&amp;L'!D8:N8)</f>
        <v>12685125750</v>
      </c>
      <c r="F11" s="95">
        <f>SUM('Conso P&amp;L'!D8:N8)</f>
        <v>50844747228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8" t="s">
        <v>649</v>
      </c>
      <c r="C12" s="3"/>
      <c r="D12" s="95">
        <f>SUM('NRD MC P&amp;L'!D40:N40)</f>
        <v>17324824214</v>
      </c>
      <c r="E12" s="95">
        <f>SUM('RideBox Energy P&amp;L'!D29:N29)</f>
        <v>2265331891</v>
      </c>
      <c r="F12" s="95">
        <f>SUM('Conso P&amp;L'!D39:N39)</f>
        <v>25610080400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8" t="s">
        <v>650</v>
      </c>
      <c r="C13" s="3"/>
      <c r="D13" s="95">
        <f>SUM('NRD MC P&amp;L'!D45:N45)</f>
        <v>12993618160</v>
      </c>
      <c r="E13" s="95">
        <f>SUM('RideBox Energy P&amp;L'!D34:N34)</f>
        <v>1698998918</v>
      </c>
      <c r="F13" s="95">
        <f>SUM('Conso P&amp;L'!D52:N52)</f>
        <v>14692617078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93" t="s">
        <v>651</v>
      </c>
      <c r="C15" s="94"/>
      <c r="D15" s="94"/>
      <c r="E15" s="94"/>
      <c r="F15" s="9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3"/>
      <c r="C16" s="7" t="s">
        <v>652</v>
      </c>
      <c r="D16" s="96">
        <v>0.12</v>
      </c>
      <c r="E16" s="96">
        <v>0.15</v>
      </c>
      <c r="F16" s="96">
        <v>0.18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3"/>
      <c r="C17" s="97">
        <v>6.0</v>
      </c>
      <c r="D17" s="98">
        <f t="array" ref="D17">NPV(D$16, Valuation!$D$8:$N$8) + ('Conso P&amp;L'!$N$39 * $C17) / (1+D$16)^11</f>
        <v>9698844348</v>
      </c>
      <c r="E17" s="98">
        <f t="array" ref="E17">NPV(E$16, Valuation!$D$8:$N$8) + ('Conso P&amp;L'!$N$39 * $C17) / (1+E$16)^11</f>
        <v>7251736166</v>
      </c>
      <c r="F17" s="98">
        <f t="array" ref="F17">NPV(F$16, Valuation!$D$8:$N$8) + ('Conso P&amp;L'!$N$39 * $C17) / (1+F$16)^11</f>
        <v>5462810792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3"/>
      <c r="C18" s="97">
        <v>8.0</v>
      </c>
      <c r="D18" s="98">
        <f t="array" ref="D18">NPV(D$16, Valuation!$D$8:$N$8) + ('Conso P&amp;L'!$N$39 * $C18) / (1+D$16)^11</f>
        <v>12931792462</v>
      </c>
      <c r="E18" s="98">
        <f t="array" ref="E18">NPV(E$16, Valuation!$D$8:$N$8) + ('Conso P&amp;L'!$N$39 * $C18) / (1+E$16)^11</f>
        <v>9668981553</v>
      </c>
      <c r="F18" s="98">
        <f t="array" ref="F18">NPV(F$16, Valuation!$D$8:$N$8) + ('Conso P&amp;L'!$N$39 * $C18) / (1+F$16)^11</f>
        <v>7283747721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3"/>
      <c r="C19" s="97">
        <v>10.0</v>
      </c>
      <c r="D19" s="98">
        <f t="array" ref="D19">NPV(D$16, Valuation!$D$8:$N$8) + ('Conso P&amp;L'!$N$39 * $C19) / (1+D$16)^11</f>
        <v>16164740577</v>
      </c>
      <c r="E19" s="98">
        <f t="array" ref="E19">NPV(E$16, Valuation!$D$8:$N$8) + ('Conso P&amp;L'!$N$39 * $C19) / (1+E$16)^11</f>
        <v>12086226940</v>
      </c>
      <c r="F19" s="98">
        <f t="array" ref="F19">NPV(F$16, Valuation!$D$8:$N$8) + ('Conso P&amp;L'!$N$39 * $C19) / (1+F$16)^11</f>
        <v>9104684651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.0"/>
    <col customWidth="1" min="2" max="2" width="40.0"/>
    <col customWidth="1" min="3" max="3" width="16.0"/>
    <col customWidth="1" min="4" max="4" width="11.14"/>
    <col customWidth="1" min="5" max="5" width="13.86"/>
    <col customWidth="1" min="6" max="14" width="11.0"/>
    <col customWidth="1" min="15" max="26" width="8.71"/>
  </cols>
  <sheetData>
    <row r="1" ht="25.5" customHeight="1">
      <c r="A1" s="3"/>
      <c r="B1" s="99" t="s">
        <v>653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1"/>
    </row>
    <row r="2" ht="15.0" customHeight="1">
      <c r="A2" s="3"/>
      <c r="B2" s="66" t="s">
        <v>654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5.0" customHeight="1">
      <c r="A4" s="3"/>
      <c r="B4" s="102" t="s">
        <v>655</v>
      </c>
      <c r="C4" s="102" t="s">
        <v>656</v>
      </c>
      <c r="D4" s="103" t="s">
        <v>485</v>
      </c>
      <c r="E4" s="103" t="s">
        <v>486</v>
      </c>
      <c r="F4" s="103" t="s">
        <v>487</v>
      </c>
      <c r="G4" s="103" t="s">
        <v>488</v>
      </c>
      <c r="H4" s="103" t="s">
        <v>489</v>
      </c>
      <c r="I4" s="103" t="s">
        <v>490</v>
      </c>
      <c r="J4" s="103" t="s">
        <v>491</v>
      </c>
      <c r="K4" s="103" t="s">
        <v>492</v>
      </c>
      <c r="L4" s="103" t="s">
        <v>493</v>
      </c>
      <c r="M4" s="103" t="s">
        <v>494</v>
      </c>
      <c r="N4" s="103" t="s">
        <v>495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5.0" customHeight="1">
      <c r="A6" s="3"/>
      <c r="B6" s="104" t="s">
        <v>657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</row>
    <row r="7" ht="15.0" customHeight="1">
      <c r="A7" s="3"/>
      <c r="B7" s="8" t="s">
        <v>658</v>
      </c>
      <c r="C7" s="66" t="s">
        <v>659</v>
      </c>
      <c r="D7" s="106">
        <f>'MC Drivers (NRD)'!D15</f>
        <v>2216</v>
      </c>
      <c r="E7" s="106">
        <f>'MC Drivers (NRD)'!E15</f>
        <v>5374</v>
      </c>
      <c r="F7" s="106">
        <f>'MC Drivers (NRD)'!F15</f>
        <v>9888</v>
      </c>
      <c r="G7" s="106">
        <f>'MC Drivers (NRD)'!G15</f>
        <v>15717</v>
      </c>
      <c r="H7" s="106">
        <f>'MC Drivers (NRD)'!H15</f>
        <v>22412</v>
      </c>
      <c r="I7" s="106">
        <f>'MC Drivers (NRD)'!I15</f>
        <v>30197</v>
      </c>
      <c r="J7" s="106">
        <f>'MC Drivers (NRD)'!J15</f>
        <v>39863</v>
      </c>
      <c r="K7" s="106">
        <f>'MC Drivers (NRD)'!K15</f>
        <v>51163</v>
      </c>
      <c r="L7" s="106">
        <f>'MC Drivers (NRD)'!L15</f>
        <v>63299</v>
      </c>
      <c r="M7" s="106">
        <f>'MC Drivers (NRD)'!M15</f>
        <v>76246</v>
      </c>
      <c r="N7" s="106">
        <f>'MC Drivers (NRD)'!N15</f>
        <v>89978</v>
      </c>
    </row>
    <row r="8" ht="15.0" customHeight="1">
      <c r="A8" s="3"/>
      <c r="B8" s="8" t="s">
        <v>660</v>
      </c>
      <c r="C8" s="66" t="s">
        <v>659</v>
      </c>
      <c r="D8" s="106">
        <f>'MC Drivers (NRD)'!D18</f>
        <v>1200</v>
      </c>
      <c r="E8" s="106">
        <f>'MC Drivers (NRD)'!E18</f>
        <v>3120</v>
      </c>
      <c r="F8" s="106">
        <f>'MC Drivers (NRD)'!F18</f>
        <v>6192</v>
      </c>
      <c r="G8" s="106">
        <f>'MC Drivers (NRD)'!G18</f>
        <v>10493</v>
      </c>
      <c r="H8" s="106">
        <f>'MC Drivers (NRD)'!H18</f>
        <v>15869</v>
      </c>
      <c r="I8" s="106">
        <f>'MC Drivers (NRD)'!I18</f>
        <v>22320</v>
      </c>
      <c r="J8" s="106">
        <f>'MC Drivers (NRD)'!J18</f>
        <v>30384</v>
      </c>
      <c r="K8" s="106">
        <f>'MC Drivers (NRD)'!K18</f>
        <v>40061</v>
      </c>
      <c r="L8" s="106">
        <f>'MC Drivers (NRD)'!L18</f>
        <v>50812</v>
      </c>
      <c r="M8" s="106">
        <f>'MC Drivers (NRD)'!M18</f>
        <v>62638</v>
      </c>
      <c r="N8" s="106">
        <f>'MC Drivers (NRD)'!N18</f>
        <v>75539</v>
      </c>
    </row>
    <row r="9" ht="15.0" customHeight="1">
      <c r="A9" s="3"/>
      <c r="B9" s="8" t="s">
        <v>661</v>
      </c>
      <c r="C9" s="66" t="s">
        <v>659</v>
      </c>
      <c r="D9" s="106">
        <f>'MC Drivers (NRD)'!D27</f>
        <v>200</v>
      </c>
      <c r="E9" s="106">
        <f>'MC Drivers (NRD)'!E27</f>
        <v>480</v>
      </c>
      <c r="F9" s="106">
        <f>'MC Drivers (NRD)'!F27</f>
        <v>844</v>
      </c>
      <c r="G9" s="106">
        <f>'MC Drivers (NRD)'!G27</f>
        <v>1117</v>
      </c>
      <c r="H9" s="106">
        <f>'MC Drivers (NRD)'!H27</f>
        <v>1452</v>
      </c>
      <c r="I9" s="106">
        <f>'MC Drivers (NRD)'!I27</f>
        <v>1887</v>
      </c>
      <c r="J9" s="106">
        <f>'MC Drivers (NRD)'!J27</f>
        <v>2452</v>
      </c>
      <c r="K9" s="106">
        <f>'MC Drivers (NRD)'!K27</f>
        <v>3187</v>
      </c>
      <c r="L9" s="106">
        <f>'MC Drivers (NRD)'!L27</f>
        <v>4143</v>
      </c>
      <c r="M9" s="106">
        <f>'MC Drivers (NRD)'!M27</f>
        <v>5386</v>
      </c>
      <c r="N9" s="106">
        <f>'MC Drivers (NRD)'!N27</f>
        <v>7001</v>
      </c>
    </row>
    <row r="10" ht="15.0" customHeight="1">
      <c r="A10" s="3"/>
      <c r="B10" s="8" t="s">
        <v>662</v>
      </c>
      <c r="C10" s="66" t="s">
        <v>663</v>
      </c>
      <c r="D10" s="9">
        <f t="shared" ref="D10:N10" si="1">SUM(D7:D9)</f>
        <v>3616</v>
      </c>
      <c r="E10" s="9">
        <f t="shared" si="1"/>
        <v>8974</v>
      </c>
      <c r="F10" s="9">
        <f t="shared" si="1"/>
        <v>16924</v>
      </c>
      <c r="G10" s="9">
        <f t="shared" si="1"/>
        <v>27327</v>
      </c>
      <c r="H10" s="9">
        <f t="shared" si="1"/>
        <v>39733</v>
      </c>
      <c r="I10" s="9">
        <f t="shared" si="1"/>
        <v>54404</v>
      </c>
      <c r="J10" s="9">
        <f t="shared" si="1"/>
        <v>72699</v>
      </c>
      <c r="K10" s="9">
        <f t="shared" si="1"/>
        <v>94411</v>
      </c>
      <c r="L10" s="9">
        <f t="shared" si="1"/>
        <v>118254</v>
      </c>
      <c r="M10" s="9">
        <f t="shared" si="1"/>
        <v>144270</v>
      </c>
      <c r="N10" s="9">
        <f t="shared" si="1"/>
        <v>172518</v>
      </c>
    </row>
    <row r="11" ht="15.0" customHeight="1">
      <c r="A11" s="3"/>
      <c r="B11" s="8" t="s">
        <v>664</v>
      </c>
      <c r="C11" s="66" t="s">
        <v>665</v>
      </c>
      <c r="D11" s="106">
        <f>'Energy Drivers (RideBox)'!D8</f>
        <v>363</v>
      </c>
      <c r="E11" s="106">
        <f>'Energy Drivers (RideBox)'!E8</f>
        <v>899</v>
      </c>
      <c r="F11" s="106">
        <f>'Energy Drivers (RideBox)'!F8</f>
        <v>1694</v>
      </c>
      <c r="G11" s="106">
        <f>'Energy Drivers (RideBox)'!G8</f>
        <v>2733</v>
      </c>
      <c r="H11" s="106">
        <f>'Energy Drivers (RideBox)'!H8</f>
        <v>3974</v>
      </c>
      <c r="I11" s="106">
        <f>'Energy Drivers (RideBox)'!I8</f>
        <v>5441</v>
      </c>
      <c r="J11" s="106">
        <f>'Energy Drivers (RideBox)'!J8</f>
        <v>7270</v>
      </c>
      <c r="K11" s="106">
        <f>'Energy Drivers (RideBox)'!K8</f>
        <v>9442</v>
      </c>
      <c r="L11" s="106">
        <f>'Energy Drivers (RideBox)'!L8</f>
        <v>11826</v>
      </c>
      <c r="M11" s="106">
        <f>'Energy Drivers (RideBox)'!M8</f>
        <v>14428</v>
      </c>
      <c r="N11" s="106">
        <f>'Energy Drivers (RideBox)'!N8</f>
        <v>17253</v>
      </c>
    </row>
    <row r="12" ht="15.0" customHeight="1">
      <c r="A12" s="3"/>
      <c r="B12" s="8" t="s">
        <v>666</v>
      </c>
      <c r="C12" s="66" t="s">
        <v>667</v>
      </c>
      <c r="D12" s="15">
        <f t="shared" ref="D12:N12" si="2">IFERROR(D10/D11,0)</f>
        <v>9.961432507</v>
      </c>
      <c r="E12" s="15">
        <f t="shared" si="2"/>
        <v>9.982202447</v>
      </c>
      <c r="F12" s="15">
        <f t="shared" si="2"/>
        <v>9.9905549</v>
      </c>
      <c r="G12" s="15">
        <f t="shared" si="2"/>
        <v>9.998902305</v>
      </c>
      <c r="H12" s="15">
        <f t="shared" si="2"/>
        <v>9.998238551</v>
      </c>
      <c r="I12" s="15">
        <f t="shared" si="2"/>
        <v>9.998897262</v>
      </c>
      <c r="J12" s="15">
        <f t="shared" si="2"/>
        <v>9.999862448</v>
      </c>
      <c r="K12" s="15">
        <f t="shared" si="2"/>
        <v>9.999046812</v>
      </c>
      <c r="L12" s="15">
        <f t="shared" si="2"/>
        <v>9.999492643</v>
      </c>
      <c r="M12" s="15">
        <f t="shared" si="2"/>
        <v>9.999306903</v>
      </c>
      <c r="N12" s="15">
        <f t="shared" si="2"/>
        <v>9.999304469</v>
      </c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5.0" customHeight="1">
      <c r="A14" s="3"/>
      <c r="B14" s="104" t="s">
        <v>668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ht="15.0" customHeight="1">
      <c r="A15" s="3"/>
      <c r="B15" s="8" t="s">
        <v>669</v>
      </c>
      <c r="C15" s="66" t="s">
        <v>670</v>
      </c>
      <c r="D15" s="107">
        <f>'Energy Drivers (RideBox)'!D25</f>
        <v>4</v>
      </c>
      <c r="E15" s="107">
        <f>'Energy Drivers (RideBox)'!E25</f>
        <v>8</v>
      </c>
      <c r="F15" s="107">
        <f>'Energy Drivers (RideBox)'!F25</f>
        <v>8</v>
      </c>
      <c r="G15" s="107">
        <f>'Energy Drivers (RideBox)'!G25</f>
        <v>8</v>
      </c>
      <c r="H15" s="107">
        <f>'Energy Drivers (RideBox)'!H25</f>
        <v>8</v>
      </c>
      <c r="I15" s="107">
        <f>'Energy Drivers (RideBox)'!I25</f>
        <v>8</v>
      </c>
      <c r="J15" s="107">
        <f>'Energy Drivers (RideBox)'!J25</f>
        <v>8</v>
      </c>
      <c r="K15" s="107">
        <f>'Energy Drivers (RideBox)'!K25</f>
        <v>8</v>
      </c>
      <c r="L15" s="107">
        <f>'Energy Drivers (RideBox)'!L25</f>
        <v>8</v>
      </c>
      <c r="M15" s="107">
        <f>'Energy Drivers (RideBox)'!M25</f>
        <v>8</v>
      </c>
      <c r="N15" s="107">
        <f>'Energy Drivers (RideBox)'!N25</f>
        <v>8</v>
      </c>
    </row>
    <row r="16" ht="15.0" customHeight="1">
      <c r="A16" s="3"/>
      <c r="B16" s="8" t="s">
        <v>377</v>
      </c>
      <c r="C16" s="66" t="s">
        <v>670</v>
      </c>
      <c r="D16" s="107">
        <f>'Energy Drivers (RideBox)'!D24</f>
        <v>2</v>
      </c>
      <c r="E16" s="107">
        <f>'Energy Drivers (RideBox)'!E24</f>
        <v>4</v>
      </c>
      <c r="F16" s="107">
        <f>'Energy Drivers (RideBox)'!F24</f>
        <v>4</v>
      </c>
      <c r="G16" s="107">
        <f>'Energy Drivers (RideBox)'!G24</f>
        <v>4</v>
      </c>
      <c r="H16" s="107">
        <f>'Energy Drivers (RideBox)'!H24</f>
        <v>4</v>
      </c>
      <c r="I16" s="107">
        <f>'Energy Drivers (RideBox)'!I24</f>
        <v>4</v>
      </c>
      <c r="J16" s="107">
        <f>'Energy Drivers (RideBox)'!J24</f>
        <v>4</v>
      </c>
      <c r="K16" s="107">
        <f>'Energy Drivers (RideBox)'!K24</f>
        <v>4</v>
      </c>
      <c r="L16" s="107">
        <f>'Energy Drivers (RideBox)'!L24</f>
        <v>4</v>
      </c>
      <c r="M16" s="107">
        <f>'Energy Drivers (RideBox)'!M24</f>
        <v>4</v>
      </c>
      <c r="N16" s="107">
        <f>'Energy Drivers (RideBox)'!N24</f>
        <v>4</v>
      </c>
    </row>
    <row r="17" ht="15.0" customHeight="1">
      <c r="A17" s="3"/>
      <c r="B17" s="8" t="s">
        <v>671</v>
      </c>
      <c r="C17" s="66" t="s">
        <v>672</v>
      </c>
      <c r="D17" s="107">
        <f>'Energy Drivers (RideBox)'!D26</f>
        <v>7.6544</v>
      </c>
      <c r="E17" s="107">
        <f>'Energy Drivers (RideBox)'!E26</f>
        <v>10.20586667</v>
      </c>
      <c r="F17" s="107">
        <f>'Energy Drivers (RideBox)'!F26</f>
        <v>10.20586667</v>
      </c>
      <c r="G17" s="107">
        <f>'Energy Drivers (RideBox)'!G26</f>
        <v>10.20586667</v>
      </c>
      <c r="H17" s="107">
        <f>'Energy Drivers (RideBox)'!H26</f>
        <v>10.20586667</v>
      </c>
      <c r="I17" s="107">
        <f>'Energy Drivers (RideBox)'!I26</f>
        <v>10.20586667</v>
      </c>
      <c r="J17" s="107">
        <f>'Energy Drivers (RideBox)'!J26</f>
        <v>10.20586667</v>
      </c>
      <c r="K17" s="107">
        <f>'Energy Drivers (RideBox)'!K26</f>
        <v>10.20586667</v>
      </c>
      <c r="L17" s="107">
        <f>'Energy Drivers (RideBox)'!L26</f>
        <v>10.20586667</v>
      </c>
      <c r="M17" s="107">
        <f>'Energy Drivers (RideBox)'!M26</f>
        <v>10.20586667</v>
      </c>
      <c r="N17" s="107">
        <f>'Energy Drivers (RideBox)'!N26</f>
        <v>10.20586667</v>
      </c>
    </row>
    <row r="18" ht="15.0" customHeight="1">
      <c r="A18" s="3"/>
      <c r="B18" s="8" t="s">
        <v>673</v>
      </c>
      <c r="C18" s="66" t="s">
        <v>86</v>
      </c>
      <c r="D18" s="106">
        <f>'Energy Drivers (RideBox)'!D11</f>
        <v>2455.357143</v>
      </c>
      <c r="E18" s="106">
        <f>'Energy Drivers (RideBox)'!E11</f>
        <v>2455.357143</v>
      </c>
      <c r="F18" s="106">
        <f>'Energy Drivers (RideBox)'!F11</f>
        <v>2455.357143</v>
      </c>
      <c r="G18" s="106">
        <f>'Energy Drivers (RideBox)'!G11</f>
        <v>2455.357143</v>
      </c>
      <c r="H18" s="106">
        <f>'Energy Drivers (RideBox)'!H11</f>
        <v>2455.357143</v>
      </c>
      <c r="I18" s="106">
        <f>'Energy Drivers (RideBox)'!I11</f>
        <v>2455.357143</v>
      </c>
      <c r="J18" s="106">
        <f>'Energy Drivers (RideBox)'!J11</f>
        <v>2455.357143</v>
      </c>
      <c r="K18" s="106">
        <f>'Energy Drivers (RideBox)'!K11</f>
        <v>2455.357143</v>
      </c>
      <c r="L18" s="106">
        <f>'Energy Drivers (RideBox)'!L11</f>
        <v>2455.357143</v>
      </c>
      <c r="M18" s="106">
        <f>'Energy Drivers (RideBox)'!M11</f>
        <v>2455.357143</v>
      </c>
      <c r="N18" s="106">
        <f>'Energy Drivers (RideBox)'!N11</f>
        <v>2455.357143</v>
      </c>
    </row>
    <row r="19" ht="15.0" customHeight="1">
      <c r="A19" s="3"/>
      <c r="B19" s="8" t="s">
        <v>674</v>
      </c>
      <c r="C19" s="66" t="s">
        <v>86</v>
      </c>
      <c r="D19" s="106">
        <f>'Energy Drivers (RideBox)'!D12</f>
        <v>785.7142857</v>
      </c>
      <c r="E19" s="106">
        <f>'Energy Drivers (RideBox)'!E12</f>
        <v>785.7142857</v>
      </c>
      <c r="F19" s="106">
        <f>'Energy Drivers (RideBox)'!F12</f>
        <v>785.7142857</v>
      </c>
      <c r="G19" s="106">
        <f>'Energy Drivers (RideBox)'!G12</f>
        <v>785.7142857</v>
      </c>
      <c r="H19" s="106">
        <f>'Energy Drivers (RideBox)'!H12</f>
        <v>785.7142857</v>
      </c>
      <c r="I19" s="106">
        <f>'Energy Drivers (RideBox)'!I12</f>
        <v>785.7142857</v>
      </c>
      <c r="J19" s="106">
        <f>'Energy Drivers (RideBox)'!J12</f>
        <v>785.7142857</v>
      </c>
      <c r="K19" s="106">
        <f>'Energy Drivers (RideBox)'!K12</f>
        <v>785.7142857</v>
      </c>
      <c r="L19" s="106">
        <f>'Energy Drivers (RideBox)'!L12</f>
        <v>785.7142857</v>
      </c>
      <c r="M19" s="106">
        <f>'Energy Drivers (RideBox)'!M12</f>
        <v>785.7142857</v>
      </c>
      <c r="N19" s="106">
        <f>'Energy Drivers (RideBox)'!N12</f>
        <v>785.7142857</v>
      </c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5.0" customHeight="1">
      <c r="A21" s="3"/>
      <c r="B21" s="104" t="s">
        <v>675</v>
      </c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</row>
    <row r="22" ht="15.0" customHeight="1">
      <c r="A22" s="3"/>
      <c r="B22" s="8" t="s">
        <v>676</v>
      </c>
      <c r="C22" s="66" t="s">
        <v>86</v>
      </c>
      <c r="D22" s="9">
        <f>IFERROR('RideBox Energy P&amp;L'!D8/D11,0)</f>
        <v>211038.961</v>
      </c>
      <c r="E22" s="9">
        <f>IFERROR('RideBox Energy P&amp;L'!E8/E11,0)</f>
        <v>196266.8838</v>
      </c>
      <c r="F22" s="9">
        <f>IFERROR('RideBox Energy P&amp;L'!F8/F11,0)</f>
        <v>189083.4879</v>
      </c>
      <c r="G22" s="9">
        <f>IFERROR('RideBox Energy P&amp;L'!G8/G11,0)</f>
        <v>184281.9116</v>
      </c>
      <c r="H22" s="9">
        <f>IFERROR('RideBox Energy P&amp;L'!H8/H11,0)</f>
        <v>178923.3949</v>
      </c>
      <c r="I22" s="9">
        <f>IFERROR('RideBox Energy P&amp;L'!I8/I11,0)</f>
        <v>174702.5822</v>
      </c>
      <c r="J22" s="9">
        <f>IFERROR('RideBox Energy P&amp;L'!J8/J11,0)</f>
        <v>172017.4445</v>
      </c>
      <c r="K22" s="9">
        <f>IFERROR('RideBox Energy P&amp;L'!K8/K11,0)</f>
        <v>169320.222</v>
      </c>
      <c r="L22" s="9">
        <f>IFERROR('RideBox Energy P&amp;L'!L8/L11,0)</f>
        <v>166279.925</v>
      </c>
      <c r="M22" s="9">
        <f>IFERROR('RideBox Energy P&amp;L'!M8/M11,0)</f>
        <v>163434.7251</v>
      </c>
      <c r="N22" s="9">
        <f>IFERROR('RideBox Energy P&amp;L'!N8/N11,0)</f>
        <v>160712.6587</v>
      </c>
    </row>
    <row r="23" ht="15.0" customHeight="1">
      <c r="A23" s="3"/>
      <c r="B23" s="8" t="s">
        <v>677</v>
      </c>
      <c r="C23" s="66" t="s">
        <v>86</v>
      </c>
      <c r="D23" s="9">
        <f>IFERROR('RideBox Energy P&amp;L'!D8/D10/12,0)</f>
        <v>1765.466972</v>
      </c>
      <c r="E23" s="9">
        <f>IFERROR('RideBox Energy P&amp;L'!E8/E10/12,0)</f>
        <v>1638.473447</v>
      </c>
      <c r="F23" s="9">
        <f>IFERROR('RideBox Energy P&amp;L'!F8/F10/12,0)</f>
        <v>1577.1854</v>
      </c>
      <c r="G23" s="9">
        <f>IFERROR('RideBox Energy P&amp;L'!G8/G10/12,0)</f>
        <v>1535.851186</v>
      </c>
      <c r="H23" s="9">
        <f>IFERROR('RideBox Energy P&amp;L'!H8/H10/12,0)</f>
        <v>1491.290974</v>
      </c>
      <c r="I23" s="9">
        <f>IFERROR('RideBox Energy P&amp;L'!I8/I10/12,0)</f>
        <v>1456.015412</v>
      </c>
      <c r="J23" s="9">
        <f>IFERROR('RideBox Energy P&amp;L'!J8/J10/12,0)</f>
        <v>1433.498422</v>
      </c>
      <c r="K23" s="9">
        <f>IFERROR('RideBox Energy P&amp;L'!K8/K10/12,0)</f>
        <v>1411.136357</v>
      </c>
      <c r="L23" s="9">
        <f>IFERROR('RideBox Energy P&amp;L'!L8/L10/12,0)</f>
        <v>1385.736348</v>
      </c>
      <c r="M23" s="9">
        <f>IFERROR('RideBox Energy P&amp;L'!M8/M10/12,0)</f>
        <v>1362.050446</v>
      </c>
      <c r="N23" s="9">
        <f>IFERROR('RideBox Energy P&amp;L'!N8/N10/12,0)</f>
        <v>1339.365313</v>
      </c>
    </row>
    <row r="24" ht="15.0" customHeight="1">
      <c r="A24" s="3"/>
      <c r="B24" s="8" t="s">
        <v>678</v>
      </c>
      <c r="C24" s="66" t="s">
        <v>86</v>
      </c>
      <c r="D24" s="9">
        <f>IFERROR('NRD MC P&amp;L'!D10/D10,0)</f>
        <v>96477.52624</v>
      </c>
      <c r="E24" s="9">
        <f>IFERROR('NRD MC P&amp;L'!E10/E10,0)</f>
        <v>75109.43887</v>
      </c>
      <c r="F24" s="9">
        <f>IFERROR('NRD MC P&amp;L'!F10/F10,0)</f>
        <v>68353.07399</v>
      </c>
      <c r="G24" s="9">
        <f>IFERROR('NRD MC P&amp;L'!G10/G10,0)</f>
        <v>62849.0857</v>
      </c>
      <c r="H24" s="9">
        <f>IFERROR('NRD MC P&amp;L'!H10/H10,0)</f>
        <v>58014.3186</v>
      </c>
      <c r="I24" s="9">
        <f>IFERROR('NRD MC P&amp;L'!I10/I10,0)</f>
        <v>54447.72873</v>
      </c>
      <c r="J24" s="9">
        <f>IFERROR('NRD MC P&amp;L'!J10/J10,0)</f>
        <v>52662.43477</v>
      </c>
      <c r="K24" s="9">
        <f>IFERROR('NRD MC P&amp;L'!K10/K10,0)</f>
        <v>50850.35143</v>
      </c>
      <c r="L24" s="9">
        <f>IFERROR('NRD MC P&amp;L'!L10/L10,0)</f>
        <v>48592.12483</v>
      </c>
      <c r="M24" s="9">
        <f>IFERROR('NRD MC P&amp;L'!M10/M10,0)</f>
        <v>46876.19107</v>
      </c>
      <c r="N24" s="9">
        <f>IFERROR('NRD MC P&amp;L'!N10/N10,0)</f>
        <v>45541.94348</v>
      </c>
    </row>
    <row r="25" ht="15.0" customHeight="1">
      <c r="A25" s="3"/>
      <c r="B25" s="8" t="s">
        <v>679</v>
      </c>
      <c r="C25" s="66" t="s">
        <v>86</v>
      </c>
      <c r="D25" s="9">
        <f>IFERROR('Conso P&amp;L'!D8/D10,0)</f>
        <v>117663.1299</v>
      </c>
      <c r="E25" s="9">
        <f>IFERROR('Conso P&amp;L'!E8/E10,0)</f>
        <v>94771.12023</v>
      </c>
      <c r="F25" s="9">
        <f>IFERROR('Conso P&amp;L'!F8/F10,0)</f>
        <v>87279.29879</v>
      </c>
      <c r="G25" s="9">
        <f>IFERROR('Conso P&amp;L'!G8/G10,0)</f>
        <v>81279.29993</v>
      </c>
      <c r="H25" s="9">
        <f>IFERROR('Conso P&amp;L'!H8/H10,0)</f>
        <v>75909.81029</v>
      </c>
      <c r="I25" s="9">
        <f>IFERROR('Conso P&amp;L'!I8/I10,0)</f>
        <v>71919.91368</v>
      </c>
      <c r="J25" s="9">
        <f>IFERROR('Conso P&amp;L'!J8/J10,0)</f>
        <v>69864.41584</v>
      </c>
      <c r="K25" s="9">
        <f>IFERROR('Conso P&amp;L'!K8/K10,0)</f>
        <v>67783.98772</v>
      </c>
      <c r="L25" s="9">
        <f>IFERROR('Conso P&amp;L'!L8/L10,0)</f>
        <v>65220.961</v>
      </c>
      <c r="M25" s="9">
        <f>IFERROR('Conso P&amp;L'!M8/M10,0)</f>
        <v>63220.79642</v>
      </c>
      <c r="N25" s="9">
        <f>IFERROR('Conso P&amp;L'!N8/N10,0)</f>
        <v>61614.32723</v>
      </c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5.0" customHeight="1">
      <c r="A28" s="3"/>
      <c r="B28" s="104" t="s">
        <v>680</v>
      </c>
      <c r="C28" s="105"/>
      <c r="D28" s="105"/>
      <c r="E28" s="105"/>
      <c r="F28" s="105"/>
      <c r="G28" s="3"/>
      <c r="H28" s="3"/>
      <c r="I28" s="3"/>
      <c r="J28" s="3"/>
      <c r="K28" s="3"/>
      <c r="L28" s="3"/>
      <c r="M28" s="3"/>
      <c r="N28" s="3"/>
    </row>
    <row r="29" ht="15.0" customHeight="1">
      <c r="A29" s="3"/>
      <c r="B29" s="108" t="s">
        <v>655</v>
      </c>
      <c r="C29" s="108" t="s">
        <v>681</v>
      </c>
      <c r="D29" s="103" t="s">
        <v>682</v>
      </c>
      <c r="E29" s="103" t="s">
        <v>683</v>
      </c>
      <c r="F29" s="103" t="s">
        <v>684</v>
      </c>
      <c r="G29" s="3"/>
      <c r="H29" s="3"/>
      <c r="I29" s="3"/>
      <c r="J29" s="3"/>
      <c r="K29" s="3"/>
      <c r="L29" s="3"/>
      <c r="M29" s="3"/>
      <c r="N29" s="3"/>
    </row>
    <row r="30" ht="15.0" customHeight="1">
      <c r="A30" s="3"/>
      <c r="B30" s="8" t="s">
        <v>685</v>
      </c>
      <c r="C30" s="66" t="s">
        <v>686</v>
      </c>
      <c r="D30" s="109">
        <v>60.0</v>
      </c>
      <c r="E30" s="110">
        <v>112.0</v>
      </c>
      <c r="F30" s="12">
        <f t="shared" ref="F30:F37" si="3">IFERROR(E30/D30-1,"")</f>
        <v>0.8666666667</v>
      </c>
      <c r="G30" s="3"/>
      <c r="H30" s="3"/>
      <c r="I30" s="3"/>
      <c r="J30" s="3"/>
      <c r="K30" s="3"/>
      <c r="L30" s="3"/>
      <c r="M30" s="3"/>
      <c r="N30" s="3"/>
    </row>
    <row r="31" ht="15.0" customHeight="1">
      <c r="A31" s="3"/>
      <c r="B31" s="8" t="s">
        <v>687</v>
      </c>
      <c r="C31" s="66" t="s">
        <v>670</v>
      </c>
      <c r="D31" s="15">
        <f>D11*D15/D10</f>
        <v>0.4015486726</v>
      </c>
      <c r="E31" s="109"/>
      <c r="F31" s="12">
        <f t="shared" si="3"/>
        <v>-1</v>
      </c>
      <c r="G31" s="3"/>
      <c r="H31" s="3"/>
      <c r="I31" s="3"/>
      <c r="J31" s="3"/>
      <c r="K31" s="3"/>
      <c r="L31" s="3"/>
      <c r="M31" s="3"/>
      <c r="N31" s="3"/>
    </row>
    <row r="32" ht="15.0" customHeight="1">
      <c r="A32" s="3"/>
      <c r="B32" s="8" t="s">
        <v>669</v>
      </c>
      <c r="C32" s="66" t="s">
        <v>670</v>
      </c>
      <c r="D32" s="15">
        <f>D15</f>
        <v>4</v>
      </c>
      <c r="E32" s="109"/>
      <c r="F32" s="12">
        <f t="shared" si="3"/>
        <v>-1</v>
      </c>
      <c r="G32" s="3"/>
      <c r="H32" s="3"/>
      <c r="I32" s="3"/>
      <c r="J32" s="3"/>
      <c r="K32" s="3"/>
      <c r="L32" s="3"/>
      <c r="M32" s="3"/>
      <c r="N32" s="3"/>
    </row>
    <row r="33" ht="15.0" customHeight="1">
      <c r="A33" s="3"/>
      <c r="B33" s="8" t="s">
        <v>688</v>
      </c>
      <c r="C33" s="66" t="s">
        <v>663</v>
      </c>
      <c r="D33" s="15">
        <f>D12</f>
        <v>9.961432507</v>
      </c>
      <c r="E33" s="109"/>
      <c r="F33" s="12">
        <f t="shared" si="3"/>
        <v>-1</v>
      </c>
      <c r="G33" s="3"/>
      <c r="H33" s="3"/>
      <c r="I33" s="3"/>
      <c r="J33" s="3"/>
      <c r="K33" s="3"/>
      <c r="L33" s="3"/>
      <c r="M33" s="3"/>
      <c r="N33" s="3"/>
    </row>
    <row r="34" ht="15.0" customHeight="1">
      <c r="A34" s="3"/>
      <c r="B34" s="8" t="s">
        <v>689</v>
      </c>
      <c r="C34" s="66" t="s">
        <v>86</v>
      </c>
      <c r="D34" s="9">
        <f>D22/12</f>
        <v>17586.58009</v>
      </c>
      <c r="E34" s="111"/>
      <c r="F34" s="12">
        <f t="shared" si="3"/>
        <v>-1</v>
      </c>
      <c r="G34" s="3"/>
      <c r="H34" s="3"/>
      <c r="I34" s="3"/>
      <c r="J34" s="3"/>
      <c r="K34" s="3"/>
      <c r="L34" s="3"/>
      <c r="M34" s="3"/>
      <c r="N34" s="3"/>
    </row>
    <row r="35" ht="15.0" customHeight="1">
      <c r="A35" s="3"/>
      <c r="B35" s="8" t="s">
        <v>690</v>
      </c>
      <c r="C35" s="66" t="s">
        <v>672</v>
      </c>
      <c r="D35" s="15">
        <f t="shared" ref="D35:D36" si="4">D17</f>
        <v>7.6544</v>
      </c>
      <c r="E35" s="109"/>
      <c r="F35" s="12">
        <f t="shared" si="3"/>
        <v>-1</v>
      </c>
      <c r="G35" s="3"/>
      <c r="H35" s="3"/>
      <c r="I35" s="3"/>
      <c r="J35" s="3"/>
      <c r="K35" s="3"/>
      <c r="L35" s="3"/>
      <c r="M35" s="3"/>
      <c r="N35" s="3"/>
    </row>
    <row r="36" ht="15.0" customHeight="1">
      <c r="A36" s="3"/>
      <c r="B36" s="8" t="s">
        <v>691</v>
      </c>
      <c r="C36" s="66" t="s">
        <v>86</v>
      </c>
      <c r="D36" s="9">
        <f t="shared" si="4"/>
        <v>2455.357143</v>
      </c>
      <c r="E36" s="111"/>
      <c r="F36" s="12">
        <f t="shared" si="3"/>
        <v>-1</v>
      </c>
      <c r="G36" s="3"/>
      <c r="H36" s="3"/>
      <c r="I36" s="3"/>
      <c r="J36" s="3"/>
      <c r="K36" s="3"/>
      <c r="L36" s="3"/>
      <c r="M36" s="3"/>
      <c r="N36" s="3"/>
    </row>
    <row r="37" ht="15.0" customHeight="1">
      <c r="A37" s="3"/>
      <c r="B37" s="8" t="s">
        <v>692</v>
      </c>
      <c r="C37" s="66" t="s">
        <v>61</v>
      </c>
      <c r="D37" s="12">
        <f>D15/8</f>
        <v>0.5</v>
      </c>
      <c r="E37" s="87"/>
      <c r="F37" s="12">
        <f t="shared" si="3"/>
        <v>-1</v>
      </c>
      <c r="G37" s="3"/>
      <c r="H37" s="3"/>
      <c r="I37" s="3"/>
      <c r="J37" s="3"/>
      <c r="K37" s="3"/>
      <c r="L37" s="3"/>
      <c r="M37" s="3"/>
      <c r="N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5.0" customHeight="1">
      <c r="A39" s="3"/>
      <c r="B39" s="66" t="s">
        <v>693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mergeCells count="1">
    <mergeCell ref="B1:N1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.0"/>
    <col customWidth="1" min="2" max="2" width="44.0"/>
    <col customWidth="1" min="3" max="4" width="18.0"/>
    <col customWidth="1" min="5" max="5" width="40.0"/>
    <col customWidth="1" min="6" max="26" width="8.71"/>
  </cols>
  <sheetData>
    <row r="1" ht="25.5" customHeight="1">
      <c r="A1" s="3"/>
      <c r="B1" s="99" t="s">
        <v>694</v>
      </c>
      <c r="C1" s="100"/>
      <c r="D1" s="100"/>
      <c r="E1" s="101"/>
    </row>
    <row r="2" ht="15.0" customHeight="1">
      <c r="A2" s="3"/>
      <c r="B2" s="66" t="s">
        <v>695</v>
      </c>
      <c r="C2" s="3"/>
      <c r="D2" s="3"/>
      <c r="E2" s="3"/>
    </row>
    <row r="3">
      <c r="A3" s="3"/>
      <c r="B3" s="3"/>
      <c r="C3" s="3"/>
      <c r="D3" s="3"/>
      <c r="E3" s="3"/>
    </row>
    <row r="4" ht="15.0" customHeight="1">
      <c r="A4" s="3"/>
      <c r="B4" s="102" t="s">
        <v>696</v>
      </c>
      <c r="C4" s="103" t="s">
        <v>697</v>
      </c>
      <c r="D4" s="3"/>
      <c r="E4" s="102" t="s">
        <v>698</v>
      </c>
    </row>
    <row r="5">
      <c r="A5" s="3"/>
      <c r="B5" s="3"/>
      <c r="C5" s="3"/>
      <c r="D5" s="3"/>
      <c r="E5" s="3"/>
    </row>
    <row r="6" ht="15.0" customHeight="1">
      <c r="A6" s="3"/>
      <c r="B6" s="104" t="s">
        <v>699</v>
      </c>
      <c r="C6" s="105"/>
      <c r="D6" s="105"/>
      <c r="E6" s="105"/>
    </row>
    <row r="7" ht="15.0" customHeight="1">
      <c r="A7" s="3"/>
      <c r="B7" s="23" t="s">
        <v>6</v>
      </c>
      <c r="C7" s="112">
        <f>'Unit Econ'!E6</f>
        <v>10</v>
      </c>
      <c r="D7" s="3"/>
      <c r="E7" s="66" t="s">
        <v>700</v>
      </c>
    </row>
    <row r="8" ht="15.0" customHeight="1">
      <c r="A8" s="3"/>
      <c r="B8" s="23" t="s">
        <v>7</v>
      </c>
      <c r="C8" s="112">
        <f>'Unit Econ'!E7</f>
        <v>20</v>
      </c>
      <c r="D8" s="3"/>
      <c r="E8" s="3"/>
    </row>
    <row r="9" ht="15.0" customHeight="1">
      <c r="A9" s="3"/>
      <c r="B9" s="23" t="s">
        <v>701</v>
      </c>
      <c r="C9" s="113">
        <v>1.0</v>
      </c>
      <c r="D9" s="3"/>
      <c r="E9" s="66" t="s">
        <v>702</v>
      </c>
    </row>
    <row r="10">
      <c r="A10" s="3"/>
      <c r="B10" s="3"/>
      <c r="C10" s="3"/>
      <c r="D10" s="3"/>
      <c r="E10" s="3"/>
    </row>
    <row r="11" ht="15.0" customHeight="1">
      <c r="A11" s="3"/>
      <c r="B11" s="104" t="s">
        <v>703</v>
      </c>
      <c r="C11" s="105"/>
      <c r="D11" s="105"/>
      <c r="E11" s="105"/>
    </row>
    <row r="12" ht="15.0" customHeight="1">
      <c r="A12" s="3"/>
      <c r="B12" s="23" t="s">
        <v>704</v>
      </c>
      <c r="C12" s="106">
        <f>'Unit Econ'!E11*365</f>
        <v>589285.7143</v>
      </c>
      <c r="D12" s="3"/>
      <c r="E12" s="3"/>
    </row>
    <row r="13" ht="15.0" customHeight="1">
      <c r="A13" s="3"/>
      <c r="B13" s="23" t="s">
        <v>705</v>
      </c>
      <c r="C13" s="106">
        <f>'Unit Econ'!E12*365</f>
        <v>589285.7143</v>
      </c>
      <c r="D13" s="3"/>
      <c r="E13" s="3"/>
    </row>
    <row r="14" ht="15.0" customHeight="1">
      <c r="A14" s="3"/>
      <c r="B14" s="21" t="s">
        <v>706</v>
      </c>
      <c r="C14" s="9">
        <f>SUM(C12:C13)</f>
        <v>1178571.429</v>
      </c>
      <c r="D14" s="3"/>
      <c r="E14" s="3"/>
    </row>
    <row r="15">
      <c r="A15" s="3"/>
      <c r="B15" s="3"/>
      <c r="C15" s="3"/>
      <c r="D15" s="3"/>
      <c r="E15" s="3"/>
    </row>
    <row r="16" ht="15.0" customHeight="1">
      <c r="A16" s="3"/>
      <c r="B16" s="104" t="s">
        <v>707</v>
      </c>
      <c r="C16" s="105"/>
      <c r="D16" s="105"/>
      <c r="E16" s="105"/>
    </row>
    <row r="17" ht="15.0" customHeight="1">
      <c r="A17" s="3"/>
      <c r="B17" s="23" t="s">
        <v>708</v>
      </c>
      <c r="C17" s="106">
        <f>'Unit Econ'!E19*365</f>
        <v>53571.42857</v>
      </c>
      <c r="D17" s="3"/>
      <c r="E17" s="3"/>
    </row>
    <row r="18" ht="15.0" customHeight="1">
      <c r="A18" s="3"/>
      <c r="B18" s="23" t="s">
        <v>709</v>
      </c>
      <c r="C18" s="106">
        <f>'Unit Econ'!E22*365</f>
        <v>39321.02869</v>
      </c>
      <c r="D18" s="3"/>
      <c r="E18" s="3"/>
    </row>
    <row r="19" ht="15.0" customHeight="1">
      <c r="A19" s="3"/>
      <c r="B19" s="23" t="s">
        <v>710</v>
      </c>
      <c r="C19" s="106">
        <f>'Unit Econ'!E20*365</f>
        <v>22500</v>
      </c>
      <c r="D19" s="3"/>
      <c r="E19" s="3"/>
    </row>
    <row r="20" ht="15.0" customHeight="1">
      <c r="A20" s="3"/>
      <c r="B20" s="23" t="s">
        <v>711</v>
      </c>
      <c r="C20" s="106">
        <f>'Unit Econ'!E21*365</f>
        <v>2142.857143</v>
      </c>
      <c r="D20" s="3"/>
      <c r="E20" s="3"/>
    </row>
    <row r="21" ht="15.0" customHeight="1">
      <c r="A21" s="3"/>
      <c r="B21" s="23" t="s">
        <v>712</v>
      </c>
      <c r="C21" s="106">
        <f>'Unit Econ'!E17*365</f>
        <v>12143.39943</v>
      </c>
      <c r="D21" s="3"/>
      <c r="E21" s="3"/>
    </row>
    <row r="22" ht="15.0" customHeight="1">
      <c r="A22" s="3"/>
      <c r="B22" s="23" t="s">
        <v>713</v>
      </c>
      <c r="C22" s="106">
        <f>'Unit Econ'!E23*365</f>
        <v>17678.57143</v>
      </c>
      <c r="D22" s="3"/>
      <c r="E22" s="3"/>
    </row>
    <row r="23" ht="15.0" customHeight="1">
      <c r="A23" s="3"/>
      <c r="B23" s="23" t="s">
        <v>714</v>
      </c>
      <c r="C23" s="111">
        <f>0.06*C14</f>
        <v>70714.28571</v>
      </c>
      <c r="D23" s="3"/>
      <c r="E23" s="66" t="s">
        <v>715</v>
      </c>
    </row>
    <row r="24" ht="15.0" customHeight="1">
      <c r="A24" s="3"/>
      <c r="B24" s="21" t="s">
        <v>716</v>
      </c>
      <c r="C24" s="9">
        <f>SUM(C17:C23)</f>
        <v>218071.571</v>
      </c>
      <c r="D24" s="3"/>
      <c r="E24" s="3"/>
    </row>
    <row r="25" ht="15.75" customHeight="1">
      <c r="A25" s="3"/>
      <c r="B25" s="3"/>
      <c r="C25" s="3"/>
      <c r="D25" s="3"/>
      <c r="E25" s="3"/>
    </row>
    <row r="26" ht="15.0" customHeight="1">
      <c r="A26" s="3"/>
      <c r="B26" s="104" t="s">
        <v>717</v>
      </c>
      <c r="C26" s="105"/>
      <c r="D26" s="105"/>
      <c r="E26" s="105"/>
    </row>
    <row r="27" ht="15.0" customHeight="1">
      <c r="A27" s="3"/>
      <c r="B27" s="21" t="s">
        <v>718</v>
      </c>
      <c r="C27" s="9">
        <f>C14-C24</f>
        <v>960499.8576</v>
      </c>
      <c r="D27" s="3"/>
      <c r="E27" s="3"/>
    </row>
    <row r="28" ht="15.0" customHeight="1">
      <c r="A28" s="3"/>
      <c r="B28" s="23" t="s">
        <v>542</v>
      </c>
      <c r="C28" s="12">
        <f>IFERROR(C27/C14,0)</f>
        <v>0.8149695761</v>
      </c>
      <c r="D28" s="3"/>
      <c r="E28" s="3"/>
    </row>
    <row r="29" ht="15.0" customHeight="1">
      <c r="A29" s="3"/>
      <c r="B29" s="23" t="s">
        <v>30</v>
      </c>
      <c r="C29" s="106">
        <f>'Unit Econ'!E35</f>
        <v>136324.5011</v>
      </c>
      <c r="D29" s="3"/>
      <c r="E29" s="3"/>
    </row>
    <row r="30" ht="15.0" customHeight="1">
      <c r="A30" s="3"/>
      <c r="B30" s="23" t="s">
        <v>581</v>
      </c>
      <c r="C30" s="9">
        <f>C27-C29</f>
        <v>824175.3565</v>
      </c>
      <c r="D30" s="3"/>
      <c r="E30" s="3"/>
    </row>
    <row r="31" ht="15.0" customHeight="1">
      <c r="A31" s="3"/>
      <c r="B31" s="23" t="s">
        <v>32</v>
      </c>
      <c r="C31" s="9">
        <f>-MAX(C30,0)*0.25</f>
        <v>-206043.8391</v>
      </c>
      <c r="D31" s="3"/>
      <c r="E31" s="3"/>
    </row>
    <row r="32" ht="15.0" customHeight="1">
      <c r="A32" s="3"/>
      <c r="B32" s="21" t="s">
        <v>719</v>
      </c>
      <c r="C32" s="9">
        <f>C30+C31</f>
        <v>618131.5173</v>
      </c>
      <c r="D32" s="3"/>
      <c r="E32" s="3"/>
    </row>
    <row r="33" ht="15.0" customHeight="1">
      <c r="A33" s="3"/>
      <c r="B33" s="23" t="s">
        <v>720</v>
      </c>
      <c r="C33" s="12">
        <f>IFERROR(C32/C14,0)</f>
        <v>0.5244752268</v>
      </c>
      <c r="D33" s="3"/>
      <c r="E33" s="3"/>
    </row>
    <row r="34" ht="15.75" customHeight="1">
      <c r="A34" s="3"/>
      <c r="B34" s="3"/>
      <c r="C34" s="3"/>
      <c r="D34" s="3"/>
      <c r="E34" s="3"/>
    </row>
    <row r="35" ht="15.0" customHeight="1">
      <c r="A35" s="3"/>
      <c r="B35" s="104" t="s">
        <v>721</v>
      </c>
      <c r="C35" s="105"/>
      <c r="D35" s="105"/>
      <c r="E35" s="105"/>
    </row>
    <row r="36" ht="15.0" customHeight="1">
      <c r="A36" s="3"/>
      <c r="B36" s="23" t="s">
        <v>722</v>
      </c>
      <c r="C36" s="106">
        <f>'Unit Econ'!E42</f>
        <v>1363245.011</v>
      </c>
      <c r="D36" s="3"/>
      <c r="E36" s="3"/>
    </row>
    <row r="37" ht="15.0" customHeight="1">
      <c r="A37" s="3"/>
      <c r="B37" s="23" t="s">
        <v>723</v>
      </c>
      <c r="C37" s="114">
        <f>IFERROR(C36/(C27),0)</f>
        <v>1.419307875</v>
      </c>
      <c r="D37" s="3"/>
      <c r="E37" s="66" t="s">
        <v>724</v>
      </c>
    </row>
    <row r="38" ht="15.0" customHeight="1">
      <c r="A38" s="3"/>
      <c r="B38" s="23" t="s">
        <v>725</v>
      </c>
      <c r="C38" s="115">
        <f>'Unit Econ'!E43</f>
        <v>1.321980522</v>
      </c>
      <c r="D38" s="3"/>
      <c r="E38" s="3"/>
    </row>
    <row r="39" ht="15.0" customHeight="1">
      <c r="A39" s="3"/>
      <c r="B39" s="23" t="s">
        <v>726</v>
      </c>
      <c r="C39" s="83">
        <f>'Unit Econ'!E44</f>
        <v>0.5864657443</v>
      </c>
      <c r="D39" s="3"/>
      <c r="E39" s="3"/>
    </row>
    <row r="40" ht="15.75" customHeight="1">
      <c r="A40" s="3"/>
      <c r="B40" s="3"/>
      <c r="C40" s="3"/>
      <c r="D40" s="3"/>
      <c r="E40" s="3"/>
    </row>
    <row r="41" ht="15.0" customHeight="1">
      <c r="A41" s="3"/>
      <c r="B41" s="66" t="s">
        <v>727</v>
      </c>
      <c r="C41" s="3"/>
      <c r="D41" s="3"/>
      <c r="E41" s="3"/>
    </row>
    <row r="42" ht="15.0" customHeight="1">
      <c r="A42" s="3"/>
      <c r="B42" s="66" t="s">
        <v>728</v>
      </c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mergeCells count="1">
    <mergeCell ref="B1:E1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.0"/>
    <col customWidth="1" min="2" max="2" width="42.0"/>
    <col customWidth="1" min="3" max="3" width="14.0"/>
    <col customWidth="1" min="4" max="14" width="11.0"/>
    <col customWidth="1" min="15" max="26" width="8.71"/>
  </cols>
  <sheetData>
    <row r="1" ht="25.5" customHeight="1">
      <c r="A1" s="3"/>
      <c r="B1" s="99" t="s">
        <v>729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1"/>
    </row>
    <row r="2" ht="15.0" customHeight="1">
      <c r="A2" s="3"/>
      <c r="B2" s="66" t="s">
        <v>730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5.0" customHeight="1">
      <c r="A4" s="3"/>
      <c r="B4" s="104" t="s">
        <v>731</v>
      </c>
      <c r="C4" s="105"/>
      <c r="D4" s="105"/>
      <c r="E4" s="105"/>
      <c r="F4" s="105"/>
      <c r="G4" s="3"/>
      <c r="H4" s="3"/>
      <c r="I4" s="3"/>
      <c r="J4" s="3"/>
      <c r="K4" s="3"/>
      <c r="L4" s="3"/>
      <c r="M4" s="3"/>
      <c r="N4" s="3"/>
    </row>
    <row r="5" ht="15.0" customHeight="1">
      <c r="A5" s="3"/>
      <c r="B5" s="23" t="s">
        <v>732</v>
      </c>
      <c r="C5" s="106">
        <f>'MC Drivers (NRD)'!D63</f>
        <v>24695.61</v>
      </c>
      <c r="D5" s="3"/>
      <c r="E5" s="66" t="s">
        <v>733</v>
      </c>
      <c r="F5" s="3"/>
      <c r="G5" s="3"/>
      <c r="H5" s="3"/>
      <c r="I5" s="3"/>
      <c r="J5" s="3"/>
      <c r="K5" s="3"/>
      <c r="L5" s="3"/>
      <c r="M5" s="3"/>
      <c r="N5" s="3"/>
    </row>
    <row r="6" ht="15.0" customHeight="1">
      <c r="A6" s="3"/>
      <c r="B6" s="23" t="s">
        <v>734</v>
      </c>
      <c r="C6" s="107">
        <f>'MC Drivers (NRD)'!D57</f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5.0" customHeight="1">
      <c r="A7" s="3"/>
      <c r="B7" s="23" t="s">
        <v>735</v>
      </c>
      <c r="C7" s="107">
        <f>'MC Drivers (NRD)'!D185</f>
        <v>10</v>
      </c>
      <c r="D7" s="3"/>
      <c r="E7" s="66" t="s">
        <v>736</v>
      </c>
      <c r="F7" s="3"/>
      <c r="G7" s="3"/>
      <c r="H7" s="3"/>
      <c r="I7" s="3"/>
      <c r="J7" s="3"/>
      <c r="K7" s="3"/>
      <c r="L7" s="3"/>
      <c r="M7" s="3"/>
      <c r="N7" s="3"/>
    </row>
    <row r="8" ht="15.0" customHeight="1">
      <c r="A8" s="3"/>
      <c r="B8" s="23" t="s">
        <v>737</v>
      </c>
      <c r="C8" s="116">
        <v>2000.0</v>
      </c>
      <c r="D8" s="3"/>
      <c r="E8" s="66" t="s">
        <v>738</v>
      </c>
      <c r="F8" s="3"/>
      <c r="G8" s="3"/>
      <c r="H8" s="3"/>
      <c r="I8" s="3"/>
      <c r="J8" s="3"/>
      <c r="K8" s="3"/>
      <c r="L8" s="3"/>
      <c r="M8" s="3"/>
      <c r="N8" s="3"/>
    </row>
    <row r="9" ht="15.0" customHeight="1">
      <c r="A9" s="3"/>
      <c r="B9" s="23" t="s">
        <v>739</v>
      </c>
      <c r="C9" s="116">
        <v>1500.0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5.0" customHeight="1">
      <c r="A10" s="3"/>
      <c r="B10" s="23" t="s">
        <v>740</v>
      </c>
      <c r="C10" s="107">
        <f>'Energy Drivers (RideBox)'!D24</f>
        <v>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15.0" customHeight="1">
      <c r="A11" s="3"/>
      <c r="B11" s="23" t="s">
        <v>741</v>
      </c>
      <c r="C11" s="117">
        <f>C10*365</f>
        <v>730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15.0" customHeight="1">
      <c r="A12" s="3"/>
      <c r="B12" s="23" t="s">
        <v>742</v>
      </c>
      <c r="C12" s="15">
        <f>IFERROR(C9/C11,0)</f>
        <v>2.054794521</v>
      </c>
      <c r="D12" s="3"/>
      <c r="E12" s="66" t="s">
        <v>743</v>
      </c>
      <c r="F12" s="3"/>
      <c r="G12" s="3"/>
      <c r="H12" s="3"/>
      <c r="I12" s="3"/>
      <c r="J12" s="3"/>
      <c r="K12" s="3"/>
      <c r="L12" s="3"/>
      <c r="M12" s="3"/>
      <c r="N12" s="3"/>
    </row>
    <row r="13" ht="15.0" customHeight="1">
      <c r="A13" s="3"/>
      <c r="B13" s="23" t="s">
        <v>744</v>
      </c>
      <c r="C13" s="87">
        <v>0.03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5.0" customHeight="1">
      <c r="A15" s="3"/>
      <c r="B15" s="104" t="s">
        <v>745</v>
      </c>
      <c r="C15" s="105"/>
      <c r="D15" s="105"/>
      <c r="E15" s="105"/>
      <c r="F15" s="105"/>
      <c r="G15" s="3"/>
      <c r="H15" s="3"/>
      <c r="I15" s="3"/>
      <c r="J15" s="3"/>
      <c r="K15" s="3"/>
      <c r="L15" s="3"/>
      <c r="M15" s="3"/>
      <c r="N15" s="3"/>
    </row>
    <row r="16" ht="15.0" customHeight="1">
      <c r="A16" s="3"/>
      <c r="B16" s="23" t="s">
        <v>746</v>
      </c>
      <c r="C16" s="11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15.0" customHeight="1">
      <c r="A17" s="3"/>
      <c r="B17" s="23" t="s">
        <v>747</v>
      </c>
      <c r="C17" s="10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15.0" customHeight="1">
      <c r="A18" s="3"/>
      <c r="B18" s="23" t="s">
        <v>748</v>
      </c>
      <c r="C18" s="8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5.0" customHeight="1">
      <c r="A19" s="3"/>
      <c r="B19" s="23" t="s">
        <v>749</v>
      </c>
      <c r="C19" s="8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5.0" customHeight="1">
      <c r="A21" s="3"/>
      <c r="B21" s="104" t="s">
        <v>750</v>
      </c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</row>
    <row r="22" ht="15.0" customHeight="1">
      <c r="A22" s="3"/>
      <c r="B22" s="21" t="s">
        <v>751</v>
      </c>
      <c r="C22" s="3"/>
      <c r="D22" s="103">
        <v>1.0</v>
      </c>
      <c r="E22" s="103">
        <v>2.0</v>
      </c>
      <c r="F22" s="103">
        <v>3.0</v>
      </c>
      <c r="G22" s="103">
        <v>4.0</v>
      </c>
      <c r="H22" s="103">
        <v>5.0</v>
      </c>
      <c r="I22" s="103">
        <v>6.0</v>
      </c>
      <c r="J22" s="103">
        <v>7.0</v>
      </c>
      <c r="K22" s="103">
        <v>8.0</v>
      </c>
      <c r="L22" s="103">
        <v>9.0</v>
      </c>
      <c r="M22" s="103">
        <v>10.0</v>
      </c>
      <c r="N22" s="103">
        <v>11.0</v>
      </c>
    </row>
    <row r="23" ht="15.0" customHeight="1">
      <c r="A23" s="3"/>
      <c r="B23" s="23" t="s">
        <v>752</v>
      </c>
      <c r="C23" s="3"/>
      <c r="D23" s="12">
        <f>(1-$C$13)^0</f>
        <v>1</v>
      </c>
      <c r="E23" s="12">
        <f>(1-$C$13)^1</f>
        <v>0.97</v>
      </c>
      <c r="F23" s="12">
        <f>(1-$C$13)^2</f>
        <v>0.9409</v>
      </c>
      <c r="G23" s="12">
        <f>(1-$C$13)^3</f>
        <v>0.912673</v>
      </c>
      <c r="H23" s="12">
        <f>(1-$C$13)^4</f>
        <v>0.88529281</v>
      </c>
      <c r="I23" s="12">
        <f>(1-$C$13)^5</f>
        <v>0.8587340257</v>
      </c>
      <c r="J23" s="12">
        <f>(1-$C$13)^6</f>
        <v>0.8329720049</v>
      </c>
      <c r="K23" s="12">
        <f>(1-$C$13)^7</f>
        <v>0.8079828448</v>
      </c>
      <c r="L23" s="12">
        <f>(1-$C$13)^8</f>
        <v>0.7837433594</v>
      </c>
      <c r="M23" s="12">
        <f>(1-$C$13)^9</f>
        <v>0.7602310587</v>
      </c>
      <c r="N23" s="12">
        <f>(1-$C$13)^10</f>
        <v>0.7374241269</v>
      </c>
    </row>
    <row r="24" ht="15.0" customHeight="1">
      <c r="A24" s="3"/>
      <c r="B24" s="23" t="s">
        <v>753</v>
      </c>
      <c r="C24" s="3"/>
      <c r="D24" s="118" t="str">
        <f t="shared" ref="D24:N24" si="1">IF(D23&lt;0.8,"EoL","ok")</f>
        <v>ok</v>
      </c>
      <c r="E24" s="118" t="str">
        <f t="shared" si="1"/>
        <v>ok</v>
      </c>
      <c r="F24" s="118" t="str">
        <f t="shared" si="1"/>
        <v>ok</v>
      </c>
      <c r="G24" s="118" t="str">
        <f t="shared" si="1"/>
        <v>ok</v>
      </c>
      <c r="H24" s="118" t="str">
        <f t="shared" si="1"/>
        <v>ok</v>
      </c>
      <c r="I24" s="118" t="str">
        <f t="shared" si="1"/>
        <v>ok</v>
      </c>
      <c r="J24" s="118" t="str">
        <f t="shared" si="1"/>
        <v>ok</v>
      </c>
      <c r="K24" s="118" t="str">
        <f t="shared" si="1"/>
        <v>ok</v>
      </c>
      <c r="L24" s="118" t="str">
        <f t="shared" si="1"/>
        <v>EoL</v>
      </c>
      <c r="M24" s="118" t="str">
        <f t="shared" si="1"/>
        <v>EoL</v>
      </c>
      <c r="N24" s="118" t="str">
        <f t="shared" si="1"/>
        <v>EoL</v>
      </c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5.0" customHeight="1">
      <c r="A26" s="3"/>
      <c r="B26" s="104" t="s">
        <v>754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</row>
    <row r="27" ht="15.0" customHeight="1">
      <c r="A27" s="3"/>
      <c r="B27" s="21" t="s">
        <v>755</v>
      </c>
      <c r="C27" s="3"/>
      <c r="D27" s="103" t="s">
        <v>485</v>
      </c>
      <c r="E27" s="103" t="s">
        <v>486</v>
      </c>
      <c r="F27" s="103" t="s">
        <v>487</v>
      </c>
      <c r="G27" s="103" t="s">
        <v>488</v>
      </c>
      <c r="H27" s="103" t="s">
        <v>489</v>
      </c>
      <c r="I27" s="103" t="s">
        <v>490</v>
      </c>
      <c r="J27" s="103" t="s">
        <v>491</v>
      </c>
      <c r="K27" s="103" t="s">
        <v>492</v>
      </c>
      <c r="L27" s="103" t="s">
        <v>493</v>
      </c>
      <c r="M27" s="103" t="s">
        <v>494</v>
      </c>
      <c r="N27" s="103" t="s">
        <v>495</v>
      </c>
    </row>
    <row r="28" ht="15.0" customHeight="1">
      <c r="A28" s="3"/>
      <c r="B28" s="23" t="s">
        <v>756</v>
      </c>
      <c r="C28" s="3"/>
      <c r="D28" s="106">
        <f>'MC Drivers (NRD)'!D15*$C$6</f>
        <v>4432</v>
      </c>
      <c r="E28" s="106">
        <f>'MC Drivers (NRD)'!E15*$C$6</f>
        <v>10748</v>
      </c>
      <c r="F28" s="106">
        <f>'MC Drivers (NRD)'!F15*$C$6</f>
        <v>19776</v>
      </c>
      <c r="G28" s="106">
        <f>'MC Drivers (NRD)'!G15*$C$6</f>
        <v>31434</v>
      </c>
      <c r="H28" s="106">
        <f>'MC Drivers (NRD)'!H15*$C$6</f>
        <v>44824</v>
      </c>
      <c r="I28" s="106">
        <f>'MC Drivers (NRD)'!I15*$C$6</f>
        <v>60394</v>
      </c>
      <c r="J28" s="106">
        <f>'MC Drivers (NRD)'!J15*$C$6</f>
        <v>79726</v>
      </c>
      <c r="K28" s="106">
        <f>'MC Drivers (NRD)'!K15*$C$6</f>
        <v>102326</v>
      </c>
      <c r="L28" s="106">
        <f>'MC Drivers (NRD)'!L15*$C$6</f>
        <v>126598</v>
      </c>
      <c r="M28" s="106">
        <f>'MC Drivers (NRD)'!M15*$C$6</f>
        <v>152492</v>
      </c>
      <c r="N28" s="106">
        <f>'MC Drivers (NRD)'!N15*$C$6</f>
        <v>179956</v>
      </c>
    </row>
    <row r="29" ht="15.0" customHeight="1">
      <c r="A29" s="3"/>
      <c r="B29" s="23" t="s">
        <v>757</v>
      </c>
      <c r="C29" s="3"/>
      <c r="D29" s="9">
        <f t="shared" ref="D29:N29" si="2">D28*$C$5/$C$12</f>
        <v>53266125.85</v>
      </c>
      <c r="E29" s="9">
        <f t="shared" si="2"/>
        <v>129175162.6</v>
      </c>
      <c r="F29" s="9">
        <f t="shared" si="2"/>
        <v>237678453.2</v>
      </c>
      <c r="G29" s="9">
        <f t="shared" si="2"/>
        <v>377790478.3</v>
      </c>
      <c r="H29" s="9">
        <f t="shared" si="2"/>
        <v>538718597.7</v>
      </c>
      <c r="I29" s="9">
        <f t="shared" si="2"/>
        <v>725847112.9</v>
      </c>
      <c r="J29" s="9">
        <f t="shared" si="2"/>
        <v>958189338.7</v>
      </c>
      <c r="K29" s="9">
        <f t="shared" si="2"/>
        <v>1229808121</v>
      </c>
      <c r="L29" s="9">
        <f t="shared" si="2"/>
        <v>1521521886</v>
      </c>
      <c r="M29" s="9">
        <f t="shared" si="2"/>
        <v>1832729707</v>
      </c>
      <c r="N29" s="9">
        <f t="shared" si="2"/>
        <v>2162806621</v>
      </c>
    </row>
    <row r="30" ht="15.0" customHeight="1">
      <c r="A30" s="3"/>
      <c r="B30" s="23" t="s">
        <v>758</v>
      </c>
      <c r="C30" s="3"/>
      <c r="D30" s="12">
        <f>IFERROR(D29/'RideBox Energy P&amp;L'!D8,0)</f>
        <v>0.6953153957</v>
      </c>
      <c r="E30" s="12">
        <f>IFERROR(E29/'RideBox Energy P&amp;L'!E8,0)</f>
        <v>0.7321031879</v>
      </c>
      <c r="F30" s="12">
        <f>IFERROR(F29/'RideBox Energy P&amp;L'!F8,0)</f>
        <v>0.7420322853</v>
      </c>
      <c r="G30" s="12">
        <f>IFERROR(G29/'RideBox Energy P&amp;L'!G8,0)</f>
        <v>0.7501164121</v>
      </c>
      <c r="H30" s="12">
        <f>IFERROR(H29/'RideBox Energy P&amp;L'!H8,0)</f>
        <v>0.7576471184</v>
      </c>
      <c r="I30" s="12">
        <f>IFERROR(I29/'RideBox Energy P&amp;L'!I8,0)</f>
        <v>0.7636020815</v>
      </c>
      <c r="J30" s="12">
        <f>IFERROR(J29/'RideBox Energy P&amp;L'!J8,0)</f>
        <v>0.7662040303</v>
      </c>
      <c r="K30" s="12">
        <f>IFERROR(K29/'RideBox Energy P&amp;L'!K8,0)</f>
        <v>0.7692447332</v>
      </c>
      <c r="L30" s="12">
        <f>IFERROR(L29/'RideBox Energy P&amp;L'!L8,0)</f>
        <v>0.7737497278</v>
      </c>
      <c r="M30" s="12">
        <f>IFERROR(M29/'RideBox Energy P&amp;L'!M8,0)</f>
        <v>0.7772271249</v>
      </c>
      <c r="N30" s="12">
        <f>IFERROR(N29/'RideBox Energy P&amp;L'!N8,0)</f>
        <v>0.7800150501</v>
      </c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5.0" customHeight="1">
      <c r="A32" s="3"/>
      <c r="B32" s="66" t="s">
        <v>759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5.0" customHeight="1">
      <c r="A33" s="3"/>
      <c r="B33" s="66" t="s">
        <v>760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mergeCells count="1">
    <mergeCell ref="B1:N1"/>
  </mergeCell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.0"/>
    <col customWidth="1" min="2" max="2" width="34.0"/>
    <col customWidth="1" min="3" max="3" width="16.0"/>
    <col customWidth="1" min="4" max="4" width="12.0"/>
    <col customWidth="1" min="5" max="5" width="14.0"/>
    <col customWidth="1" min="6" max="6" width="16.0"/>
    <col customWidth="1" min="7" max="7" width="26.0"/>
    <col customWidth="1" min="8" max="26" width="8.71"/>
  </cols>
  <sheetData>
    <row r="1" ht="25.5" customHeight="1">
      <c r="A1" s="3"/>
      <c r="B1" s="99" t="s">
        <v>761</v>
      </c>
      <c r="C1" s="100"/>
      <c r="D1" s="100"/>
      <c r="E1" s="100"/>
      <c r="F1" s="100"/>
      <c r="G1" s="101"/>
    </row>
    <row r="2" ht="15.0" customHeight="1">
      <c r="A2" s="3"/>
      <c r="B2" s="66" t="s">
        <v>762</v>
      </c>
      <c r="C2" s="3"/>
      <c r="D2" s="3"/>
      <c r="E2" s="3"/>
      <c r="F2" s="3"/>
      <c r="G2" s="3"/>
    </row>
    <row r="3">
      <c r="A3" s="3"/>
      <c r="B3" s="3"/>
      <c r="C3" s="3"/>
      <c r="D3" s="3"/>
      <c r="E3" s="3"/>
      <c r="F3" s="3"/>
      <c r="G3" s="3"/>
    </row>
    <row r="4" ht="15.0" customHeight="1">
      <c r="A4" s="3"/>
      <c r="B4" s="104" t="s">
        <v>763</v>
      </c>
      <c r="C4" s="105"/>
      <c r="D4" s="105"/>
      <c r="E4" s="105"/>
      <c r="F4" s="105"/>
      <c r="G4" s="105"/>
    </row>
    <row r="5" ht="15.0" customHeight="1">
      <c r="A5" s="3"/>
      <c r="B5" s="108" t="s">
        <v>764</v>
      </c>
      <c r="C5" s="108" t="s">
        <v>765</v>
      </c>
      <c r="D5" s="103" t="s">
        <v>766</v>
      </c>
      <c r="E5" s="103" t="s">
        <v>767</v>
      </c>
      <c r="F5" s="103" t="s">
        <v>768</v>
      </c>
      <c r="G5" s="103" t="s">
        <v>769</v>
      </c>
      <c r="H5" s="103" t="s">
        <v>770</v>
      </c>
    </row>
    <row r="6" ht="15.0" customHeight="1">
      <c r="A6" s="3"/>
      <c r="B6" s="119" t="s">
        <v>771</v>
      </c>
      <c r="C6" s="119" t="s">
        <v>772</v>
      </c>
      <c r="D6" s="87">
        <v>1.0</v>
      </c>
      <c r="E6" s="116">
        <v>0.0</v>
      </c>
      <c r="F6" s="111">
        <v>0.0</v>
      </c>
      <c r="G6" s="9">
        <f t="shared" ref="G6:G11" si="1">D6*F6</f>
        <v>0</v>
      </c>
      <c r="H6" s="119" t="s">
        <v>773</v>
      </c>
    </row>
    <row r="7" ht="15.0" customHeight="1">
      <c r="A7" s="3"/>
      <c r="B7" s="119" t="s">
        <v>774</v>
      </c>
      <c r="C7" s="119" t="s">
        <v>775</v>
      </c>
      <c r="D7" s="87">
        <v>0.7</v>
      </c>
      <c r="E7" s="116">
        <v>0.0</v>
      </c>
      <c r="F7" s="111">
        <v>0.0</v>
      </c>
      <c r="G7" s="9">
        <f t="shared" si="1"/>
        <v>0</v>
      </c>
      <c r="H7" s="119" t="s">
        <v>776</v>
      </c>
    </row>
    <row r="8" ht="15.0" customHeight="1">
      <c r="A8" s="3"/>
      <c r="B8" s="119" t="s">
        <v>777</v>
      </c>
      <c r="C8" s="119" t="s">
        <v>778</v>
      </c>
      <c r="D8" s="87">
        <v>0.5</v>
      </c>
      <c r="E8" s="116">
        <v>0.0</v>
      </c>
      <c r="F8" s="111">
        <v>0.0</v>
      </c>
      <c r="G8" s="9">
        <f t="shared" si="1"/>
        <v>0</v>
      </c>
      <c r="H8" s="119" t="s">
        <v>486</v>
      </c>
    </row>
    <row r="9" ht="15.0" customHeight="1">
      <c r="A9" s="3"/>
      <c r="B9" s="119" t="s">
        <v>779</v>
      </c>
      <c r="C9" s="119" t="s">
        <v>780</v>
      </c>
      <c r="D9" s="87">
        <v>0.3</v>
      </c>
      <c r="E9" s="116">
        <v>0.0</v>
      </c>
      <c r="F9" s="111">
        <v>0.0</v>
      </c>
      <c r="G9" s="9">
        <f t="shared" si="1"/>
        <v>0</v>
      </c>
      <c r="H9" s="119" t="s">
        <v>486</v>
      </c>
    </row>
    <row r="10" ht="15.0" customHeight="1">
      <c r="A10" s="3"/>
      <c r="B10" s="119" t="s">
        <v>781</v>
      </c>
      <c r="C10" s="119" t="s">
        <v>782</v>
      </c>
      <c r="D10" s="87">
        <v>0.1</v>
      </c>
      <c r="E10" s="116">
        <v>0.0</v>
      </c>
      <c r="F10" s="111">
        <v>0.0</v>
      </c>
      <c r="G10" s="9">
        <f t="shared" si="1"/>
        <v>0</v>
      </c>
      <c r="H10" s="119" t="s">
        <v>783</v>
      </c>
    </row>
    <row r="11" ht="15.0" customHeight="1">
      <c r="A11" s="3"/>
      <c r="B11" s="119" t="s">
        <v>784</v>
      </c>
      <c r="C11" s="119" t="s">
        <v>782</v>
      </c>
      <c r="D11" s="87">
        <v>0.1</v>
      </c>
      <c r="E11" s="116">
        <v>0.0</v>
      </c>
      <c r="F11" s="111">
        <v>0.0</v>
      </c>
      <c r="G11" s="9">
        <f t="shared" si="1"/>
        <v>0</v>
      </c>
      <c r="H11" s="119" t="s">
        <v>783</v>
      </c>
    </row>
    <row r="12" ht="15.0" customHeight="1">
      <c r="A12" s="3"/>
      <c r="B12" s="21" t="s">
        <v>785</v>
      </c>
      <c r="C12" s="3"/>
      <c r="D12" s="3"/>
      <c r="E12" s="3"/>
      <c r="F12" s="120">
        <f t="shared" ref="F12:G12" si="2">SUM(F6:F11)</f>
        <v>0</v>
      </c>
      <c r="G12" s="120">
        <f t="shared" si="2"/>
        <v>0</v>
      </c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 ht="15.0" customHeight="1">
      <c r="A15" s="3"/>
      <c r="B15" s="104" t="s">
        <v>786</v>
      </c>
      <c r="C15" s="105"/>
      <c r="D15" s="105"/>
      <c r="E15" s="105"/>
      <c r="F15" s="105"/>
      <c r="G15" s="105"/>
    </row>
    <row r="16" ht="15.0" customHeight="1">
      <c r="A16" s="3"/>
      <c r="B16" s="23" t="s">
        <v>787</v>
      </c>
      <c r="C16" s="106">
        <f>Valuation!D34</f>
        <v>650000000</v>
      </c>
      <c r="D16" s="3"/>
      <c r="E16" s="66" t="s">
        <v>788</v>
      </c>
      <c r="F16" s="3"/>
      <c r="G16" s="3"/>
    </row>
    <row r="17" ht="15.0" customHeight="1">
      <c r="A17" s="3"/>
      <c r="B17" s="23" t="s">
        <v>789</v>
      </c>
      <c r="C17" s="83">
        <f>Valuation!D33</f>
        <v>0.2</v>
      </c>
      <c r="D17" s="3"/>
      <c r="E17" s="3"/>
      <c r="F17" s="3"/>
      <c r="G17" s="3"/>
    </row>
    <row r="18" ht="15.0" customHeight="1">
      <c r="A18" s="3"/>
      <c r="B18" s="23" t="s">
        <v>790</v>
      </c>
      <c r="C18" s="9">
        <f>IFERROR(C16/C17,0)</f>
        <v>3250000000</v>
      </c>
      <c r="D18" s="3"/>
      <c r="E18" s="3"/>
      <c r="F18" s="3"/>
      <c r="G18" s="3"/>
    </row>
    <row r="19" ht="15.0" customHeight="1">
      <c r="A19" s="3"/>
      <c r="B19" s="23" t="s">
        <v>791</v>
      </c>
      <c r="C19" s="9">
        <f>C18-C16</f>
        <v>2600000000</v>
      </c>
      <c r="D19" s="3"/>
      <c r="E19" s="3"/>
      <c r="F19" s="3"/>
      <c r="G19" s="3"/>
    </row>
    <row r="20" ht="15.0" customHeight="1">
      <c r="A20" s="3"/>
      <c r="B20" s="23" t="s">
        <v>792</v>
      </c>
      <c r="C20" s="111">
        <v>0.0</v>
      </c>
      <c r="D20" s="3"/>
      <c r="E20" s="66" t="s">
        <v>793</v>
      </c>
      <c r="F20" s="3"/>
      <c r="G20" s="3"/>
    </row>
    <row r="21" ht="15.0" customHeight="1">
      <c r="A21" s="3"/>
      <c r="B21" s="23" t="s">
        <v>794</v>
      </c>
      <c r="C21" s="87">
        <v>0.2</v>
      </c>
      <c r="D21" s="3"/>
      <c r="E21" s="3"/>
      <c r="F21" s="3"/>
      <c r="G21" s="3"/>
    </row>
    <row r="22" ht="15.0" customHeight="1">
      <c r="A22" s="3"/>
      <c r="B22" s="23" t="s">
        <v>795</v>
      </c>
      <c r="C22" s="9">
        <f>C20/(1-C21)</f>
        <v>0</v>
      </c>
      <c r="D22" s="3"/>
      <c r="E22" s="66" t="s">
        <v>796</v>
      </c>
      <c r="F22" s="3"/>
      <c r="G22" s="3"/>
    </row>
    <row r="23" ht="15.75" customHeight="1">
      <c r="A23" s="3"/>
      <c r="B23" s="3"/>
      <c r="C23" s="3"/>
      <c r="D23" s="3"/>
      <c r="E23" s="3"/>
      <c r="F23" s="3"/>
      <c r="G23" s="3"/>
    </row>
    <row r="24" ht="15.0" customHeight="1">
      <c r="A24" s="3"/>
      <c r="B24" s="102" t="s">
        <v>797</v>
      </c>
      <c r="C24" s="102" t="s">
        <v>798</v>
      </c>
      <c r="D24" s="102" t="s">
        <v>799</v>
      </c>
      <c r="E24" s="3"/>
      <c r="F24" s="3"/>
      <c r="G24" s="3"/>
    </row>
    <row r="25" ht="15.0" customHeight="1">
      <c r="A25" s="3"/>
      <c r="B25" s="23" t="s">
        <v>800</v>
      </c>
      <c r="C25" s="111">
        <v>0.0</v>
      </c>
      <c r="D25" s="12">
        <f t="shared" ref="D25:D28" si="3">IFERROR(C25/SUM($C$25:$C$28),0)</f>
        <v>0</v>
      </c>
      <c r="E25" s="3"/>
      <c r="F25" s="3"/>
      <c r="G25" s="3"/>
    </row>
    <row r="26" ht="15.0" customHeight="1">
      <c r="A26" s="3"/>
      <c r="B26" s="23" t="s">
        <v>801</v>
      </c>
      <c r="C26" s="111">
        <v>0.0</v>
      </c>
      <c r="D26" s="12">
        <f t="shared" si="3"/>
        <v>0</v>
      </c>
      <c r="E26" s="3"/>
      <c r="F26" s="3"/>
      <c r="G26" s="3"/>
    </row>
    <row r="27" ht="15.0" customHeight="1">
      <c r="A27" s="3"/>
      <c r="B27" s="23" t="s">
        <v>802</v>
      </c>
      <c r="C27" s="9">
        <f>C22</f>
        <v>0</v>
      </c>
      <c r="D27" s="12">
        <f t="shared" si="3"/>
        <v>0</v>
      </c>
      <c r="E27" s="3"/>
      <c r="F27" s="3"/>
      <c r="G27" s="3"/>
    </row>
    <row r="28" ht="15.0" customHeight="1">
      <c r="A28" s="3"/>
      <c r="B28" s="23" t="s">
        <v>803</v>
      </c>
      <c r="C28" s="9">
        <f>Valuation!D34</f>
        <v>650000000</v>
      </c>
      <c r="D28" s="12">
        <f t="shared" si="3"/>
        <v>1</v>
      </c>
      <c r="E28" s="3"/>
      <c r="F28" s="3"/>
      <c r="G28" s="3"/>
    </row>
    <row r="29" ht="15.0" customHeight="1">
      <c r="A29" s="3"/>
      <c r="B29" s="21" t="s">
        <v>804</v>
      </c>
      <c r="C29" s="120">
        <f t="shared" ref="C29:D29" si="4">SUM(C25:C28)</f>
        <v>650000000</v>
      </c>
      <c r="D29" s="121">
        <f t="shared" si="4"/>
        <v>1</v>
      </c>
      <c r="E29" s="3"/>
      <c r="F29" s="3"/>
      <c r="G29" s="3"/>
    </row>
    <row r="30" ht="15.75" customHeight="1">
      <c r="A30" s="3"/>
      <c r="B30" s="3"/>
      <c r="C30" s="3"/>
      <c r="D30" s="3"/>
      <c r="E30" s="3"/>
      <c r="F30" s="3"/>
      <c r="G30" s="3"/>
    </row>
    <row r="31" ht="15.75" customHeight="1">
      <c r="A31" s="3"/>
      <c r="B31" s="3"/>
      <c r="C31" s="3"/>
      <c r="D31" s="3"/>
      <c r="E31" s="3"/>
      <c r="F31" s="3"/>
      <c r="G31" s="3"/>
    </row>
    <row r="32" ht="15.0" customHeight="1">
      <c r="A32" s="3"/>
      <c r="B32" s="104" t="s">
        <v>805</v>
      </c>
      <c r="C32" s="105"/>
      <c r="D32" s="105"/>
      <c r="E32" s="105"/>
      <c r="F32" s="105"/>
      <c r="G32" s="105"/>
    </row>
    <row r="33" ht="15.0" customHeight="1">
      <c r="A33" s="3"/>
      <c r="B33" s="102" t="s">
        <v>806</v>
      </c>
      <c r="C33" s="102" t="s">
        <v>86</v>
      </c>
      <c r="D33" s="102" t="s">
        <v>807</v>
      </c>
      <c r="E33" s="102" t="s">
        <v>808</v>
      </c>
      <c r="F33" s="3"/>
      <c r="G33" s="3"/>
    </row>
    <row r="34" ht="15.0" customHeight="1">
      <c r="A34" s="3"/>
      <c r="B34" s="23" t="s">
        <v>809</v>
      </c>
      <c r="C34" s="111">
        <v>0.0</v>
      </c>
      <c r="D34" s="12">
        <f>IFERROR(C34/Valuation!D34,0)</f>
        <v>0</v>
      </c>
      <c r="E34" s="23" t="s">
        <v>810</v>
      </c>
      <c r="F34" s="3"/>
      <c r="G34" s="3"/>
    </row>
    <row r="35" ht="15.0" customHeight="1">
      <c r="A35" s="3"/>
      <c r="B35" s="23" t="s">
        <v>811</v>
      </c>
      <c r="C35" s="111">
        <v>0.0</v>
      </c>
      <c r="D35" s="12">
        <f>IFERROR(C35/Valuation!D34,0)</f>
        <v>0</v>
      </c>
      <c r="E35" s="23" t="s">
        <v>812</v>
      </c>
      <c r="F35" s="3"/>
      <c r="G35" s="3"/>
    </row>
    <row r="36" ht="15.0" customHeight="1">
      <c r="A36" s="3"/>
      <c r="B36" s="23" t="s">
        <v>813</v>
      </c>
      <c r="C36" s="111">
        <v>0.0</v>
      </c>
      <c r="D36" s="12">
        <f>IFERROR(C36/Valuation!D34,0)</f>
        <v>0</v>
      </c>
      <c r="E36" s="23" t="s">
        <v>814</v>
      </c>
      <c r="F36" s="3"/>
      <c r="G36" s="3"/>
    </row>
    <row r="37" ht="15.0" customHeight="1">
      <c r="A37" s="3"/>
      <c r="B37" s="23" t="s">
        <v>815</v>
      </c>
      <c r="C37" s="111">
        <v>0.0</v>
      </c>
      <c r="D37" s="12">
        <f>IFERROR(C37/Valuation!D34,0)</f>
        <v>0</v>
      </c>
      <c r="E37" s="23" t="s">
        <v>816</v>
      </c>
      <c r="F37" s="3"/>
      <c r="G37" s="3"/>
    </row>
    <row r="38" ht="15.0" customHeight="1">
      <c r="A38" s="3"/>
      <c r="B38" s="23" t="s">
        <v>817</v>
      </c>
      <c r="C38" s="111">
        <v>0.0</v>
      </c>
      <c r="D38" s="12">
        <f>IFERROR(C38/Valuation!D34,0)</f>
        <v>0</v>
      </c>
      <c r="E38" s="23" t="s">
        <v>818</v>
      </c>
      <c r="F38" s="3"/>
      <c r="G38" s="3"/>
    </row>
    <row r="39" ht="15.0" customHeight="1">
      <c r="A39" s="3"/>
      <c r="B39" s="23" t="s">
        <v>819</v>
      </c>
      <c r="C39" s="111">
        <v>0.0</v>
      </c>
      <c r="D39" s="12">
        <f>IFERROR(C39/Valuation!D34,0)</f>
        <v>0</v>
      </c>
      <c r="E39" s="23" t="s">
        <v>820</v>
      </c>
      <c r="F39" s="3"/>
      <c r="G39" s="3"/>
    </row>
    <row r="40" ht="15.0" customHeight="1">
      <c r="A40" s="3"/>
      <c r="B40" s="21" t="s">
        <v>821</v>
      </c>
      <c r="C40" s="120">
        <f>SUM(C34:C39)</f>
        <v>0</v>
      </c>
      <c r="D40" s="121">
        <f>IFERROR(C40/Valuation!D34,0)</f>
        <v>0</v>
      </c>
      <c r="E40" s="3"/>
      <c r="F40" s="3"/>
      <c r="G40" s="3"/>
    </row>
    <row r="41" ht="15.75" customHeight="1">
      <c r="A41" s="3"/>
      <c r="B41" s="3"/>
      <c r="C41" s="3"/>
      <c r="D41" s="3"/>
      <c r="E41" s="3"/>
      <c r="F41" s="3"/>
      <c r="G41" s="3"/>
    </row>
    <row r="42" ht="15.0" customHeight="1">
      <c r="A42" s="3"/>
      <c r="B42" s="66" t="s">
        <v>822</v>
      </c>
      <c r="C42" s="3"/>
      <c r="D42" s="3"/>
      <c r="E42" s="3"/>
      <c r="F42" s="3"/>
      <c r="G42" s="3"/>
    </row>
    <row r="43" ht="15.75" customHeight="1">
      <c r="A43" s="3"/>
      <c r="B43" s="3"/>
      <c r="C43" s="3"/>
      <c r="D43" s="3"/>
      <c r="E43" s="3"/>
      <c r="F43" s="3"/>
      <c r="G43" s="3"/>
    </row>
    <row r="44" ht="15.75" customHeight="1">
      <c r="A44" s="3"/>
      <c r="B44" s="3"/>
      <c r="C44" s="3"/>
      <c r="D44" s="3"/>
      <c r="E44" s="3"/>
      <c r="F44" s="3"/>
      <c r="G44" s="3"/>
    </row>
    <row r="45" ht="15.75" customHeight="1">
      <c r="A45" s="3"/>
      <c r="B45" s="3"/>
      <c r="C45" s="3"/>
      <c r="D45" s="3"/>
      <c r="E45" s="3"/>
      <c r="F45" s="3"/>
      <c r="G45" s="3"/>
    </row>
    <row r="46" ht="15.75" customHeight="1">
      <c r="A46" s="3"/>
      <c r="B46" s="3"/>
      <c r="C46" s="3"/>
      <c r="D46" s="3"/>
      <c r="E46" s="3"/>
      <c r="F46" s="3"/>
      <c r="G46" s="3"/>
    </row>
    <row r="47" ht="15.75" customHeight="1">
      <c r="A47" s="3"/>
      <c r="B47" s="3"/>
      <c r="C47" s="3"/>
      <c r="D47" s="3"/>
      <c r="E47" s="3"/>
      <c r="F47" s="3"/>
      <c r="G47" s="3"/>
    </row>
    <row r="48" ht="15.75" customHeight="1">
      <c r="A48" s="3"/>
      <c r="B48" s="3"/>
      <c r="C48" s="3"/>
      <c r="D48" s="3"/>
      <c r="E48" s="3"/>
      <c r="F48" s="3"/>
      <c r="G48" s="3"/>
    </row>
    <row r="49" ht="15.75" customHeight="1">
      <c r="A49" s="3"/>
      <c r="B49" s="3"/>
      <c r="C49" s="3"/>
      <c r="D49" s="3"/>
      <c r="E49" s="3"/>
      <c r="F49" s="3"/>
      <c r="G49" s="3"/>
    </row>
    <row r="50" ht="15.75" customHeight="1">
      <c r="A50" s="3"/>
      <c r="B50" s="3"/>
      <c r="C50" s="3"/>
      <c r="D50" s="3"/>
      <c r="E50" s="3"/>
      <c r="F50" s="3"/>
      <c r="G50" s="3"/>
    </row>
    <row r="51" ht="15.75" customHeight="1">
      <c r="A51" s="3"/>
      <c r="B51" s="3"/>
      <c r="C51" s="3"/>
      <c r="D51" s="3"/>
      <c r="E51" s="3"/>
      <c r="F51" s="3"/>
      <c r="G51" s="3"/>
    </row>
    <row r="52" ht="15.75" customHeight="1">
      <c r="A52" s="3"/>
      <c r="B52" s="3"/>
      <c r="C52" s="3"/>
      <c r="D52" s="3"/>
      <c r="E52" s="3"/>
      <c r="F52" s="3"/>
      <c r="G52" s="3"/>
    </row>
    <row r="53" ht="15.75" customHeight="1">
      <c r="A53" s="3"/>
      <c r="B53" s="3"/>
      <c r="C53" s="3"/>
      <c r="D53" s="3"/>
      <c r="E53" s="3"/>
      <c r="F53" s="3"/>
      <c r="G53" s="3"/>
    </row>
    <row r="54" ht="15.75" customHeight="1">
      <c r="A54" s="3"/>
      <c r="B54" s="3"/>
      <c r="C54" s="3"/>
      <c r="D54" s="3"/>
      <c r="E54" s="3"/>
      <c r="F54" s="3"/>
      <c r="G54" s="3"/>
    </row>
    <row r="55" ht="15.75" customHeight="1">
      <c r="A55" s="3"/>
      <c r="B55" s="3"/>
      <c r="C55" s="3"/>
      <c r="D55" s="3"/>
      <c r="E55" s="3"/>
      <c r="F55" s="3"/>
      <c r="G55" s="3"/>
    </row>
    <row r="56" ht="15.75" customHeight="1">
      <c r="A56" s="3"/>
      <c r="B56" s="3"/>
      <c r="C56" s="3"/>
      <c r="D56" s="3"/>
      <c r="E56" s="3"/>
      <c r="F56" s="3"/>
      <c r="G56" s="3"/>
    </row>
    <row r="57" ht="15.75" customHeight="1">
      <c r="A57" s="3"/>
      <c r="B57" s="3"/>
      <c r="C57" s="3"/>
      <c r="D57" s="3"/>
      <c r="E57" s="3"/>
      <c r="F57" s="3"/>
      <c r="G57" s="3"/>
    </row>
    <row r="58" ht="15.75" customHeight="1">
      <c r="A58" s="3"/>
      <c r="B58" s="3"/>
      <c r="C58" s="3"/>
      <c r="D58" s="3"/>
      <c r="E58" s="3"/>
      <c r="F58" s="3"/>
      <c r="G58" s="3"/>
    </row>
    <row r="59" ht="15.75" customHeight="1">
      <c r="A59" s="3"/>
      <c r="B59" s="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3"/>
      <c r="B66" s="3"/>
      <c r="C66" s="3"/>
      <c r="D66" s="3"/>
      <c r="E66" s="3"/>
      <c r="F66" s="3"/>
      <c r="G66" s="3"/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3"/>
      <c r="B70" s="3"/>
      <c r="C70" s="3"/>
      <c r="D70" s="3"/>
      <c r="E70" s="3"/>
      <c r="F70" s="3"/>
      <c r="G70" s="3"/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>
      <c r="A88" s="3"/>
      <c r="B88" s="3"/>
      <c r="C88" s="3"/>
      <c r="D88" s="3"/>
      <c r="E88" s="3"/>
      <c r="F88" s="3"/>
      <c r="G88" s="3"/>
    </row>
    <row r="89" ht="15.75" customHeight="1">
      <c r="A89" s="3"/>
      <c r="B89" s="3"/>
      <c r="C89" s="3"/>
      <c r="D89" s="3"/>
      <c r="E89" s="3"/>
      <c r="F89" s="3"/>
      <c r="G89" s="3"/>
    </row>
    <row r="90" ht="15.75" customHeight="1">
      <c r="A90" s="3"/>
      <c r="B90" s="3"/>
      <c r="C90" s="3"/>
      <c r="D90" s="3"/>
      <c r="E90" s="3"/>
      <c r="F90" s="3"/>
      <c r="G90" s="3"/>
    </row>
    <row r="91" ht="15.75" customHeight="1">
      <c r="A91" s="3"/>
      <c r="B91" s="3"/>
      <c r="C91" s="3"/>
      <c r="D91" s="3"/>
      <c r="E91" s="3"/>
      <c r="F91" s="3"/>
      <c r="G91" s="3"/>
    </row>
    <row r="92" ht="15.75" customHeight="1">
      <c r="A92" s="3"/>
      <c r="B92" s="3"/>
      <c r="C92" s="3"/>
      <c r="D92" s="3"/>
      <c r="E92" s="3"/>
      <c r="F92" s="3"/>
      <c r="G92" s="3"/>
    </row>
    <row r="93" ht="15.75" customHeight="1">
      <c r="A93" s="3"/>
      <c r="B93" s="3"/>
      <c r="C93" s="3"/>
      <c r="D93" s="3"/>
      <c r="E93" s="3"/>
      <c r="F93" s="3"/>
      <c r="G93" s="3"/>
    </row>
    <row r="94" ht="15.75" customHeight="1">
      <c r="A94" s="3"/>
      <c r="B94" s="3"/>
      <c r="C94" s="3"/>
      <c r="D94" s="3"/>
      <c r="E94" s="3"/>
      <c r="F94" s="3"/>
      <c r="G94" s="3"/>
    </row>
    <row r="95" ht="15.75" customHeight="1">
      <c r="A95" s="3"/>
      <c r="B95" s="3"/>
      <c r="C95" s="3"/>
      <c r="D95" s="3"/>
      <c r="E95" s="3"/>
      <c r="F95" s="3"/>
      <c r="G95" s="3"/>
    </row>
    <row r="96" ht="15.75" customHeight="1">
      <c r="A96" s="3"/>
      <c r="B96" s="3"/>
      <c r="C96" s="3"/>
      <c r="D96" s="3"/>
      <c r="E96" s="3"/>
      <c r="F96" s="3"/>
      <c r="G96" s="3"/>
    </row>
    <row r="97" ht="15.75" customHeight="1">
      <c r="A97" s="3"/>
      <c r="B97" s="3"/>
      <c r="C97" s="3"/>
      <c r="D97" s="3"/>
      <c r="E97" s="3"/>
      <c r="F97" s="3"/>
      <c r="G97" s="3"/>
    </row>
    <row r="98" ht="15.75" customHeight="1">
      <c r="A98" s="3"/>
      <c r="B98" s="3"/>
      <c r="C98" s="3"/>
      <c r="D98" s="3"/>
      <c r="E98" s="3"/>
      <c r="F98" s="3"/>
      <c r="G98" s="3"/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3"/>
      <c r="B100" s="3"/>
      <c r="C100" s="3"/>
      <c r="D100" s="3"/>
      <c r="E100" s="3"/>
      <c r="F100" s="3"/>
      <c r="G100" s="3"/>
    </row>
    <row r="101" ht="15.75" customHeight="1">
      <c r="A101" s="3"/>
      <c r="B101" s="3"/>
      <c r="C101" s="3"/>
      <c r="D101" s="3"/>
      <c r="E101" s="3"/>
      <c r="F101" s="3"/>
      <c r="G101" s="3"/>
    </row>
    <row r="102" ht="15.75" customHeight="1">
      <c r="A102" s="3"/>
      <c r="B102" s="3"/>
      <c r="C102" s="3"/>
      <c r="D102" s="3"/>
      <c r="E102" s="3"/>
      <c r="F102" s="3"/>
      <c r="G102" s="3"/>
    </row>
    <row r="103" ht="15.75" customHeight="1">
      <c r="A103" s="3"/>
      <c r="B103" s="3"/>
      <c r="C103" s="3"/>
      <c r="D103" s="3"/>
      <c r="E103" s="3"/>
      <c r="F103" s="3"/>
      <c r="G103" s="3"/>
    </row>
    <row r="104" ht="15.75" customHeight="1">
      <c r="A104" s="3"/>
      <c r="B104" s="3"/>
      <c r="C104" s="3"/>
      <c r="D104" s="3"/>
      <c r="E104" s="3"/>
      <c r="F104" s="3"/>
      <c r="G104" s="3"/>
    </row>
    <row r="105" ht="15.75" customHeight="1">
      <c r="A105" s="3"/>
      <c r="B105" s="3"/>
      <c r="C105" s="3"/>
      <c r="D105" s="3"/>
      <c r="E105" s="3"/>
      <c r="F105" s="3"/>
      <c r="G105" s="3"/>
    </row>
    <row r="106" ht="15.75" customHeight="1">
      <c r="A106" s="3"/>
      <c r="B106" s="3"/>
      <c r="C106" s="3"/>
      <c r="D106" s="3"/>
      <c r="E106" s="3"/>
      <c r="F106" s="3"/>
      <c r="G106" s="3"/>
    </row>
    <row r="107" ht="15.75" customHeight="1">
      <c r="A107" s="3"/>
      <c r="B107" s="3"/>
      <c r="C107" s="3"/>
      <c r="D107" s="3"/>
      <c r="E107" s="3"/>
      <c r="F107" s="3"/>
      <c r="G107" s="3"/>
    </row>
    <row r="108" ht="15.75" customHeight="1">
      <c r="A108" s="3"/>
      <c r="B108" s="3"/>
      <c r="C108" s="3"/>
      <c r="D108" s="3"/>
      <c r="E108" s="3"/>
      <c r="F108" s="3"/>
      <c r="G108" s="3"/>
    </row>
    <row r="109" ht="15.75" customHeight="1">
      <c r="A109" s="3"/>
      <c r="B109" s="3"/>
      <c r="C109" s="3"/>
      <c r="D109" s="3"/>
      <c r="E109" s="3"/>
      <c r="F109" s="3"/>
      <c r="G109" s="3"/>
    </row>
    <row r="110" ht="15.75" customHeight="1">
      <c r="A110" s="3"/>
      <c r="B110" s="3"/>
      <c r="C110" s="3"/>
      <c r="D110" s="3"/>
      <c r="E110" s="3"/>
      <c r="F110" s="3"/>
      <c r="G110" s="3"/>
    </row>
    <row r="111" ht="15.75" customHeight="1">
      <c r="A111" s="3"/>
      <c r="B111" s="3"/>
      <c r="C111" s="3"/>
      <c r="D111" s="3"/>
      <c r="E111" s="3"/>
      <c r="F111" s="3"/>
      <c r="G111" s="3"/>
    </row>
    <row r="112" ht="15.75" customHeight="1">
      <c r="A112" s="3"/>
      <c r="B112" s="3"/>
      <c r="C112" s="3"/>
      <c r="D112" s="3"/>
      <c r="E112" s="3"/>
      <c r="F112" s="3"/>
      <c r="G112" s="3"/>
    </row>
    <row r="113" ht="15.75" customHeight="1">
      <c r="A113" s="3"/>
      <c r="B113" s="3"/>
      <c r="C113" s="3"/>
      <c r="D113" s="3"/>
      <c r="E113" s="3"/>
      <c r="F113" s="3"/>
      <c r="G113" s="3"/>
    </row>
    <row r="114" ht="15.75" customHeight="1">
      <c r="A114" s="3"/>
      <c r="B114" s="3"/>
      <c r="C114" s="3"/>
      <c r="D114" s="3"/>
      <c r="E114" s="3"/>
      <c r="F114" s="3"/>
      <c r="G114" s="3"/>
    </row>
    <row r="115" ht="15.75" customHeight="1">
      <c r="A115" s="3"/>
      <c r="B115" s="3"/>
      <c r="C115" s="3"/>
      <c r="D115" s="3"/>
      <c r="E115" s="3"/>
      <c r="F115" s="3"/>
      <c r="G115" s="3"/>
    </row>
    <row r="116" ht="15.75" customHeight="1">
      <c r="A116" s="3"/>
      <c r="B116" s="3"/>
      <c r="C116" s="3"/>
      <c r="D116" s="3"/>
      <c r="E116" s="3"/>
      <c r="F116" s="3"/>
      <c r="G116" s="3"/>
    </row>
    <row r="117" ht="15.75" customHeight="1">
      <c r="A117" s="3"/>
      <c r="B117" s="3"/>
      <c r="C117" s="3"/>
      <c r="D117" s="3"/>
      <c r="E117" s="3"/>
      <c r="F117" s="3"/>
      <c r="G117" s="3"/>
    </row>
    <row r="118" ht="15.75" customHeight="1">
      <c r="A118" s="3"/>
      <c r="B118" s="3"/>
      <c r="C118" s="3"/>
      <c r="D118" s="3"/>
      <c r="E118" s="3"/>
      <c r="F118" s="3"/>
      <c r="G118" s="3"/>
    </row>
    <row r="119" ht="15.75" customHeight="1">
      <c r="A119" s="3"/>
      <c r="B119" s="3"/>
      <c r="C119" s="3"/>
      <c r="D119" s="3"/>
      <c r="E119" s="3"/>
      <c r="F119" s="3"/>
      <c r="G119" s="3"/>
    </row>
    <row r="120" ht="15.75" customHeight="1">
      <c r="A120" s="3"/>
      <c r="B120" s="3"/>
      <c r="C120" s="3"/>
      <c r="D120" s="3"/>
      <c r="E120" s="3"/>
      <c r="F120" s="3"/>
      <c r="G120" s="3"/>
    </row>
    <row r="121" ht="15.75" customHeight="1">
      <c r="A121" s="3"/>
      <c r="B121" s="3"/>
      <c r="C121" s="3"/>
      <c r="D121" s="3"/>
      <c r="E121" s="3"/>
      <c r="F121" s="3"/>
      <c r="G121" s="3"/>
    </row>
    <row r="122" ht="15.75" customHeight="1">
      <c r="A122" s="3"/>
      <c r="B122" s="3"/>
      <c r="C122" s="3"/>
      <c r="D122" s="3"/>
      <c r="E122" s="3"/>
      <c r="F122" s="3"/>
      <c r="G122" s="3"/>
    </row>
    <row r="123" ht="15.75" customHeight="1">
      <c r="A123" s="3"/>
      <c r="B123" s="3"/>
      <c r="C123" s="3"/>
      <c r="D123" s="3"/>
      <c r="E123" s="3"/>
      <c r="F123" s="3"/>
      <c r="G123" s="3"/>
    </row>
    <row r="124" ht="15.75" customHeight="1">
      <c r="A124" s="3"/>
      <c r="B124" s="3"/>
      <c r="C124" s="3"/>
      <c r="D124" s="3"/>
      <c r="E124" s="3"/>
      <c r="F124" s="3"/>
      <c r="G124" s="3"/>
    </row>
    <row r="125" ht="15.75" customHeight="1">
      <c r="A125" s="3"/>
      <c r="B125" s="3"/>
      <c r="C125" s="3"/>
      <c r="D125" s="3"/>
      <c r="E125" s="3"/>
      <c r="F125" s="3"/>
      <c r="G125" s="3"/>
    </row>
    <row r="126" ht="15.75" customHeight="1">
      <c r="A126" s="3"/>
      <c r="B126" s="3"/>
      <c r="C126" s="3"/>
      <c r="D126" s="3"/>
      <c r="E126" s="3"/>
      <c r="F126" s="3"/>
      <c r="G126" s="3"/>
    </row>
    <row r="127" ht="15.75" customHeight="1">
      <c r="A127" s="3"/>
      <c r="B127" s="3"/>
      <c r="C127" s="3"/>
      <c r="D127" s="3"/>
      <c r="E127" s="3"/>
      <c r="F127" s="3"/>
      <c r="G127" s="3"/>
    </row>
    <row r="128" ht="15.75" customHeight="1">
      <c r="A128" s="3"/>
      <c r="B128" s="3"/>
      <c r="C128" s="3"/>
      <c r="D128" s="3"/>
      <c r="E128" s="3"/>
      <c r="F128" s="3"/>
      <c r="G128" s="3"/>
    </row>
    <row r="129" ht="15.75" customHeight="1">
      <c r="A129" s="3"/>
      <c r="B129" s="3"/>
      <c r="C129" s="3"/>
      <c r="D129" s="3"/>
      <c r="E129" s="3"/>
      <c r="F129" s="3"/>
      <c r="G129" s="3"/>
    </row>
    <row r="130" ht="15.75" customHeight="1">
      <c r="A130" s="3"/>
      <c r="B130" s="3"/>
      <c r="C130" s="3"/>
      <c r="D130" s="3"/>
      <c r="E130" s="3"/>
      <c r="F130" s="3"/>
      <c r="G130" s="3"/>
    </row>
    <row r="131" ht="15.75" customHeight="1">
      <c r="A131" s="3"/>
      <c r="B131" s="3"/>
      <c r="C131" s="3"/>
      <c r="D131" s="3"/>
      <c r="E131" s="3"/>
      <c r="F131" s="3"/>
      <c r="G131" s="3"/>
    </row>
    <row r="132" ht="15.75" customHeight="1">
      <c r="A132" s="3"/>
      <c r="B132" s="3"/>
      <c r="C132" s="3"/>
      <c r="D132" s="3"/>
      <c r="E132" s="3"/>
      <c r="F132" s="3"/>
      <c r="G132" s="3"/>
    </row>
    <row r="133" ht="15.75" customHeight="1">
      <c r="A133" s="3"/>
      <c r="B133" s="3"/>
      <c r="C133" s="3"/>
      <c r="D133" s="3"/>
      <c r="E133" s="3"/>
      <c r="F133" s="3"/>
      <c r="G133" s="3"/>
    </row>
    <row r="134" ht="15.75" customHeight="1">
      <c r="A134" s="3"/>
      <c r="B134" s="3"/>
      <c r="C134" s="3"/>
      <c r="D134" s="3"/>
      <c r="E134" s="3"/>
      <c r="F134" s="3"/>
      <c r="G134" s="3"/>
    </row>
    <row r="135" ht="15.75" customHeight="1">
      <c r="A135" s="3"/>
      <c r="B135" s="3"/>
      <c r="C135" s="3"/>
      <c r="D135" s="3"/>
      <c r="E135" s="3"/>
      <c r="F135" s="3"/>
      <c r="G135" s="3"/>
    </row>
    <row r="136" ht="15.75" customHeight="1">
      <c r="A136" s="3"/>
      <c r="B136" s="3"/>
      <c r="C136" s="3"/>
      <c r="D136" s="3"/>
      <c r="E136" s="3"/>
      <c r="F136" s="3"/>
      <c r="G136" s="3"/>
    </row>
    <row r="137" ht="15.75" customHeight="1">
      <c r="A137" s="3"/>
      <c r="B137" s="3"/>
      <c r="C137" s="3"/>
      <c r="D137" s="3"/>
      <c r="E137" s="3"/>
      <c r="F137" s="3"/>
      <c r="G137" s="3"/>
    </row>
    <row r="138" ht="15.75" customHeight="1">
      <c r="A138" s="3"/>
      <c r="B138" s="3"/>
      <c r="C138" s="3"/>
      <c r="D138" s="3"/>
      <c r="E138" s="3"/>
      <c r="F138" s="3"/>
      <c r="G138" s="3"/>
    </row>
    <row r="139" ht="15.75" customHeight="1">
      <c r="A139" s="3"/>
      <c r="B139" s="3"/>
      <c r="C139" s="3"/>
      <c r="D139" s="3"/>
      <c r="E139" s="3"/>
      <c r="F139" s="3"/>
      <c r="G139" s="3"/>
    </row>
    <row r="140" ht="15.75" customHeight="1">
      <c r="A140" s="3"/>
      <c r="B140" s="3"/>
      <c r="C140" s="3"/>
      <c r="D140" s="3"/>
      <c r="E140" s="3"/>
      <c r="F140" s="3"/>
      <c r="G140" s="3"/>
    </row>
    <row r="141" ht="15.75" customHeight="1">
      <c r="A141" s="3"/>
      <c r="B141" s="3"/>
      <c r="C141" s="3"/>
      <c r="D141" s="3"/>
      <c r="E141" s="3"/>
      <c r="F141" s="3"/>
      <c r="G141" s="3"/>
    </row>
    <row r="142" ht="15.75" customHeight="1">
      <c r="A142" s="3"/>
      <c r="B142" s="3"/>
      <c r="C142" s="3"/>
      <c r="D142" s="3"/>
      <c r="E142" s="3"/>
      <c r="F142" s="3"/>
      <c r="G142" s="3"/>
    </row>
    <row r="143" ht="15.75" customHeight="1">
      <c r="A143" s="3"/>
      <c r="B143" s="3"/>
      <c r="C143" s="3"/>
      <c r="D143" s="3"/>
      <c r="E143" s="3"/>
      <c r="F143" s="3"/>
      <c r="G143" s="3"/>
    </row>
    <row r="144" ht="15.75" customHeight="1">
      <c r="A144" s="3"/>
      <c r="B144" s="3"/>
      <c r="C144" s="3"/>
      <c r="D144" s="3"/>
      <c r="E144" s="3"/>
      <c r="F144" s="3"/>
      <c r="G144" s="3"/>
    </row>
    <row r="145" ht="15.75" customHeight="1">
      <c r="A145" s="3"/>
      <c r="B145" s="3"/>
      <c r="C145" s="3"/>
      <c r="D145" s="3"/>
      <c r="E145" s="3"/>
      <c r="F145" s="3"/>
      <c r="G145" s="3"/>
    </row>
    <row r="146" ht="15.75" customHeight="1">
      <c r="A146" s="3"/>
      <c r="B146" s="3"/>
      <c r="C146" s="3"/>
      <c r="D146" s="3"/>
      <c r="E146" s="3"/>
      <c r="F146" s="3"/>
      <c r="G146" s="3"/>
    </row>
    <row r="147" ht="15.75" customHeight="1">
      <c r="A147" s="3"/>
      <c r="B147" s="3"/>
      <c r="C147" s="3"/>
      <c r="D147" s="3"/>
      <c r="E147" s="3"/>
      <c r="F147" s="3"/>
      <c r="G147" s="3"/>
    </row>
    <row r="148" ht="15.75" customHeight="1">
      <c r="A148" s="3"/>
      <c r="B148" s="3"/>
      <c r="C148" s="3"/>
      <c r="D148" s="3"/>
      <c r="E148" s="3"/>
      <c r="F148" s="3"/>
      <c r="G148" s="3"/>
    </row>
    <row r="149" ht="15.75" customHeight="1">
      <c r="A149" s="3"/>
      <c r="B149" s="3"/>
      <c r="C149" s="3"/>
      <c r="D149" s="3"/>
      <c r="E149" s="3"/>
      <c r="F149" s="3"/>
      <c r="G149" s="3"/>
    </row>
    <row r="150" ht="15.75" customHeight="1">
      <c r="A150" s="3"/>
      <c r="B150" s="3"/>
      <c r="C150" s="3"/>
      <c r="D150" s="3"/>
      <c r="E150" s="3"/>
      <c r="F150" s="3"/>
      <c r="G150" s="3"/>
    </row>
    <row r="151" ht="15.75" customHeight="1">
      <c r="A151" s="3"/>
      <c r="B151" s="3"/>
      <c r="C151" s="3"/>
      <c r="D151" s="3"/>
      <c r="E151" s="3"/>
      <c r="F151" s="3"/>
      <c r="G151" s="3"/>
    </row>
    <row r="152" ht="15.75" customHeight="1">
      <c r="A152" s="3"/>
      <c r="B152" s="3"/>
      <c r="C152" s="3"/>
      <c r="D152" s="3"/>
      <c r="E152" s="3"/>
      <c r="F152" s="3"/>
      <c r="G152" s="3"/>
    </row>
    <row r="153" ht="15.75" customHeight="1">
      <c r="A153" s="3"/>
      <c r="B153" s="3"/>
      <c r="C153" s="3"/>
      <c r="D153" s="3"/>
      <c r="E153" s="3"/>
      <c r="F153" s="3"/>
      <c r="G153" s="3"/>
    </row>
    <row r="154" ht="15.75" customHeight="1">
      <c r="A154" s="3"/>
      <c r="B154" s="3"/>
      <c r="C154" s="3"/>
      <c r="D154" s="3"/>
      <c r="E154" s="3"/>
      <c r="F154" s="3"/>
      <c r="G154" s="3"/>
    </row>
    <row r="155" ht="15.75" customHeight="1">
      <c r="A155" s="3"/>
      <c r="B155" s="3"/>
      <c r="C155" s="3"/>
      <c r="D155" s="3"/>
      <c r="E155" s="3"/>
      <c r="F155" s="3"/>
      <c r="G155" s="3"/>
    </row>
    <row r="156" ht="15.75" customHeight="1">
      <c r="A156" s="3"/>
      <c r="B156" s="3"/>
      <c r="C156" s="3"/>
      <c r="D156" s="3"/>
      <c r="E156" s="3"/>
      <c r="F156" s="3"/>
      <c r="G156" s="3"/>
    </row>
    <row r="157" ht="15.75" customHeight="1">
      <c r="A157" s="3"/>
      <c r="B157" s="3"/>
      <c r="C157" s="3"/>
      <c r="D157" s="3"/>
      <c r="E157" s="3"/>
      <c r="F157" s="3"/>
      <c r="G157" s="3"/>
    </row>
    <row r="158" ht="15.75" customHeight="1">
      <c r="A158" s="3"/>
      <c r="B158" s="3"/>
      <c r="C158" s="3"/>
      <c r="D158" s="3"/>
      <c r="E158" s="3"/>
      <c r="F158" s="3"/>
      <c r="G158" s="3"/>
    </row>
    <row r="159" ht="15.75" customHeight="1">
      <c r="A159" s="3"/>
      <c r="B159" s="3"/>
      <c r="C159" s="3"/>
      <c r="D159" s="3"/>
      <c r="E159" s="3"/>
      <c r="F159" s="3"/>
      <c r="G159" s="3"/>
    </row>
    <row r="160" ht="15.75" customHeight="1">
      <c r="A160" s="3"/>
      <c r="B160" s="3"/>
      <c r="C160" s="3"/>
      <c r="D160" s="3"/>
      <c r="E160" s="3"/>
      <c r="F160" s="3"/>
      <c r="G160" s="3"/>
    </row>
    <row r="161" ht="15.75" customHeight="1">
      <c r="A161" s="3"/>
      <c r="B161" s="3"/>
      <c r="C161" s="3"/>
      <c r="D161" s="3"/>
      <c r="E161" s="3"/>
      <c r="F161" s="3"/>
      <c r="G161" s="3"/>
    </row>
    <row r="162" ht="15.75" customHeight="1">
      <c r="A162" s="3"/>
      <c r="B162" s="3"/>
      <c r="C162" s="3"/>
      <c r="D162" s="3"/>
      <c r="E162" s="3"/>
      <c r="F162" s="3"/>
      <c r="G162" s="3"/>
    </row>
    <row r="163" ht="15.75" customHeight="1">
      <c r="A163" s="3"/>
      <c r="B163" s="3"/>
      <c r="C163" s="3"/>
      <c r="D163" s="3"/>
      <c r="E163" s="3"/>
      <c r="F163" s="3"/>
      <c r="G163" s="3"/>
    </row>
    <row r="164" ht="15.75" customHeight="1">
      <c r="A164" s="3"/>
      <c r="B164" s="3"/>
      <c r="C164" s="3"/>
      <c r="D164" s="3"/>
      <c r="E164" s="3"/>
      <c r="F164" s="3"/>
      <c r="G164" s="3"/>
    </row>
    <row r="165" ht="15.75" customHeight="1">
      <c r="A165" s="3"/>
      <c r="B165" s="3"/>
      <c r="C165" s="3"/>
      <c r="D165" s="3"/>
      <c r="E165" s="3"/>
      <c r="F165" s="3"/>
      <c r="G165" s="3"/>
    </row>
    <row r="166" ht="15.75" customHeight="1">
      <c r="A166" s="3"/>
      <c r="B166" s="3"/>
      <c r="C166" s="3"/>
      <c r="D166" s="3"/>
      <c r="E166" s="3"/>
      <c r="F166" s="3"/>
      <c r="G166" s="3"/>
    </row>
    <row r="167" ht="15.75" customHeight="1">
      <c r="A167" s="3"/>
      <c r="B167" s="3"/>
      <c r="C167" s="3"/>
      <c r="D167" s="3"/>
      <c r="E167" s="3"/>
      <c r="F167" s="3"/>
      <c r="G167" s="3"/>
    </row>
    <row r="168" ht="15.75" customHeight="1">
      <c r="A168" s="3"/>
      <c r="B168" s="3"/>
      <c r="C168" s="3"/>
      <c r="D168" s="3"/>
      <c r="E168" s="3"/>
      <c r="F168" s="3"/>
      <c r="G168" s="3"/>
    </row>
    <row r="169" ht="15.75" customHeight="1">
      <c r="A169" s="3"/>
      <c r="B169" s="3"/>
      <c r="C169" s="3"/>
      <c r="D169" s="3"/>
      <c r="E169" s="3"/>
      <c r="F169" s="3"/>
      <c r="G169" s="3"/>
    </row>
    <row r="170" ht="15.75" customHeight="1">
      <c r="A170" s="3"/>
      <c r="B170" s="3"/>
      <c r="C170" s="3"/>
      <c r="D170" s="3"/>
      <c r="E170" s="3"/>
      <c r="F170" s="3"/>
      <c r="G170" s="3"/>
    </row>
    <row r="171" ht="15.75" customHeight="1">
      <c r="A171" s="3"/>
      <c r="B171" s="3"/>
      <c r="C171" s="3"/>
      <c r="D171" s="3"/>
      <c r="E171" s="3"/>
      <c r="F171" s="3"/>
      <c r="G171" s="3"/>
    </row>
    <row r="172" ht="15.75" customHeight="1">
      <c r="A172" s="3"/>
      <c r="B172" s="3"/>
      <c r="C172" s="3"/>
      <c r="D172" s="3"/>
      <c r="E172" s="3"/>
      <c r="F172" s="3"/>
      <c r="G172" s="3"/>
    </row>
    <row r="173" ht="15.75" customHeight="1">
      <c r="A173" s="3"/>
      <c r="B173" s="3"/>
      <c r="C173" s="3"/>
      <c r="D173" s="3"/>
      <c r="E173" s="3"/>
      <c r="F173" s="3"/>
      <c r="G173" s="3"/>
    </row>
    <row r="174" ht="15.75" customHeight="1">
      <c r="A174" s="3"/>
      <c r="B174" s="3"/>
      <c r="C174" s="3"/>
      <c r="D174" s="3"/>
      <c r="E174" s="3"/>
      <c r="F174" s="3"/>
      <c r="G174" s="3"/>
    </row>
    <row r="175" ht="15.75" customHeight="1">
      <c r="A175" s="3"/>
      <c r="B175" s="3"/>
      <c r="C175" s="3"/>
      <c r="D175" s="3"/>
      <c r="E175" s="3"/>
      <c r="F175" s="3"/>
      <c r="G175" s="3"/>
    </row>
    <row r="176" ht="15.75" customHeight="1">
      <c r="A176" s="3"/>
      <c r="B176" s="3"/>
      <c r="C176" s="3"/>
      <c r="D176" s="3"/>
      <c r="E176" s="3"/>
      <c r="F176" s="3"/>
      <c r="G176" s="3"/>
    </row>
    <row r="177" ht="15.75" customHeight="1">
      <c r="A177" s="3"/>
      <c r="B177" s="3"/>
      <c r="C177" s="3"/>
      <c r="D177" s="3"/>
      <c r="E177" s="3"/>
      <c r="F177" s="3"/>
      <c r="G177" s="3"/>
    </row>
    <row r="178" ht="15.75" customHeight="1">
      <c r="A178" s="3"/>
      <c r="B178" s="3"/>
      <c r="C178" s="3"/>
      <c r="D178" s="3"/>
      <c r="E178" s="3"/>
      <c r="F178" s="3"/>
      <c r="G178" s="3"/>
    </row>
    <row r="179" ht="15.75" customHeight="1">
      <c r="A179" s="3"/>
      <c r="B179" s="3"/>
      <c r="C179" s="3"/>
      <c r="D179" s="3"/>
      <c r="E179" s="3"/>
      <c r="F179" s="3"/>
      <c r="G179" s="3"/>
    </row>
    <row r="180" ht="15.75" customHeight="1">
      <c r="A180" s="3"/>
      <c r="B180" s="3"/>
      <c r="C180" s="3"/>
      <c r="D180" s="3"/>
      <c r="E180" s="3"/>
      <c r="F180" s="3"/>
      <c r="G180" s="3"/>
    </row>
    <row r="181" ht="15.75" customHeight="1">
      <c r="A181" s="3"/>
      <c r="B181" s="3"/>
      <c r="C181" s="3"/>
      <c r="D181" s="3"/>
      <c r="E181" s="3"/>
      <c r="F181" s="3"/>
      <c r="G181" s="3"/>
    </row>
    <row r="182" ht="15.75" customHeight="1">
      <c r="A182" s="3"/>
      <c r="B182" s="3"/>
      <c r="C182" s="3"/>
      <c r="D182" s="3"/>
      <c r="E182" s="3"/>
      <c r="F182" s="3"/>
      <c r="G182" s="3"/>
    </row>
    <row r="183" ht="15.75" customHeight="1">
      <c r="A183" s="3"/>
      <c r="B183" s="3"/>
      <c r="C183" s="3"/>
      <c r="D183" s="3"/>
      <c r="E183" s="3"/>
      <c r="F183" s="3"/>
      <c r="G183" s="3"/>
    </row>
    <row r="184" ht="15.75" customHeight="1">
      <c r="A184" s="3"/>
      <c r="B184" s="3"/>
      <c r="C184" s="3"/>
      <c r="D184" s="3"/>
      <c r="E184" s="3"/>
      <c r="F184" s="3"/>
      <c r="G184" s="3"/>
    </row>
    <row r="185" ht="15.75" customHeight="1">
      <c r="A185" s="3"/>
      <c r="B185" s="3"/>
      <c r="C185" s="3"/>
      <c r="D185" s="3"/>
      <c r="E185" s="3"/>
      <c r="F185" s="3"/>
      <c r="G185" s="3"/>
    </row>
    <row r="186" ht="15.75" customHeight="1">
      <c r="A186" s="3"/>
      <c r="B186" s="3"/>
      <c r="C186" s="3"/>
      <c r="D186" s="3"/>
      <c r="E186" s="3"/>
      <c r="F186" s="3"/>
      <c r="G186" s="3"/>
    </row>
    <row r="187" ht="15.75" customHeight="1">
      <c r="A187" s="3"/>
      <c r="B187" s="3"/>
      <c r="C187" s="3"/>
      <c r="D187" s="3"/>
      <c r="E187" s="3"/>
      <c r="F187" s="3"/>
      <c r="G187" s="3"/>
    </row>
    <row r="188" ht="15.75" customHeight="1">
      <c r="A188" s="3"/>
      <c r="B188" s="3"/>
      <c r="C188" s="3"/>
      <c r="D188" s="3"/>
      <c r="E188" s="3"/>
      <c r="F188" s="3"/>
      <c r="G188" s="3"/>
    </row>
    <row r="189" ht="15.75" customHeight="1">
      <c r="A189" s="3"/>
      <c r="B189" s="3"/>
      <c r="C189" s="3"/>
      <c r="D189" s="3"/>
      <c r="E189" s="3"/>
      <c r="F189" s="3"/>
      <c r="G189" s="3"/>
    </row>
    <row r="190" ht="15.75" customHeight="1">
      <c r="A190" s="3"/>
      <c r="B190" s="3"/>
      <c r="C190" s="3"/>
      <c r="D190" s="3"/>
      <c r="E190" s="3"/>
      <c r="F190" s="3"/>
      <c r="G190" s="3"/>
    </row>
    <row r="191" ht="15.75" customHeight="1">
      <c r="A191" s="3"/>
      <c r="B191" s="3"/>
      <c r="C191" s="3"/>
      <c r="D191" s="3"/>
      <c r="E191" s="3"/>
      <c r="F191" s="3"/>
      <c r="G191" s="3"/>
    </row>
    <row r="192" ht="15.75" customHeight="1">
      <c r="A192" s="3"/>
      <c r="B192" s="3"/>
      <c r="C192" s="3"/>
      <c r="D192" s="3"/>
      <c r="E192" s="3"/>
      <c r="F192" s="3"/>
      <c r="G192" s="3"/>
    </row>
    <row r="193" ht="15.75" customHeight="1">
      <c r="A193" s="3"/>
      <c r="B193" s="3"/>
      <c r="C193" s="3"/>
      <c r="D193" s="3"/>
      <c r="E193" s="3"/>
      <c r="F193" s="3"/>
      <c r="G193" s="3"/>
    </row>
    <row r="194" ht="15.75" customHeight="1">
      <c r="A194" s="3"/>
      <c r="B194" s="3"/>
      <c r="C194" s="3"/>
      <c r="D194" s="3"/>
      <c r="E194" s="3"/>
      <c r="F194" s="3"/>
      <c r="G194" s="3"/>
    </row>
    <row r="195" ht="15.75" customHeight="1">
      <c r="A195" s="3"/>
      <c r="B195" s="3"/>
      <c r="C195" s="3"/>
      <c r="D195" s="3"/>
      <c r="E195" s="3"/>
      <c r="F195" s="3"/>
      <c r="G195" s="3"/>
    </row>
    <row r="196" ht="15.75" customHeight="1">
      <c r="A196" s="3"/>
      <c r="B196" s="3"/>
      <c r="C196" s="3"/>
      <c r="D196" s="3"/>
      <c r="E196" s="3"/>
      <c r="F196" s="3"/>
      <c r="G196" s="3"/>
    </row>
    <row r="197" ht="15.75" customHeight="1">
      <c r="A197" s="3"/>
      <c r="B197" s="3"/>
      <c r="C197" s="3"/>
      <c r="D197" s="3"/>
      <c r="E197" s="3"/>
      <c r="F197" s="3"/>
      <c r="G197" s="3"/>
    </row>
    <row r="198" ht="15.75" customHeight="1">
      <c r="A198" s="3"/>
      <c r="B198" s="3"/>
      <c r="C198" s="3"/>
      <c r="D198" s="3"/>
      <c r="E198" s="3"/>
      <c r="F198" s="3"/>
      <c r="G198" s="3"/>
    </row>
    <row r="199" ht="15.75" customHeight="1">
      <c r="A199" s="3"/>
      <c r="B199" s="3"/>
      <c r="C199" s="3"/>
      <c r="D199" s="3"/>
      <c r="E199" s="3"/>
      <c r="F199" s="3"/>
      <c r="G199" s="3"/>
    </row>
    <row r="200" ht="15.75" customHeight="1">
      <c r="A200" s="3"/>
      <c r="B200" s="3"/>
      <c r="C200" s="3"/>
      <c r="D200" s="3"/>
      <c r="E200" s="3"/>
      <c r="F200" s="3"/>
      <c r="G200" s="3"/>
    </row>
    <row r="201" ht="15.75" customHeight="1">
      <c r="A201" s="3"/>
      <c r="B201" s="3"/>
      <c r="C201" s="3"/>
      <c r="D201" s="3"/>
      <c r="E201" s="3"/>
      <c r="F201" s="3"/>
      <c r="G201" s="3"/>
    </row>
    <row r="202" ht="15.75" customHeight="1">
      <c r="A202" s="3"/>
      <c r="B202" s="3"/>
      <c r="C202" s="3"/>
      <c r="D202" s="3"/>
      <c r="E202" s="3"/>
      <c r="F202" s="3"/>
      <c r="G202" s="3"/>
    </row>
    <row r="203" ht="15.75" customHeight="1">
      <c r="A203" s="3"/>
      <c r="B203" s="3"/>
      <c r="C203" s="3"/>
      <c r="D203" s="3"/>
      <c r="E203" s="3"/>
      <c r="F203" s="3"/>
      <c r="G203" s="3"/>
    </row>
    <row r="204" ht="15.75" customHeight="1">
      <c r="A204" s="3"/>
      <c r="B204" s="3"/>
      <c r="C204" s="3"/>
      <c r="D204" s="3"/>
      <c r="E204" s="3"/>
      <c r="F204" s="3"/>
      <c r="G204" s="3"/>
    </row>
    <row r="205" ht="15.75" customHeight="1">
      <c r="A205" s="3"/>
      <c r="B205" s="3"/>
      <c r="C205" s="3"/>
      <c r="D205" s="3"/>
      <c r="E205" s="3"/>
      <c r="F205" s="3"/>
      <c r="G205" s="3"/>
    </row>
    <row r="206" ht="15.75" customHeight="1">
      <c r="A206" s="3"/>
      <c r="B206" s="3"/>
      <c r="C206" s="3"/>
      <c r="D206" s="3"/>
      <c r="E206" s="3"/>
      <c r="F206" s="3"/>
      <c r="G206" s="3"/>
    </row>
    <row r="207" ht="15.75" customHeight="1">
      <c r="A207" s="3"/>
      <c r="B207" s="3"/>
      <c r="C207" s="3"/>
      <c r="D207" s="3"/>
      <c r="E207" s="3"/>
      <c r="F207" s="3"/>
      <c r="G207" s="3"/>
    </row>
    <row r="208" ht="15.75" customHeight="1">
      <c r="A208" s="3"/>
      <c r="B208" s="3"/>
      <c r="C208" s="3"/>
      <c r="D208" s="3"/>
      <c r="E208" s="3"/>
      <c r="F208" s="3"/>
      <c r="G208" s="3"/>
    </row>
    <row r="209" ht="15.75" customHeight="1">
      <c r="A209" s="3"/>
      <c r="B209" s="3"/>
      <c r="C209" s="3"/>
      <c r="D209" s="3"/>
      <c r="E209" s="3"/>
      <c r="F209" s="3"/>
      <c r="G209" s="3"/>
    </row>
    <row r="210" ht="15.75" customHeight="1">
      <c r="A210" s="3"/>
      <c r="B210" s="3"/>
      <c r="C210" s="3"/>
      <c r="D210" s="3"/>
      <c r="E210" s="3"/>
      <c r="F210" s="3"/>
      <c r="G210" s="3"/>
    </row>
    <row r="211" ht="15.75" customHeight="1">
      <c r="A211" s="3"/>
      <c r="B211" s="3"/>
      <c r="C211" s="3"/>
      <c r="D211" s="3"/>
      <c r="E211" s="3"/>
      <c r="F211" s="3"/>
      <c r="G211" s="3"/>
    </row>
    <row r="212" ht="15.75" customHeight="1">
      <c r="A212" s="3"/>
      <c r="B212" s="3"/>
      <c r="C212" s="3"/>
      <c r="D212" s="3"/>
      <c r="E212" s="3"/>
      <c r="F212" s="3"/>
      <c r="G212" s="3"/>
    </row>
    <row r="213" ht="15.75" customHeight="1">
      <c r="A213" s="3"/>
      <c r="B213" s="3"/>
      <c r="C213" s="3"/>
      <c r="D213" s="3"/>
      <c r="E213" s="3"/>
      <c r="F213" s="3"/>
      <c r="G213" s="3"/>
    </row>
    <row r="214" ht="15.75" customHeight="1">
      <c r="A214" s="3"/>
      <c r="B214" s="3"/>
      <c r="C214" s="3"/>
      <c r="D214" s="3"/>
      <c r="E214" s="3"/>
      <c r="F214" s="3"/>
      <c r="G214" s="3"/>
    </row>
    <row r="215" ht="15.75" customHeight="1">
      <c r="A215" s="3"/>
      <c r="B215" s="3"/>
      <c r="C215" s="3"/>
      <c r="D215" s="3"/>
      <c r="E215" s="3"/>
      <c r="F215" s="3"/>
      <c r="G215" s="3"/>
    </row>
    <row r="216" ht="15.75" customHeight="1">
      <c r="A216" s="3"/>
      <c r="B216" s="3"/>
      <c r="C216" s="3"/>
      <c r="D216" s="3"/>
      <c r="E216" s="3"/>
      <c r="F216" s="3"/>
      <c r="G216" s="3"/>
    </row>
    <row r="217" ht="15.75" customHeight="1">
      <c r="A217" s="3"/>
      <c r="B217" s="3"/>
      <c r="C217" s="3"/>
      <c r="D217" s="3"/>
      <c r="E217" s="3"/>
      <c r="F217" s="3"/>
      <c r="G217" s="3"/>
    </row>
    <row r="218" ht="15.75" customHeight="1">
      <c r="A218" s="3"/>
      <c r="B218" s="3"/>
      <c r="C218" s="3"/>
      <c r="D218" s="3"/>
      <c r="E218" s="3"/>
      <c r="F218" s="3"/>
      <c r="G218" s="3"/>
    </row>
    <row r="219" ht="15.75" customHeight="1">
      <c r="A219" s="3"/>
      <c r="B219" s="3"/>
      <c r="C219" s="3"/>
      <c r="D219" s="3"/>
      <c r="E219" s="3"/>
      <c r="F219" s="3"/>
      <c r="G219" s="3"/>
    </row>
    <row r="220" ht="15.75" customHeight="1">
      <c r="A220" s="3"/>
      <c r="B220" s="3"/>
      <c r="C220" s="3"/>
      <c r="D220" s="3"/>
      <c r="E220" s="3"/>
      <c r="F220" s="3"/>
      <c r="G220" s="3"/>
    </row>
    <row r="221" ht="15.75" customHeight="1">
      <c r="A221" s="3"/>
      <c r="B221" s="3"/>
      <c r="C221" s="3"/>
      <c r="D221" s="3"/>
      <c r="E221" s="3"/>
      <c r="F221" s="3"/>
      <c r="G221" s="3"/>
    </row>
    <row r="222" ht="15.75" customHeight="1">
      <c r="A222" s="3"/>
      <c r="B222" s="3"/>
      <c r="C222" s="3"/>
      <c r="D222" s="3"/>
      <c r="E222" s="3"/>
      <c r="F222" s="3"/>
      <c r="G222" s="3"/>
    </row>
    <row r="223" ht="15.75" customHeight="1">
      <c r="A223" s="3"/>
      <c r="B223" s="3"/>
      <c r="C223" s="3"/>
      <c r="D223" s="3"/>
      <c r="E223" s="3"/>
      <c r="F223" s="3"/>
      <c r="G223" s="3"/>
    </row>
    <row r="224" ht="15.75" customHeight="1">
      <c r="A224" s="3"/>
      <c r="B224" s="3"/>
      <c r="C224" s="3"/>
      <c r="D224" s="3"/>
      <c r="E224" s="3"/>
      <c r="F224" s="3"/>
      <c r="G224" s="3"/>
    </row>
    <row r="225" ht="15.75" customHeight="1">
      <c r="A225" s="3"/>
      <c r="B225" s="3"/>
      <c r="C225" s="3"/>
      <c r="D225" s="3"/>
      <c r="E225" s="3"/>
      <c r="F225" s="3"/>
      <c r="G225" s="3"/>
    </row>
    <row r="226" ht="15.75" customHeight="1">
      <c r="A226" s="3"/>
      <c r="B226" s="3"/>
      <c r="C226" s="3"/>
      <c r="D226" s="3"/>
      <c r="E226" s="3"/>
      <c r="F226" s="3"/>
      <c r="G226" s="3"/>
    </row>
    <row r="227" ht="15.75" customHeight="1">
      <c r="A227" s="3"/>
      <c r="B227" s="3"/>
      <c r="C227" s="3"/>
      <c r="D227" s="3"/>
      <c r="E227" s="3"/>
      <c r="F227" s="3"/>
      <c r="G227" s="3"/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mergeCells count="1">
    <mergeCell ref="B1:G1"/>
  </mergeCell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.0"/>
    <col customWidth="1" min="2" max="2" width="40.0"/>
    <col customWidth="1" min="3" max="3" width="26.0"/>
    <col customWidth="1" min="4" max="4" width="18.0"/>
    <col customWidth="1" min="5" max="5" width="16.0"/>
    <col customWidth="1" min="6" max="6" width="18.0"/>
    <col customWidth="1" min="7" max="26" width="8.71"/>
  </cols>
  <sheetData>
    <row r="1" ht="25.5" customHeight="1">
      <c r="A1" s="3"/>
      <c r="B1" s="99" t="s">
        <v>823</v>
      </c>
      <c r="C1" s="100"/>
      <c r="D1" s="100"/>
      <c r="E1" s="100"/>
      <c r="F1" s="101"/>
    </row>
    <row r="2" ht="15.0" customHeight="1">
      <c r="A2" s="3"/>
      <c r="B2" s="66" t="s">
        <v>824</v>
      </c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 ht="15.0" customHeight="1">
      <c r="A4" s="3"/>
      <c r="B4" s="104" t="s">
        <v>825</v>
      </c>
      <c r="C4" s="105"/>
      <c r="D4" s="105"/>
      <c r="E4" s="105"/>
      <c r="F4" s="105"/>
    </row>
    <row r="5" ht="15.0" customHeight="1">
      <c r="A5" s="3"/>
      <c r="B5" s="108" t="s">
        <v>826</v>
      </c>
      <c r="C5" s="108" t="s">
        <v>827</v>
      </c>
      <c r="D5" s="108" t="s">
        <v>828</v>
      </c>
      <c r="E5" s="108" t="s">
        <v>829</v>
      </c>
      <c r="F5" s="108" t="s">
        <v>830</v>
      </c>
    </row>
    <row r="6" ht="15.0" customHeight="1">
      <c r="A6" s="3"/>
      <c r="B6" s="23" t="s">
        <v>685</v>
      </c>
      <c r="C6" s="122" t="s">
        <v>831</v>
      </c>
      <c r="D6" s="122" t="s">
        <v>832</v>
      </c>
      <c r="E6" s="122" t="s">
        <v>833</v>
      </c>
      <c r="F6" s="123">
        <v>55.0</v>
      </c>
    </row>
    <row r="7" ht="15.0" customHeight="1">
      <c r="A7" s="3"/>
      <c r="B7" s="23" t="s">
        <v>687</v>
      </c>
      <c r="C7" s="122" t="s">
        <v>831</v>
      </c>
      <c r="D7" s="122" t="s">
        <v>832</v>
      </c>
      <c r="E7" s="122" t="s">
        <v>833</v>
      </c>
      <c r="F7" s="124">
        <v>1.5</v>
      </c>
    </row>
    <row r="8" ht="15.0" customHeight="1">
      <c r="A8" s="3"/>
      <c r="B8" s="23" t="s">
        <v>834</v>
      </c>
      <c r="C8" s="122" t="s">
        <v>831</v>
      </c>
      <c r="D8" s="122" t="s">
        <v>832</v>
      </c>
      <c r="E8" s="122" t="s">
        <v>833</v>
      </c>
      <c r="F8" s="124">
        <v>4.0</v>
      </c>
    </row>
    <row r="9" ht="15.0" customHeight="1">
      <c r="A9" s="3"/>
      <c r="B9" s="23" t="s">
        <v>835</v>
      </c>
      <c r="C9" s="122" t="s">
        <v>831</v>
      </c>
      <c r="D9" s="122" t="s">
        <v>832</v>
      </c>
      <c r="E9" s="122" t="s">
        <v>833</v>
      </c>
      <c r="F9" s="125">
        <v>3616.0</v>
      </c>
    </row>
    <row r="10" ht="15.0" customHeight="1">
      <c r="A10" s="3"/>
      <c r="B10" s="23" t="s">
        <v>836</v>
      </c>
      <c r="C10" s="122" t="s">
        <v>831</v>
      </c>
      <c r="D10" s="122" t="s">
        <v>832</v>
      </c>
      <c r="E10" s="122" t="s">
        <v>833</v>
      </c>
      <c r="F10" s="125">
        <v>363.0</v>
      </c>
    </row>
    <row r="11" ht="15.0" customHeight="1">
      <c r="A11" s="3"/>
      <c r="B11" s="23" t="s">
        <v>837</v>
      </c>
      <c r="C11" s="122" t="s">
        <v>831</v>
      </c>
      <c r="D11" s="122" t="s">
        <v>832</v>
      </c>
      <c r="E11" s="122" t="s">
        <v>833</v>
      </c>
      <c r="F11" s="126">
        <v>0.5</v>
      </c>
    </row>
    <row r="12">
      <c r="A12" s="3"/>
      <c r="B12" s="3"/>
      <c r="C12" s="3"/>
      <c r="D12" s="3"/>
      <c r="E12" s="3"/>
      <c r="F12" s="3"/>
    </row>
    <row r="13" ht="15.0" customHeight="1">
      <c r="A13" s="3"/>
      <c r="B13" s="104" t="s">
        <v>838</v>
      </c>
      <c r="C13" s="105"/>
      <c r="D13" s="105"/>
      <c r="E13" s="105"/>
      <c r="F13" s="105"/>
    </row>
    <row r="14" ht="15.0" customHeight="1">
      <c r="A14" s="3"/>
      <c r="B14" s="108" t="s">
        <v>826</v>
      </c>
      <c r="C14" s="108" t="s">
        <v>827</v>
      </c>
      <c r="D14" s="108" t="s">
        <v>828</v>
      </c>
      <c r="E14" s="108" t="s">
        <v>829</v>
      </c>
      <c r="F14" s="108" t="s">
        <v>830</v>
      </c>
    </row>
    <row r="15" ht="15.0" customHeight="1">
      <c r="A15" s="3"/>
      <c r="B15" s="23" t="s">
        <v>839</v>
      </c>
      <c r="C15" s="122" t="s">
        <v>840</v>
      </c>
      <c r="D15" s="122" t="s">
        <v>841</v>
      </c>
      <c r="E15" s="122" t="s">
        <v>833</v>
      </c>
      <c r="F15" s="125">
        <v>1766.0</v>
      </c>
    </row>
    <row r="16" ht="15.0" customHeight="1">
      <c r="A16" s="3"/>
      <c r="B16" s="23" t="s">
        <v>842</v>
      </c>
      <c r="C16" s="122" t="s">
        <v>840</v>
      </c>
      <c r="D16" s="122" t="s">
        <v>841</v>
      </c>
      <c r="E16" s="122" t="s">
        <v>833</v>
      </c>
      <c r="F16" s="125">
        <v>17600.0</v>
      </c>
    </row>
    <row r="17" ht="15.0" customHeight="1">
      <c r="A17" s="3"/>
      <c r="B17" s="23" t="s">
        <v>691</v>
      </c>
      <c r="C17" s="122" t="s">
        <v>840</v>
      </c>
      <c r="D17" s="122" t="s">
        <v>841</v>
      </c>
      <c r="E17" s="122" t="s">
        <v>833</v>
      </c>
      <c r="F17" s="125">
        <v>2455.0</v>
      </c>
    </row>
    <row r="18">
      <c r="A18" s="3"/>
      <c r="B18" s="3"/>
      <c r="C18" s="3"/>
      <c r="D18" s="3"/>
      <c r="E18" s="3"/>
      <c r="F18" s="3"/>
    </row>
    <row r="19" ht="15.0" customHeight="1">
      <c r="A19" s="3"/>
      <c r="B19" s="104" t="s">
        <v>843</v>
      </c>
      <c r="C19" s="105"/>
      <c r="D19" s="105"/>
      <c r="E19" s="105"/>
      <c r="F19" s="105"/>
    </row>
    <row r="20" ht="15.0" customHeight="1">
      <c r="A20" s="3"/>
      <c r="B20" s="108" t="s">
        <v>826</v>
      </c>
      <c r="C20" s="108" t="s">
        <v>827</v>
      </c>
      <c r="D20" s="108" t="s">
        <v>828</v>
      </c>
      <c r="E20" s="108" t="s">
        <v>829</v>
      </c>
      <c r="F20" s="108" t="s">
        <v>830</v>
      </c>
    </row>
    <row r="21" ht="15.0" customHeight="1">
      <c r="A21" s="3"/>
      <c r="B21" s="23" t="s">
        <v>844</v>
      </c>
      <c r="C21" s="122" t="s">
        <v>845</v>
      </c>
      <c r="D21" s="122" t="s">
        <v>846</v>
      </c>
      <c r="E21" s="122" t="s">
        <v>833</v>
      </c>
      <c r="F21" s="125">
        <v>3232.0</v>
      </c>
    </row>
    <row r="22" ht="15.0" customHeight="1">
      <c r="A22" s="3"/>
      <c r="B22" s="23" t="s">
        <v>847</v>
      </c>
      <c r="C22" s="122" t="s">
        <v>845</v>
      </c>
      <c r="D22" s="122" t="s">
        <v>846</v>
      </c>
      <c r="E22" s="122" t="s">
        <v>833</v>
      </c>
      <c r="F22" s="125">
        <v>4464.0</v>
      </c>
    </row>
    <row r="23" ht="15.0" customHeight="1">
      <c r="A23" s="3"/>
      <c r="B23" s="23" t="s">
        <v>848</v>
      </c>
      <c r="C23" s="122" t="s">
        <v>845</v>
      </c>
      <c r="D23" s="122" t="s">
        <v>846</v>
      </c>
      <c r="E23" s="122" t="s">
        <v>833</v>
      </c>
      <c r="F23" s="125">
        <v>179.0</v>
      </c>
    </row>
    <row r="24" ht="15.0" customHeight="1">
      <c r="A24" s="3"/>
      <c r="B24" s="23" t="s">
        <v>849</v>
      </c>
      <c r="C24" s="122" t="s">
        <v>845</v>
      </c>
      <c r="D24" s="122" t="s">
        <v>846</v>
      </c>
      <c r="E24" s="122" t="s">
        <v>833</v>
      </c>
      <c r="F24" s="125">
        <v>5893.0</v>
      </c>
    </row>
    <row r="25" ht="15.0" customHeight="1">
      <c r="A25" s="3"/>
      <c r="B25" s="23" t="s">
        <v>850</v>
      </c>
      <c r="C25" s="122" t="s">
        <v>845</v>
      </c>
      <c r="D25" s="122" t="s">
        <v>846</v>
      </c>
      <c r="E25" s="122" t="s">
        <v>833</v>
      </c>
      <c r="F25" s="126">
        <v>0.82</v>
      </c>
    </row>
    <row r="26" ht="15.75" customHeight="1">
      <c r="A26" s="3"/>
      <c r="B26" s="3"/>
      <c r="C26" s="3"/>
      <c r="D26" s="3"/>
      <c r="E26" s="3"/>
      <c r="F26" s="3"/>
    </row>
    <row r="27" ht="15.0" customHeight="1">
      <c r="A27" s="3"/>
      <c r="B27" s="104" t="s">
        <v>851</v>
      </c>
      <c r="C27" s="105"/>
      <c r="D27" s="105"/>
      <c r="E27" s="105"/>
      <c r="F27" s="105"/>
    </row>
    <row r="28" ht="15.0" customHeight="1">
      <c r="A28" s="3"/>
      <c r="B28" s="108" t="s">
        <v>826</v>
      </c>
      <c r="C28" s="108" t="s">
        <v>827</v>
      </c>
      <c r="D28" s="108" t="s">
        <v>828</v>
      </c>
      <c r="E28" s="108" t="s">
        <v>829</v>
      </c>
      <c r="F28" s="108" t="s">
        <v>830</v>
      </c>
    </row>
    <row r="29" ht="15.0" customHeight="1">
      <c r="A29" s="3"/>
      <c r="B29" s="23" t="s">
        <v>747</v>
      </c>
      <c r="C29" s="122" t="s">
        <v>852</v>
      </c>
      <c r="D29" s="122" t="s">
        <v>853</v>
      </c>
      <c r="E29" s="122" t="s">
        <v>854</v>
      </c>
      <c r="F29" s="124">
        <v>2.0</v>
      </c>
    </row>
    <row r="30" ht="15.0" customHeight="1">
      <c r="A30" s="3"/>
      <c r="B30" s="23" t="s">
        <v>855</v>
      </c>
      <c r="C30" s="122" t="s">
        <v>852</v>
      </c>
      <c r="D30" s="122" t="s">
        <v>853</v>
      </c>
      <c r="E30" s="122" t="s">
        <v>854</v>
      </c>
      <c r="F30" s="126">
        <v>0.97</v>
      </c>
    </row>
    <row r="31" ht="15.0" customHeight="1">
      <c r="A31" s="3"/>
      <c r="B31" s="23" t="s">
        <v>856</v>
      </c>
      <c r="C31" s="122" t="s">
        <v>852</v>
      </c>
      <c r="D31" s="122" t="s">
        <v>853</v>
      </c>
      <c r="E31" s="122" t="s">
        <v>854</v>
      </c>
      <c r="F31" s="126">
        <v>0.01</v>
      </c>
    </row>
    <row r="32" ht="15.0" customHeight="1">
      <c r="A32" s="3"/>
      <c r="B32" s="23" t="s">
        <v>857</v>
      </c>
      <c r="C32" s="122" t="s">
        <v>852</v>
      </c>
      <c r="D32" s="122" t="s">
        <v>853</v>
      </c>
      <c r="E32" s="122" t="s">
        <v>854</v>
      </c>
      <c r="F32" s="123">
        <v>12.0</v>
      </c>
    </row>
    <row r="33" ht="15.0" customHeight="1">
      <c r="A33" s="3"/>
      <c r="B33" s="23" t="s">
        <v>858</v>
      </c>
      <c r="C33" s="122" t="s">
        <v>852</v>
      </c>
      <c r="D33" s="122" t="s">
        <v>853</v>
      </c>
      <c r="E33" s="122" t="s">
        <v>854</v>
      </c>
      <c r="F33" s="125">
        <v>0.0</v>
      </c>
    </row>
    <row r="34" ht="15.75" customHeight="1">
      <c r="A34" s="3"/>
      <c r="B34" s="3"/>
      <c r="C34" s="3"/>
      <c r="D34" s="3"/>
      <c r="E34" s="3"/>
      <c r="F34" s="3"/>
    </row>
    <row r="35" ht="15.0" customHeight="1">
      <c r="A35" s="3"/>
      <c r="B35" s="104" t="s">
        <v>859</v>
      </c>
      <c r="C35" s="105"/>
      <c r="D35" s="105"/>
      <c r="E35" s="105"/>
      <c r="F35" s="105"/>
    </row>
    <row r="36" ht="15.0" customHeight="1">
      <c r="A36" s="3"/>
      <c r="B36" s="108" t="s">
        <v>826</v>
      </c>
      <c r="C36" s="108" t="s">
        <v>827</v>
      </c>
      <c r="D36" s="108" t="s">
        <v>828</v>
      </c>
      <c r="E36" s="108" t="s">
        <v>829</v>
      </c>
      <c r="F36" s="108" t="s">
        <v>830</v>
      </c>
    </row>
    <row r="37" ht="15.0" customHeight="1">
      <c r="A37" s="3"/>
      <c r="B37" s="23" t="s">
        <v>860</v>
      </c>
      <c r="C37" s="122" t="s">
        <v>861</v>
      </c>
      <c r="D37" s="122" t="s">
        <v>862</v>
      </c>
      <c r="E37" s="122" t="s">
        <v>863</v>
      </c>
      <c r="F37" s="127" t="s">
        <v>864</v>
      </c>
    </row>
    <row r="38" ht="15.0" customHeight="1">
      <c r="A38" s="3"/>
      <c r="B38" s="23" t="s">
        <v>865</v>
      </c>
      <c r="C38" s="122" t="s">
        <v>861</v>
      </c>
      <c r="D38" s="122" t="s">
        <v>862</v>
      </c>
      <c r="E38" s="122" t="s">
        <v>863</v>
      </c>
      <c r="F38" s="127" t="s">
        <v>866</v>
      </c>
    </row>
    <row r="39" ht="15.0" customHeight="1">
      <c r="A39" s="3"/>
      <c r="B39" s="23" t="s">
        <v>867</v>
      </c>
      <c r="C39" s="122" t="s">
        <v>861</v>
      </c>
      <c r="D39" s="122" t="s">
        <v>862</v>
      </c>
      <c r="E39" s="122" t="s">
        <v>863</v>
      </c>
      <c r="F39" s="127" t="s">
        <v>868</v>
      </c>
    </row>
    <row r="40" ht="15.0" customHeight="1">
      <c r="A40" s="3"/>
      <c r="B40" s="23" t="s">
        <v>869</v>
      </c>
      <c r="C40" s="122" t="s">
        <v>861</v>
      </c>
      <c r="D40" s="122" t="s">
        <v>862</v>
      </c>
      <c r="E40" s="122" t="s">
        <v>863</v>
      </c>
      <c r="F40" s="127" t="s">
        <v>870</v>
      </c>
    </row>
    <row r="41" ht="15.0" customHeight="1">
      <c r="A41" s="3"/>
      <c r="B41" s="23" t="s">
        <v>871</v>
      </c>
      <c r="C41" s="122" t="s">
        <v>861</v>
      </c>
      <c r="D41" s="122" t="s">
        <v>862</v>
      </c>
      <c r="E41" s="122" t="s">
        <v>863</v>
      </c>
      <c r="F41" s="127" t="s">
        <v>872</v>
      </c>
    </row>
    <row r="42" ht="15.75" customHeight="1">
      <c r="A42" s="3"/>
      <c r="B42" s="3"/>
      <c r="C42" s="3"/>
      <c r="D42" s="3"/>
      <c r="E42" s="3"/>
      <c r="F42" s="3"/>
    </row>
    <row r="43" ht="15.0" customHeight="1">
      <c r="A43" s="3"/>
      <c r="B43" s="104" t="s">
        <v>873</v>
      </c>
      <c r="C43" s="105"/>
      <c r="D43" s="105"/>
      <c r="E43" s="105"/>
      <c r="F43" s="105"/>
    </row>
    <row r="44" ht="15.0" customHeight="1">
      <c r="A44" s="3"/>
      <c r="B44" s="108" t="s">
        <v>826</v>
      </c>
      <c r="C44" s="108" t="s">
        <v>827</v>
      </c>
      <c r="D44" s="108" t="s">
        <v>828</v>
      </c>
      <c r="E44" s="108" t="s">
        <v>829</v>
      </c>
      <c r="F44" s="108" t="s">
        <v>830</v>
      </c>
    </row>
    <row r="45" ht="15.0" customHeight="1">
      <c r="A45" s="3"/>
      <c r="B45" s="23" t="s">
        <v>874</v>
      </c>
      <c r="C45" s="122" t="s">
        <v>875</v>
      </c>
      <c r="D45" s="122" t="s">
        <v>876</v>
      </c>
      <c r="E45" s="122" t="s">
        <v>877</v>
      </c>
      <c r="F45" s="125">
        <v>1.5E8</v>
      </c>
    </row>
    <row r="46" ht="15.0" customHeight="1">
      <c r="A46" s="3"/>
      <c r="B46" s="23" t="s">
        <v>878</v>
      </c>
      <c r="C46" s="122" t="s">
        <v>875</v>
      </c>
      <c r="D46" s="122" t="s">
        <v>876</v>
      </c>
      <c r="E46" s="122" t="s">
        <v>877</v>
      </c>
      <c r="F46" s="126">
        <v>0.2</v>
      </c>
    </row>
    <row r="47" ht="15.0" customHeight="1">
      <c r="A47" s="3"/>
      <c r="B47" s="23" t="s">
        <v>879</v>
      </c>
      <c r="C47" s="122" t="s">
        <v>875</v>
      </c>
      <c r="D47" s="122" t="s">
        <v>876</v>
      </c>
      <c r="E47" s="122" t="s">
        <v>877</v>
      </c>
      <c r="F47" s="127" t="s">
        <v>880</v>
      </c>
    </row>
    <row r="48" ht="15.0" customHeight="1">
      <c r="A48" s="3"/>
      <c r="B48" s="23" t="s">
        <v>881</v>
      </c>
      <c r="C48" s="122" t="s">
        <v>875</v>
      </c>
      <c r="D48" s="122" t="s">
        <v>876</v>
      </c>
      <c r="E48" s="122" t="s">
        <v>877</v>
      </c>
      <c r="F48" s="126">
        <v>0.6</v>
      </c>
    </row>
    <row r="49" ht="15.0" customHeight="1">
      <c r="A49" s="3"/>
      <c r="B49" s="23" t="s">
        <v>882</v>
      </c>
      <c r="C49" s="122" t="s">
        <v>875</v>
      </c>
      <c r="D49" s="122" t="s">
        <v>876</v>
      </c>
      <c r="E49" s="122" t="s">
        <v>877</v>
      </c>
      <c r="F49" s="127" t="s">
        <v>883</v>
      </c>
    </row>
    <row r="50" ht="15.75" customHeight="1">
      <c r="A50" s="3"/>
      <c r="B50" s="3"/>
      <c r="C50" s="3"/>
      <c r="D50" s="3"/>
      <c r="E50" s="3"/>
      <c r="F50" s="3"/>
    </row>
    <row r="51" ht="15.0" customHeight="1">
      <c r="A51" s="3"/>
      <c r="B51" s="66" t="s">
        <v>884</v>
      </c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1">
    <mergeCell ref="B1:F1"/>
  </mergeCells>
  <printOptions/>
  <pageMargins bottom="1.0" footer="0.0" header="0.0" left="0.75" right="0.75" top="1.0"/>
  <pageSetup paperSize="9" orientation="portrait"/>
  <drawing r:id="rId1"/>
</worksheet>
</file>